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Complaints" sheetId="2" state="visible" r:id="rId4"/>
    <sheet name="Rules" sheetId="3" state="visible" r:id="rId5"/>
    <sheet name="Terms" sheetId="4" state="visible" r:id="rId6"/>
    <sheet name="Scored" sheetId="5" state="visible" r:id="rId7"/>
    <sheet name="NewComplaints" sheetId="6" state="visible" r:id="rId8"/>
    <sheet name="Answers" sheetId="7" state="visible" r:id="rId9"/>
    <sheet name="New"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<sst xmlns="http://schemas.openxmlformats.org/spreadsheetml/2006/main" count="5421" uniqueCount="3011">
  <si>
    <t xml:space="preserve">Formula-only complaint classification: three ways, no Python, no add-ins</t>
  </si>
  <si>
    <t xml:space="preserve">Sheets</t>
  </si>
  <si>
    <t xml:space="preserve">Complaints</t>
  </si>
  <si>
    <t xml:space="preserve">The 900 sample complaints (id, text, true label).</t>
  </si>
  <si>
    <t xml:space="preserve">Rules</t>
  </si>
  <si>
    <t xml:space="preserve">59 hand-written keywords with weights, plus the settings (min score, min margin) in H1:H2. Columns D and E are the match patterns.</t>
  </si>
  <si>
    <t xml:space="preserve">Terms</t>
  </si>
  <si>
    <t xml:space="preserve">The frozen model's learned word and word-pair weights (819 rows x 6 categories) plus an intercept row. Exported from the TF-IDF + logistic regression model, trained with seed 42.</t>
  </si>
  <si>
    <t xml:space="preserve">Scored</t>
  </si>
  <si>
    <t xml:space="preserve">One row per complaint. Columns E to K: exact keyword scoring. L to R: fuzzy (word-stem) keyword scoring. S to Y: scoring with the learned weights.</t>
  </si>
  <si>
    <t xml:space="preserve">How to read it</t>
  </si>
  <si>
    <t xml:space="preserve">Every label is a formula. The same inputs give the same label every time. To freeze: copy the label columns and Paste Special &gt; Values onto a new sheet.</t>
  </si>
  <si>
    <t xml:space="preserve">The learned-weights route is an approximation of the Python model (it matches words as written, without the model's stop-word removal and length scaling). It agrees with the Python model on about 94% of held-out complaints.</t>
  </si>
  <si>
    <t xml:space="preserve">New, NewComplaints, Answers</t>
  </si>
  <si>
    <t xml:space="preserve">200 brand-new complaints scored by formulas: keyword rules (exact), the learned weights, and rules first then learned weights. The Answers sheet holds the true labels so the New sheet can mark each label right or wrong. In real life you would not have the answers yet.</t>
  </si>
  <si>
    <t xml:space="preserve">Column Z says whether the complaint was in the 720 the model learned from (train) or the 180 it did not see (test). Quote accuracy for the learned route on test rows only.</t>
  </si>
  <si>
    <t xml:space="preserve">complaint_id</t>
  </si>
  <si>
    <t xml:space="preserve">text</t>
  </si>
  <si>
    <t xml:space="preserve">true_label</t>
  </si>
  <si>
    <t xml:space="preserve">C0001</t>
  </si>
  <si>
    <t xml:space="preserve">I was told this policy overed me but my claim was rejected. Also, the complaints handler was unhelpful and talked over me. This is not acceptable.</t>
  </si>
  <si>
    <t xml:space="preserve">Mis-selling</t>
  </si>
  <si>
    <t xml:space="preserve">C0002</t>
  </si>
  <si>
    <t xml:space="preserve">Hello, I was told this policy covered me but my claim was rejected. I could not log in to check either.</t>
  </si>
  <si>
    <t xml:space="preserve">C0003</t>
  </si>
  <si>
    <t xml:space="preserve">This is the second time I have raised this. The salesperson pushed me into a plan I did not need. I could not log in to check either. I would like a response in writing.</t>
  </si>
  <si>
    <t xml:space="preserve">C0004</t>
  </si>
  <si>
    <t xml:space="preserve">I am writing to complain. It has taken six weeks to process my claim and nobody has updated me. Please sort this out.</t>
  </si>
  <si>
    <t xml:space="preserve">Delays &amp; Processing</t>
  </si>
  <si>
    <t xml:space="preserve">C0005</t>
  </si>
  <si>
    <t xml:space="preserve">My mortgage switch is taking far longer than you said it would. Please escalate this.</t>
  </si>
  <si>
    <t xml:space="preserve">C0006</t>
  </si>
  <si>
    <t xml:space="preserve">Hello, The app crashes every time I try to open my statements. There was also a fee involved. I expect compensation.</t>
  </si>
  <si>
    <t xml:space="preserve">Account Access</t>
  </si>
  <si>
    <t xml:space="preserve">C0007</t>
  </si>
  <si>
    <t xml:space="preserve">This is the second time I have raised this. The brochure said guaranteed returns and my money has lost value. I also spent ages on hold when I called about it. Please sort this out.</t>
  </si>
  <si>
    <t xml:space="preserve">C0008</t>
  </si>
  <si>
    <t xml:space="preserve">This is the second time I have raised this. I asked for a callback and it never happened. I would like a response in writing.</t>
  </si>
  <si>
    <t xml:space="preserve">Customer Service</t>
  </si>
  <si>
    <t xml:space="preserve">C0009</t>
  </si>
  <si>
    <t xml:space="preserve">I am writing to complain. Why has my interest rate gone up without notice, it is costing me more every month.</t>
  </si>
  <si>
    <t xml:space="preserve">Fees &amp; Charges</t>
  </si>
  <si>
    <t xml:space="preserve">C0010</t>
  </si>
  <si>
    <t xml:space="preserve">To whom it may concern, Someone has made payments from my account that I did not authorise. Also, the app crashes every time I try to open my statements. Please escalate this.</t>
  </si>
  <si>
    <t xml:space="preserve">Fraud &amp; Scams</t>
  </si>
  <si>
    <t xml:space="preserve">C0011</t>
  </si>
  <si>
    <t xml:space="preserve">I was tricked into moving savings to a safe account that was not safe. Also, my account was frozen and I cannot get in to move money.</t>
  </si>
  <si>
    <t xml:space="preserve">C0012</t>
  </si>
  <si>
    <t xml:space="preserve">I asked for a callback and it never happened.</t>
  </si>
  <si>
    <t xml:space="preserve">C0013</t>
  </si>
  <si>
    <t xml:space="preserve">A late payment fee appeared and I want it refunded. It has also been takig far too long. I want this put right.</t>
  </si>
  <si>
    <t xml:space="preserve">C0014</t>
  </si>
  <si>
    <t xml:space="preserve">Frankly, The complaints handler was unhelpful and talked over me. I am worried it might be fraud. I want this put right.</t>
  </si>
  <si>
    <t xml:space="preserve">C0015</t>
  </si>
  <si>
    <t xml:space="preserve">I am writing to complain. Nobody explained the foreign transaction charges before my holiday. Also, my account was frozen and I cannot get in to move money. I want this put right.</t>
  </si>
  <si>
    <t xml:space="preserve">C0016</t>
  </si>
  <si>
    <t xml:space="preserve">The adviser did not explain the risks of the investment.</t>
  </si>
  <si>
    <t xml:space="preserve">C0017</t>
  </si>
  <si>
    <t xml:space="preserve">Two factor codes are not being sent to my phone. Please sort this out.</t>
  </si>
  <si>
    <t xml:space="preserve">C0018</t>
  </si>
  <si>
    <t xml:space="preserve">I am writing to complain. A late payment fee appeared and I want it refunded.</t>
  </si>
  <si>
    <t xml:space="preserve">C0019</t>
  </si>
  <si>
    <t xml:space="preserve">Frankly, The branch manager would not listen to my concerns. Please escalate this.</t>
  </si>
  <si>
    <t xml:space="preserve">C0020</t>
  </si>
  <si>
    <t xml:space="preserve">I am writing to complain. The payment still has not arrived in my account. Please escalate this.</t>
  </si>
  <si>
    <t xml:space="preserve">C0021</t>
  </si>
  <si>
    <t xml:space="preserve">Hello, My application has been stuck for weeks with no progress.</t>
  </si>
  <si>
    <t xml:space="preserve">C0022</t>
  </si>
  <si>
    <t xml:space="preserve">I am extremely disappointed and want this resolved. I expect compensation.</t>
  </si>
  <si>
    <t xml:space="preserve">C0023</t>
  </si>
  <si>
    <t xml:space="preserve">Frankly, I sent the form twice and it seems to have been lost in the system.</t>
  </si>
  <si>
    <t xml:space="preserve">C0024</t>
  </si>
  <si>
    <t xml:space="preserve">The salesperson pushed me into a plan I did not need. I expect compensation.</t>
  </si>
  <si>
    <t xml:space="preserve">C0025</t>
  </si>
  <si>
    <t xml:space="preserve">I have been a customer for years. A fake text message led me to a website and my money disappeared. I expect compensation.</t>
  </si>
  <si>
    <t xml:space="preserve">C0026</t>
  </si>
  <si>
    <t xml:space="preserve">There is an unexpected charge on my statement of £120. I would like a response in writing.</t>
  </si>
  <si>
    <t xml:space="preserve">C0027</t>
  </si>
  <si>
    <t xml:space="preserve">The terms were very different from what I was promised at the time of sale. Also, there is an unexpected charge on my statement of £25. Please escalate this.</t>
  </si>
  <si>
    <t xml:space="preserve">C0028</t>
  </si>
  <si>
    <t xml:space="preserve">Hello, It has taken six weeks to process my claim and nobody has updated me. Also, i spent an hour on hold and then the call was cut off.</t>
  </si>
  <si>
    <t xml:space="preserve">C0029</t>
  </si>
  <si>
    <t xml:space="preserve">Frankly, The app crashes every time I try to open my statements. Also, the payment still has not arrived in my account.</t>
  </si>
  <si>
    <t xml:space="preserve">C0030</t>
  </si>
  <si>
    <t xml:space="preserve">My identity was stolen and a loan was taken out in my name. Also, my transfer has been pending for over a week. Please sort this out.</t>
  </si>
  <si>
    <t xml:space="preserve">C0031</t>
  </si>
  <si>
    <t xml:space="preserve">I am very unhappy with how this has been handled. I want this put right.</t>
  </si>
  <si>
    <t xml:space="preserve">C0032</t>
  </si>
  <si>
    <t xml:space="preserve">Hello, The webchat agent ended the conversation without solving anything. Please escalate this.</t>
  </si>
  <si>
    <t xml:space="preserve">C0033</t>
  </si>
  <si>
    <t xml:space="preserve">The adviser did not explain the risks of the investment. This is not acceptable.</t>
  </si>
  <si>
    <t xml:space="preserve">C0034</t>
  </si>
  <si>
    <t xml:space="preserve">Frankly, A late payment fee appeared and I want it refunded. I would like a response in writing.</t>
  </si>
  <si>
    <t xml:space="preserve">C0035</t>
  </si>
  <si>
    <t xml:space="preserve">The closure of my old account has draggd on for months.</t>
  </si>
  <si>
    <t xml:space="preserve">C0036</t>
  </si>
  <si>
    <t xml:space="preserve">I have been a customer for years. The webchat agent ended the conversation without solving anything. Also, why has my interest rate gone up without notice, it is costing me more every month. Please sort this out.</t>
  </si>
  <si>
    <t xml:space="preserve">C0037</t>
  </si>
  <si>
    <t xml:space="preserve">This has caused me a lot of stress and I want answers. I would like a response in writing.</t>
  </si>
  <si>
    <t xml:space="preserve">C0038</t>
  </si>
  <si>
    <t xml:space="preserve">My card reader stopped working and I cannot approve payments. Also, the pension transfer advice I received was poor and I have lost out.</t>
  </si>
  <si>
    <t xml:space="preserve">C0039</t>
  </si>
  <si>
    <t xml:space="preserve">I am writing to complain. I spent an hour on hold and then the call was cut off. Also, nobody explained the foreign transaction charges before my holiday. Please escalate this.</t>
  </si>
  <si>
    <t xml:space="preserve">C0040</t>
  </si>
  <si>
    <t xml:space="preserve">Frankly, The webchat agent ended the conversation without soving anything. Please sort this out.</t>
  </si>
  <si>
    <t xml:space="preserve">C0041</t>
  </si>
  <si>
    <t xml:space="preserve">I have been a customer for years. My transfer has been pending for over a week. This is not acceptable.</t>
  </si>
  <si>
    <t xml:space="preserve">C0042</t>
  </si>
  <si>
    <t xml:space="preserve">I am writing to complain. Your advisor gave me different answers on two separate calls. This is not acceptable.</t>
  </si>
  <si>
    <t xml:space="preserve">C0043</t>
  </si>
  <si>
    <t xml:space="preserve">Frankly, I was told this policy covered me but my claim was rejected. I could not log in to check either. I would like a response in writing.</t>
  </si>
  <si>
    <t xml:space="preserve">C0044</t>
  </si>
  <si>
    <t xml:space="preserve">Hello, A late payment fee appeared and I want it refunded. Please sort this out.</t>
  </si>
  <si>
    <t xml:space="preserve">C0045</t>
  </si>
  <si>
    <t xml:space="preserve">I am writing to complain. The fraud team closed my case without investigating properly.</t>
  </si>
  <si>
    <t xml:space="preserve">C0046</t>
  </si>
  <si>
    <t xml:space="preserve">This is the second time I have raised this. I was hit with a penalty charge for a payment I made on time. Also, you promised the money within three working days and it is still outstanding. Please escalate this.</t>
  </si>
  <si>
    <t xml:space="preserve">C0047</t>
  </si>
  <si>
    <t xml:space="preserve">Frankly, The complaints handler was unhelpful and talked over me. There was also a fee involved.</t>
  </si>
  <si>
    <t xml:space="preserve">C0048</t>
  </si>
  <si>
    <t xml:space="preserve">I am very unhappy with how this has been handled. I expect compensation.</t>
  </si>
  <si>
    <t xml:space="preserve">C0049</t>
  </si>
  <si>
    <t xml:space="preserve">Hello, My account was frozen and I cannot get in to move money. Also, the paperwork was submitted a month ago and I am still waiting.</t>
  </si>
  <si>
    <t xml:space="preserve">C0050</t>
  </si>
  <si>
    <t xml:space="preserve">I have been a customer for years. The app crashes every time I try to open my statements. This is not acceptable.</t>
  </si>
  <si>
    <t xml:space="preserve">C0051</t>
  </si>
  <si>
    <t xml:space="preserve">Hello, Nobody explained the foreign transaction charges before my holiday. Also, the salesperson pushed me into a plan I did not need.</t>
  </si>
  <si>
    <t xml:space="preserve">C0052</t>
  </si>
  <si>
    <t xml:space="preserve">Hello, It has taken six weeks to process my claim and nobody has updated me. I also spent ages on hold when I called about it. I would like a response in writing.</t>
  </si>
  <si>
    <t xml:space="preserve">C0053</t>
  </si>
  <si>
    <t xml:space="preserve">Frankly, You promised the money within three working days and it is still outstanding. I want this put right.</t>
  </si>
  <si>
    <t xml:space="preserve">C0054</t>
  </si>
  <si>
    <t xml:space="preserve">I am writing to complain. The brochure said guaanteed returns and my money has lost value. Also, my identity was stolen and a loan was taken out in my name.</t>
  </si>
  <si>
    <t xml:space="preserve">C0055</t>
  </si>
  <si>
    <t xml:space="preserve">Hello, I was tricked into moving savings to a safe account that was not safe. I expect compensation.</t>
  </si>
  <si>
    <t xml:space="preserve">C0056</t>
  </si>
  <si>
    <t xml:space="preserve">You promised the money within three working days and it is still outstanding. Also, the staff member was rude and dismissive when I called.</t>
  </si>
  <si>
    <t xml:space="preserve">C0057</t>
  </si>
  <si>
    <t xml:space="preserve">The pension transfer advice I received was poor and I have lost out. Also, i cannot log in to the mobile app since the update. I expect compensation.</t>
  </si>
  <si>
    <t xml:space="preserve">C0058</t>
  </si>
  <si>
    <t xml:space="preserve">Why has my interest rate gone up without notice, it is costing me more every month. I want this put right.</t>
  </si>
  <si>
    <t xml:space="preserve">C0059</t>
  </si>
  <si>
    <t xml:space="preserve">Frankly, The account maintenance fee was taken twice this month. It has also been taking far too long.</t>
  </si>
  <si>
    <t xml:space="preserve">C0060</t>
  </si>
  <si>
    <t xml:space="preserve">I feel I was treated badly because of my age.</t>
  </si>
  <si>
    <t xml:space="preserve">C0061</t>
  </si>
  <si>
    <t xml:space="preserve">I have been a customer for years. I asked for a callback and it never happened. Also, you promised the money within three working days and it is still outstanding.</t>
  </si>
  <si>
    <t xml:space="preserve">C0062</t>
  </si>
  <si>
    <t xml:space="preserve">To whom it may concern, Why has my interest rate gone up without notice, it is costing me more every month. Please escalate this.</t>
  </si>
  <si>
    <t xml:space="preserve">C0063</t>
  </si>
  <si>
    <t xml:space="preserve">To whom it may concern, The account maintenance fee was taken twice this month. Also, the paperwork was submitted a month ago and I am still waiting. Please escalate this.</t>
  </si>
  <si>
    <t xml:space="preserve">C0064</t>
  </si>
  <si>
    <t xml:space="preserve">The website will not let me register for online access.</t>
  </si>
  <si>
    <t xml:space="preserve">C0065</t>
  </si>
  <si>
    <t xml:space="preserve">Hello, The password reset keeps failing and I am locked out. There was also a fee involved.</t>
  </si>
  <si>
    <t xml:space="preserve">C0066</t>
  </si>
  <si>
    <t xml:space="preserve">The password reset keeps failing and I am locked out. Also, i was advised to take out cover that duplicates what I already had. I expect compensation.</t>
  </si>
  <si>
    <t xml:space="preserve">C0067</t>
  </si>
  <si>
    <t xml:space="preserve">A person pretending to be from your bank phoned me and I gave them details.</t>
  </si>
  <si>
    <t xml:space="preserve">C0068</t>
  </si>
  <si>
    <t xml:space="preserve">I am writing to complain. I was tricked into moving savings to a safe account that was not safe. Also, the complaints handler was unhelpful and talked over me. I expect compensation.</t>
  </si>
  <si>
    <t xml:space="preserve">C0069</t>
  </si>
  <si>
    <t xml:space="preserve">I was misled about what the insurance actually included. I expect compensation.</t>
  </si>
  <si>
    <t xml:space="preserve">C0070</t>
  </si>
  <si>
    <t xml:space="preserve">There are transactions on my card I do not recognise. I want this put right.</t>
  </si>
  <si>
    <t xml:space="preserve">C0071</t>
  </si>
  <si>
    <t xml:space="preserve">To whom it may concern, Nobody explained the foreign transaction charges before my holiday. Also, i reported the unauthorised payment but you refused to reimburse me. I expect compensation.</t>
  </si>
  <si>
    <t xml:space="preserve">C0072</t>
  </si>
  <si>
    <t xml:space="preserve">I feel I was treated badly becaus of my age. I would like a response in writing.</t>
  </si>
  <si>
    <t xml:space="preserve">C0073</t>
  </si>
  <si>
    <t xml:space="preserve">This is the second time I have raised this. I was sold a product that was not suitable for my circumstances. This is not acceptable.</t>
  </si>
  <si>
    <t xml:space="preserve">C0074</t>
  </si>
  <si>
    <t xml:space="preserve">I was sold a product that was not suitable for my circumstances. It has also been taking far too long. I would like a response in writing.</t>
  </si>
  <si>
    <t xml:space="preserve">C0075</t>
  </si>
  <si>
    <t xml:space="preserve">The pension transfer advice I received was poor and I have lost out.</t>
  </si>
  <si>
    <t xml:space="preserve">C0076</t>
  </si>
  <si>
    <t xml:space="preserve">Hello, I am unable to access my account to see my balance. Please sort this out.</t>
  </si>
  <si>
    <t xml:space="preserve">C0077</t>
  </si>
  <si>
    <t xml:space="preserve">I am writing to complain. My online banking is locked and the reset link never arrives. Please sort this out.</t>
  </si>
  <si>
    <t xml:space="preserve">C0078</t>
  </si>
  <si>
    <t xml:space="preserve">I have been a customer for years. My application has been stuck for weeks with no progress. This is not acceptable.</t>
  </si>
  <si>
    <t xml:space="preserve">C0079</t>
  </si>
  <si>
    <t xml:space="preserve">I have been a customer for years. I was misled about what the insurance actually included. Also, the payment still has not arrived in my account. Please sort this out.</t>
  </si>
  <si>
    <t xml:space="preserve">C0080</t>
  </si>
  <si>
    <t xml:space="preserve">Nobody has responded to my emails despite three reminders. Please sort this out.</t>
  </si>
  <si>
    <t xml:space="preserve">C0081</t>
  </si>
  <si>
    <t xml:space="preserve">Frankly, Why has my interest rate gone up without notice, it is costing me more every month. It has also been taking far too long. I expect compensation.</t>
  </si>
  <si>
    <t xml:space="preserve">C0082</t>
  </si>
  <si>
    <t xml:space="preserve">To whom it may concern, The fraud team closed my case without investigating properly. I do not think it was explained properly when I bought it.</t>
  </si>
  <si>
    <t xml:space="preserve">C0083</t>
  </si>
  <si>
    <t xml:space="preserve">I am extremely disappointed and want this resolved. I would like a response in writing.</t>
  </si>
  <si>
    <t xml:space="preserve">C0084</t>
  </si>
  <si>
    <t xml:space="preserve">I am writing to complain. The paperwork was submitted a month ago and I am still waiting. I expect compensation.</t>
  </si>
  <si>
    <t xml:space="preserve">C0085</t>
  </si>
  <si>
    <t xml:space="preserve">I have been a customer for years. The password reset keeps failing and I am locked out. Also, your advisor gave me different answers on two separate calls. I expect compensation.</t>
  </si>
  <si>
    <t xml:space="preserve">C0086</t>
  </si>
  <si>
    <t xml:space="preserve">The branch manager would not listen to my concerns. Also, my identity was stolen and a loan was taken out in my name.</t>
  </si>
  <si>
    <t xml:space="preserve">C0087</t>
  </si>
  <si>
    <t xml:space="preserve">The app crashes every time I try to open my statements.</t>
  </si>
  <si>
    <t xml:space="preserve">C0088</t>
  </si>
  <si>
    <t xml:space="preserve">I have been a customer for years. I was misled about what the insurance actually included. Please sort this out.</t>
  </si>
  <si>
    <t xml:space="preserve">C0089</t>
  </si>
  <si>
    <t xml:space="preserve">My online banking is locked and the reset link never arrives.</t>
  </si>
  <si>
    <t xml:space="preserve">C0090</t>
  </si>
  <si>
    <t xml:space="preserve">Someone has made payments from my account that I did not authorise. Please sort this out.</t>
  </si>
  <si>
    <t xml:space="preserve">C0091</t>
  </si>
  <si>
    <t xml:space="preserve">This is the second time I have raised this. I keep getting an error message when I sign in.</t>
  </si>
  <si>
    <t xml:space="preserve">C0092</t>
  </si>
  <si>
    <t xml:space="preserve">This is the second time I have raised this. I keep getting an error message when I sign in. Also, the paperwork was submitted a month ago and I am still waiting. Please escalate this.</t>
  </si>
  <si>
    <t xml:space="preserve">C0093</t>
  </si>
  <si>
    <t xml:space="preserve">Hello, A late payment fee appeared and I want it refunded.</t>
  </si>
  <si>
    <t xml:space="preserve">C0094</t>
  </si>
  <si>
    <t xml:space="preserve">To whom it may concern, The costs keep creeping up and my balance is lower than it should be. Also, i was misled about what the insurance actually included. Please sort this out.</t>
  </si>
  <si>
    <t xml:space="preserve">C0095</t>
  </si>
  <si>
    <t xml:space="preserve">I have been a customer for years. I keep getting an error message when I sign in. Also, i was misled about what the insurance actually included. I would like a response in writing.</t>
  </si>
  <si>
    <t xml:space="preserve">C0096</t>
  </si>
  <si>
    <t xml:space="preserve">My mortgage switch is taking far longer than you said it would. Please sort this out.</t>
  </si>
  <si>
    <t xml:space="preserve">C0097</t>
  </si>
  <si>
    <t xml:space="preserve">Frankly, There are transactions on my card I do not recognise. I also spent ages on hold when I called about it.</t>
  </si>
  <si>
    <t xml:space="preserve">C0098</t>
  </si>
  <si>
    <t xml:space="preserve">To whom it may concern, The app crashes every time I try to open my statements. Also, you promised the money within three working days and it is still outstanding. Please escalate this.</t>
  </si>
  <si>
    <t xml:space="preserve">C0099</t>
  </si>
  <si>
    <t xml:space="preserve">I have been a customer for years. A person pretending to be from your bank phoned me and I gave them details.</t>
  </si>
  <si>
    <t xml:space="preserve">C0100</t>
  </si>
  <si>
    <t xml:space="preserve">Hello, The salesperson pushed me into a plan I did not need. It has also been taking far too long. I would like a response in writing.</t>
  </si>
  <si>
    <t xml:space="preserve">C0101</t>
  </si>
  <si>
    <t xml:space="preserve">I was passed between four departmens and no one took ownership.</t>
  </si>
  <si>
    <t xml:space="preserve">C0102</t>
  </si>
  <si>
    <t xml:space="preserve">Frankly, A late payment fee appeared and I want it refunded. Also, the staff member was rude and dismissive when I called.</t>
  </si>
  <si>
    <t xml:space="preserve">C0103</t>
  </si>
  <si>
    <t xml:space="preserve">Nobody explained the foreign transaction charges before my holiday. I could not log in to check either. This is not acceptable.</t>
  </si>
  <si>
    <t xml:space="preserve">C0104</t>
  </si>
  <si>
    <t xml:space="preserve">The password reset keeps failing and I am locked out. There was also a fee involved.</t>
  </si>
  <si>
    <t xml:space="preserve">C0105</t>
  </si>
  <si>
    <t xml:space="preserve">I have been a customer for years. The fraud team closed my case without investigating properly. I would like a response in writing.</t>
  </si>
  <si>
    <t xml:space="preserve">C0106</t>
  </si>
  <si>
    <t xml:space="preserve">I am writing to complain. The costs keep creeping up and my balance is lower than it should be.</t>
  </si>
  <si>
    <t xml:space="preserve">C0107</t>
  </si>
  <si>
    <t xml:space="preserve">The webchat agent ended the conversation without solving anything.</t>
  </si>
  <si>
    <t xml:space="preserve">C0108</t>
  </si>
  <si>
    <t xml:space="preserve">Frankly, Nobody checked whether I could afford the credit agreement.</t>
  </si>
  <si>
    <t xml:space="preserve">C0109</t>
  </si>
  <si>
    <t xml:space="preserve">Hello, My mortgage switch is taking far longer than you said it would. Also, two factor codes are not being sent to my phone.</t>
  </si>
  <si>
    <t xml:space="preserve">C0110</t>
  </si>
  <si>
    <t xml:space="preserve">Frankly, A fake text message led me to a website and my money disappeared. I expect compensation.</t>
  </si>
  <si>
    <t xml:space="preserve">C0111</t>
  </si>
  <si>
    <t xml:space="preserve">I reported the unauthorised payment but you refused to reimburse me. I expect compensation.</t>
  </si>
  <si>
    <t xml:space="preserve">C0112</t>
  </si>
  <si>
    <t xml:space="preserve">I am writing to complain. My card reader stopped working and I cannot approve payments.</t>
  </si>
  <si>
    <t xml:space="preserve">C0113</t>
  </si>
  <si>
    <t xml:space="preserve">Frankly, The terms were very different from what I was promised at the time of sale. Also, a fake text message led me to a website and my money disappeared. I want this put right.</t>
  </si>
  <si>
    <t xml:space="preserve">C0114</t>
  </si>
  <si>
    <t xml:space="preserve">I am unable to access my account to see my balance. This is not acceptable.</t>
  </si>
  <si>
    <t xml:space="preserve">C0115</t>
  </si>
  <si>
    <t xml:space="preserve">This is the second time I have raised this. The closure of my old account has dragged on for months. I could not log in to check either. I would like a response in writing.</t>
  </si>
  <si>
    <t xml:space="preserve">C0116</t>
  </si>
  <si>
    <t xml:space="preserve">Frankly, Two factor codes are not being sent to my phone. Also, there are transactions on my card I do not recognise.</t>
  </si>
  <si>
    <t xml:space="preserve">C0117</t>
  </si>
  <si>
    <t xml:space="preserve">I have been a customer for years. I have been billed an annual fee I never agreed to. I expect compensation.</t>
  </si>
  <si>
    <t xml:space="preserve">C0118</t>
  </si>
  <si>
    <t xml:space="preserve">C0119</t>
  </si>
  <si>
    <t xml:space="preserve">This is the second time I have raised this. The ebchat agent ended the conversation without solving anything.</t>
  </si>
  <si>
    <t xml:space="preserve">C0120</t>
  </si>
  <si>
    <t xml:space="preserve">I have been a customer for years. I was told this policy covered me but my claim was rejected. I also spent ages on hold when I called about it. Please escalate this.</t>
  </si>
  <si>
    <t xml:space="preserve">C0121</t>
  </si>
  <si>
    <t xml:space="preserve">To whom it may concern, Nobody explained the foreign transaction charges before my holiday. Also, the direct debit setup was delayed and I missed a bill because of it. I want this put right.</t>
  </si>
  <si>
    <t xml:space="preserve">C0122</t>
  </si>
  <si>
    <t xml:space="preserve">I am writing to complain. I spent an hour on hold and then the call was cut off. I do not think it was explained properly when I bought it. Please sort this out.</t>
  </si>
  <si>
    <t xml:space="preserve">C0123</t>
  </si>
  <si>
    <t xml:space="preserve">I have been a customer for years. The direct debit setup was delayed and I missed a bill because of it.</t>
  </si>
  <si>
    <t xml:space="preserve">C0124</t>
  </si>
  <si>
    <t xml:space="preserve">The closure of my old account has dragged on for months. There was also a fee involved. I expect compensation.</t>
  </si>
  <si>
    <t xml:space="preserve">C0125</t>
  </si>
  <si>
    <t xml:space="preserve">I am writing to complain. There are transactions on my card I do not recognise. Also, my mortgage switch is taking far longer than you said it would.</t>
  </si>
  <si>
    <t xml:space="preserve">C0126</t>
  </si>
  <si>
    <t xml:space="preserve">There is an unexpected charge on my statement of £25. I could not log in to check either.</t>
  </si>
  <si>
    <t xml:space="preserve">C0127</t>
  </si>
  <si>
    <t xml:space="preserve">I am writing to complain. It has taken six weeks to process my claim and nobody has updated me. I could not log in to check either. Please escalate this.</t>
  </si>
  <si>
    <t xml:space="preserve">C0128</t>
  </si>
  <si>
    <t xml:space="preserve">The adviser did not explain the risks of the investment. Also, a fake text message led me to a website and my money disappeared. I would like a response in writing.</t>
  </si>
  <si>
    <t xml:space="preserve">C0129</t>
  </si>
  <si>
    <t xml:space="preserve">Please look into what happened on my account. I expect compensation.</t>
  </si>
  <si>
    <t xml:space="preserve">C0130</t>
  </si>
  <si>
    <t xml:space="preserve">This is the second time I have raised this. I was tricked into moving savings to a safe account that was not safe. Please sort this out.</t>
  </si>
  <si>
    <t xml:space="preserve">C0131</t>
  </si>
  <si>
    <t xml:space="preserve">I have been a customer for years. The direct debit setup was delayed and I missed a bill because of it. Please escalate this.</t>
  </si>
  <si>
    <t xml:space="preserve">C0132</t>
  </si>
  <si>
    <t xml:space="preserve">I was passed between for departments and no one took ownership. I could not log in to check either. Please sort this out.</t>
  </si>
  <si>
    <t xml:space="preserve">C0133</t>
  </si>
  <si>
    <t xml:space="preserve">My card reader stopped working and I cannot approve payments. This is not acceptable.</t>
  </si>
  <si>
    <t xml:space="preserve">C0134</t>
  </si>
  <si>
    <t xml:space="preserve">Frankly, The pension transfer advice I received was poor and I have lost out. I want this put right.</t>
  </si>
  <si>
    <t xml:space="preserve">C0135</t>
  </si>
  <si>
    <t xml:space="preserve">Hello, I was tricked into moving savings to a safe account that was not safe.</t>
  </si>
  <si>
    <t xml:space="preserve">C0136</t>
  </si>
  <si>
    <t xml:space="preserve">I am writing to complain. I was hit with a penalty charge for a payment I made on time. This is not acceptable.</t>
  </si>
  <si>
    <t xml:space="preserve">C0137</t>
  </si>
  <si>
    <t xml:space="preserve">I think I was the victim f a scam and sent money to a fraudster. I expect compensation.</t>
  </si>
  <si>
    <t xml:space="preserve">C0138</t>
  </si>
  <si>
    <t xml:space="preserve">This is the second time I have raised this. The fraud team closed my case without investigating properly. I do not think it was explained properly when I bought it. Please sort this out.</t>
  </si>
  <si>
    <t xml:space="preserve">C0139</t>
  </si>
  <si>
    <t xml:space="preserve">I am writing to complain. The brochure said guaranteed returns and my money has lost value. Also, why has my interest rate gone up without notice, it is costing me more every month. I would like a response in writing.</t>
  </si>
  <si>
    <t xml:space="preserve">C0140</t>
  </si>
  <si>
    <t xml:space="preserve">To whom it may concern, I feel I was treated badly because of my age. Also, my mortgage switch is taking far longer than you said it would.</t>
  </si>
  <si>
    <t xml:space="preserve">C0141</t>
  </si>
  <si>
    <t xml:space="preserve">The salesperson pushed me into a plan I did not need. Also, the paperwork was submitted a month ago and I am still waiting. I expect compensation.</t>
  </si>
  <si>
    <t xml:space="preserve">C0142</t>
  </si>
  <si>
    <t xml:space="preserve">There is an unexpected charge on my statement of £60. This is not acceptable.</t>
  </si>
  <si>
    <t xml:space="preserve">C0143</t>
  </si>
  <si>
    <t xml:space="preserve">Your advisor gave me different answers on two separate calls.</t>
  </si>
  <si>
    <t xml:space="preserve">C0144</t>
  </si>
  <si>
    <t xml:space="preserve">I spent an hour on hold and then the call was cut off. This is not acceptable.</t>
  </si>
  <si>
    <t xml:space="preserve">C0145</t>
  </si>
  <si>
    <t xml:space="preserve">Hello, The app crashes every time I try to open my statements. It has also been taking far too long. I expect compensation.</t>
  </si>
  <si>
    <t xml:space="preserve">C0146</t>
  </si>
  <si>
    <t xml:space="preserve">To whom it ay concern, I was charged a monthly fee that nobody told me about. I would like a response in writing.</t>
  </si>
  <si>
    <t xml:space="preserve">C0147</t>
  </si>
  <si>
    <t xml:space="preserve">I have been a customer for years. It has taken six weeks to process my claim and nobody has updated me.</t>
  </si>
  <si>
    <t xml:space="preserve">C0148</t>
  </si>
  <si>
    <t xml:space="preserve">I have been a customer for years. Nobody checked whether I could afford the credit agreement.</t>
  </si>
  <si>
    <t xml:space="preserve">C0149</t>
  </si>
  <si>
    <t xml:space="preserve">My account was frozen and I cannot get in to move money. There was also a fee involved. I want this put right.</t>
  </si>
  <si>
    <t xml:space="preserve">C0150</t>
  </si>
  <si>
    <t xml:space="preserve">I was misled about what the insurance actually included.</t>
  </si>
  <si>
    <t xml:space="preserve">C0151</t>
  </si>
  <si>
    <t xml:space="preserve">I am writing to complain. I was hit with a penalty charge for a payment I made on time. I am worried it might be fraud. I want this put right.</t>
  </si>
  <si>
    <t xml:space="preserve">C0152</t>
  </si>
  <si>
    <t xml:space="preserve">Hello, I feel I was treated badly because of my age.</t>
  </si>
  <si>
    <t xml:space="preserve">C0153</t>
  </si>
  <si>
    <t xml:space="preserve">Hello, My card reader stopped working and I cannot approve payments. This is not acceptable.</t>
  </si>
  <si>
    <t xml:space="preserve">C0154</t>
  </si>
  <si>
    <t xml:space="preserve">To whom it may concern, My account was frozen and I cannot get in to move money. I am worried it might be fraud. I would like a response in writing.</t>
  </si>
  <si>
    <t xml:space="preserve">C0155</t>
  </si>
  <si>
    <t xml:space="preserve">The closure of my old account has dragged on for months. I also spent ages on hold when I called about it. I expect compensation.</t>
  </si>
  <si>
    <t xml:space="preserve">C0156</t>
  </si>
  <si>
    <t xml:space="preserve">My card was cloned and used abroad. Also, the closure of my old account has dragged on for months. I want this put right.</t>
  </si>
  <si>
    <t xml:space="preserve">C0157</t>
  </si>
  <si>
    <t xml:space="preserve">The app crashes every time I try to open my statements. There was also a fee involved. I want this put right.</t>
  </si>
  <si>
    <t xml:space="preserve">C0158</t>
  </si>
  <si>
    <t xml:space="preserve">This has caused me a lot of stress and I want answers. I want this put right.</t>
  </si>
  <si>
    <t xml:space="preserve">C0159</t>
  </si>
  <si>
    <t xml:space="preserve">I have been a customer for years. The webchat agent ended the conversation without solving anything. I do not think it was explained properly when I bought it. I would like a response in writing.</t>
  </si>
  <si>
    <t xml:space="preserve">C0160</t>
  </si>
  <si>
    <t xml:space="preserve">Please look into what happened on my account. Please escalate this.</t>
  </si>
  <si>
    <t xml:space="preserve">C0161</t>
  </si>
  <si>
    <t xml:space="preserve">C0162</t>
  </si>
  <si>
    <t xml:space="preserve">I keep getting an error message when I sign in. I also spent ages on hold when I called about it. I expect compensation.</t>
  </si>
  <si>
    <t xml:space="preserve">C0163</t>
  </si>
  <si>
    <t xml:space="preserve">You promised the money within three working days and it is still outstanding.</t>
  </si>
  <si>
    <t xml:space="preserve">C0164</t>
  </si>
  <si>
    <t xml:space="preserve">Please look into what happened on my account. I would like a response in writing.</t>
  </si>
  <si>
    <t xml:space="preserve">C0165</t>
  </si>
  <si>
    <t xml:space="preserve">I have been a customer for years. The webchat agent ended the conversation without solving anything. Also, i have been billed an annual fee I never agreed to. I expect compensation.</t>
  </si>
  <si>
    <t xml:space="preserve">C0166</t>
  </si>
  <si>
    <t xml:space="preserve">I am writing to complain. I was tricked into moving savings to a safe account that was not safe. It has also been taking far too long.</t>
  </si>
  <si>
    <t xml:space="preserve">C0167</t>
  </si>
  <si>
    <t xml:space="preserve">To whom it may concern, Someone has made payments from my account that I did not authorise. Also, the salesperson pushed me into a plan I did not need.</t>
  </si>
  <si>
    <t xml:space="preserve">C0168</t>
  </si>
  <si>
    <t xml:space="preserve">Hello, My card was cloned and used abroad. I want this put right.</t>
  </si>
  <si>
    <t xml:space="preserve">C0169</t>
  </si>
  <si>
    <t xml:space="preserve">This is the second time I have raised this. The paperwork was submitted a month ago and I am still waiting. I expect compensation.</t>
  </si>
  <si>
    <t xml:space="preserve">C0170</t>
  </si>
  <si>
    <t xml:space="preserve">Frankly, I was hit with a penalty charge for a payment I made on time. Also, the website will not let me register for online access. I want this put right.</t>
  </si>
  <si>
    <t xml:space="preserve">C0171</t>
  </si>
  <si>
    <t xml:space="preserve">Frankly, I cannot log in to the mobile app since the update. Also, a fake text message led me to a website and my money disappeared. Please escalate this.</t>
  </si>
  <si>
    <t xml:space="preserve">C0172</t>
  </si>
  <si>
    <t xml:space="preserve">I was told this policy covered me but my claim was rejected. I expect compensation.</t>
  </si>
  <si>
    <t xml:space="preserve">C0173</t>
  </si>
  <si>
    <t xml:space="preserve">To whom it may concern, My mortgage switch is taking far longer than you said it would. Also, i was misled about what the insurance actually included.</t>
  </si>
  <si>
    <t xml:space="preserve">C0174</t>
  </si>
  <si>
    <t xml:space="preserve">I am extremely disappointed and want this resolved. Please escalate this.</t>
  </si>
  <si>
    <t xml:space="preserve">C0175</t>
  </si>
  <si>
    <t xml:space="preserve">I am writing to complain. Nobody explained the foreign transaction charges before my holiday. Please sort this out.</t>
  </si>
  <si>
    <t xml:space="preserve">C0176</t>
  </si>
  <si>
    <t xml:space="preserve">Frankly, There are transactions on my card I do not recognise. I want this put right.</t>
  </si>
  <si>
    <t xml:space="preserve">C0177</t>
  </si>
  <si>
    <t xml:space="preserve">The app crashes every time I try to open my statements. It has also been taking far too long. Please escalate this.</t>
  </si>
  <si>
    <t xml:space="preserve">C0178</t>
  </si>
  <si>
    <t xml:space="preserve">I was told this policy covered me but y claim was rejected. Also, my account was frozen and I cannot get in to move money.</t>
  </si>
  <si>
    <t xml:space="preserve">C0179</t>
  </si>
  <si>
    <t xml:space="preserve">C0180</t>
  </si>
  <si>
    <t xml:space="preserve">My card reader stopped working and I cannot approve payments. Also, the adviser did not explain the risks of the investment. I expect compensation.</t>
  </si>
  <si>
    <t xml:space="preserve">C0181</t>
  </si>
  <si>
    <t xml:space="preserve">I keep getting an error message when I sign in.</t>
  </si>
  <si>
    <t xml:space="preserve">C0182</t>
  </si>
  <si>
    <t xml:space="preserve">I have been a customer for years. I have ben billed an annual fee I never agreed to. I want this put right.</t>
  </si>
  <si>
    <t xml:space="preserve">C0183</t>
  </si>
  <si>
    <t xml:space="preserve">Someone has made payment from my account that I did not authorise. Please sort this out.</t>
  </si>
  <si>
    <t xml:space="preserve">C0184</t>
  </si>
  <si>
    <t xml:space="preserve">I am writing to complain. I cannot log in to the mobile app since the update. There was also a fee involved.</t>
  </si>
  <si>
    <t xml:space="preserve">C0185</t>
  </si>
  <si>
    <t xml:space="preserve">The website will not let me register for online access. Also, the direct debit setup was delayed and I missed a bill because of it.</t>
  </si>
  <si>
    <t xml:space="preserve">C0186</t>
  </si>
  <si>
    <t xml:space="preserve">The costs keep creeping up and my balance is lower than it should be. Also, the staff member was rude and dismissive when I called.</t>
  </si>
  <si>
    <t xml:space="preserve">C0187</t>
  </si>
  <si>
    <t xml:space="preserve">To whom it may concern, The salesperson pushed me into a plan I did not need. Also, i was charged a monthly fee that nobody told me about. I expect compensation.</t>
  </si>
  <si>
    <t xml:space="preserve">C0188</t>
  </si>
  <si>
    <t xml:space="preserve">C0189</t>
  </si>
  <si>
    <t xml:space="preserve">C0190</t>
  </si>
  <si>
    <t xml:space="preserve">Frankly, My account was rozen and I cannot get in to move money. I am worried it might be fraud. This is not acceptable.</t>
  </si>
  <si>
    <t xml:space="preserve">C0191</t>
  </si>
  <si>
    <t xml:space="preserve">C0192</t>
  </si>
  <si>
    <t xml:space="preserve">C0193</t>
  </si>
  <si>
    <t xml:space="preserve">Frankly, I was advised to take out cover that duplicates what I already had. I would like a response in writing.</t>
  </si>
  <si>
    <t xml:space="preserve">C0194</t>
  </si>
  <si>
    <t xml:space="preserve">C0195</t>
  </si>
  <si>
    <t xml:space="preserve">I am writing to complain. The staff member was rude and dismissive when I called. Also, the brochure said guaranteed returns and my money has lost value.</t>
  </si>
  <si>
    <t xml:space="preserve">C0196</t>
  </si>
  <si>
    <t xml:space="preserve">This is the second time I have raised this. The staff member was rude and dismissive when I called. Also, my card reader stopped working and I cannot approve payments.</t>
  </si>
  <si>
    <t xml:space="preserve">C0197</t>
  </si>
  <si>
    <t xml:space="preserve">I am writing to complain. My mortgage switch is taking far longer than you said it would. Please escalate this.</t>
  </si>
  <si>
    <t xml:space="preserve">C0198</t>
  </si>
  <si>
    <t xml:space="preserve">To whom it may concern, The branch manager would not listen to my concerns. Also, a fake text message led me to a website and my money disappeared. I expect compensation.</t>
  </si>
  <si>
    <t xml:space="preserve">C0199</t>
  </si>
  <si>
    <t xml:space="preserve">To whom it may concern, Someone has made payments from my account that I did not authorise. Also, the complaints handler was unhelpful and talked over me.</t>
  </si>
  <si>
    <t xml:space="preserve">C0200</t>
  </si>
  <si>
    <t xml:space="preserve">I am writing to complain. The complaints handler was unhelpful and talked over me. It has also been taking far too long. Please escalate this.</t>
  </si>
  <si>
    <t xml:space="preserve">C0201</t>
  </si>
  <si>
    <t xml:space="preserve">I was misled about what the insurance actually included. I exect compensation.</t>
  </si>
  <si>
    <t xml:space="preserve">C0202</t>
  </si>
  <si>
    <t xml:space="preserve">A person pretending to be from your bank phoned me and I gave them details. Also, i asked for a callback and it never happened.</t>
  </si>
  <si>
    <t xml:space="preserve">C0203</t>
  </si>
  <si>
    <t xml:space="preserve">To whom it may concern, The website will not let me register for online access. I would like a response in writing.</t>
  </si>
  <si>
    <t xml:space="preserve">C0204</t>
  </si>
  <si>
    <t xml:space="preserve">This has caused me a lot of stress and I want answers.</t>
  </si>
  <si>
    <t xml:space="preserve">C0205</t>
  </si>
  <si>
    <t xml:space="preserve">This is the second time I have raised this. The password reset keeps failing and I am locked out. I do not think it was explained properly when I bought it. I expect compensation.</t>
  </si>
  <si>
    <t xml:space="preserve">C0206</t>
  </si>
  <si>
    <t xml:space="preserve">This is the second time I have raised this. Nobody checked whether I could afford the credit agreement. Also, a fake text message led me to a website and my money disappeared. Tis is not acceptable.</t>
  </si>
  <si>
    <t xml:space="preserve">C0207</t>
  </si>
  <si>
    <t xml:space="preserve">Hello, Your advisor gave me different answers on two separate calls. I could not log in to check either.</t>
  </si>
  <si>
    <t xml:space="preserve">C0208</t>
  </si>
  <si>
    <t xml:space="preserve">To whom it may concern, Two factor codes are not being sent to my phone. There was also a fee involved. I would like a response in writing.</t>
  </si>
  <si>
    <t xml:space="preserve">C0209</t>
  </si>
  <si>
    <t xml:space="preserve">This is the second time I have raised this. Someone has made payments from my account that I did not authorise.</t>
  </si>
  <si>
    <t xml:space="preserve">C0210</t>
  </si>
  <si>
    <t xml:space="preserve">My application has been stuck for weeks with no progress. I am worried it might be fraud.</t>
  </si>
  <si>
    <t xml:space="preserve">C0211</t>
  </si>
  <si>
    <t xml:space="preserve">I think I was the victim of a scam and sent money to a fraudster. I do not think it was explained properly when I bought it. This is not acceptable.</t>
  </si>
  <si>
    <t xml:space="preserve">C0212</t>
  </si>
  <si>
    <t xml:space="preserve">Please look into what happened on my account.</t>
  </si>
  <si>
    <t xml:space="preserve">C0213</t>
  </si>
  <si>
    <t xml:space="preserve">Hello, Why has my interest rate gone up without notice, it is costing me more every month. I could not log in to check either. I would like a response in writing.</t>
  </si>
  <si>
    <t xml:space="preserve">C0214</t>
  </si>
  <si>
    <t xml:space="preserve">The complaints handler was unhelpful and talked over me. Also, someone has made payments from my account that I did not authorise.</t>
  </si>
  <si>
    <t xml:space="preserve">C0215</t>
  </si>
  <si>
    <t xml:space="preserve">To whom it may concern, The app crashes every time I try to open my statements.</t>
  </si>
  <si>
    <t xml:space="preserve">C0216</t>
  </si>
  <si>
    <t xml:space="preserve">The adviser did not explain the risks of the investment. Please escalate this.</t>
  </si>
  <si>
    <t xml:space="preserve">C0217</t>
  </si>
  <si>
    <t xml:space="preserve">Frankly, My card reader stopped working and I cannot approve payments. I want this put right.</t>
  </si>
  <si>
    <t xml:space="preserve">C0218</t>
  </si>
  <si>
    <t xml:space="preserve">Hello, I asked for a callback and it never happened. I want this put right.</t>
  </si>
  <si>
    <t xml:space="preserve">C0219</t>
  </si>
  <si>
    <t xml:space="preserve">I am writing to complain. My online banking is locked and the reset link never arrives. I also spent ages on hold when I called about it. I want this put right.</t>
  </si>
  <si>
    <t xml:space="preserve">C0220</t>
  </si>
  <si>
    <t xml:space="preserve">I have been a customer for years. My account was frozen and I cannot get in to move money. I expect compensation.</t>
  </si>
  <si>
    <t xml:space="preserve">C0221</t>
  </si>
  <si>
    <t xml:space="preserve">Frankly, The pension transfer advice I received was poor and I have lost out. Also, i cannot log in to the mobile app since the update. This is not acceptable.</t>
  </si>
  <si>
    <t xml:space="preserve">C0222</t>
  </si>
  <si>
    <t xml:space="preserve">I was hit with a penalty charge for a payment I made on time. It has also been taking far too long. Please escalate this.</t>
  </si>
  <si>
    <t xml:space="preserve">C0223</t>
  </si>
  <si>
    <t xml:space="preserve">I am writing to complain. The pension transfer advice I received was poor and I have lost out. Also, i was hit with a penalty charge for a payment I made on time. Please sort this out.</t>
  </si>
  <si>
    <t xml:space="preserve">C0224</t>
  </si>
  <si>
    <t xml:space="preserve">To whom it may concern, My application has been stuck for weeks with no progress. I am worried it might be fraud. I expect compensation.</t>
  </si>
  <si>
    <t xml:space="preserve">C0225</t>
  </si>
  <si>
    <t xml:space="preserve">Frankly, It has taken six weeks to process my claim and nobody has updated me.</t>
  </si>
  <si>
    <t xml:space="preserve">C0226</t>
  </si>
  <si>
    <t xml:space="preserve">To whom it may concern, A late payment fee appeared and I want it refunded. It has also been taking far too long. This is not acceptable.</t>
  </si>
  <si>
    <t xml:space="preserve">C0227</t>
  </si>
  <si>
    <t xml:space="preserve">This is the second time I have raised this. My mortgage switch is taking far longer than you said it would. I also spent ages on hold when I called about it. This is not acceptable.</t>
  </si>
  <si>
    <t xml:space="preserve">C0228</t>
  </si>
  <si>
    <t xml:space="preserve">Frankly, The pension transfer advice I received was poor and I have lost out. There was also a fee involved. I want this put right.</t>
  </si>
  <si>
    <t xml:space="preserve">C0229</t>
  </si>
  <si>
    <t xml:space="preserve">You promised the money within three working days and it is still outstanding. Please sort this out.</t>
  </si>
  <si>
    <t xml:space="preserve">C0230</t>
  </si>
  <si>
    <t xml:space="preserve">The staff member was rude and dismissive when I called. This is not acceptable.</t>
  </si>
  <si>
    <t xml:space="preserve">C0231</t>
  </si>
  <si>
    <t xml:space="preserve">The website will not let me register for online access. Also, i feel I was treated badly because of my age. Please sort this out.</t>
  </si>
  <si>
    <t xml:space="preserve">C0232</t>
  </si>
  <si>
    <t xml:space="preserve">Frankly, The paperwork was submitted a month ago and I am still waiting.</t>
  </si>
  <si>
    <t xml:space="preserve">C0233</t>
  </si>
  <si>
    <t xml:space="preserve">The account maintenance fee was taken twice this month. I expect compensation.</t>
  </si>
  <si>
    <t xml:space="preserve">C0234</t>
  </si>
  <si>
    <t xml:space="preserve">I reported the unauthorised payment but you refused to reimburse me. I could not log in to check either.</t>
  </si>
  <si>
    <t xml:space="preserve">C0235</t>
  </si>
  <si>
    <t xml:space="preserve">My card reader stopped working and I cannot approve payments.</t>
  </si>
  <si>
    <t xml:space="preserve">C0236</t>
  </si>
  <si>
    <t xml:space="preserve">This is the second time I have raised this. A late payment fee appeared and I want it refunded. I could not log in to check either. Please sort this out.</t>
  </si>
  <si>
    <t xml:space="preserve">C0237</t>
  </si>
  <si>
    <t xml:space="preserve">I have had enough of the way this has gone. I would like a response in writing.</t>
  </si>
  <si>
    <t xml:space="preserve">C0238</t>
  </si>
  <si>
    <t xml:space="preserve">I sent the form twice and it seems to have been lost in the system. I want this put right.</t>
  </si>
  <si>
    <t xml:space="preserve">C0239</t>
  </si>
  <si>
    <t xml:space="preserve">This is the second time I have raised this. I sent the form twice and it seems to have been lost in the system. Also, i was tricked into moving savings to a safe account that was not safe.</t>
  </si>
  <si>
    <t xml:space="preserve">C0240</t>
  </si>
  <si>
    <t xml:space="preserve">The fraud team closed my case without investigating properly. There was also a fee involved.</t>
  </si>
  <si>
    <t xml:space="preserve">C0241</t>
  </si>
  <si>
    <t xml:space="preserve">Frankly, My application has been stuck for weeks with no progress. There was also a fee involved. I want this put right.</t>
  </si>
  <si>
    <t xml:space="preserve">C0242</t>
  </si>
  <si>
    <t xml:space="preserve">I have been a customer for years. The paperwork was submitted a month ago and I am still waiting. I would like a response in writing.</t>
  </si>
  <si>
    <t xml:space="preserve">C0243</t>
  </si>
  <si>
    <t xml:space="preserve">Hello, The salesperson pushed me into a plan I did not need.</t>
  </si>
  <si>
    <t xml:space="preserve">C0244</t>
  </si>
  <si>
    <t xml:space="preserve">To whom it may concern, A late payment fee appeared and I want it refunded. I would like a response in writing.</t>
  </si>
  <si>
    <t xml:space="preserve">C0245</t>
  </si>
  <si>
    <t xml:space="preserve">I have been a customer for years. The app crashes every time I try to open my statements. I expect compensation.</t>
  </si>
  <si>
    <t xml:space="preserve">C0246</t>
  </si>
  <si>
    <t xml:space="preserve">Hello, I feel I was treated badly because of my age. Please sort this out.</t>
  </si>
  <si>
    <t xml:space="preserve">C0247</t>
  </si>
  <si>
    <t xml:space="preserve">My mortgage switch is taking far longer than you said it would.</t>
  </si>
  <si>
    <t xml:space="preserve">C0248</t>
  </si>
  <si>
    <t xml:space="preserve">This is the second time I have raised this. The branch manager would not listen to my concerns. Also, nobody explained the foreign transaction charges before my holiday.</t>
  </si>
  <si>
    <t xml:space="preserve">C0249</t>
  </si>
  <si>
    <t xml:space="preserve">This is the second time I have raised this. My card was cloned and used abroad. I could not log in to check ither. Please sort this out.</t>
  </si>
  <si>
    <t xml:space="preserve">C0250</t>
  </si>
  <si>
    <t xml:space="preserve">I have been a customer for years. The account maintenance fee was taken twice this month. Please sort this out.</t>
  </si>
  <si>
    <t xml:space="preserve">C0251</t>
  </si>
  <si>
    <t xml:space="preserve">Frankly, A fake text message led me to a website and my money disappeared.</t>
  </si>
  <si>
    <t xml:space="preserve">C0252</t>
  </si>
  <si>
    <t xml:space="preserve">The payment still has not arrived in my account. I expect compensation.</t>
  </si>
  <si>
    <t xml:space="preserve">C0253</t>
  </si>
  <si>
    <t xml:space="preserve">To whom it may concern, The branch manager would not listen to my concerns. I would like a response in writing.</t>
  </si>
  <si>
    <t xml:space="preserve">C0254</t>
  </si>
  <si>
    <t xml:space="preserve">To whom it may concern, A late payment fee appeared and I want it refunded. I expect compensation.</t>
  </si>
  <si>
    <t xml:space="preserve">C0255</t>
  </si>
  <si>
    <t xml:space="preserve">The terms were very different from what I was promised at the time of sale. Also, the webchat agent ended the conversation without solving anything. Please escalate this.</t>
  </si>
  <si>
    <t xml:space="preserve">C0256</t>
  </si>
  <si>
    <t xml:space="preserve">My transfer has been pending for over a week. I could not log in to check either.</t>
  </si>
  <si>
    <t xml:space="preserve">C0257</t>
  </si>
  <si>
    <t xml:space="preserve">I am writing to complain. My identity was stolen and a loan was taken out in my name. I also spent ages on hold when I called about it. This is not acceptable.</t>
  </si>
  <si>
    <t xml:space="preserve">C0258</t>
  </si>
  <si>
    <t xml:space="preserve">It has taken six weeks to process my claim and nobody has updated me. I would like a response in writing.</t>
  </si>
  <si>
    <t xml:space="preserve">C0259</t>
  </si>
  <si>
    <t xml:space="preserve">Frankly, There are transactions on my card I do not recognise.</t>
  </si>
  <si>
    <t xml:space="preserve">C0260</t>
  </si>
  <si>
    <t xml:space="preserve">I am writing to complain. The staff member was rude and dismissive when I called. Also, my card reader stopped working and I cannot approve payments.</t>
  </si>
  <si>
    <t xml:space="preserve">C0261</t>
  </si>
  <si>
    <t xml:space="preserve">I am writing to complain. A fake text message led me to a website and my money disappeared.</t>
  </si>
  <si>
    <t xml:space="preserve">C0262</t>
  </si>
  <si>
    <t xml:space="preserve">I have been a customer for years. I asked for a callback and it never happened. It has also been taking far too long. I want this put right.</t>
  </si>
  <si>
    <t xml:space="preserve">C0263</t>
  </si>
  <si>
    <t xml:space="preserve">Hello, My account was frozen and I cannot get in to move money. Please escalate this.</t>
  </si>
  <si>
    <t xml:space="preserve">C0264</t>
  </si>
  <si>
    <t xml:space="preserve">This is the second time I hve raised this. The password reset keeps failing and I am locked out.</t>
  </si>
  <si>
    <t xml:space="preserve">C0265</t>
  </si>
  <si>
    <t xml:space="preserve">This is the second time I have raised this. You promised the money within three workin days and it is still outstanding.</t>
  </si>
  <si>
    <t xml:space="preserve">C0266</t>
  </si>
  <si>
    <t xml:space="preserve">This is the second time I have raised this. I was tricked into moving savings to a safe account that was not safe. Also, i spent an hour on hold and then the call was cut off. Please escalate this.</t>
  </si>
  <si>
    <t xml:space="preserve">C0267</t>
  </si>
  <si>
    <t xml:space="preserve">I am writing to complain. I think I was the victim of a scam and sent money to a fraudster. I want this put right.</t>
  </si>
  <si>
    <t xml:space="preserve">C0268</t>
  </si>
  <si>
    <t xml:space="preserve">This is the second time I have raised this. I spent an hour on hold and then the call was cut off. This is not acceptable.</t>
  </si>
  <si>
    <t xml:space="preserve">C0269</t>
  </si>
  <si>
    <t xml:space="preserve">I have been a customer for years. I was tricked into moving savings to a safe account that was not safe. This is not acceptable.</t>
  </si>
  <si>
    <t xml:space="preserve">C0270</t>
  </si>
  <si>
    <t xml:space="preserve">Frankly, Two factor codes are not being sent to my phone.</t>
  </si>
  <si>
    <t xml:space="preserve">C0271</t>
  </si>
  <si>
    <t xml:space="preserve">To whom it may concern, My identity was stolen and a loan was taken out in my name. Also, my transfer has been pending for over a week. I want this put right.</t>
  </si>
  <si>
    <t xml:space="preserve">C0272</t>
  </si>
  <si>
    <t xml:space="preserve">I have been a customer for years. There are transactions on my card I do not recognise. Also, the app crashes every time I try to open my statements.</t>
  </si>
  <si>
    <t xml:space="preserve">C0273</t>
  </si>
  <si>
    <t xml:space="preserve">I am writing to complain. I feel I was treated badly because of my age. Please sort this out.</t>
  </si>
  <si>
    <t xml:space="preserve">C0274</t>
  </si>
  <si>
    <t xml:space="preserve">I am unable to access my account to see my balance. I do not think it was explained properly when I bought it.</t>
  </si>
  <si>
    <t xml:space="preserve">C0275</t>
  </si>
  <si>
    <t xml:space="preserve">I have had enough of the way this has gone.</t>
  </si>
  <si>
    <t xml:space="preserve">C0276</t>
  </si>
  <si>
    <t xml:space="preserve">I am unable to access my account to see my balance.</t>
  </si>
  <si>
    <t xml:space="preserve">C0277</t>
  </si>
  <si>
    <t xml:space="preserve">I am extremely disappointed and want this resolved. I want this put right.</t>
  </si>
  <si>
    <t xml:space="preserve">C0278</t>
  </si>
  <si>
    <t xml:space="preserve">Frankly, I reported the unauthorised payment but you refused to reimburse me.</t>
  </si>
  <si>
    <t xml:space="preserve">C0279</t>
  </si>
  <si>
    <t xml:space="preserve">This is the second time I have raised this. I think I was the victim of a scam and sent money to a fraudster.</t>
  </si>
  <si>
    <t xml:space="preserve">C0280</t>
  </si>
  <si>
    <t xml:space="preserve">I was told this policy covered me but my claim was rejected. This is not acceptable.</t>
  </si>
  <si>
    <t xml:space="preserve">C0281</t>
  </si>
  <si>
    <t xml:space="preserve">Frankly, The brochure said guaranteed returns and my money has lost value. Also, the app crashes every time I try to open my statements. Please sort this out.</t>
  </si>
  <si>
    <t xml:space="preserve">C0282</t>
  </si>
  <si>
    <t xml:space="preserve">I am writing to complain. I am unable to access my account to see my balance.</t>
  </si>
  <si>
    <t xml:space="preserve">C0283</t>
  </si>
  <si>
    <t xml:space="preserve">I am writing to complain. You promised the money within three working days and it is still outstanding. Also, the terms were very different from what I was promised at the time of sale. I would like a response in writing.</t>
  </si>
  <si>
    <t xml:space="preserve">C0284</t>
  </si>
  <si>
    <t xml:space="preserve">Hello, There is an unexpected charge on my statement of £48.</t>
  </si>
  <si>
    <t xml:space="preserve">C0285</t>
  </si>
  <si>
    <t xml:space="preserve">I was tricked into moving savings to a safe account that was not safe. Please sort this out.</t>
  </si>
  <si>
    <t xml:space="preserve">C0286</t>
  </si>
  <si>
    <t xml:space="preserve">This is the second time I have raised this. The adviser did not explain the risks of the investment. Please sort this out.</t>
  </si>
  <si>
    <t xml:space="preserve">C0287</t>
  </si>
  <si>
    <t xml:space="preserve">I have been a customer for years. My online banking is locked and the reset link never arrives. Also, the costs keep creeping up and my balance is lower than it should be. This is not acceptable.</t>
  </si>
  <si>
    <t xml:space="preserve">C0288</t>
  </si>
  <si>
    <t xml:space="preserve">To whom it may concern, Nobody has responded to my emails despite three reminders. Also, my card was cloned and used abroad. I would like a response in writing.</t>
  </si>
  <si>
    <t xml:space="preserve">C0289</t>
  </si>
  <si>
    <t xml:space="preserve">This is the secnd time I have raised this. It has taken six weeks to process my claim and nobody has updated me. I expect compensation.</t>
  </si>
  <si>
    <t xml:space="preserve">C0290</t>
  </si>
  <si>
    <t xml:space="preserve">The direct debit setup was delayed and I missed a bill because of it. This is not acceptable.</t>
  </si>
  <si>
    <t xml:space="preserve">C0291</t>
  </si>
  <si>
    <t xml:space="preserve">I am writing to complain. I was advised to take out cover that duplicates what I already had. I would like a response in writing.</t>
  </si>
  <si>
    <t xml:space="preserve">C0292</t>
  </si>
  <si>
    <t xml:space="preserve">This is the second time I have raised this. Your advisor gave me different answers on two separate calls. I could not log in to check either. Please sort this out.</t>
  </si>
  <si>
    <t xml:space="preserve">C0293</t>
  </si>
  <si>
    <t xml:space="preserve">This is the second time I have raised this. I have been billed an annual fee I never agreed to. Please sort this out.</t>
  </si>
  <si>
    <t xml:space="preserve">C0294</t>
  </si>
  <si>
    <t xml:space="preserve">Frankly, I was told this policy covered me but my claim was rejected. It has also been taking far too long. I would like a response in writing.</t>
  </si>
  <si>
    <t xml:space="preserve">C0295</t>
  </si>
  <si>
    <t xml:space="preserve">Hello, I cannot log in to the mobile app since the update. I am worried it might be fraud. I expect compensation.</t>
  </si>
  <si>
    <t xml:space="preserve">C0296</t>
  </si>
  <si>
    <t xml:space="preserve">I am writing to complain. A person pretending to be from your bank phoned me and I gave them details. This is not acceptable.</t>
  </si>
  <si>
    <t xml:space="preserve">C0297</t>
  </si>
  <si>
    <t xml:space="preserve">Frankly, My identity was stolen and a loan was taken out in my name. I do not think it was explained properly when I bought it.</t>
  </si>
  <si>
    <t xml:space="preserve">C0298</t>
  </si>
  <si>
    <t xml:space="preserve">To whom it may concern, The complaints handler was unhelpful and talked over me. Please sort this out.</t>
  </si>
  <si>
    <t xml:space="preserve">C0299</t>
  </si>
  <si>
    <t xml:space="preserve">To whom it may concern, I was passed between four departments and no one took ownership. Please sort this out.</t>
  </si>
  <si>
    <t xml:space="preserve">C0300</t>
  </si>
  <si>
    <t xml:space="preserve">This is the second time I have raised this. A fake text message led me to a website and my money disappeared. I want this put right.</t>
  </si>
  <si>
    <t xml:space="preserve">C0301</t>
  </si>
  <si>
    <t xml:space="preserve">The paperwork was submitted a month ago and I am still waiting. I want this put right.</t>
  </si>
  <si>
    <t xml:space="preserve">C0302</t>
  </si>
  <si>
    <t xml:space="preserve">Your advisor gave me different answers on two separate calls. Please escalate this.</t>
  </si>
  <si>
    <t xml:space="preserve">C0303</t>
  </si>
  <si>
    <t xml:space="preserve">This is the second time I have raised this. The paperwork was submitted a month ago and I am still waiting. Also, nobody checked whether I could afford the credit agreement. Please escalate this.</t>
  </si>
  <si>
    <t xml:space="preserve">C0304</t>
  </si>
  <si>
    <t xml:space="preserve">Frankly, The pension transfer advice I received was poor and I have lost out. I would like a response in writing.</t>
  </si>
  <si>
    <t xml:space="preserve">C0305</t>
  </si>
  <si>
    <t xml:space="preserve">I am writing to complain. The complaints hanler was unhelpful and talked over me. Also, the fraud team closed my case without investigating properly.</t>
  </si>
  <si>
    <t xml:space="preserve">C0306</t>
  </si>
  <si>
    <t xml:space="preserve">I was charged a monthly fee that nobody told me about. I would like a response in writing.</t>
  </si>
  <si>
    <t xml:space="preserve">C0307</t>
  </si>
  <si>
    <t xml:space="preserve">Please look into what happened on my account. I expect comensation.</t>
  </si>
  <si>
    <t xml:space="preserve">C0308</t>
  </si>
  <si>
    <t xml:space="preserve">Frankly, The ayment still has not arrived in my account. I could not log in to check either. I expect compensation.</t>
  </si>
  <si>
    <t xml:space="preserve">C0309</t>
  </si>
  <si>
    <t xml:space="preserve">This is the second time I have raised this. My card reader stopped working and I cannot approve payments.</t>
  </si>
  <si>
    <t xml:space="preserve">C0310</t>
  </si>
  <si>
    <t xml:space="preserve">The pension transfer advice I received was poor and I have lost out. I want this put right.</t>
  </si>
  <si>
    <t xml:space="preserve">C0311</t>
  </si>
  <si>
    <t xml:space="preserve">I am writing to complain. You took an overdraft fee even though I was within my limit. I do not think it was explained properly when I bought it. This is not acceptable.</t>
  </si>
  <si>
    <t xml:space="preserve">C0312</t>
  </si>
  <si>
    <t xml:space="preserve">The webchat agent ended the conversation without solving anything. Please sort this out.</t>
  </si>
  <si>
    <t xml:space="preserve">C0313</t>
  </si>
  <si>
    <t xml:space="preserve">This is the second time I have raised this. Nobody explained the foreign transaction charges before my holiday. I would like a response in writing.</t>
  </si>
  <si>
    <t xml:space="preserve">C0314</t>
  </si>
  <si>
    <t xml:space="preserve">To whom it may concern, You took an overdraft fee even though I was within my limit. I expect compensation.</t>
  </si>
  <si>
    <t xml:space="preserve">C0315</t>
  </si>
  <si>
    <t xml:space="preserve">This is the second time I have raised this. The fraud team closed my case without investigating properly. This is not acceptable.</t>
  </si>
  <si>
    <t xml:space="preserve">C0316</t>
  </si>
  <si>
    <t xml:space="preserve">I am writing to complain. I was advised to take out cover that duplicates what I already had.</t>
  </si>
  <si>
    <t xml:space="preserve">C0317</t>
  </si>
  <si>
    <t xml:space="preserve">The complaints handler was unhelpful and talked over me. I expect compensation.</t>
  </si>
  <si>
    <t xml:space="preserve">C0318</t>
  </si>
  <si>
    <t xml:space="preserve">My application has been stuck for weeks with no progress. I also spent ages on hold when I called about it. Please sort this out.</t>
  </si>
  <si>
    <t xml:space="preserve">C0319</t>
  </si>
  <si>
    <t xml:space="preserve">Frankly, I was sold a product that was not suitable for my circumstances. It has also been taking far too long. I want this put right.</t>
  </si>
  <si>
    <t xml:space="preserve">C0320</t>
  </si>
  <si>
    <t xml:space="preserve">I think I was the victim of a scam and sent money to a fraudster. This is not acceptable.</t>
  </si>
  <si>
    <t xml:space="preserve">C0321</t>
  </si>
  <si>
    <t xml:space="preserve">To whom it may concern, The pension transfer advice I received was poor and I have lost out. I could not log in to check either. Please escalate this.</t>
  </si>
  <si>
    <t xml:space="preserve">C0322</t>
  </si>
  <si>
    <t xml:space="preserve">This is the second time I have raised this. I feel I was treated badly because of my age. I would like a response in writing.</t>
  </si>
  <si>
    <t xml:space="preserve">C0323</t>
  </si>
  <si>
    <t xml:space="preserve">I was advised to take out cover that duplicates what I already had. Also, my account was frozen and I cannot get in to move money. I would like a response in writing.</t>
  </si>
  <si>
    <t xml:space="preserve">C0324</t>
  </si>
  <si>
    <t xml:space="preserve">Frankly, The fraud team closed my case without investigating properly. I expect compensation.</t>
  </si>
  <si>
    <t xml:space="preserve">C0325</t>
  </si>
  <si>
    <t xml:space="preserve">I have been a customer for years. I was advised to take out cover that duplicates what I already had. Please escalate this.</t>
  </si>
  <si>
    <t xml:space="preserve">C0326</t>
  </si>
  <si>
    <t xml:space="preserve">Frankly, My identity was stolen and a loan was taken out in my name. There was also a fee involved.</t>
  </si>
  <si>
    <t xml:space="preserve">C0327</t>
  </si>
  <si>
    <t xml:space="preserve">I am writing to complain. The direct debit setup was delayed and I missed a bill because of it. Also, i was hit with a penalty charge for a payment I made on time. I expect compensation.</t>
  </si>
  <si>
    <t xml:space="preserve">C0328</t>
  </si>
  <si>
    <t xml:space="preserve">This is the second time I have raised this. I was passed between four departments and no one took ownership. Also, the adviser did not explain the risks of the investment. Please sort this out.</t>
  </si>
  <si>
    <t xml:space="preserve">C0329</t>
  </si>
  <si>
    <t xml:space="preserve">The fraud team closed my case without investigating properly. It has also been taking far too long.</t>
  </si>
  <si>
    <t xml:space="preserve">C0330</t>
  </si>
  <si>
    <t xml:space="preserve">Hello, I have been billed an annual fee I never agreed to.</t>
  </si>
  <si>
    <t xml:space="preserve">C0331</t>
  </si>
  <si>
    <t xml:space="preserve">Frankly, The complaints handler was unhelpful and talked over me. Please escalate this.</t>
  </si>
  <si>
    <t xml:space="preserve">C0332</t>
  </si>
  <si>
    <t xml:space="preserve">To whom it may concern, The pension transfer advice I received was poor and I have lost out.</t>
  </si>
  <si>
    <t xml:space="preserve">C0333</t>
  </si>
  <si>
    <t xml:space="preserve">I was sold a product that was not suitable for my circumstances. Please escalate this.</t>
  </si>
  <si>
    <t xml:space="preserve">C0334</t>
  </si>
  <si>
    <t xml:space="preserve">Nothing has been done and I am losing patience.</t>
  </si>
  <si>
    <t xml:space="preserve">C0335</t>
  </si>
  <si>
    <t xml:space="preserve">I feel I was treated badly because of my age. I expect compensation.</t>
  </si>
  <si>
    <t xml:space="preserve">C0336</t>
  </si>
  <si>
    <t xml:space="preserve">I am writing to complain. Nobody has responded to my emails despite three reminders. I want this put right.</t>
  </si>
  <si>
    <t xml:space="preserve">C0337</t>
  </si>
  <si>
    <t xml:space="preserve">Hello, I was passed between four departments and no one took ownership.</t>
  </si>
  <si>
    <t xml:space="preserve">C0338</t>
  </si>
  <si>
    <t xml:space="preserve">I am writing to complain. My identity was stolen and a loan was taken out in my name. Also, the costs keep creeping up and my balance is lower than it should be. This is not acceptable.</t>
  </si>
  <si>
    <t xml:space="preserve">C0339</t>
  </si>
  <si>
    <t xml:space="preserve">My identity was stolen and a loan was taken out in my name. This is not acceptable.</t>
  </si>
  <si>
    <t xml:space="preserve">C0340</t>
  </si>
  <si>
    <t xml:space="preserve">Frankly, My mortgage switch is taking far longer than you said it would. Please sort this out.</t>
  </si>
  <si>
    <t xml:space="preserve">C0341</t>
  </si>
  <si>
    <t xml:space="preserve">I have been a customer for years. My card reader stopped working and I cannot approve payments. I would like a response in writing.</t>
  </si>
  <si>
    <t xml:space="preserve">C0342</t>
  </si>
  <si>
    <t xml:space="preserve">I was advised to take out cover that duplicates what I already had.</t>
  </si>
  <si>
    <t xml:space="preserve">C0343</t>
  </si>
  <si>
    <t xml:space="preserve">Hello, The complaints handler was unhelpful and talked over me. It has also been taking far too long.</t>
  </si>
  <si>
    <t xml:space="preserve">C0344</t>
  </si>
  <si>
    <t xml:space="preserve">The terms were very different from what I was promised at the time of sale. There was also a fee involved. This is not acceptable.</t>
  </si>
  <si>
    <t xml:space="preserve">C0345</t>
  </si>
  <si>
    <t xml:space="preserve">To whom it may concern, There is an unexpected charge on my statement of £15. Also, my identity was stolen and a loan was taken out in my name. I would like a response in writing.</t>
  </si>
  <si>
    <t xml:space="preserve">C0346</t>
  </si>
  <si>
    <t xml:space="preserve">My card reader stopped working and I cannot approve payments. It has also been taking far too long.</t>
  </si>
  <si>
    <t xml:space="preserve">C0347</t>
  </si>
  <si>
    <t xml:space="preserve">I have been a customer for years. Your advisor gave me different answers on two separate calls. Also, the salesperson pushed me into a plan I did not need. I want this put right.</t>
  </si>
  <si>
    <t xml:space="preserve">C0348</t>
  </si>
  <si>
    <t xml:space="preserve">Hello, The adviser did not explain the risks of the investment. I expect compensation.</t>
  </si>
  <si>
    <t xml:space="preserve">C0349</t>
  </si>
  <si>
    <t xml:space="preserve">This is the second time I have raised this. The account maintenance fee was taken twice this month. Please sort this out.</t>
  </si>
  <si>
    <t xml:space="preserve">C0350</t>
  </si>
  <si>
    <t xml:space="preserve">Hello, The fraud team closed my case without investigating properly. Also, my account was frozen and I cannot get in to move money. I want this put right.</t>
  </si>
  <si>
    <t xml:space="preserve">C0351</t>
  </si>
  <si>
    <t xml:space="preserve">To whom it may concern, I have been billed an annual fee I never agreed to. Please sort this out.</t>
  </si>
  <si>
    <t xml:space="preserve">C0352</t>
  </si>
  <si>
    <t xml:space="preserve">The payment still has not arrived in my account. Also, why has my interest rate gone up without notice, it is costing me more every month.</t>
  </si>
  <si>
    <t xml:space="preserve">C0353</t>
  </si>
  <si>
    <t xml:space="preserve">Please look into what happened on my account. I want this put right.</t>
  </si>
  <si>
    <t xml:space="preserve">C0354</t>
  </si>
  <si>
    <t xml:space="preserve">The website will not let me register for online access. I want this put right.</t>
  </si>
  <si>
    <t xml:space="preserve">C0355</t>
  </si>
  <si>
    <t xml:space="preserve">Hello, Nobody explained the foreign transaction charges before my holiday. Also, nobody has responded to my emails despite three reminders. I expect compensation.</t>
  </si>
  <si>
    <t xml:space="preserve">C0356</t>
  </si>
  <si>
    <t xml:space="preserve">This is the second time I have raised this. Nobody has responded to my emails despite three reminders. Also, i was hit with a penalty charge for a payment I made on time. Please escalate this.</t>
  </si>
  <si>
    <t xml:space="preserve">C0357</t>
  </si>
  <si>
    <t xml:space="preserve">C0358</t>
  </si>
  <si>
    <t xml:space="preserve">I have been a customer for years. My online banking is locked and the reset link never arrives. I expect compensation.</t>
  </si>
  <si>
    <t xml:space="preserve">C0359</t>
  </si>
  <si>
    <t xml:space="preserve">The costs keep creeping up and my balance is lower than it should be. I would like a response in writing.</t>
  </si>
  <si>
    <t xml:space="preserve">C0360</t>
  </si>
  <si>
    <t xml:space="preserve">This is the second time I have raised this. I was told this policy covered me but my claim was rejected. Also, the website will not let me register for online access.</t>
  </si>
  <si>
    <t xml:space="preserve">C0361</t>
  </si>
  <si>
    <t xml:space="preserve">I am writing to complain. My card reader stopped working and I cannot approve payments. Please escalate this.</t>
  </si>
  <si>
    <t xml:space="preserve">C0362</t>
  </si>
  <si>
    <t xml:space="preserve">This is the second time I have raised this. I reported the unauthorised payment but you refused to reimburse me. I expect compensation.</t>
  </si>
  <si>
    <t xml:space="preserve">C0363</t>
  </si>
  <si>
    <t xml:space="preserve">The direct debit setup was delayed and I missed a bill because of it.</t>
  </si>
  <si>
    <t xml:space="preserve">C0364</t>
  </si>
  <si>
    <t xml:space="preserve">The webchat agent ended the conversation without solving anything. I could not log in to check either. I expect compensation.</t>
  </si>
  <si>
    <t xml:space="preserve">C0365</t>
  </si>
  <si>
    <t xml:space="preserve">Frankly, My application has been stuck for weeks with no progress.</t>
  </si>
  <si>
    <t xml:space="preserve">C0366</t>
  </si>
  <si>
    <t xml:space="preserve">I have been a customer for years. The direct debit setup was delayed and I missed a bill because of it. Also, two factor codes are not being sent to my phone.</t>
  </si>
  <si>
    <t xml:space="preserve">C0367</t>
  </si>
  <si>
    <t xml:space="preserve">It has taken six weeks to process my claim and nobody has updated me. I am worried it might be fraud.</t>
  </si>
  <si>
    <t xml:space="preserve">C0368</t>
  </si>
  <si>
    <t xml:space="preserve">Frankly, Two factor codes are not being sent to my phone. I want this put right.</t>
  </si>
  <si>
    <t xml:space="preserve">C0369</t>
  </si>
  <si>
    <t xml:space="preserve">Frankly, My online banking is locked and the reset link never arrives.</t>
  </si>
  <si>
    <t xml:space="preserve">C0370</t>
  </si>
  <si>
    <t xml:space="preserve">To whom it may concern, I am unable to access my account to see my balance. I also spent ages on hold when I called about it.</t>
  </si>
  <si>
    <t xml:space="preserve">C0371</t>
  </si>
  <si>
    <t xml:space="preserve">The salesperson pushed me into a plan I did not need.</t>
  </si>
  <si>
    <t xml:space="preserve">C0372</t>
  </si>
  <si>
    <t xml:space="preserve">Frankly, I was charged a monthly fee that nobody told me about.</t>
  </si>
  <si>
    <t xml:space="preserve">C0373</t>
  </si>
  <si>
    <t xml:space="preserve">Frankly, I was hit with a penalty charge for a payment I made on time. Also, nobody checked whether I could afford the credit agreement. I want this put right.</t>
  </si>
  <si>
    <t xml:space="preserve">C0374</t>
  </si>
  <si>
    <t xml:space="preserve">I asked for a callback and it never happened. It has also been taking far too long.</t>
  </si>
  <si>
    <t xml:space="preserve">C0375</t>
  </si>
  <si>
    <t xml:space="preserve">C0376</t>
  </si>
  <si>
    <t xml:space="preserve">To whom it may concern, A late payment fee appeared and I want it refunded. Also, i sent the form twice and it seems to have been lost in the system.</t>
  </si>
  <si>
    <t xml:space="preserve">C0377</t>
  </si>
  <si>
    <t xml:space="preserve">I was tricked into moving savings to a safe account that was not safe. Also, the adviser did not explin the risks of the investment. Please sort this out.</t>
  </si>
  <si>
    <t xml:space="preserve">C0378</t>
  </si>
  <si>
    <t xml:space="preserve">I was advised to take out cover that duplicates what I already had. There was also a fee involved.</t>
  </si>
  <si>
    <t xml:space="preserve">C0379</t>
  </si>
  <si>
    <t xml:space="preserve">Frankly, I was told this policy covered me but my claim was rejected. There was also a fee involved. Please escalate this.</t>
  </si>
  <si>
    <t xml:space="preserve">C0380</t>
  </si>
  <si>
    <t xml:space="preserve">You took an overdraft fee even though I was within my limit. Also, my online banking is locked and the reset link never arrives.</t>
  </si>
  <si>
    <t xml:space="preserve">C0381</t>
  </si>
  <si>
    <t xml:space="preserve">Nothing has been done and I am losing patience. I expect compensation.</t>
  </si>
  <si>
    <t xml:space="preserve">C0382</t>
  </si>
  <si>
    <t xml:space="preserve">Frankly, The pssword reset keeps failing and I am locked out.</t>
  </si>
  <si>
    <t xml:space="preserve">C0383</t>
  </si>
  <si>
    <t xml:space="preserve">To whom it may concern, I was charged a monthly fee that nobody told me about. Also, the staff member was rude and dismissive when I called. I expect compensation.</t>
  </si>
  <si>
    <t xml:space="preserve">C0384</t>
  </si>
  <si>
    <t xml:space="preserve">I am writing to complain. My application has been stuck for weeks with no progress. Also, a late payment fee appeared and I want it refunded.</t>
  </si>
  <si>
    <t xml:space="preserve">C0385</t>
  </si>
  <si>
    <t xml:space="preserve">Frankly, I feel I was treated badly because of my age. I expect compensation.</t>
  </si>
  <si>
    <t xml:space="preserve">C0386</t>
  </si>
  <si>
    <t xml:space="preserve">I think I was the victim of a scam and sent money to a fraudster. Please escalate this.</t>
  </si>
  <si>
    <t xml:space="preserve">C0387</t>
  </si>
  <si>
    <t xml:space="preserve">Hello, I was misled about what the insurance actually included. I would like a response in writing.</t>
  </si>
  <si>
    <t xml:space="preserve">C0388</t>
  </si>
  <si>
    <t xml:space="preserve">I am writing to complain. The payment still has not arrived in my account. I could not log in to check either. Please escalate this.</t>
  </si>
  <si>
    <t xml:space="preserve">C0389</t>
  </si>
  <si>
    <t xml:space="preserve">This is the second time I have raised this. Your advisor gave me different answers on two separate calls. Please escalate this.</t>
  </si>
  <si>
    <t xml:space="preserve">C0390</t>
  </si>
  <si>
    <t xml:space="preserve">I am writing to complain. The staff member was rude and dismissive when I called. I could not log in to check either. Please sort this out.</t>
  </si>
  <si>
    <t xml:space="preserve">C0391</t>
  </si>
  <si>
    <t xml:space="preserve">I am writing to complain. I was tricked into moving savings to a safe account that was not safe. This is not acceptable.</t>
  </si>
  <si>
    <t xml:space="preserve">C0392</t>
  </si>
  <si>
    <t xml:space="preserve">C0393</t>
  </si>
  <si>
    <t xml:space="preserve">My card reader stopped working and I cannot approve payments. I also spent ages on hold when I called about it.</t>
  </si>
  <si>
    <t xml:space="preserve">C0394</t>
  </si>
  <si>
    <t xml:space="preserve">I have been a customer for years. You took an overdraft fee even though I was within my limit. I do not think it was explained properly when I bought it. Please sort this out.</t>
  </si>
  <si>
    <t xml:space="preserve">C0395</t>
  </si>
  <si>
    <t xml:space="preserve">Why has my interest rate gone up without notice, it is costing me more every month. Also, the complaints handler was unhelpful and talked over me. I want this put right.</t>
  </si>
  <si>
    <t xml:space="preserve">C0396</t>
  </si>
  <si>
    <t xml:space="preserve">A late payment fee appeared and I want it refunded. Also, i asked for a callback and it never happened.</t>
  </si>
  <si>
    <t xml:space="preserve">C0397</t>
  </si>
  <si>
    <t xml:space="preserve">I have been a customer for years. The complaints handler was unhelpful and talked over me. I expect compensation.</t>
  </si>
  <si>
    <t xml:space="preserve">C0398</t>
  </si>
  <si>
    <t xml:space="preserve">This is the second time I have raised this. The webchat agent ended the conversation without solving anything. I would like a response in writing.</t>
  </si>
  <si>
    <t xml:space="preserve">C0399</t>
  </si>
  <si>
    <t xml:space="preserve">Frankly, The staff member was rude and dismissive when I called. Also, the salesperson pushed me into a plan I did not need. I would like a response in writing.</t>
  </si>
  <si>
    <t xml:space="preserve">C0400</t>
  </si>
  <si>
    <t xml:space="preserve">Frankly, I was advised to take out cover that duplicates what I already had.</t>
  </si>
  <si>
    <t xml:space="preserve">C0401</t>
  </si>
  <si>
    <t xml:space="preserve">This is the second time I have raised this. Your advisor gave me different answers on two separate calls.</t>
  </si>
  <si>
    <t xml:space="preserve">C0402</t>
  </si>
  <si>
    <t xml:space="preserve">Frankly, My card was cloned and used abroad. I want this put right.</t>
  </si>
  <si>
    <t xml:space="preserve">C0403</t>
  </si>
  <si>
    <t xml:space="preserve">This is the second time I have raised this. The branch manager would not listen to my concerns. It has also been taking far too long. Please sort this out.</t>
  </si>
  <si>
    <t xml:space="preserve">C0404</t>
  </si>
  <si>
    <t xml:space="preserve">Frankly, The direct debit setup was delayed and I missed a bill because of it. Please escalate this.</t>
  </si>
  <si>
    <t xml:space="preserve">C0405</t>
  </si>
  <si>
    <t xml:space="preserve">C0406</t>
  </si>
  <si>
    <t xml:space="preserve">This is the second time I have raised this. The fraud team closed my case without investigating properly. Also, the direct debit setup was delayed and I missed a bill because of it.</t>
  </si>
  <si>
    <t xml:space="preserve">C0407</t>
  </si>
  <si>
    <t xml:space="preserve">To whom it may concern, The adviser did not explain the risks of the investment. There was also a fee involved.</t>
  </si>
  <si>
    <t xml:space="preserve">C0408</t>
  </si>
  <si>
    <t xml:space="preserve">I have been a customer for years. The direct debit setup was delayed and I missed a bill because of it. I do not think it was explained properly when I bought it. This is not acceptable.</t>
  </si>
  <si>
    <t xml:space="preserve">C0409</t>
  </si>
  <si>
    <t xml:space="preserve">My identity was stolen and a loan was taken out in my name. I could not log in to check either. I expect compensation.</t>
  </si>
  <si>
    <t xml:space="preserve">C0410</t>
  </si>
  <si>
    <t xml:space="preserve">This is the second time I have raised this. The brochure said guaranteed returns and my money has lost value.</t>
  </si>
  <si>
    <t xml:space="preserve">C0411</t>
  </si>
  <si>
    <t xml:space="preserve">To whom it may concern, The payment still has not arrived in my account. Please escalate this.</t>
  </si>
  <si>
    <t xml:space="preserve">C0412</t>
  </si>
  <si>
    <t xml:space="preserve">To whom it may concern, The salesperson pushed me into a plan I did not need. This is not acceptable.</t>
  </si>
  <si>
    <t xml:space="preserve">C0413</t>
  </si>
  <si>
    <t xml:space="preserve">C0414</t>
  </si>
  <si>
    <t xml:space="preserve">The complaints handler was unhelpful and talked over me. Please escalate this.</t>
  </si>
  <si>
    <t xml:space="preserve">C0415</t>
  </si>
  <si>
    <t xml:space="preserve">I have been a customer for years. I sent the form twice and it seems to have been lost in the system. Also, i was told this policy covered me but my claim was rejected. Please escalate this.</t>
  </si>
  <si>
    <t xml:space="preserve">C0416</t>
  </si>
  <si>
    <t xml:space="preserve">I have been a customer for years. I was passed between four departments and no one took ownership. This is not acceptable.</t>
  </si>
  <si>
    <t xml:space="preserve">C0417</t>
  </si>
  <si>
    <t xml:space="preserve">Frankly, You took an overdraft fee even though I was within my limit. Also, my application has been stuck for weeks with no progress. I expect compensation.</t>
  </si>
  <si>
    <t xml:space="preserve">C0418</t>
  </si>
  <si>
    <t xml:space="preserve">To whom it may concern, I keep getting an error message when I sign in. Also, i have been billed an annual fee I never agreed to. I expect compensation.</t>
  </si>
  <si>
    <t xml:space="preserve">C0419</t>
  </si>
  <si>
    <t xml:space="preserve">I am writing to complain. I keep getting an error message when I sign in. Please escalate this.</t>
  </si>
  <si>
    <t xml:space="preserve">C0420</t>
  </si>
  <si>
    <t xml:space="preserve">I have been a customer for years. I feel I was treated badly because of my age. I would like a response in writing.</t>
  </si>
  <si>
    <t xml:space="preserve">C0421</t>
  </si>
  <si>
    <t xml:space="preserve">Nobody explained the foreign transaction charges before my holiday. Also, my card was cloned and used abroad. Please escalate this.</t>
  </si>
  <si>
    <t xml:space="preserve">C0422</t>
  </si>
  <si>
    <t xml:space="preserve">Nobody has responded to my emails despite three reminders.</t>
  </si>
  <si>
    <t xml:space="preserve">C0423</t>
  </si>
  <si>
    <t xml:space="preserve">The closure of my old account has dragged on for months. I want this put right.</t>
  </si>
  <si>
    <t xml:space="preserve">C0424</t>
  </si>
  <si>
    <t xml:space="preserve">Hello, A fake text message led me to a website and my money disappeared.</t>
  </si>
  <si>
    <t xml:space="preserve">C0425</t>
  </si>
  <si>
    <t xml:space="preserve">Hello, I was tricked into moving savings to a safe account that was not safe. I also spent ages on hold when I called about it. This is not acceptable.</t>
  </si>
  <si>
    <t xml:space="preserve">C0426</t>
  </si>
  <si>
    <t xml:space="preserve">Two factor codes are not being sent to my phone. Also, i reported the unauthorised payment but you refused to reimburse me. Please sort this out.</t>
  </si>
  <si>
    <t xml:space="preserve">C0427</t>
  </si>
  <si>
    <t xml:space="preserve">Frankly, The paperwork was submitted a month ago and I am still waiting. I want this put right.</t>
  </si>
  <si>
    <t xml:space="preserve">C0428</t>
  </si>
  <si>
    <t xml:space="preserve">The brochure said guaranteed returns and my money has lost value. I would like a response in writing.</t>
  </si>
  <si>
    <t xml:space="preserve">C0429</t>
  </si>
  <si>
    <t xml:space="preserve">I am writing to complain. I keep getting an error message when I sign in. Also, i have been billed an annual fee I never agreed to. I want this put right.</t>
  </si>
  <si>
    <t xml:space="preserve">C0430</t>
  </si>
  <si>
    <t xml:space="preserve">This is the second time I have raised this. The terms were very different from what I was promised at the time of sale. I want this put right.</t>
  </si>
  <si>
    <t xml:space="preserve">C0431</t>
  </si>
  <si>
    <t xml:space="preserve">Frankly, I sent the form twice and it seems to have been lost in the system. Please escalate this.</t>
  </si>
  <si>
    <t xml:space="preserve">C0432</t>
  </si>
  <si>
    <t xml:space="preserve">Hello, I have been billed an annual fee I never agreed to. I expect compensation.</t>
  </si>
  <si>
    <t xml:space="preserve">C0433</t>
  </si>
  <si>
    <t xml:space="preserve">I have been a customer for years. I was advised to take out cover that duplicates what I already had. I could not log in to check either.</t>
  </si>
  <si>
    <t xml:space="preserve">C0434</t>
  </si>
  <si>
    <t xml:space="preserve">To whom it may concern, My transfer has been pending for over a week. I could not log in to check either.</t>
  </si>
  <si>
    <t xml:space="preserve">C0435</t>
  </si>
  <si>
    <t xml:space="preserve">I have been a customer for years. A person pretending to be from your bank phoned me and I gave them details. Also, i was told this policy covered me but my claim was rejected. I would like a response in writing.</t>
  </si>
  <si>
    <t xml:space="preserve">C0436</t>
  </si>
  <si>
    <t xml:space="preserve">To whom it may concern, It has taken six weeks to process my claim and nobody has updated me. I want this put right.</t>
  </si>
  <si>
    <t xml:space="preserve">C0437</t>
  </si>
  <si>
    <t xml:space="preserve">I have been a customer for years. I was told this policy covered me but my claim was rejected. This is not acceptable.</t>
  </si>
  <si>
    <t xml:space="preserve">C0438</t>
  </si>
  <si>
    <t xml:space="preserve">Hello, The brochure said guaranteed returns and my money has lost value. There was also a fee involved.</t>
  </si>
  <si>
    <t xml:space="preserve">C0439</t>
  </si>
  <si>
    <t xml:space="preserve">C0440</t>
  </si>
  <si>
    <t xml:space="preserve">The payment still has not arrived in my account. Also, i was sold a product that was not suitable for my circumstances. I want this put right.</t>
  </si>
  <si>
    <t xml:space="preserve">C0441</t>
  </si>
  <si>
    <t xml:space="preserve">This is the second time I have raised this. Two factor codes are not being sent to my phone. I do not think it was explained properly when I bought it.</t>
  </si>
  <si>
    <t xml:space="preserve">C0442</t>
  </si>
  <si>
    <t xml:space="preserve">To whom it may concern, I was told this policy covered me but my claim was rejected. Also, my account was frozen and I cannot get in to move money.</t>
  </si>
  <si>
    <t xml:space="preserve">C0443</t>
  </si>
  <si>
    <t xml:space="preserve">There is an unexpected charge on my statement of £60. I do not think it was explained properly when I bought it.</t>
  </si>
  <si>
    <t xml:space="preserve">C0444</t>
  </si>
  <si>
    <t xml:space="preserve">Someone has made payments from my account that I did not authorise. I would like a response in writing.</t>
  </si>
  <si>
    <t xml:space="preserve">C0445</t>
  </si>
  <si>
    <t xml:space="preserve">C0446</t>
  </si>
  <si>
    <t xml:space="preserve">C0447</t>
  </si>
  <si>
    <t xml:space="preserve">This is the second time I have raised this. I sent the form twice and it seems to have been lost in the system. I am worried it might be fraud. I would like a response in writing.</t>
  </si>
  <si>
    <t xml:space="preserve">C0448</t>
  </si>
  <si>
    <t xml:space="preserve">Hello, My mortgage switch is taking far longer than you said it would.</t>
  </si>
  <si>
    <t xml:space="preserve">C0449</t>
  </si>
  <si>
    <t xml:space="preserve">My transfer has been pending for over a week.</t>
  </si>
  <si>
    <t xml:space="preserve">C0450</t>
  </si>
  <si>
    <t xml:space="preserve">I have been a customer for years. Your advisor gave me different answers on two separate calls. Also, why has my interest rate gone up without notice, it is costing me more every month. Please escalate this.</t>
  </si>
  <si>
    <t xml:space="preserve">C0451</t>
  </si>
  <si>
    <t xml:space="preserve">This is the second time I have raised this. The complaints handler was unhelpful and talked over me. Also, my transfer has been pending for over a week. I expect compensation.</t>
  </si>
  <si>
    <t xml:space="preserve">C0452</t>
  </si>
  <si>
    <t xml:space="preserve">I was charged a monthly fee that nobody told me about. I am worried it might be fraud.</t>
  </si>
  <si>
    <t xml:space="preserve">C0453</t>
  </si>
  <si>
    <t xml:space="preserve">To whom it may concern, I feel I was treated badly because of my age. Please escalate this.</t>
  </si>
  <si>
    <t xml:space="preserve">C0454</t>
  </si>
  <si>
    <t xml:space="preserve">Two factor codes are not being sent to my phone. It has also been taking far too long.</t>
  </si>
  <si>
    <t xml:space="preserve">C0455</t>
  </si>
  <si>
    <t xml:space="preserve">A fake text message led me to a website and my money disappeared. This is not acceptable.</t>
  </si>
  <si>
    <t xml:space="preserve">C0456</t>
  </si>
  <si>
    <t xml:space="preserve">Frankly, A late payment fee appeared and I want it refunded. Please sort this out.</t>
  </si>
  <si>
    <t xml:space="preserve">C0457</t>
  </si>
  <si>
    <t xml:space="preserve">To whom it may concern, I keep getting an error message when I sign in. I expect compensation.</t>
  </si>
  <si>
    <t xml:space="preserve">C0458</t>
  </si>
  <si>
    <t xml:space="preserve">I have been a customer for years. The salesperson pushed me into a plan I did not need. I am worried it might be fraud. Please escalate this.</t>
  </si>
  <si>
    <t xml:space="preserve">C0459</t>
  </si>
  <si>
    <t xml:space="preserve">I have been a customer for years. A person pretending to be from your bank phoned me and I gave them details. Please escalate this.</t>
  </si>
  <si>
    <t xml:space="preserve">C0460</t>
  </si>
  <si>
    <t xml:space="preserve">I am writing to complain. I was charged a monthly fee that nobody told me about. Also, the salesperson pushed me into a plan I did not need. Please sort this out.</t>
  </si>
  <si>
    <t xml:space="preserve">C0461</t>
  </si>
  <si>
    <t xml:space="preserve">I am writing to complain. I was tricked into moving savings to a safe account that was not safe.</t>
  </si>
  <si>
    <t xml:space="preserve">C0462</t>
  </si>
  <si>
    <t xml:space="preserve">I am writing to complain. I cannot log in to the mobile app since the update. Also, why has my interest rate gone up without notice, it is costing me more every month.</t>
  </si>
  <si>
    <t xml:space="preserve">C0463</t>
  </si>
  <si>
    <t xml:space="preserve">Frankly, Nobody has responded to my emails despite three remindrs. I expect compensation.</t>
  </si>
  <si>
    <t xml:space="preserve">C0464</t>
  </si>
  <si>
    <t xml:space="preserve">Frankly, A fake text message led me to a website and my money disappeared. Also, why has my interest rate gone up without notice, it is costing me more every month. I want this put right.</t>
  </si>
  <si>
    <t xml:space="preserve">C0465</t>
  </si>
  <si>
    <t xml:space="preserve">Nothing has been done and I am losing patience. Please sort this out.</t>
  </si>
  <si>
    <t xml:space="preserve">C0466</t>
  </si>
  <si>
    <t xml:space="preserve">To whom it may concern, I was misled about what the insurance actually included. Also, your advisor gave me different answers on two separate calls. I expect compensation.</t>
  </si>
  <si>
    <t xml:space="preserve">C0467</t>
  </si>
  <si>
    <t xml:space="preserve">I sent the form twice and it seems to have been lost in the system.</t>
  </si>
  <si>
    <t xml:space="preserve">C0468</t>
  </si>
  <si>
    <t xml:space="preserve">I am writing to complain. There is an unexpected charge on my statement of £60. I also spent ages on hold when I called about it. Please sort this out.</t>
  </si>
  <si>
    <t xml:space="preserve">C0469</t>
  </si>
  <si>
    <t xml:space="preserve">The account maintenance fee was taken twice this month. I would like a response in writing.</t>
  </si>
  <si>
    <t xml:space="preserve">C0470</t>
  </si>
  <si>
    <t xml:space="preserve">To whom it may concern, The website will not let me register for online access. Also, nobody explained the foreign transaction charges before my holiday. Please sort this out.</t>
  </si>
  <si>
    <t xml:space="preserve">C0471</t>
  </si>
  <si>
    <t xml:space="preserve">To whom i may concern, Your advisor gave me different answers on two separate calls. I want this put right.</t>
  </si>
  <si>
    <t xml:space="preserve">C0472</t>
  </si>
  <si>
    <t xml:space="preserve">The payment still has not arrived in my account.</t>
  </si>
  <si>
    <t xml:space="preserve">C0473</t>
  </si>
  <si>
    <t xml:space="preserve">I have been a customer for years. Two factor codes are not being sent to my phone. Also, a person pretending to be from your bank phoned me and I gave them details.</t>
  </si>
  <si>
    <t xml:space="preserve">C0474</t>
  </si>
  <si>
    <t xml:space="preserve">I think I was the victim of a scam and sent money to a fraudster. Also, nobody explained the foreign transaction charges before my holiday.</t>
  </si>
  <si>
    <t xml:space="preserve">C0475</t>
  </si>
  <si>
    <t xml:space="preserve">To whom it may concern, The website will not let me register for online access. Please escalate this.</t>
  </si>
  <si>
    <t xml:space="preserve">C0476</t>
  </si>
  <si>
    <t xml:space="preserve">My card wa cloned and used abroad. Please sort this out.</t>
  </si>
  <si>
    <t xml:space="preserve">C0477</t>
  </si>
  <si>
    <t xml:space="preserve">To whom it may concern, My card was cloned and used abroad. Also, the payment still has not arrived in my account. Please sort this out.</t>
  </si>
  <si>
    <t xml:space="preserve">C0478</t>
  </si>
  <si>
    <t xml:space="preserve">C0479</t>
  </si>
  <si>
    <t xml:space="preserve">To whom it may concern, The salesperson pushed me into a plan I did not need. Please sort this out.</t>
  </si>
  <si>
    <t xml:space="preserve">C0480</t>
  </si>
  <si>
    <t xml:space="preserve">This is the second time I have raised this. I was hit with a penalty charge for a payment I made on time.</t>
  </si>
  <si>
    <t xml:space="preserve">C0481</t>
  </si>
  <si>
    <t xml:space="preserve">To whom it may concern, The app crashes every time I try to open my statements. I also spent ages on hold when I called about it. I would like a response in writing.</t>
  </si>
  <si>
    <t xml:space="preserve">C0482</t>
  </si>
  <si>
    <t xml:space="preserve">The paperwork was submitted a month ago and I am still waiting. There was also a fee involved. Please escalate this.</t>
  </si>
  <si>
    <t xml:space="preserve">C0483</t>
  </si>
  <si>
    <t xml:space="preserve">I am very unhappy with how this has been handled. This is not acceptable.</t>
  </si>
  <si>
    <t xml:space="preserve">C0484</t>
  </si>
  <si>
    <t xml:space="preserve">To whom it may concern, I am unable to access my account to see my balance. I want this put right.</t>
  </si>
  <si>
    <t xml:space="preserve">C0485</t>
  </si>
  <si>
    <t xml:space="preserve">A late payment fee appeared and I want it refunded. Also, the adviser did not explain the risks of the investment. This is not acceptable.</t>
  </si>
  <si>
    <t xml:space="preserve">C0486</t>
  </si>
  <si>
    <t xml:space="preserve">C0487</t>
  </si>
  <si>
    <t xml:space="preserve">My card was cloned and used abroad. Also, a late payment fee appeared and I want it refunded. I want this put right.</t>
  </si>
  <si>
    <t xml:space="preserve">C0488</t>
  </si>
  <si>
    <t xml:space="preserve">To whom it may concern, The adviser did not explain the risks of the investment. I expect compensation.</t>
  </si>
  <si>
    <t xml:space="preserve">C0489</t>
  </si>
  <si>
    <t xml:space="preserve">C0490</t>
  </si>
  <si>
    <t xml:space="preserve">Frankly, I sent the form twice and it seems to have been lost in the system. I would like a response in writing.</t>
  </si>
  <si>
    <t xml:space="preserve">C0491</t>
  </si>
  <si>
    <t xml:space="preserve">My appliction has been stuck for weeks with no progress. Please escalate this.</t>
  </si>
  <si>
    <t xml:space="preserve">C0492</t>
  </si>
  <si>
    <t xml:space="preserve">The complaints handler was unhelpful and talked over me. I do not think it was explained properly when I bought it.</t>
  </si>
  <si>
    <t xml:space="preserve">C0493</t>
  </si>
  <si>
    <t xml:space="preserve">I have been a customer for years. I was hit with a penalty charg for a payment I made on time. I do not think it was explained properly when I bought it. I expect compensation.</t>
  </si>
  <si>
    <t xml:space="preserve">C0494</t>
  </si>
  <si>
    <t xml:space="preserve">I was misled about what the insurance actually included. I would like a response in writing.</t>
  </si>
  <si>
    <t xml:space="preserve">C0495</t>
  </si>
  <si>
    <t xml:space="preserve">I have been a customer for years. My account was frozen and I cannot get in to move money.</t>
  </si>
  <si>
    <t xml:space="preserve">C0496</t>
  </si>
  <si>
    <t xml:space="preserve">Please look into what happened on my account. Please sort this out.</t>
  </si>
  <si>
    <t xml:space="preserve">C0497</t>
  </si>
  <si>
    <t xml:space="preserve">I have been a customer for years. I was misled about what the insurance actually included. I want this put right.</t>
  </si>
  <si>
    <t xml:space="preserve">C0498</t>
  </si>
  <si>
    <t xml:space="preserve">The staff member was rude and dismissive when I clled. Also, i keep getting an error message when I sign in. Please escalate this.</t>
  </si>
  <si>
    <t xml:space="preserve">C0499</t>
  </si>
  <si>
    <t xml:space="preserve">Hello, I was hit with a penalty charge for a payment I made on time.</t>
  </si>
  <si>
    <t xml:space="preserve">C0500</t>
  </si>
  <si>
    <t xml:space="preserve">This is the second time I have raised this. The paperwork was submitted a month ago and I am still waiting. I want this put right.</t>
  </si>
  <si>
    <t xml:space="preserve">C0501</t>
  </si>
  <si>
    <t xml:space="preserve">C0502</t>
  </si>
  <si>
    <t xml:space="preserve">I have been a customer for years. My application has been stuck for weeks with no progress. I also spent ages on hold when I called about it. Please sort this out.</t>
  </si>
  <si>
    <t xml:space="preserve">C0503</t>
  </si>
  <si>
    <t xml:space="preserve">I have been a customer for years. My transfer has been pending for over a week. Also, a late payment fee appeared and I want it refunded.</t>
  </si>
  <si>
    <t xml:space="preserve">C0504</t>
  </si>
  <si>
    <t xml:space="preserve">I have been a customer for years. The complaints handler was unhelpful and talked over me. I do not think it was explained properly when I bought it. I would like a response in writing.</t>
  </si>
  <si>
    <t xml:space="preserve">C0505</t>
  </si>
  <si>
    <t xml:space="preserve">The direct debit setup was delayed and I missed a bill because of it. There was also a fee involved.</t>
  </si>
  <si>
    <t xml:space="preserve">C0506</t>
  </si>
  <si>
    <t xml:space="preserve">I was advised to take out cover that duplicates what I already had. Please sort this out.</t>
  </si>
  <si>
    <t xml:space="preserve">C0507</t>
  </si>
  <si>
    <t xml:space="preserve">I am writing to complain. The account maintenance fee was taken twice this month. Also, two factor codes are not being sent to my phone. I expect compensation.</t>
  </si>
  <si>
    <t xml:space="preserve">C0508</t>
  </si>
  <si>
    <t xml:space="preserve">I am writing to complain. The fraud team closed my case without investigating properly. This is not acceptable.</t>
  </si>
  <si>
    <t xml:space="preserve">C0509</t>
  </si>
  <si>
    <t xml:space="preserve">C0510</t>
  </si>
  <si>
    <t xml:space="preserve">Hello, Nobody has responded to my emails despite three reminders.</t>
  </si>
  <si>
    <t xml:space="preserve">C0511</t>
  </si>
  <si>
    <t xml:space="preserve">I have been a customer for years. The complaints handler was unhelpful and talked over me.</t>
  </si>
  <si>
    <t xml:space="preserve">C0512</t>
  </si>
  <si>
    <t xml:space="preserve">I am very unhappy with how this has been handled. Please sort this out.</t>
  </si>
  <si>
    <t xml:space="preserve">C0513</t>
  </si>
  <si>
    <t xml:space="preserve">I am writing to complain. I think I was the victim of a scam and sent money to a fraudster.</t>
  </si>
  <si>
    <t xml:space="preserve">C0514</t>
  </si>
  <si>
    <t xml:space="preserve">This is the second time I have raised this. I was tricked into moving savings to a safe account that was not safe. I want this put right.</t>
  </si>
  <si>
    <t xml:space="preserve">C0515</t>
  </si>
  <si>
    <t xml:space="preserve">I am writing to complain. The app crashes every time I try to open my statements. I would like a response in writing.</t>
  </si>
  <si>
    <t xml:space="preserve">C0516</t>
  </si>
  <si>
    <t xml:space="preserve">To whom it may concern, Nobody explained the foreign transaction charges before my hliday.</t>
  </si>
  <si>
    <t xml:space="preserve">C0517</t>
  </si>
  <si>
    <t xml:space="preserve">Hello, I think I was the victim of a scam and sent money to a fraudster. I also spent ages on hold when I called about it.</t>
  </si>
  <si>
    <t xml:space="preserve">C0518</t>
  </si>
  <si>
    <t xml:space="preserve">I have been billed an annual fee I never agreed to. I also spent ages on hold when I called about it. Please escalate this.</t>
  </si>
  <si>
    <t xml:space="preserve">C0519</t>
  </si>
  <si>
    <t xml:space="preserve">Please look into what hapened on my account.</t>
  </si>
  <si>
    <t xml:space="preserve">C0520</t>
  </si>
  <si>
    <t xml:space="preserve">The fraud team closed my case without investigating properly. Please escalate this.</t>
  </si>
  <si>
    <t xml:space="preserve">C0521</t>
  </si>
  <si>
    <t xml:space="preserve">I have been billed an annual fee I never agreed to. It has also been taking far too long. I expect compensation.</t>
  </si>
  <si>
    <t xml:space="preserve">C0522</t>
  </si>
  <si>
    <t xml:space="preserve">I have been a customer for years. I reported the unauthorised payment but you refused to reimburse me. I want this ut right.</t>
  </si>
  <si>
    <t xml:space="preserve">C0523</t>
  </si>
  <si>
    <t xml:space="preserve">I am writing to complain. I spent an hour on hold and then the call was cut off. Please escalate this.</t>
  </si>
  <si>
    <t xml:space="preserve">C0524</t>
  </si>
  <si>
    <t xml:space="preserve">A late payment fee appeared and I want it refunded. I would like a response in writing.</t>
  </si>
  <si>
    <t xml:space="preserve">C0525</t>
  </si>
  <si>
    <t xml:space="preserve">Hello, I was sold a product that was not suitable for my circumstances. I want this put right.</t>
  </si>
  <si>
    <t xml:space="preserve">C0526</t>
  </si>
  <si>
    <t xml:space="preserve">The payment still has not arrived in my account. This is not acceptable.</t>
  </si>
  <si>
    <t xml:space="preserve">C0527</t>
  </si>
  <si>
    <t xml:space="preserve">C0528</t>
  </si>
  <si>
    <t xml:space="preserve">I have been a customer for years. My card reader stopped working and I cannot approve payments.</t>
  </si>
  <si>
    <t xml:space="preserve">C0529</t>
  </si>
  <si>
    <t xml:space="preserve">To whom it may concern, I was sold a product that was not suitable for my circumstances. This is not acceptable.</t>
  </si>
  <si>
    <t xml:space="preserve">C0530</t>
  </si>
  <si>
    <t xml:space="preserve">To whom it may concern, The website will not let me register for online access. I am worried it might be fraud. This is not acceptable.</t>
  </si>
  <si>
    <t xml:space="preserve">C0531</t>
  </si>
  <si>
    <t xml:space="preserve">I have been a customer for years. My card reader stopped working and I cannot approve payments. It has also been taking far too long. I expect compensation.</t>
  </si>
  <si>
    <t xml:space="preserve">C0532</t>
  </si>
  <si>
    <t xml:space="preserve">Hello, I keep getting an error message when I sign in. Also, the adviser did not explain the risks of the investment. I expect compensation.</t>
  </si>
  <si>
    <t xml:space="preserve">C0533</t>
  </si>
  <si>
    <t xml:space="preserve">Frankly, A person pretending to be from your bank phoned me and I gave them details. I expect compensation.</t>
  </si>
  <si>
    <t xml:space="preserve">C0534</t>
  </si>
  <si>
    <t xml:space="preserve">Frankly, Your advisor gave me different answers on two separate calls. Please escalate this.</t>
  </si>
  <si>
    <t xml:space="preserve">C0535</t>
  </si>
  <si>
    <t xml:space="preserve">I was charged a monthly fee that nobody told me about. I expect compensation.</t>
  </si>
  <si>
    <t xml:space="preserve">C0536</t>
  </si>
  <si>
    <t xml:space="preserve">I reported the unauthorised payment but you refused to reimburse me. I want this put right.</t>
  </si>
  <si>
    <t xml:space="preserve">C0537</t>
  </si>
  <si>
    <t xml:space="preserve">This is the second time I have raised this. My identity was stolen and a loan was taken out in my name. This is not acceptable.</t>
  </si>
  <si>
    <t xml:space="preserve">C0538</t>
  </si>
  <si>
    <t xml:space="preserve">I am writing to complain. The complaints handler was unhelpful and talked over me. Please sort this out.</t>
  </si>
  <si>
    <t xml:space="preserve">C0539</t>
  </si>
  <si>
    <t xml:space="preserve">Frankly, A person pretending to be from your bank phoned me and I gave them details. I could not log in to check either. I want this put right.</t>
  </si>
  <si>
    <t xml:space="preserve">C0540</t>
  </si>
  <si>
    <t xml:space="preserve">I have been a customer for years. Nobody has responded to my emails despite three reminders.</t>
  </si>
  <si>
    <t xml:space="preserve">C0541</t>
  </si>
  <si>
    <t xml:space="preserve">I am unable to access my account to see my balance. Also, the staff member was rude and dismissive when I called. I want this put right.</t>
  </si>
  <si>
    <t xml:space="preserve">C0542</t>
  </si>
  <si>
    <t xml:space="preserve">I have been billed an annual fee I never agreed to. Please escalate this.</t>
  </si>
  <si>
    <t xml:space="preserve">C0543</t>
  </si>
  <si>
    <t xml:space="preserve">A late payment fee appeared and I want it refunded. Also, the branch manager would not listen to my concerns. Please sort this out.</t>
  </si>
  <si>
    <t xml:space="preserve">C0544</t>
  </si>
  <si>
    <t xml:space="preserve">I am writing to complain. There is an unexpected charge on my statement of £25. Also, the app crashes every time I try to open my statements. Please sort this out.</t>
  </si>
  <si>
    <t xml:space="preserve">C0545</t>
  </si>
  <si>
    <t xml:space="preserve">Hello, The fraud team closed my case without investigating properly. I want this put right.</t>
  </si>
  <si>
    <t xml:space="preserve">C0546</t>
  </si>
  <si>
    <t xml:space="preserve">Hello, The closure of my old account has dragged on for months. I do not think it was explained properly when I bought it.</t>
  </si>
  <si>
    <t xml:space="preserve">C0547</t>
  </si>
  <si>
    <t xml:space="preserve">I have been a customer for years. I think I was the victim of a scam and sent money to a fraudster. I expect compensation.</t>
  </si>
  <si>
    <t xml:space="preserve">C0548</t>
  </si>
  <si>
    <t xml:space="preserve">To whom it may concern, I think I was the victim of a scam and sent money to a fraudster.</t>
  </si>
  <si>
    <t xml:space="preserve">C0549</t>
  </si>
  <si>
    <t xml:space="preserve">I was misled about what the insurance actually included. Please sort this out.</t>
  </si>
  <si>
    <t xml:space="preserve">C0550</t>
  </si>
  <si>
    <t xml:space="preserve">To whom it may concern, I sent the form twice and it seems to have been lost in the system. There was also a fee involved. Please sort this out.</t>
  </si>
  <si>
    <t xml:space="preserve">C0551</t>
  </si>
  <si>
    <t xml:space="preserve">This is the second time I have raised this. My identity was stolen and a loan was taken out in my name. Please escalate this.</t>
  </si>
  <si>
    <t xml:space="preserve">C0552</t>
  </si>
  <si>
    <t xml:space="preserve">Hello, Why has my interest rate gone up without notice, it is costing me more every month. I do not think it was explained properly when I bought it. This is not acceptable.</t>
  </si>
  <si>
    <t xml:space="preserve">C0553</t>
  </si>
  <si>
    <t xml:space="preserve">I am writing to complain. Nobody checked whether I could afford the credit agreement. There was also a fee involved.</t>
  </si>
  <si>
    <t xml:space="preserve">C0554</t>
  </si>
  <si>
    <t xml:space="preserve">Frankly, My application has been stuck for weeks with no progress. Please sort this out.</t>
  </si>
  <si>
    <t xml:space="preserve">C0555</t>
  </si>
  <si>
    <t xml:space="preserve">Frankly, The webchat agent ended the conversation without solving anything. I would like a response in writing.</t>
  </si>
  <si>
    <t xml:space="preserve">C0556</t>
  </si>
  <si>
    <t xml:space="preserve">Frankly, Nobody checked whether I could afford the credit agreement. Also, i spent an hour on hold and then the call was cut off.</t>
  </si>
  <si>
    <t xml:space="preserve">C0557</t>
  </si>
  <si>
    <t xml:space="preserve">Nothing has been done and I am losing patience. I would like a response in writing.</t>
  </si>
  <si>
    <t xml:space="preserve">C0558</t>
  </si>
  <si>
    <t xml:space="preserve">Hello, The terms were very different from what I was promised at the time of sale. I could not log in to check either.</t>
  </si>
  <si>
    <t xml:space="preserve">C0559</t>
  </si>
  <si>
    <t xml:space="preserve">This is the second time I have raised this. I was passed between four departments and no one took ownership. Please escalate this.</t>
  </si>
  <si>
    <t xml:space="preserve">C0560</t>
  </si>
  <si>
    <t xml:space="preserve">C0561</t>
  </si>
  <si>
    <t xml:space="preserve">C0562</t>
  </si>
  <si>
    <t xml:space="preserve">I am writing to complain. I asked for a callback and it never happened. I expect compensation.</t>
  </si>
  <si>
    <t xml:space="preserve">C0563</t>
  </si>
  <si>
    <t xml:space="preserve">The branch manager would not listen to my concerns. Also, i sent the form twice and it seems to have been lost in the system. I would like a response in writing.</t>
  </si>
  <si>
    <t xml:space="preserve">C0564</t>
  </si>
  <si>
    <t xml:space="preserve">To whom it may concern, My account was frozen and I cannot get in to move money. This is not acceptable.</t>
  </si>
  <si>
    <t xml:space="preserve">C0565</t>
  </si>
  <si>
    <t xml:space="preserve">I asked for a callback and it never happened. I am worried it might be fraud. I expect compensation.</t>
  </si>
  <si>
    <t xml:space="preserve">C0566</t>
  </si>
  <si>
    <t xml:space="preserve">To whom it my concern, The paperwork was submitted a month ago and I am still waiting. I am worried it might be fraud. I want this put right.</t>
  </si>
  <si>
    <t xml:space="preserve">C0567</t>
  </si>
  <si>
    <t xml:space="preserve">Hello, Your advisor gave me different answers on two separate calls. Als, the paperwork was submitted a month ago and I am still waiting. Please escalate this.</t>
  </si>
  <si>
    <t xml:space="preserve">C0568</t>
  </si>
  <si>
    <t xml:space="preserve">I sent the form twice and it seems to have been lost in the system. Also, i am unable to access my account to see my balance. This is not acceptable.</t>
  </si>
  <si>
    <t xml:space="preserve">C0569</t>
  </si>
  <si>
    <t xml:space="preserve">I am writing to complain. The staff member was rude and dismissive when I called. This is not acceptable.</t>
  </si>
  <si>
    <t xml:space="preserve">C0570</t>
  </si>
  <si>
    <t xml:space="preserve">C0571</t>
  </si>
  <si>
    <t xml:space="preserve">The terms were very different from what I was promised at the time of sale. Also, i feel I was treated badly because of my age.</t>
  </si>
  <si>
    <t xml:space="preserve">C0572</t>
  </si>
  <si>
    <t xml:space="preserve">C0573</t>
  </si>
  <si>
    <t xml:space="preserve">A fake text message led me to a website and my money disappeared.</t>
  </si>
  <si>
    <t xml:space="preserve">C0574</t>
  </si>
  <si>
    <t xml:space="preserve">This is the second time I have raised this. I think I was the victim of a scam and sent money to a fraudster. I expect compensation.</t>
  </si>
  <si>
    <t xml:space="preserve">C0575</t>
  </si>
  <si>
    <t xml:space="preserve">I have been a customer for years. The salesperson pushed me into a plan I did not need. It has also been taking far too long. I would like a response in writing.</t>
  </si>
  <si>
    <t xml:space="preserve">C0576</t>
  </si>
  <si>
    <t xml:space="preserve">My identity was stolen and a loan was taken out in my name. It has also been taking far too long. I expect compensation.</t>
  </si>
  <si>
    <t xml:space="preserve">C0577</t>
  </si>
  <si>
    <t xml:space="preserve">The webchat agent ended the conversation without solving anything. Also, my transfer has been pending for over a week. I expect compensation.</t>
  </si>
  <si>
    <t xml:space="preserve">C0578</t>
  </si>
  <si>
    <t xml:space="preserve">A person pretending to be from your bank phoned me and I gave them details. This is not acceptable.</t>
  </si>
  <si>
    <t xml:space="preserve">C0579</t>
  </si>
  <si>
    <t xml:space="preserve">Hello, I was hit with a penalty charge for a ayment I made on time. Please escalate this.</t>
  </si>
  <si>
    <t xml:space="preserve">C0580</t>
  </si>
  <si>
    <t xml:space="preserve">Frankly, I have been billed an annual fee I never areed to. I expect compensation.</t>
  </si>
  <si>
    <t xml:space="preserve">C0581</t>
  </si>
  <si>
    <t xml:space="preserve">I was misled about what the insurance actually included. This is not acceptable.</t>
  </si>
  <si>
    <t xml:space="preserve">C0582</t>
  </si>
  <si>
    <t xml:space="preserve">I have been a customer for years. The salesperson pushed me into a plan I did not need. This is not acceptable.</t>
  </si>
  <si>
    <t xml:space="preserve">C0583</t>
  </si>
  <si>
    <t xml:space="preserve">This is the second time I have raised this. I reported the unauthorised payment but you refused to reimburse me. There was also a fee involved. I would like a response in writing.</t>
  </si>
  <si>
    <t xml:space="preserve">C0584</t>
  </si>
  <si>
    <t xml:space="preserve">Nobody checked whether I could afford the credit agreement. Also, i keep getting an error message when I sign in. Please escalate this.</t>
  </si>
  <si>
    <t xml:space="preserve">C0585</t>
  </si>
  <si>
    <t xml:space="preserve">Frankly, My mortgage switch is taking far longer than you said it would.</t>
  </si>
  <si>
    <t xml:space="preserve">C0586</t>
  </si>
  <si>
    <t xml:space="preserve">This is the second time I have raised this. I spent an hour on hold and then the call was cut off.</t>
  </si>
  <si>
    <t xml:space="preserve">C0587</t>
  </si>
  <si>
    <t xml:space="preserve">C0588</t>
  </si>
  <si>
    <t xml:space="preserve">I am writing to complain. I asked for a callback and it never happened. I do not think it was explained properly when I bought it. I would like a response in writing.</t>
  </si>
  <si>
    <t xml:space="preserve">C0589</t>
  </si>
  <si>
    <t xml:space="preserve">A person pretending to be from your bank phoned me and I gave them details. Please sort this out.</t>
  </si>
  <si>
    <t xml:space="preserve">C0590</t>
  </si>
  <si>
    <t xml:space="preserve">I have been a customer for years. The payment still has not arrived in my account. Also, the pension transfer advice I received was poor and I have lost out.</t>
  </si>
  <si>
    <t xml:space="preserve">C0591</t>
  </si>
  <si>
    <t xml:space="preserve">I am writing to complain. I spent an hur on hold and then the call was cut off. Also, i was advised to take out cover that duplicates what I already had.</t>
  </si>
  <si>
    <t xml:space="preserve">C0592</t>
  </si>
  <si>
    <t xml:space="preserve">I have been a customer for years. My card reader stopped working and I cannot approve payments. I also spent ages on hold when I called about it. Please escalate this.</t>
  </si>
  <si>
    <t xml:space="preserve">C0593</t>
  </si>
  <si>
    <t xml:space="preserve">I am writing to complain. The webchat agent ended the conversation without solving anything. Also, why has my interest rate gone up without notice, it is costing me more every month.</t>
  </si>
  <si>
    <t xml:space="preserve">C0594</t>
  </si>
  <si>
    <t xml:space="preserve">C0595</t>
  </si>
  <si>
    <t xml:space="preserve">To whom it may concern, The branch manager would not listen to my concerns. I am worried it might be fraud.</t>
  </si>
  <si>
    <t xml:space="preserve">C0596</t>
  </si>
  <si>
    <t xml:space="preserve">Hello, The fraud team closed my case without investigating properly. It has also been taking far too long. Please escalate this.</t>
  </si>
  <si>
    <t xml:space="preserve">C0597</t>
  </si>
  <si>
    <t xml:space="preserve">I sent the form twice and it seems to have been lost in the system. Also, two factor codes are not being sent to my phone.</t>
  </si>
  <si>
    <t xml:space="preserve">C0598</t>
  </si>
  <si>
    <t xml:space="preserve">I think I was the victim of a scam and sent money to a fraudster. I expect compensation.</t>
  </si>
  <si>
    <t xml:space="preserve">C0599</t>
  </si>
  <si>
    <t xml:space="preserve">To whom it may concern, A person pretending to be from your bank phoned me and I gave them details.</t>
  </si>
  <si>
    <t xml:space="preserve">C0600</t>
  </si>
  <si>
    <t xml:space="preserve">To whom it may concern, I feel I was treated badly because of my age. I could not log in to check either.</t>
  </si>
  <si>
    <t xml:space="preserve">C0601</t>
  </si>
  <si>
    <t xml:space="preserve">I was charged a monthly fee that nobody told me about.</t>
  </si>
  <si>
    <t xml:space="preserve">C0602</t>
  </si>
  <si>
    <t xml:space="preserve">I was sold a product that was not suitable for my circumstances. I also spent ages on hold when I called about it. I want this put right.</t>
  </si>
  <si>
    <t xml:space="preserve">C0603</t>
  </si>
  <si>
    <t xml:space="preserve">To whom it may concern, I feel I was treated badly because of my age.</t>
  </si>
  <si>
    <t xml:space="preserve">C0604</t>
  </si>
  <si>
    <t xml:space="preserve">I have been a customer for years. My account was frozen and I cannot get in to move money. It has also been taking far too long. I expect compensation.</t>
  </si>
  <si>
    <t xml:space="preserve">C0605</t>
  </si>
  <si>
    <t xml:space="preserve">To whom it may concern, I cannot log in to the mobile app since the update.</t>
  </si>
  <si>
    <t xml:space="preserve">C0606</t>
  </si>
  <si>
    <t xml:space="preserve">A late payment fee appeared and I want it refunded. I want this put right.</t>
  </si>
  <si>
    <t xml:space="preserve">C0607</t>
  </si>
  <si>
    <t xml:space="preserve">Hello, The costs keep creeping up and my balance is lower than it should be. I am worried it might be fraud. I would like a response in writing.</t>
  </si>
  <si>
    <t xml:space="preserve">C0608</t>
  </si>
  <si>
    <t xml:space="preserve">C0609</t>
  </si>
  <si>
    <t xml:space="preserve">Frankly, The terms were very different from what I was promised at the time of sale.</t>
  </si>
  <si>
    <t xml:space="preserve">C0610</t>
  </si>
  <si>
    <t xml:space="preserve">The pension transfer advice I received was poor and I have lost out. I also spent ages on hold when I called about it. I want this put right.</t>
  </si>
  <si>
    <t xml:space="preserve">C0611</t>
  </si>
  <si>
    <t xml:space="preserve">I am writing to complain. The payment still has not arrived in my account. I would like a response in writing.</t>
  </si>
  <si>
    <t xml:space="preserve">C0612</t>
  </si>
  <si>
    <t xml:space="preserve">To whom it may concern, The complaints handler was unhelpful and talked over me. Please escalate this.</t>
  </si>
  <si>
    <t xml:space="preserve">C0613</t>
  </si>
  <si>
    <t xml:space="preserve">I asked for a callback and it never happened. I do not think it was explained properly when I bought it.</t>
  </si>
  <si>
    <t xml:space="preserve">C0614</t>
  </si>
  <si>
    <t xml:space="preserve">Frankly, The pension transfer advice I received was poor and I have lost out. I expect compensation.</t>
  </si>
  <si>
    <t xml:space="preserve">C0615</t>
  </si>
  <si>
    <t xml:space="preserve">My transfer has been pending for over a week. Also, i am unable to access my account to see my balance. Please sort this out.</t>
  </si>
  <si>
    <t xml:space="preserve">C0616</t>
  </si>
  <si>
    <t xml:space="preserve">This is the second time I have raised this. Your advisor gave me different answers on two separate calls. Also, i have been billed an annual fee I never agreed to. I expect compensation.</t>
  </si>
  <si>
    <t xml:space="preserve">C0617</t>
  </si>
  <si>
    <t xml:space="preserve">The terms were very different from what I was promised at the time of sale.</t>
  </si>
  <si>
    <t xml:space="preserve">C0618</t>
  </si>
  <si>
    <t xml:space="preserve">C0619</t>
  </si>
  <si>
    <t xml:space="preserve">My identity was stolen and a loan was taken out in my name. It has also been taking far too long. I would like a response in writing.</t>
  </si>
  <si>
    <t xml:space="preserve">C0620</t>
  </si>
  <si>
    <t xml:space="preserve">Frankly, I feel I was treated badly because of my age. It has also been taking far too long.</t>
  </si>
  <si>
    <t xml:space="preserve">C0621</t>
  </si>
  <si>
    <t xml:space="preserve">Hello, I cannot log in to the mobile app since the update. There was also a fee involved.</t>
  </si>
  <si>
    <t xml:space="preserve">C0622</t>
  </si>
  <si>
    <t xml:space="preserve">The app crashes every time I try to open my statements. Please escalate this.</t>
  </si>
  <si>
    <t xml:space="preserve">C0623</t>
  </si>
  <si>
    <t xml:space="preserve">I am writing to complain. A person pretending to be from your bank phoned me and I gave them details.</t>
  </si>
  <si>
    <t xml:space="preserve">C0624</t>
  </si>
  <si>
    <t xml:space="preserve">I have been a customer for years. I cannot log in to the mobile app since the update. Please escalate this.</t>
  </si>
  <si>
    <t xml:space="preserve">C0625</t>
  </si>
  <si>
    <t xml:space="preserve">C0626</t>
  </si>
  <si>
    <t xml:space="preserve">The website will not let me registe for online access.</t>
  </si>
  <si>
    <t xml:space="preserve">C0627</t>
  </si>
  <si>
    <t xml:space="preserve">I have been a customer for years. The payment still has not arrived in my account. Also, the fraud team closed my case without investigating properly. I want this put right.</t>
  </si>
  <si>
    <t xml:space="preserve">C0628</t>
  </si>
  <si>
    <t xml:space="preserve">Hello, I was sold a product that was not suitable for my circumstances. Also, my mortgage switch is taking far longer than you said it would.</t>
  </si>
  <si>
    <t xml:space="preserve">C0629</t>
  </si>
  <si>
    <t xml:space="preserve">The webchat agent ended the conversation without solving anything. I want this put right.</t>
  </si>
  <si>
    <t xml:space="preserve">C0630</t>
  </si>
  <si>
    <t xml:space="preserve">I am writing to complain. I sent the form twice and it seems to have been lost in the system. I would like a response in writing.</t>
  </si>
  <si>
    <t xml:space="preserve">C0631</t>
  </si>
  <si>
    <t xml:space="preserve">I have been a customer for years. There is an unexpected charge on my statement of £60.</t>
  </si>
  <si>
    <t xml:space="preserve">C0632</t>
  </si>
  <si>
    <t xml:space="preserve">A fake text message led me to a website and my money disappeared. I would like a response in writing.</t>
  </si>
  <si>
    <t xml:space="preserve">C0633</t>
  </si>
  <si>
    <t xml:space="preserve">I am writing to complain. The webchat agent ended the conversation without solving anything. I want this put right.</t>
  </si>
  <si>
    <t xml:space="preserve">C0634</t>
  </si>
  <si>
    <t xml:space="preserve">The paperwork was submitted a month ago and I am still waiting. There was also a fee involved. This is not acceptable.</t>
  </si>
  <si>
    <t xml:space="preserve">C0635</t>
  </si>
  <si>
    <t xml:space="preserve">I was tricked into moving savings to a safe account that was not safe. I do not think it was explained properly when I bought it.</t>
  </si>
  <si>
    <t xml:space="preserve">C0636</t>
  </si>
  <si>
    <t xml:space="preserve">To whom it may concern, The direct debit setup was delayed and I missed a bill because of it. I also spent ages on hold when I called about it.</t>
  </si>
  <si>
    <t xml:space="preserve">C0637</t>
  </si>
  <si>
    <t xml:space="preserve">There are transactions on my card I do not recognise.</t>
  </si>
  <si>
    <t xml:space="preserve">C0638</t>
  </si>
  <si>
    <t xml:space="preserve">Frankly, Nobody explained the foreign transaction charges before my holiday.</t>
  </si>
  <si>
    <t xml:space="preserve">C0639</t>
  </si>
  <si>
    <t xml:space="preserve">You promised the money within three working days and it is still outstanding. Also, the webchat agent ended the conversation without solving anything. Please escalate this.</t>
  </si>
  <si>
    <t xml:space="preserve">C0640</t>
  </si>
  <si>
    <t xml:space="preserve">Two factor codes are not being sent to my phone. There was also a fee involved. I would like a response in writing.</t>
  </si>
  <si>
    <t xml:space="preserve">C0641</t>
  </si>
  <si>
    <t xml:space="preserve">C0642</t>
  </si>
  <si>
    <t xml:space="preserve">Someone has made payments from my account that I did not authorise. I do not think it was explained properly when I bought it. I want this put right.</t>
  </si>
  <si>
    <t xml:space="preserve">C0643</t>
  </si>
  <si>
    <t xml:space="preserve">I was tricked into moving savings to a safe account that was not safe. I would like a response in writing.</t>
  </si>
  <si>
    <t xml:space="preserve">C0644</t>
  </si>
  <si>
    <t xml:space="preserve">Frankly, You took an overdraft fee even though I was within my limit. Also, i was tricked into moving savings to a safe account that was not safe. Please escalate this.</t>
  </si>
  <si>
    <t xml:space="preserve">C0645</t>
  </si>
  <si>
    <t xml:space="preserve">My card reader stopped working and I cannot approve payments. I expect compensation.</t>
  </si>
  <si>
    <t xml:space="preserve">C0646</t>
  </si>
  <si>
    <t xml:space="preserve">I have been a customer for years. Nobody explained the foreign transaction charges before my holiday. I would like a response in writing.</t>
  </si>
  <si>
    <t xml:space="preserve">C0647</t>
  </si>
  <si>
    <t xml:space="preserve">I have been a customer for years. The website will not let me register for online access. Please sort this out.</t>
  </si>
  <si>
    <t xml:space="preserve">C0648</t>
  </si>
  <si>
    <t xml:space="preserve">C0649</t>
  </si>
  <si>
    <t xml:space="preserve">I think I was the victim of a scam and sent money to a fraudster.</t>
  </si>
  <si>
    <t xml:space="preserve">C0650</t>
  </si>
  <si>
    <t xml:space="preserve">C0651</t>
  </si>
  <si>
    <t xml:space="preserve">This is the second time I have raised this. The password reset keeps failing and I am locked out. Also, the terms were very different from what I was promised at the time of sale.</t>
  </si>
  <si>
    <t xml:space="preserve">C0652</t>
  </si>
  <si>
    <t xml:space="preserve">I am writing to complain. I keep getting an error message when I sign in. I would like a response in writing.</t>
  </si>
  <si>
    <t xml:space="preserve">C0653</t>
  </si>
  <si>
    <t xml:space="preserve">C0654</t>
  </si>
  <si>
    <t xml:space="preserve">To whom it may concern, My card was cloned and used abroad. I could not log in to check either.</t>
  </si>
  <si>
    <t xml:space="preserve">C0655</t>
  </si>
  <si>
    <t xml:space="preserve">I have been a customer for years. My account was frozen and I cannot get in to move money. I would like a response in writing.</t>
  </si>
  <si>
    <t xml:space="preserve">C0656</t>
  </si>
  <si>
    <t xml:space="preserve">The account maintenance fee was taken twice this month. Also, i asked for a callback and it never happened. This is not acceptable.</t>
  </si>
  <si>
    <t xml:space="preserve">C0657</t>
  </si>
  <si>
    <t xml:space="preserve">This is the second time I have raised this. The payment still has not arrived in my account.</t>
  </si>
  <si>
    <t xml:space="preserve">C0658</t>
  </si>
  <si>
    <t xml:space="preserve">C0659</t>
  </si>
  <si>
    <t xml:space="preserve">To whom it may concern, My application has been stuck for weeks with no progress.</t>
  </si>
  <si>
    <t xml:space="preserve">C0660</t>
  </si>
  <si>
    <t xml:space="preserve">I am writing to complain. I feel I was treated badly because of my age. I want this put right.</t>
  </si>
  <si>
    <t xml:space="preserve">C0661</t>
  </si>
  <si>
    <t xml:space="preserve">I have had enough of the way this has gone. Please escalae this.</t>
  </si>
  <si>
    <t xml:space="preserve">C0662</t>
  </si>
  <si>
    <t xml:space="preserve">The paperwork was submitted a month ago and I am still waiting.</t>
  </si>
  <si>
    <t xml:space="preserve">C0663</t>
  </si>
  <si>
    <t xml:space="preserve">Hello, I was told this policy covered e but my claim was rejected. There was also a fee involved. I would like a response in writing.</t>
  </si>
  <si>
    <t xml:space="preserve">C0664</t>
  </si>
  <si>
    <t xml:space="preserve">My card reader stopped working and I cannot approve payments. I would like a response in writing.</t>
  </si>
  <si>
    <t xml:space="preserve">C0665</t>
  </si>
  <si>
    <t xml:space="preserve">I have been a customer for years. The webchat agent ended the conversation without solving anything. I am worried it might be fraud. Please sort this out.</t>
  </si>
  <si>
    <t xml:space="preserve">C0666</t>
  </si>
  <si>
    <t xml:space="preserve">I was told this policy covered me but my claim was rejected.</t>
  </si>
  <si>
    <t xml:space="preserve">C0667</t>
  </si>
  <si>
    <t xml:space="preserve">Frankly, The direct debit setup was delayed and I missed a bill because of it.</t>
  </si>
  <si>
    <t xml:space="preserve">C0668</t>
  </si>
  <si>
    <t xml:space="preserve">This is the second time I have raised this. I reported the unauthorised payment but you refused to reimburse me. Also, why has my interest rate gone up without notice, it is costing me more every month. Please sort this out.</t>
  </si>
  <si>
    <t xml:space="preserve">C0669</t>
  </si>
  <si>
    <t xml:space="preserve">Nobody explained the foreign transaction charges before my holiday. I do not think it was explained properly when I bought it. I want this put right.</t>
  </si>
  <si>
    <t xml:space="preserve">C0670</t>
  </si>
  <si>
    <t xml:space="preserve">To whom it may concern, The brochure said guaranteed returns and my money has lost value. Please escalate this.</t>
  </si>
  <si>
    <t xml:space="preserve">C0671</t>
  </si>
  <si>
    <t xml:space="preserve">A person pretending to be from your bank phoned me and I gave them details. Also, the direct debit setup was delayed and I missed a bill because of it. Please escalate this.</t>
  </si>
  <si>
    <t xml:space="preserve">C0672</t>
  </si>
  <si>
    <t xml:space="preserve">The costs keep creeping up and my balance is lower than it should be. I want this put right.</t>
  </si>
  <si>
    <t xml:space="preserve">C0673</t>
  </si>
  <si>
    <t xml:space="preserve">Frankly, I was charged a monthly fee that nobody told me about. I would like a response in writing.</t>
  </si>
  <si>
    <t xml:space="preserve">C0674</t>
  </si>
  <si>
    <t xml:space="preserve">To whom it may concern, The terms were very different from what I was promised at the time of sale. I also spent ages on hold when I called about it. I want this put right.</t>
  </si>
  <si>
    <t xml:space="preserve">C0675</t>
  </si>
  <si>
    <t xml:space="preserve">Frankly, The payment still has not arrived in my account.</t>
  </si>
  <si>
    <t xml:space="preserve">C0676</t>
  </si>
  <si>
    <t xml:space="preserve">My card reader stopped working and I cannot approve payments. Also, the account maintenance fee was taken twice this month. I would like a response in writing.</t>
  </si>
  <si>
    <t xml:space="preserve">C0677</t>
  </si>
  <si>
    <t xml:space="preserve">This is the second time I have raised this. I was sold a product that was not suitable for my circumstances. It has also been taking far too long. Please sort this out.</t>
  </si>
  <si>
    <t xml:space="preserve">C0678</t>
  </si>
  <si>
    <t xml:space="preserve">C0679</t>
  </si>
  <si>
    <t xml:space="preserve">I am writing to complain. The adviser did not explain the risks of the investment.</t>
  </si>
  <si>
    <t xml:space="preserve">C0680</t>
  </si>
  <si>
    <t xml:space="preserve">This is the second time I have raised this. Why has my interest rate gone up without notice, it is costing me more every month.</t>
  </si>
  <si>
    <t xml:space="preserve">C0681</t>
  </si>
  <si>
    <t xml:space="preserve">This is the second time I have raised this. The terms were very different from what I was promised at the time of sale. I also spent ages on hold when I called about it. Please sort this out.</t>
  </si>
  <si>
    <t xml:space="preserve">C0682</t>
  </si>
  <si>
    <t xml:space="preserve">This is the second time I have raised this. The staff member was rude and dismissive when I called. Also, i keep getting an error message when I sign in.</t>
  </si>
  <si>
    <t xml:space="preserve">C0683</t>
  </si>
  <si>
    <t xml:space="preserve">I think I was the victim of a scam and sent money to a fraudster. It has also been taking far too long. Please escalate this.</t>
  </si>
  <si>
    <t xml:space="preserve">C0684</t>
  </si>
  <si>
    <t xml:space="preserve">I have been a customer for years. Nobody explained the foreign transaction charges before my holiday. I could not log in to check either.</t>
  </si>
  <si>
    <t xml:space="preserve">C0685</t>
  </si>
  <si>
    <t xml:space="preserve">C0686</t>
  </si>
  <si>
    <t xml:space="preserve">Hello, The direct debit setup was delayed and I missed a bill because of it. This is not acceptable.</t>
  </si>
  <si>
    <t xml:space="preserve">C0687</t>
  </si>
  <si>
    <t xml:space="preserve">My online banking is locked and the reset link never arrves. Also, the complaints handler was unhelpful and talked over me. Please sort this out.</t>
  </si>
  <si>
    <t xml:space="preserve">C0688</t>
  </si>
  <si>
    <t xml:space="preserve">The branch manager would not listen to my concerns. I could not log in to check either.</t>
  </si>
  <si>
    <t xml:space="preserve">C0689</t>
  </si>
  <si>
    <t xml:space="preserve">Frankly, I was tricked into moving savings to a safe account that was not safe. I also spent ages on hold when I called about it.</t>
  </si>
  <si>
    <t xml:space="preserve">C0690</t>
  </si>
  <si>
    <t xml:space="preserve">There are transactions on my card I do not recognise. Also, there is an unexpected charge on my statement of £15. Please sort this out.</t>
  </si>
  <si>
    <t xml:space="preserve">C0691</t>
  </si>
  <si>
    <t xml:space="preserve">My card was cloned and used abroad.</t>
  </si>
  <si>
    <t xml:space="preserve">C0692</t>
  </si>
  <si>
    <t xml:space="preserve">To whom it may concern, The closure of my old account has dragged on for months.</t>
  </si>
  <si>
    <t xml:space="preserve">C0693</t>
  </si>
  <si>
    <t xml:space="preserve">This is the second time I have raised this. Why has my interest rate gone up without notice, it is costing me more every month. It has also been taking far too long. Please sort this out.</t>
  </si>
  <si>
    <t xml:space="preserve">C0694</t>
  </si>
  <si>
    <t xml:space="preserve">Frankly, I asked for a callback and it never happened. Also, the paperwork was submitted a month ago and I am still waiting.</t>
  </si>
  <si>
    <t xml:space="preserve">C0695</t>
  </si>
  <si>
    <t xml:space="preserve">I was misled about what the insurance actually included. Also, i spent an hour on hold and then the call was cut off. This is not acceptable.</t>
  </si>
  <si>
    <t xml:space="preserve">C0696</t>
  </si>
  <si>
    <t xml:space="preserve">I am writing to complain. Nobody has responded to my emails despite three reminders.</t>
  </si>
  <si>
    <t xml:space="preserve">C0697</t>
  </si>
  <si>
    <t xml:space="preserve">Frankly, The staff member was rude and dismissive when I called. Also, i keep getting an error message when I sign in. I want this put right.</t>
  </si>
  <si>
    <t xml:space="preserve">C0698</t>
  </si>
  <si>
    <t xml:space="preserve">C0699</t>
  </si>
  <si>
    <t xml:space="preserve">To whom it may concern, The brochure said guaranteed returns and my money has lost value. This is not acceptable.</t>
  </si>
  <si>
    <t xml:space="preserve">C0700</t>
  </si>
  <si>
    <t xml:space="preserve">The adviser did not explain the risks of the investment. There was also a fee involved. I would like a response in writing.</t>
  </si>
  <si>
    <t xml:space="preserve">C0701</t>
  </si>
  <si>
    <t xml:space="preserve">I am writing to complain. You promised the money within three working days and it is still outstanding. I want this put right.</t>
  </si>
  <si>
    <t xml:space="preserve">C0702</t>
  </si>
  <si>
    <t xml:space="preserve">This has caused me a lot of stress and I want answers. Please escalate this.</t>
  </si>
  <si>
    <t xml:space="preserve">C0703</t>
  </si>
  <si>
    <t xml:space="preserve">There is an unexpected charge on my statement of £48. Also, the adviser did not explain the risks of the investment. This is not acceptable.</t>
  </si>
  <si>
    <t xml:space="preserve">C0704</t>
  </si>
  <si>
    <t xml:space="preserve">Frankly, The salesperson pushed me into a plan I did not need. I want this put right.</t>
  </si>
  <si>
    <t xml:space="preserve">C0705</t>
  </si>
  <si>
    <t xml:space="preserve">C0706</t>
  </si>
  <si>
    <t xml:space="preserve">To whom it may concern, Two factor codes are not being sent to my phone. Please escalate this.</t>
  </si>
  <si>
    <t xml:space="preserve">C0707</t>
  </si>
  <si>
    <t xml:space="preserve">I have been a cusomer for years. My application has been stuck for weeks with no progress.</t>
  </si>
  <si>
    <t xml:space="preserve">C0708</t>
  </si>
  <si>
    <t xml:space="preserve">Frankly, You promised the money within three working days and it is still outstanding. I do not think it was explained properly when I bought it. I would like a response in writing.</t>
  </si>
  <si>
    <t xml:space="preserve">C0709</t>
  </si>
  <si>
    <t xml:space="preserve">I have been a customer for years. I was advised to take out cover that duplicates what I already had.</t>
  </si>
  <si>
    <t xml:space="preserve">C0710</t>
  </si>
  <si>
    <t xml:space="preserve">A late payment fee appeared and I want it refunded. Also, the webchat agent ended the conversation without solving anything. Please escalate this.</t>
  </si>
  <si>
    <t xml:space="preserve">C0711</t>
  </si>
  <si>
    <t xml:space="preserve">I am writing to complain. The pension transfer advice I received was poor and I have lost out.</t>
  </si>
  <si>
    <t xml:space="preserve">C0712</t>
  </si>
  <si>
    <t xml:space="preserve">The account maintenance fee was taken twice this month. I want this put right.</t>
  </si>
  <si>
    <t xml:space="preserve">C0713</t>
  </si>
  <si>
    <t xml:space="preserve">To whom it may concern, The account maintenance fee was taken twice this month. I could not log in to check either. I expect compensation.</t>
  </si>
  <si>
    <t xml:space="preserve">C0714</t>
  </si>
  <si>
    <t xml:space="preserve">The terms were very different from what I was promised at the time of sale. Please sort this out.</t>
  </si>
  <si>
    <t xml:space="preserve">C0715</t>
  </si>
  <si>
    <t xml:space="preserve">To whom it may concern, The brochure said guaranteed returns and my money has lost value. It has also been taking far too long.</t>
  </si>
  <si>
    <t xml:space="preserve">C0716</t>
  </si>
  <si>
    <t xml:space="preserve">This is the second time I have raised this. My application has been stuck for weeks with no progress. Also, your advisor gave me different answers on two separate calls. This is not acceptable.</t>
  </si>
  <si>
    <t xml:space="preserve">C0717</t>
  </si>
  <si>
    <t xml:space="preserve">To whom it may concern, Nobody has responded to my emails despite three reminders. Also, i am unable to access my account to see my balance. Please sort this out.</t>
  </si>
  <si>
    <t xml:space="preserve">C0718</t>
  </si>
  <si>
    <t xml:space="preserve">Nobody checked whether I could afford the credit agreement. Also, my account was frozen and I cannot get in to move money.</t>
  </si>
  <si>
    <t xml:space="preserve">C0719</t>
  </si>
  <si>
    <t xml:space="preserve">This is the second time I have raised this. My transfer has been pending for over a week. Also, the terms were very different from what I was promised at the time of sale. This is not acceptable.</t>
  </si>
  <si>
    <t xml:space="preserve">C0720</t>
  </si>
  <si>
    <t xml:space="preserve">Hello, My account was frozen and I cannot get in to move money.</t>
  </si>
  <si>
    <t xml:space="preserve">C0721</t>
  </si>
  <si>
    <t xml:space="preserve">Hello, I am unable to access my account to see my balance. I would like a response in writing.</t>
  </si>
  <si>
    <t xml:space="preserve">C0722</t>
  </si>
  <si>
    <t xml:space="preserve">I cannot log in to the mobile app since the update. I am worried it ight be fraud. I expect compensation.</t>
  </si>
  <si>
    <t xml:space="preserve">C0723</t>
  </si>
  <si>
    <t xml:space="preserve">To whom it may concern, It has taken six weeks to process my claim and nobody has updated me. I would like a response in writing.</t>
  </si>
  <si>
    <t xml:space="preserve">C0724</t>
  </si>
  <si>
    <t xml:space="preserve">Hello, The website will not let me register for online acces. I would like a response in writing.</t>
  </si>
  <si>
    <t xml:space="preserve">C0725</t>
  </si>
  <si>
    <t xml:space="preserve">I have had enough of the way this has gone. Please sort this out.</t>
  </si>
  <si>
    <t xml:space="preserve">C0726</t>
  </si>
  <si>
    <t xml:space="preserve">The app crashes every time I try to open my statements. There was also a fee involved.</t>
  </si>
  <si>
    <t xml:space="preserve">C0727</t>
  </si>
  <si>
    <t xml:space="preserve">I have been a customer for years. The fraud team closed my case without investigating properly. Please sort this out.</t>
  </si>
  <si>
    <t xml:space="preserve">C0728</t>
  </si>
  <si>
    <t xml:space="preserve">Frankly, I spent an hour on hold and then the call was cut off. Also, my application has been stuck for weeks with no progress. I want this put right.</t>
  </si>
  <si>
    <t xml:space="preserve">C0729</t>
  </si>
  <si>
    <t xml:space="preserve">My application has been stuck for weeks with no progress. Also, i was tricked into moving savings to a safe account that was not safe. Please escalate this.</t>
  </si>
  <si>
    <t xml:space="preserve">C0730</t>
  </si>
  <si>
    <t xml:space="preserve">I am writing to complain. My transfer has been pending for over a week. Also, the staff member was rude and dismissive when I called. Please escalate this.</t>
  </si>
  <si>
    <t xml:space="preserve">C0731</t>
  </si>
  <si>
    <t xml:space="preserve">Hello, I feel I was treated badly because of my age. Also, a late payment fee appeared and I want it refunded.</t>
  </si>
  <si>
    <t xml:space="preserve">C0732</t>
  </si>
  <si>
    <t xml:space="preserve">Frankly, My transfer has been pending for over a week. Please sort this out.</t>
  </si>
  <si>
    <t xml:space="preserve">C0733</t>
  </si>
  <si>
    <t xml:space="preserve">The complaints handler was unhelpful and talked over me. I could not log in to check either. I would like a response in writing.</t>
  </si>
  <si>
    <t xml:space="preserve">C0734</t>
  </si>
  <si>
    <t xml:space="preserve">There is an unexpected charge on my statement of £48. I would like a response in writing.</t>
  </si>
  <si>
    <t xml:space="preserve">C0735</t>
  </si>
  <si>
    <t xml:space="preserve">I am very unhappy with how this has been handled.</t>
  </si>
  <si>
    <t xml:space="preserve">C0736</t>
  </si>
  <si>
    <t xml:space="preserve">C0737</t>
  </si>
  <si>
    <t xml:space="preserve">The staff member was rude and dismissive when I called.</t>
  </si>
  <si>
    <t xml:space="preserve">C0738</t>
  </si>
  <si>
    <t xml:space="preserve">The password reset keeps failing and I am locked out. Also, nobody checked whether I could afford the credit agreement.</t>
  </si>
  <si>
    <t xml:space="preserve">C0739</t>
  </si>
  <si>
    <t xml:space="preserve">Frankly, I have been billed an annual fee I never agreed to. I expect compensation.</t>
  </si>
  <si>
    <t xml:space="preserve">C0740</t>
  </si>
  <si>
    <t xml:space="preserve">To whom it may concern, I was charged a monthly fee that nobody told me about.</t>
  </si>
  <si>
    <t xml:space="preserve">C0741</t>
  </si>
  <si>
    <t xml:space="preserve">The closure of my old account has dragged on for months. I could not log in to check either. Please sort this out.</t>
  </si>
  <si>
    <t xml:space="preserve">C0742</t>
  </si>
  <si>
    <t xml:space="preserve">My account was frozen and I cannot get in to move money.</t>
  </si>
  <si>
    <t xml:space="preserve">C0743</t>
  </si>
  <si>
    <t xml:space="preserve">The salesperson pushed me into a plan I did not need. This is not acceptable.</t>
  </si>
  <si>
    <t xml:space="preserve">C0744</t>
  </si>
  <si>
    <t xml:space="preserve">Frankly, I was charged a monthly fee that nobody told me about. I also spent ages on hold when I called about it. This is not acceptable.</t>
  </si>
  <si>
    <t xml:space="preserve">C0745</t>
  </si>
  <si>
    <t xml:space="preserve">The webchat agent ended the conversation without solving anything. There was also a fee involved. I want this put right.</t>
  </si>
  <si>
    <t xml:space="preserve">C0746</t>
  </si>
  <si>
    <t xml:space="preserve">C0747</t>
  </si>
  <si>
    <t xml:space="preserve">I have been a customer for years. The complaints handler was unhelpful and talked over me. Also, i was hit with a penalty charge for a payment I made on time. I expect compensation.</t>
  </si>
  <si>
    <t xml:space="preserve">C0748</t>
  </si>
  <si>
    <t xml:space="preserve">C0749</t>
  </si>
  <si>
    <t xml:space="preserve">I was hit with a penalty charge for a payment I made on time. I am worried it might be fraud. I expect compensation.</t>
  </si>
  <si>
    <t xml:space="preserve">C0750</t>
  </si>
  <si>
    <t xml:space="preserve">Hello, The closure of my old account has dragged on for months.</t>
  </si>
  <si>
    <t xml:space="preserve">C0751</t>
  </si>
  <si>
    <t xml:space="preserve">Hello, I was hit with a penalty charge for a payment I made on time. Also, the pension transfer advice I received was poor and I have lost out.</t>
  </si>
  <si>
    <t xml:space="preserve">C0752</t>
  </si>
  <si>
    <t xml:space="preserve">Nothing has been done and I am losing patience. This is not acceptable.</t>
  </si>
  <si>
    <t xml:space="preserve">C0753</t>
  </si>
  <si>
    <t xml:space="preserve">I was misled about what the insurance actually included. I am worried it might be fraud. Please sort this out.</t>
  </si>
  <si>
    <t xml:space="preserve">C0754</t>
  </si>
  <si>
    <t xml:space="preserve">To whom it may concern, The account maintenance fee was taken twice this month. I could not log in to check either.</t>
  </si>
  <si>
    <t xml:space="preserve">C0755</t>
  </si>
  <si>
    <t xml:space="preserve">C0756</t>
  </si>
  <si>
    <t xml:space="preserve">Frankly, I was charged a monthly fee that nobody told me about. Also, i feel I was treated badly ecause of my age. I want this put right.</t>
  </si>
  <si>
    <t xml:space="preserve">C0757</t>
  </si>
  <si>
    <t xml:space="preserve">I have been a customer for years. The password reset keeps failing and I am locked out.</t>
  </si>
  <si>
    <t xml:space="preserve">C0758</t>
  </si>
  <si>
    <t xml:space="preserve">Frankly, There are transactions on my card I do not recognise. Please escalate this.</t>
  </si>
  <si>
    <t xml:space="preserve">C0759</t>
  </si>
  <si>
    <t xml:space="preserve">I was charged a monthly fee that nobody told me about. It has also been taking far too long.</t>
  </si>
  <si>
    <t xml:space="preserve">C0760</t>
  </si>
  <si>
    <t xml:space="preserve">Nobody explained the foreig transaction charges before my holiday.</t>
  </si>
  <si>
    <t xml:space="preserve">C0761</t>
  </si>
  <si>
    <t xml:space="preserve">C0762</t>
  </si>
  <si>
    <t xml:space="preserve">I have been a customer for years. I have been billed an annual fee I never agreed to. Please sort this out.</t>
  </si>
  <si>
    <t xml:space="preserve">C0763</t>
  </si>
  <si>
    <t xml:space="preserve">This is the second time I have raised this. The fraud team closed my case without investigating properly. Also, the direct debit setup was delayed and I missed a bill because of it. This is not acceptable.</t>
  </si>
  <si>
    <t xml:space="preserve">C0764</t>
  </si>
  <si>
    <t xml:space="preserve">The payment still has not arrived in my account. Also, i was advised to take out cover that duplicates what I already had.</t>
  </si>
  <si>
    <t xml:space="preserve">C0765</t>
  </si>
  <si>
    <t xml:space="preserve">My online banking is locked and the reset link never arrives. Also, nobody has responded to my emails despite three reminders. I would like a response in writing.</t>
  </si>
  <si>
    <t xml:space="preserve">C0766</t>
  </si>
  <si>
    <t xml:space="preserve">This is the second time I have raised this. There is an unexpected charge on my statement of £25. It has also been taking far too long. I would like a response in writing.</t>
  </si>
  <si>
    <t xml:space="preserve">C0767</t>
  </si>
  <si>
    <t xml:space="preserve">My online banking is locked and the reset link never arrives. I expect compensation.</t>
  </si>
  <si>
    <t xml:space="preserve">C0768</t>
  </si>
  <si>
    <t xml:space="preserve">C0769</t>
  </si>
  <si>
    <t xml:space="preserve">I am writing to complain. The direct debit setup was delayed and I missed a bill because of it. Please escalate this.</t>
  </si>
  <si>
    <t xml:space="preserve">C0770</t>
  </si>
  <si>
    <t xml:space="preserve">I have been a customer for years. You took an overdraft fee even though I was within my limit. Also, my account was frozen and I cannot get in to move money. This is not acceptable.</t>
  </si>
  <si>
    <t xml:space="preserve">C0771</t>
  </si>
  <si>
    <t xml:space="preserve">I am writing to complain. I cannot log in to the mobile app since the update. Also, a fake text message led me to a website and my money disappeared. I expect compensation.</t>
  </si>
  <si>
    <t xml:space="preserve">C0772</t>
  </si>
  <si>
    <t xml:space="preserve">Hello, I cannot log in to the mobile app since the update. Also, my identity was stolen and a loan was taken out in my name.</t>
  </si>
  <si>
    <t xml:space="preserve">C0773</t>
  </si>
  <si>
    <t xml:space="preserve">Frankly, I reported the unauthorised payment but you refused to reimburse me. Also, the branch manager would not listen to my concerns. Please escalate this.</t>
  </si>
  <si>
    <t xml:space="preserve">C0774</t>
  </si>
  <si>
    <t xml:space="preserve">The staff member was rude and dismissive when I called. Also, the closure of my old account has dragged on for months. Please sort this out.</t>
  </si>
  <si>
    <t xml:space="preserve">C0775</t>
  </si>
  <si>
    <t xml:space="preserve">I am writing to complain. It has taken six weeks to process my claim and nobody has updated me.</t>
  </si>
  <si>
    <t xml:space="preserve">C0776</t>
  </si>
  <si>
    <t xml:space="preserve">C0777</t>
  </si>
  <si>
    <t xml:space="preserve">I have been a customer for years. I was misled about what the insurance actually included.</t>
  </si>
  <si>
    <t xml:space="preserve">C0778</t>
  </si>
  <si>
    <t xml:space="preserve">I am writing to complain. I asked for a callback and it never happened. There was also a fee involved. Please sort this out.</t>
  </si>
  <si>
    <t xml:space="preserve">C0779</t>
  </si>
  <si>
    <t xml:space="preserve">I was sold a product that was not suitable for my circumstances. I want this put right.</t>
  </si>
  <si>
    <t xml:space="preserve">C0780</t>
  </si>
  <si>
    <t xml:space="preserve">This is the second time I have raised this. I have been billed an annual fee I never agreed to. Also, i think I was the victim of a scam and sent money to a fraudster.</t>
  </si>
  <si>
    <t xml:space="preserve">C0781</t>
  </si>
  <si>
    <t xml:space="preserve">Hello, The website will not let me register for online access. There was also a fee involved.</t>
  </si>
  <si>
    <t xml:space="preserve">C0782</t>
  </si>
  <si>
    <t xml:space="preserve">The branch manager would not listen to my concerns. I expect compensation.</t>
  </si>
  <si>
    <t xml:space="preserve">C0783</t>
  </si>
  <si>
    <t xml:space="preserve">I have been a customer for years. I was tricked into moving savings to a safe account that was not safe. I could not log in to check either. I want this put right.</t>
  </si>
  <si>
    <t xml:space="preserve">C0784</t>
  </si>
  <si>
    <t xml:space="preserve">Someone has made payments from my account that I did not authorise.</t>
  </si>
  <si>
    <t xml:space="preserve">C0785</t>
  </si>
  <si>
    <t xml:space="preserve">This is the second time I have raised this. I was misled about what the insurance actually included. There was also a fee involved. I expect compensation.</t>
  </si>
  <si>
    <t xml:space="preserve">C0786</t>
  </si>
  <si>
    <t xml:space="preserve">I have been a customer for years. The website will not let me register for online access. I expect compensation.</t>
  </si>
  <si>
    <t xml:space="preserve">C0787</t>
  </si>
  <si>
    <t xml:space="preserve">To whom it may concern, A late payment fee appeared and I want it refunded. I do not think it was explained properly when I bought it. Please sort this out.</t>
  </si>
  <si>
    <t xml:space="preserve">C0788</t>
  </si>
  <si>
    <t xml:space="preserve">Hello, Nobody explained the foreign transaction charges before my holiday. I am worried it might be fraud. Please escalate this.</t>
  </si>
  <si>
    <t xml:space="preserve">C0789</t>
  </si>
  <si>
    <t xml:space="preserve">This is the second time I have raised this. My card reader stopped working and I cannot approve payments. Please escalate this.</t>
  </si>
  <si>
    <t xml:space="preserve">C0790</t>
  </si>
  <si>
    <t xml:space="preserve">The adviser did not explain the risks of the investment. Also, my online banking is locked and the reset link never arrives. Please escalate this.</t>
  </si>
  <si>
    <t xml:space="preserve">C0791</t>
  </si>
  <si>
    <t xml:space="preserve">To whom it may concern, I keep getting an error message when I sign in.</t>
  </si>
  <si>
    <t xml:space="preserve">C0792</t>
  </si>
  <si>
    <t xml:space="preserve">I have been a customer for years. There is an unexpected charge on my statement of £15. Please sort this out.</t>
  </si>
  <si>
    <t xml:space="preserve">C0793</t>
  </si>
  <si>
    <t xml:space="preserve">C0794</t>
  </si>
  <si>
    <t xml:space="preserve">To whom it may concern, The staff member was rude and dismissive when I called. Also, the app crashes every time I try to open my statements.</t>
  </si>
  <si>
    <t xml:space="preserve">C0795</t>
  </si>
  <si>
    <t xml:space="preserve">C0796</t>
  </si>
  <si>
    <t xml:space="preserve">The branch manager would not listen to my concerns. Also, the salesperson pushed me into a plan I did not need. Please sort this out.</t>
  </si>
  <si>
    <t xml:space="preserve">C0797</t>
  </si>
  <si>
    <t xml:space="preserve">I am writing to complain. I was advised to take out cover that duplicates what I already had. It has also been taking far too long. I would like a response in writing.</t>
  </si>
  <si>
    <t xml:space="preserve">C0798</t>
  </si>
  <si>
    <t xml:space="preserve">Hello, The pension transfer advice I received was poor and I have lost out.</t>
  </si>
  <si>
    <t xml:space="preserve">C0799</t>
  </si>
  <si>
    <t xml:space="preserve">C0800</t>
  </si>
  <si>
    <t xml:space="preserve">Hello, I was passed between four departments and no one took ownership. Also, there are transactions on my card I do not recognise. This is not acceptable.</t>
  </si>
  <si>
    <t xml:space="preserve">C0801</t>
  </si>
  <si>
    <t xml:space="preserve">To whom it may concern, I was misled about what the insurance actually included. Please escalate this.</t>
  </si>
  <si>
    <t xml:space="preserve">C0802</t>
  </si>
  <si>
    <t xml:space="preserve">C0803</t>
  </si>
  <si>
    <t xml:space="preserve">I am writing to complain. My mortgage switch is taking far longer than you said it would. Also, i was sold a product that was not suitable for my circumstances.</t>
  </si>
  <si>
    <t xml:space="preserve">C0804</t>
  </si>
  <si>
    <t xml:space="preserve">Hello, I was sold a product that was not suitable for my circumstances.</t>
  </si>
  <si>
    <t xml:space="preserve">C0805</t>
  </si>
  <si>
    <t xml:space="preserve">It has taken six weeks to process my claim and nobody has updated me. I could not log in to check either. Please escalate this.</t>
  </si>
  <si>
    <t xml:space="preserve">C0806</t>
  </si>
  <si>
    <t xml:space="preserve">This is the second time I have raised this. The pament still has not arrived in my account. I expect compensation.</t>
  </si>
  <si>
    <t xml:space="preserve">C0807</t>
  </si>
  <si>
    <t xml:space="preserve">To whm it may concern, There is an unexpected charge on my statement of £25. Also, there are transactions on my card I do not recognise. Please escalate this.</t>
  </si>
  <si>
    <t xml:space="preserve">C0808</t>
  </si>
  <si>
    <t xml:space="preserve">Frankly, I cannot log in to the mobile app since the update. I expect compensation.</t>
  </si>
  <si>
    <t xml:space="preserve">C0809</t>
  </si>
  <si>
    <t xml:space="preserve">This is the second time I have raised this. I think I was the victim of a scam and sent money to a fraudster. Also, the webchat agent ended the conversation without solving anything. I want this put right.</t>
  </si>
  <si>
    <t xml:space="preserve">C0810</t>
  </si>
  <si>
    <t xml:space="preserve">Frankly, A person pretending to be from your bank phoned me and I gave them details. Also, a late payment fee appeared and I want it refunded.</t>
  </si>
  <si>
    <t xml:space="preserve">C0811</t>
  </si>
  <si>
    <t xml:space="preserve">I am writing to complain. I was misled about what the insurance actually included. I expect compensation.</t>
  </si>
  <si>
    <t xml:space="preserve">C0812</t>
  </si>
  <si>
    <t xml:space="preserve">This is the second time I have raised this. The website will not let me register for online access. I want this put right.</t>
  </si>
  <si>
    <t xml:space="preserve">C0813</t>
  </si>
  <si>
    <t xml:space="preserve">I was tricked into moving savings to a safe account that was not safe. This is not acceptable.</t>
  </si>
  <si>
    <t xml:space="preserve">C0814</t>
  </si>
  <si>
    <t xml:space="preserve">The paperwork was submitted a month ago and I am still waiting. Please sort this out.</t>
  </si>
  <si>
    <t xml:space="preserve">C0815</t>
  </si>
  <si>
    <t xml:space="preserve">C0816</t>
  </si>
  <si>
    <t xml:space="preserve">The account maintenance fee was taken twice this month. Also, i feel I was treated badly because of my age. Please escalate this.</t>
  </si>
  <si>
    <t xml:space="preserve">C0817</t>
  </si>
  <si>
    <t xml:space="preserve">I have been billed an annual fee I never agreed to. It has also been taking far too long.</t>
  </si>
  <si>
    <t xml:space="preserve">C0818</t>
  </si>
  <si>
    <t xml:space="preserve">A late payment fee appeared and I want it refunded. I also spent ages on hold when I called about it. I want this put right.</t>
  </si>
  <si>
    <t xml:space="preserve">C0819</t>
  </si>
  <si>
    <t xml:space="preserve">C0820</t>
  </si>
  <si>
    <t xml:space="preserve">Hello, The adviser did not explain the risks of the investment. Also, you promised the money within three working days and it is still outstanding.</t>
  </si>
  <si>
    <t xml:space="preserve">C0821</t>
  </si>
  <si>
    <t xml:space="preserve">Frankly, The brochure said guaranteed returns and my money has lost value. Please escalate this.</t>
  </si>
  <si>
    <t xml:space="preserve">C0822</t>
  </si>
  <si>
    <t xml:space="preserve">Nobody explained the foreign transaction charges before my holiday. I would like a response in writing.</t>
  </si>
  <si>
    <t xml:space="preserve">C0823</t>
  </si>
  <si>
    <t xml:space="preserve">I am writing to complain. My identity was stolen and a loan was taken out in my name. I expect compensation.</t>
  </si>
  <si>
    <t xml:space="preserve">C0824</t>
  </si>
  <si>
    <t xml:space="preserve">I have been a customer for years. My account was frozen and I cannot get in to move money. I do not think it was explained properly when I bought it. I want this put right.</t>
  </si>
  <si>
    <t xml:space="preserve">C0825</t>
  </si>
  <si>
    <t xml:space="preserve">To whom it may concern, The staff member was rude and dismissive when I called. Also, i cannot log in to the mobile app since the update. I want this put right.</t>
  </si>
  <si>
    <t xml:space="preserve">C0826</t>
  </si>
  <si>
    <t xml:space="preserve">I keep getting an error message when I sign in. Also, you took an overdraft fee even though I was within my limit. This is not acceptable.</t>
  </si>
  <si>
    <t xml:space="preserve">C0827</t>
  </si>
  <si>
    <t xml:space="preserve">I have been a customer for years. I sent the form twice and it seems to have been lost in the system.</t>
  </si>
  <si>
    <t xml:space="preserve">C0828</t>
  </si>
  <si>
    <t xml:space="preserve">C0829</t>
  </si>
  <si>
    <t xml:space="preserve">I am very uhappy with how this has been handled.</t>
  </si>
  <si>
    <t xml:space="preserve">C0830</t>
  </si>
  <si>
    <t xml:space="preserve">The staff member was rude and dismissive when I called. I want this put right.</t>
  </si>
  <si>
    <t xml:space="preserve">C0831</t>
  </si>
  <si>
    <t xml:space="preserve">Hello, My card was cloned and used abroad.</t>
  </si>
  <si>
    <t xml:space="preserve">C0832</t>
  </si>
  <si>
    <t xml:space="preserve">Frankly, I reported the unauthorised payment but you refused to reimburse me. Also, there is an unexpected charge on my statement of £25. Please sort this out.</t>
  </si>
  <si>
    <t xml:space="preserve">C0833</t>
  </si>
  <si>
    <t xml:space="preserve">I was misled about what the insurance actually included. Also, a person pretending to be from your bank phoned me and I gave them details.</t>
  </si>
  <si>
    <t xml:space="preserve">C0834</t>
  </si>
  <si>
    <t xml:space="preserve">I have been a customer for years. The closure of my old account has dragged on for months. Also, i asked for a callback and it never happened. Please sort this out.</t>
  </si>
  <si>
    <t xml:space="preserve">C0835</t>
  </si>
  <si>
    <t xml:space="preserve">Hello, My card reader stopped working and I cannot approve payments. I am worried it might be fraud. Please escalate this.</t>
  </si>
  <si>
    <t xml:space="preserve">C0836</t>
  </si>
  <si>
    <t xml:space="preserve">I have had enough of the way this has gone. This is not acceptable.</t>
  </si>
  <si>
    <t xml:space="preserve">C0837</t>
  </si>
  <si>
    <t xml:space="preserve">Frankly, The costs keep creeping up and my balance is lower than it should be. Please sort this out.</t>
  </si>
  <si>
    <t xml:space="preserve">C0838</t>
  </si>
  <si>
    <t xml:space="preserve">The password reset keeps failing and I am locked out. Also, i was advised to take out cover that duplicates what I already had. I would like a response in writing.</t>
  </si>
  <si>
    <t xml:space="preserve">C0839</t>
  </si>
  <si>
    <t xml:space="preserve">C0840</t>
  </si>
  <si>
    <t xml:space="preserve">The password reset keeps failing and I am locked out. It has also been taking far too long. I expect compensation.</t>
  </si>
  <si>
    <t xml:space="preserve">C0841</t>
  </si>
  <si>
    <t xml:space="preserve">This is the second time I have raised this. I keep getting an error message when I sign in. Please escalate this.</t>
  </si>
  <si>
    <t xml:space="preserve">C0842</t>
  </si>
  <si>
    <t xml:space="preserve">The direct debit setup was delayed and I missed a bill because of it. Also, a fake text message led me to a website and my money disappeared. Please sort this out.</t>
  </si>
  <si>
    <t xml:space="preserve">C0843</t>
  </si>
  <si>
    <t xml:space="preserve">C0844</t>
  </si>
  <si>
    <t xml:space="preserve">This is the second time I have raised this. I was hit with a penalty charge for a payment I made on time. It has also been taking far too long. I expect compensation.</t>
  </si>
  <si>
    <t xml:space="preserve">C0845</t>
  </si>
  <si>
    <t xml:space="preserve">Hello, I spent an hour on hold and then the call was cut off. I want this put right.</t>
  </si>
  <si>
    <t xml:space="preserve">C0846</t>
  </si>
  <si>
    <t xml:space="preserve">I am writing to complain. I was advised to take out cover that duplicates what I already had. Also, i asked for a callback and it never happened. Please sort this out.</t>
  </si>
  <si>
    <t xml:space="preserve">C0847</t>
  </si>
  <si>
    <t xml:space="preserve">My application has been stuck for weeks with no progress. I could not log in to check either.</t>
  </si>
  <si>
    <t xml:space="preserve">C0848</t>
  </si>
  <si>
    <t xml:space="preserve">I have been a customer for years. I sent the form twice and it seems to have been lost in the system. Please sort this out.</t>
  </si>
  <si>
    <t xml:space="preserve">C0849</t>
  </si>
  <si>
    <t xml:space="preserve">A late payment fee appeared and I want it refunded. I do not think it was explained properly when I bought it. I want this put right.</t>
  </si>
  <si>
    <t xml:space="preserve">C0850</t>
  </si>
  <si>
    <t xml:space="preserve">I reported the unauthorised payment but you refused to reimburse me. Also, you took an overdraft fee even though I was within my limit. I want this put right.</t>
  </si>
  <si>
    <t xml:space="preserve">C0851</t>
  </si>
  <si>
    <t xml:space="preserve">The staff member was rude and dismissive when I called. Also, the paperwork was submitted a month ago and I am still waiting. I expect compensation.</t>
  </si>
  <si>
    <t xml:space="preserve">C0852</t>
  </si>
  <si>
    <t xml:space="preserve">There are transactions on my card I do not recognise. Also, the paperwork was submitted a month ago and I am still waiting.</t>
  </si>
  <si>
    <t xml:space="preserve">C0853</t>
  </si>
  <si>
    <t xml:space="preserve">Hello, My card was cloned and used abroad. I could not log in to check either. I would like a response in writing.</t>
  </si>
  <si>
    <t xml:space="preserve">C0854</t>
  </si>
  <si>
    <t xml:space="preserve">C0855</t>
  </si>
  <si>
    <t xml:space="preserve">C0856</t>
  </si>
  <si>
    <t xml:space="preserve">Frankly, My transfer has been pending fr over a week. I would like a response in writing.</t>
  </si>
  <si>
    <t xml:space="preserve">C0857</t>
  </si>
  <si>
    <t xml:space="preserve">This is the second time I have raised this. A person pretending to be from your bank phoned me and I gave them details. Also, i feel I was treated badly because of my age.</t>
  </si>
  <si>
    <t xml:space="preserve">C0858</t>
  </si>
  <si>
    <t xml:space="preserve">C0859</t>
  </si>
  <si>
    <t xml:space="preserve">I am extremely disappointed and want this resolved.</t>
  </si>
  <si>
    <t xml:space="preserve">C0860</t>
  </si>
  <si>
    <t xml:space="preserve">To whom it may concern, Nobody checked wether I could afford the credit agreement. I expect compensation.</t>
  </si>
  <si>
    <t xml:space="preserve">C0861</t>
  </si>
  <si>
    <t xml:space="preserve">To whom it may concern, My identity was stolen and a loan was taken out in my name.</t>
  </si>
  <si>
    <t xml:space="preserve">C0862</t>
  </si>
  <si>
    <t xml:space="preserve">I am writing to complain. I was charged a monthly fee that nobody told me about. It has also been taking far too long. I expect compensation.</t>
  </si>
  <si>
    <t xml:space="preserve">C0863</t>
  </si>
  <si>
    <t xml:space="preserve">C0864</t>
  </si>
  <si>
    <t xml:space="preserve">I am writing to complain. The app crashes every time I try to open my statements. Also, i was told this policy covered me but my claim was rejected. I would like a response in writing.</t>
  </si>
  <si>
    <t xml:space="preserve">C0865</t>
  </si>
  <si>
    <t xml:space="preserve">To whom it may concern, The closure of my old account has dragged on for months. Please escalate this.</t>
  </si>
  <si>
    <t xml:space="preserve">C0866</t>
  </si>
  <si>
    <t xml:space="preserve">To whom it may concern, My application has been stuck for weeks with no progress. Also, the app crashes every time I try to open my statements. Please sort this out.</t>
  </si>
  <si>
    <t xml:space="preserve">C0867</t>
  </si>
  <si>
    <t xml:space="preserve">Two factor codes are not being sent to my phone. I also spent ages on hold when I called about it.</t>
  </si>
  <si>
    <t xml:space="preserve">C0868</t>
  </si>
  <si>
    <t xml:space="preserve">Frankly, There is an unexpected charge on my statement of £120. I could not log in to check either. Please sort this out.</t>
  </si>
  <si>
    <t xml:space="preserve">C0869</t>
  </si>
  <si>
    <t xml:space="preserve">I was misled about what the insurance actually included. Please escalate this.</t>
  </si>
  <si>
    <t xml:space="preserve">C0870</t>
  </si>
  <si>
    <t xml:space="preserve">Two factor codes are not being sent to my phone. Also, the webchat agent ended the conversation without solving anything. I would like a response in writing.</t>
  </si>
  <si>
    <t xml:space="preserve">C0871</t>
  </si>
  <si>
    <t xml:space="preserve">The pension transfer advice I received was poor and I have lost out. I lso spent ages on hold when I called about it. I expect compensation.</t>
  </si>
  <si>
    <t xml:space="preserve">C0872</t>
  </si>
  <si>
    <t xml:space="preserve">This is the second time I have raised this. There are transactions on my card I do not recognise. I expect compensation.</t>
  </si>
  <si>
    <t xml:space="preserve">C0873</t>
  </si>
  <si>
    <t xml:space="preserve">My card reader stopped working and I cannot approve payments. Please sort this out.</t>
  </si>
  <si>
    <t xml:space="preserve">C0874</t>
  </si>
  <si>
    <t xml:space="preserve">I have been  customer for years. My account was frozen and I cannot get in to move money.</t>
  </si>
  <si>
    <t xml:space="preserve">C0875</t>
  </si>
  <si>
    <t xml:space="preserve">Your advisor gave me different answers on two separate calls. I would like a response in writing.</t>
  </si>
  <si>
    <t xml:space="preserve">C0876</t>
  </si>
  <si>
    <t xml:space="preserve">Frankly, The terms were very different from what I was promised at the time of sale. Also, the fraud team closed my case without investigating properly.</t>
  </si>
  <si>
    <t xml:space="preserve">C0877</t>
  </si>
  <si>
    <t xml:space="preserve">Frankly, I spent an hour on hold and then the call was cut off. I want this put right.</t>
  </si>
  <si>
    <t xml:space="preserve">C0878</t>
  </si>
  <si>
    <t xml:space="preserve">Frankly, Nobody has responded to my emails despite three reminders. Please escalate this.</t>
  </si>
  <si>
    <t xml:space="preserve">C0879</t>
  </si>
  <si>
    <t xml:space="preserve">I am writing to complain. I sent the form twice and it seems to have been lost in the system. Also, the app crashes every time I try to open my statements. I expect compensation.</t>
  </si>
  <si>
    <t xml:space="preserve">C0880</t>
  </si>
  <si>
    <t xml:space="preserve">I am writing to complain. A person pretending to be from your bank phoned me and I gave them details. I want this put right.</t>
  </si>
  <si>
    <t xml:space="preserve">C0881</t>
  </si>
  <si>
    <t xml:space="preserve">I am writing to complain. I was misled about what the insurance actually included. Also, the password reset keeps failing and I am locked out. This is not acceptable.</t>
  </si>
  <si>
    <t xml:space="preserve">C0882</t>
  </si>
  <si>
    <t xml:space="preserve">This is the second time I have raised this. Nobody checked whether I could afford the credit agreement. Also, the staff member was rude and dismissive when I called. Please sort this out.</t>
  </si>
  <si>
    <t xml:space="preserve">C0883</t>
  </si>
  <si>
    <t xml:space="preserve">Hello, The terms were very different from what I was promised at the time of sale. I want this put right.</t>
  </si>
  <si>
    <t xml:space="preserve">C0884</t>
  </si>
  <si>
    <t xml:space="preserve">I have been a customer for years. My identity was stolen and a loan was taken out in my name. There was also a fee involved. I would like a response in writing.</t>
  </si>
  <si>
    <t xml:space="preserve">C0885</t>
  </si>
  <si>
    <t xml:space="preserve">To whom it may concern, I am unable to access my account to see my balance.</t>
  </si>
  <si>
    <t xml:space="preserve">C0886</t>
  </si>
  <si>
    <t xml:space="preserve">C0887</t>
  </si>
  <si>
    <t xml:space="preserve">Frankly, A late payment fee appeared and I want it refunded.</t>
  </si>
  <si>
    <t xml:space="preserve">C0888</t>
  </si>
  <si>
    <t xml:space="preserve">To whom it may concern, I was told this policy covered me but my claim was rejected. I would like a response in writing.</t>
  </si>
  <si>
    <t xml:space="preserve">C0889</t>
  </si>
  <si>
    <t xml:space="preserve">It has taken six weeks to process my claim and nobody has updated me. I want this put right.</t>
  </si>
  <si>
    <t xml:space="preserve">C0890</t>
  </si>
  <si>
    <t xml:space="preserve">This is the second time I have raised this. I am unable to access my account to see my balance. It has also been taking far too long. I expect compensation.</t>
  </si>
  <si>
    <t xml:space="preserve">C0891</t>
  </si>
  <si>
    <t xml:space="preserve">This is the second time I have raised this. Nobody explained the foreign transaction charges before my holiday. Please sort this out.</t>
  </si>
  <si>
    <t xml:space="preserve">C0892</t>
  </si>
  <si>
    <t xml:space="preserve">I was charged a monthly fee that nobody told me about. Also, my account was frozen and I cannot get in to move money.</t>
  </si>
  <si>
    <t xml:space="preserve">C0893</t>
  </si>
  <si>
    <t xml:space="preserve">I have been a customer for years. You promised the money within three working days and it is still outstanding. There was also a fee involved. I want this put right.</t>
  </si>
  <si>
    <t xml:space="preserve">C0894</t>
  </si>
  <si>
    <t xml:space="preserve">Nobody has responded to my emails despite three reminders. I do not think it was explained properly when I bought it. I expect compensation.</t>
  </si>
  <si>
    <t xml:space="preserve">C0895</t>
  </si>
  <si>
    <t xml:space="preserve">Nobody has responded to my emails despite three reminders. I expect compensation.</t>
  </si>
  <si>
    <t xml:space="preserve">C0896</t>
  </si>
  <si>
    <t xml:space="preserve">Frankly, The salesperson pushed me into a plan I did not need. Please sort this out.</t>
  </si>
  <si>
    <t xml:space="preserve">C0897</t>
  </si>
  <si>
    <t xml:space="preserve">C0898</t>
  </si>
  <si>
    <t xml:space="preserve">This is the second time I have raised this. My identity was stolen and a loan was taken out in my name. Also, the brochure said guaranteed returns and my money has lost value.</t>
  </si>
  <si>
    <t xml:space="preserve">C0899</t>
  </si>
  <si>
    <t xml:space="preserve">C0900</t>
  </si>
  <si>
    <t xml:space="preserve">Hello, I spent an hour on hold and then the call was cut off. Also, the account maintenance fee was taken twice this month.</t>
  </si>
  <si>
    <t xml:space="preserve">category</t>
  </si>
  <si>
    <t xml:space="preserve">keyword</t>
  </si>
  <si>
    <t xml:space="preserve">weight</t>
  </si>
  <si>
    <t xml:space="preserve">exact_pattern</t>
  </si>
  <si>
    <t xml:space="preserve">fuzzy_pattern</t>
  </si>
  <si>
    <t xml:space="preserve">min_score</t>
  </si>
  <si>
    <t xml:space="preserve">fee</t>
  </si>
  <si>
    <t xml:space="preserve">min_margin</t>
  </si>
  <si>
    <t xml:space="preserve">charge</t>
  </si>
  <si>
    <t xml:space="preserve">charged</t>
  </si>
  <si>
    <t xml:space="preserve">billed</t>
  </si>
  <si>
    <t xml:space="preserve">penalty</t>
  </si>
  <si>
    <t xml:space="preserve">interest rate</t>
  </si>
  <si>
    <t xml:space="preserve">costs</t>
  </si>
  <si>
    <t xml:space="preserve">statement</t>
  </si>
  <si>
    <t xml:space="preserve">pending</t>
  </si>
  <si>
    <t xml:space="preserve">delayed</t>
  </si>
  <si>
    <t xml:space="preserve">weeks</t>
  </si>
  <si>
    <t xml:space="preserve">waiting</t>
  </si>
  <si>
    <t xml:space="preserve">outstanding</t>
  </si>
  <si>
    <t xml:space="preserve">not arrived</t>
  </si>
  <si>
    <t xml:space="preserve">process</t>
  </si>
  <si>
    <t xml:space="preserve">stuck</t>
  </si>
  <si>
    <t xml:space="preserve">taking far longer</t>
  </si>
  <si>
    <t xml:space="preserve">dragged on</t>
  </si>
  <si>
    <t xml:space="preserve">fraud</t>
  </si>
  <si>
    <t xml:space="preserve">scam</t>
  </si>
  <si>
    <t xml:space="preserve">fraudster</t>
  </si>
  <si>
    <t xml:space="preserve">unauthorised</t>
  </si>
  <si>
    <t xml:space="preserve">did not authorise</t>
  </si>
  <si>
    <t xml:space="preserve">cloned</t>
  </si>
  <si>
    <t xml:space="preserve">stolen</t>
  </si>
  <si>
    <t xml:space="preserve">fake</t>
  </si>
  <si>
    <t xml:space="preserve">do not recognise</t>
  </si>
  <si>
    <t xml:space="preserve">tricked</t>
  </si>
  <si>
    <t xml:space="preserve">sold</t>
  </si>
  <si>
    <t xml:space="preserve">advice</t>
  </si>
  <si>
    <t xml:space="preserve">adviser</t>
  </si>
  <si>
    <t xml:space="preserve">misled</t>
  </si>
  <si>
    <t xml:space="preserve">not suitable</t>
  </si>
  <si>
    <t xml:space="preserve">risks</t>
  </si>
  <si>
    <t xml:space="preserve">promised</t>
  </si>
  <si>
    <t xml:space="preserve">guaranteed</t>
  </si>
  <si>
    <t xml:space="preserve">salesperson</t>
  </si>
  <si>
    <t xml:space="preserve">insurance</t>
  </si>
  <si>
    <t xml:space="preserve">policy</t>
  </si>
  <si>
    <t xml:space="preserve">rude</t>
  </si>
  <si>
    <t xml:space="preserve">on hold</t>
  </si>
  <si>
    <t xml:space="preserve">no one took ownership</t>
  </si>
  <si>
    <t xml:space="preserve">callback</t>
  </si>
  <si>
    <t xml:space="preserve">unhelpful</t>
  </si>
  <si>
    <t xml:space="preserve">responded</t>
  </si>
  <si>
    <t xml:space="preserve">webchat</t>
  </si>
  <si>
    <t xml:space="preserve">staff</t>
  </si>
  <si>
    <t xml:space="preserve">advisor</t>
  </si>
  <si>
    <t xml:space="preserve">treated badly</t>
  </si>
  <si>
    <t xml:space="preserve">log in</t>
  </si>
  <si>
    <t xml:space="preserve">login</t>
  </si>
  <si>
    <t xml:space="preserve">locked</t>
  </si>
  <si>
    <t xml:space="preserve">password</t>
  </si>
  <si>
    <t xml:space="preserve">sign in</t>
  </si>
  <si>
    <t xml:space="preserve">app</t>
  </si>
  <si>
    <t xml:space="preserve">reset</t>
  </si>
  <si>
    <t xml:space="preserve">access</t>
  </si>
  <si>
    <t xml:space="preserve">two factor</t>
  </si>
  <si>
    <t xml:space="preserve">crashes</t>
  </si>
  <si>
    <t xml:space="preserve">term</t>
  </si>
  <si>
    <t xml:space="preserve">(intercept)</t>
  </si>
  <si>
    <t xml:space="preserve">15</t>
  </si>
  <si>
    <t xml:space="preserve">15 sort</t>
  </si>
  <si>
    <t xml:space="preserve">25</t>
  </si>
  <si>
    <t xml:space="preserve">48</t>
  </si>
  <si>
    <t xml:space="preserve">60</t>
  </si>
  <si>
    <t xml:space="preserve">abroad</t>
  </si>
  <si>
    <t xml:space="preserve">abroad log</t>
  </si>
  <si>
    <t xml:space="preserve">abroad want</t>
  </si>
  <si>
    <t xml:space="preserve">acceptable</t>
  </si>
  <si>
    <t xml:space="preserve">access account</t>
  </si>
  <si>
    <t xml:space="preserve">access want</t>
  </si>
  <si>
    <t xml:space="preserve">account</t>
  </si>
  <si>
    <t xml:space="preserve">account acceptable</t>
  </si>
  <si>
    <t xml:space="preserve">account balance</t>
  </si>
  <si>
    <t xml:space="preserve">account did</t>
  </si>
  <si>
    <t xml:space="preserve">account dragged</t>
  </si>
  <si>
    <t xml:space="preserve">account escalate</t>
  </si>
  <si>
    <t xml:space="preserve">account expect</t>
  </si>
  <si>
    <t xml:space="preserve">account frozen</t>
  </si>
  <si>
    <t xml:space="preserve">account like</t>
  </si>
  <si>
    <t xml:space="preserve">account maintenance</t>
  </si>
  <si>
    <t xml:space="preserve">account safe</t>
  </si>
  <si>
    <t xml:space="preserve">account sort</t>
  </si>
  <si>
    <t xml:space="preserve">actually</t>
  </si>
  <si>
    <t xml:space="preserve">actually included</t>
  </si>
  <si>
    <t xml:space="preserve">advice received</t>
  </si>
  <si>
    <t xml:space="preserve">advised</t>
  </si>
  <si>
    <t xml:space="preserve">advised cover</t>
  </si>
  <si>
    <t xml:space="preserve">adviser did</t>
  </si>
  <si>
    <t xml:space="preserve">advisor gave</t>
  </si>
  <si>
    <t xml:space="preserve">afford</t>
  </si>
  <si>
    <t xml:space="preserve">afford credit</t>
  </si>
  <si>
    <t xml:space="preserve">age</t>
  </si>
  <si>
    <t xml:space="preserve">age expect</t>
  </si>
  <si>
    <t xml:space="preserve">age sort</t>
  </si>
  <si>
    <t xml:space="preserve">age want</t>
  </si>
  <si>
    <t xml:space="preserve">agent</t>
  </si>
  <si>
    <t xml:space="preserve">agent ended</t>
  </si>
  <si>
    <t xml:space="preserve">ages</t>
  </si>
  <si>
    <t xml:space="preserve">ages hold</t>
  </si>
  <si>
    <t xml:space="preserve">ago</t>
  </si>
  <si>
    <t xml:space="preserve">ago waiting</t>
  </si>
  <si>
    <t xml:space="preserve">agreed</t>
  </si>
  <si>
    <t xml:space="preserve">agreed expect</t>
  </si>
  <si>
    <t xml:space="preserve">agreed sort</t>
  </si>
  <si>
    <t xml:space="preserve">agreed taking</t>
  </si>
  <si>
    <t xml:space="preserve">agreement</t>
  </si>
  <si>
    <t xml:space="preserve">annual</t>
  </si>
  <si>
    <t xml:space="preserve">annual fee</t>
  </si>
  <si>
    <t xml:space="preserve">answers</t>
  </si>
  <si>
    <t xml:space="preserve">answers separate</t>
  </si>
  <si>
    <t xml:space="preserve">app crashes</t>
  </si>
  <si>
    <t xml:space="preserve">app update</t>
  </si>
  <si>
    <t xml:space="preserve">appeared</t>
  </si>
  <si>
    <t xml:space="preserve">appeared want</t>
  </si>
  <si>
    <t xml:space="preserve">application</t>
  </si>
  <si>
    <t xml:space="preserve">application stuck</t>
  </si>
  <si>
    <t xml:space="preserve">approve</t>
  </si>
  <si>
    <t xml:space="preserve">approve payments</t>
  </si>
  <si>
    <t xml:space="preserve">arrived</t>
  </si>
  <si>
    <t xml:space="preserve">arrived account</t>
  </si>
  <si>
    <t xml:space="preserve">arrives</t>
  </si>
  <si>
    <t xml:space="preserve">arrives expect</t>
  </si>
  <si>
    <t xml:space="preserve">asked</t>
  </si>
  <si>
    <t xml:space="preserve">asked callback</t>
  </si>
  <si>
    <t xml:space="preserve">authorise</t>
  </si>
  <si>
    <t xml:space="preserve">authorise sort</t>
  </si>
  <si>
    <t xml:space="preserve">badly</t>
  </si>
  <si>
    <t xml:space="preserve">badly age</t>
  </si>
  <si>
    <t xml:space="preserve">balance</t>
  </si>
  <si>
    <t xml:space="preserve">balance acceptable</t>
  </si>
  <si>
    <t xml:space="preserve">balance lower</t>
  </si>
  <si>
    <t xml:space="preserve">balance sort</t>
  </si>
  <si>
    <t xml:space="preserve">bank</t>
  </si>
  <si>
    <t xml:space="preserve">bank phoned</t>
  </si>
  <si>
    <t xml:space="preserve">banking</t>
  </si>
  <si>
    <t xml:space="preserve">banking locked</t>
  </si>
  <si>
    <t xml:space="preserve">billed annual</t>
  </si>
  <si>
    <t xml:space="preserve">bought</t>
  </si>
  <si>
    <t xml:space="preserve">bought acceptable</t>
  </si>
  <si>
    <t xml:space="preserve">bought expect</t>
  </si>
  <si>
    <t xml:space="preserve">bought like</t>
  </si>
  <si>
    <t xml:space="preserve">bought sort</t>
  </si>
  <si>
    <t xml:space="preserve">bought want</t>
  </si>
  <si>
    <t xml:space="preserve">branch</t>
  </si>
  <si>
    <t xml:space="preserve">branch manager</t>
  </si>
  <si>
    <t xml:space="preserve">brochure</t>
  </si>
  <si>
    <t xml:space="preserve">brochure said</t>
  </si>
  <si>
    <t xml:space="preserve">callback happened</t>
  </si>
  <si>
    <t xml:space="preserve">called</t>
  </si>
  <si>
    <t xml:space="preserve">called acceptable</t>
  </si>
  <si>
    <t xml:space="preserve">called card</t>
  </si>
  <si>
    <t xml:space="preserve">called escalate</t>
  </si>
  <si>
    <t xml:space="preserve">called expect</t>
  </si>
  <si>
    <t xml:space="preserve">called getting</t>
  </si>
  <si>
    <t xml:space="preserve">called like</t>
  </si>
  <si>
    <t xml:space="preserve">called sort</t>
  </si>
  <si>
    <t xml:space="preserve">called want</t>
  </si>
  <si>
    <t xml:space="preserve">calls</t>
  </si>
  <si>
    <t xml:space="preserve">calls escalate</t>
  </si>
  <si>
    <t xml:space="preserve">calls log</t>
  </si>
  <si>
    <t xml:space="preserve">card</t>
  </si>
  <si>
    <t xml:space="preserve">card cloned</t>
  </si>
  <si>
    <t xml:space="preserve">card reader</t>
  </si>
  <si>
    <t xml:space="preserve">card recognise</t>
  </si>
  <si>
    <t xml:space="preserve">case</t>
  </si>
  <si>
    <t xml:space="preserve">case investigating</t>
  </si>
  <si>
    <t xml:space="preserve">caused</t>
  </si>
  <si>
    <t xml:space="preserve">caused lot</t>
  </si>
  <si>
    <t xml:space="preserve">charge payment</t>
  </si>
  <si>
    <t xml:space="preserve">charge statement</t>
  </si>
  <si>
    <t xml:space="preserve">charged monthly</t>
  </si>
  <si>
    <t xml:space="preserve">charges</t>
  </si>
  <si>
    <t xml:space="preserve">charges holiday</t>
  </si>
  <si>
    <t xml:space="preserve">check</t>
  </si>
  <si>
    <t xml:space="preserve">check expect</t>
  </si>
  <si>
    <t xml:space="preserve">check like</t>
  </si>
  <si>
    <t xml:space="preserve">check sort</t>
  </si>
  <si>
    <t xml:space="preserve">checked</t>
  </si>
  <si>
    <t xml:space="preserve">checked afford</t>
  </si>
  <si>
    <t xml:space="preserve">circumstances</t>
  </si>
  <si>
    <t xml:space="preserve">circumstances acceptable</t>
  </si>
  <si>
    <t xml:space="preserve">circumstances taking</t>
  </si>
  <si>
    <t xml:space="preserve">circumstances want</t>
  </si>
  <si>
    <t xml:space="preserve">claim</t>
  </si>
  <si>
    <t xml:space="preserve">claim rejected</t>
  </si>
  <si>
    <t xml:space="preserve">claim updated</t>
  </si>
  <si>
    <t xml:space="preserve">cloned used</t>
  </si>
  <si>
    <t xml:space="preserve">closed</t>
  </si>
  <si>
    <t xml:space="preserve">closed case</t>
  </si>
  <si>
    <t xml:space="preserve">closure</t>
  </si>
  <si>
    <t xml:space="preserve">closure old</t>
  </si>
  <si>
    <t xml:space="preserve">codes</t>
  </si>
  <si>
    <t xml:space="preserve">codes sent</t>
  </si>
  <si>
    <t xml:space="preserve">compensation</t>
  </si>
  <si>
    <t xml:space="preserve">complain</t>
  </si>
  <si>
    <t xml:space="preserve">complain advised</t>
  </si>
  <si>
    <t xml:space="preserve">complain asked</t>
  </si>
  <si>
    <t xml:space="preserve">complain brochure</t>
  </si>
  <si>
    <t xml:space="preserve">complain card</t>
  </si>
  <si>
    <t xml:space="preserve">complain charged</t>
  </si>
  <si>
    <t xml:space="preserve">complain complaints</t>
  </si>
  <si>
    <t xml:space="preserve">complain direct</t>
  </si>
  <si>
    <t xml:space="preserve">complain explained</t>
  </si>
  <si>
    <t xml:space="preserve">complain fraud</t>
  </si>
  <si>
    <t xml:space="preserve">complain getting</t>
  </si>
  <si>
    <t xml:space="preserve">complain hit</t>
  </si>
  <si>
    <t xml:space="preserve">complain identity</t>
  </si>
  <si>
    <t xml:space="preserve">complain log</t>
  </si>
  <si>
    <t xml:space="preserve">complain misled</t>
  </si>
  <si>
    <t xml:space="preserve">complain online</t>
  </si>
  <si>
    <t xml:space="preserve">complain payment</t>
  </si>
  <si>
    <t xml:space="preserve">complain person</t>
  </si>
  <si>
    <t xml:space="preserve">complain responded</t>
  </si>
  <si>
    <t xml:space="preserve">complain spent</t>
  </si>
  <si>
    <t xml:space="preserve">complain staff</t>
  </si>
  <si>
    <t xml:space="preserve">complain think</t>
  </si>
  <si>
    <t xml:space="preserve">complain tricked</t>
  </si>
  <si>
    <t xml:space="preserve">complain unexpected</t>
  </si>
  <si>
    <t xml:space="preserve">complaints</t>
  </si>
  <si>
    <t xml:space="preserve">complaints handler</t>
  </si>
  <si>
    <t xml:space="preserve">concern</t>
  </si>
  <si>
    <t xml:space="preserve">concern account</t>
  </si>
  <si>
    <t xml:space="preserve">concern adviser</t>
  </si>
  <si>
    <t xml:space="preserve">concern app</t>
  </si>
  <si>
    <t xml:space="preserve">concern branch</t>
  </si>
  <si>
    <t xml:space="preserve">concern brochure</t>
  </si>
  <si>
    <t xml:space="preserve">concern card</t>
  </si>
  <si>
    <t xml:space="preserve">concern charged</t>
  </si>
  <si>
    <t xml:space="preserve">concern closure</t>
  </si>
  <si>
    <t xml:space="preserve">concern complaints</t>
  </si>
  <si>
    <t xml:space="preserve">concern explained</t>
  </si>
  <si>
    <t xml:space="preserve">concern factor</t>
  </si>
  <si>
    <t xml:space="preserve">concern feel</t>
  </si>
  <si>
    <t xml:space="preserve">concern getting</t>
  </si>
  <si>
    <t xml:space="preserve">concern late</t>
  </si>
  <si>
    <t xml:space="preserve">concern payments</t>
  </si>
  <si>
    <t xml:space="preserve">concern salesperson</t>
  </si>
  <si>
    <t xml:space="preserve">concern taken</t>
  </si>
  <si>
    <t xml:space="preserve">concern told</t>
  </si>
  <si>
    <t xml:space="preserve">concern unable</t>
  </si>
  <si>
    <t xml:space="preserve">concern unexpected</t>
  </si>
  <si>
    <t xml:space="preserve">concern website</t>
  </si>
  <si>
    <t xml:space="preserve">concerns</t>
  </si>
  <si>
    <t xml:space="preserve">concerns escalate</t>
  </si>
  <si>
    <t xml:space="preserve">conversation</t>
  </si>
  <si>
    <t xml:space="preserve">conversation solving</t>
  </si>
  <si>
    <t xml:space="preserve">costing</t>
  </si>
  <si>
    <t xml:space="preserve">costing month</t>
  </si>
  <si>
    <t xml:space="preserve">costs creeping</t>
  </si>
  <si>
    <t xml:space="preserve">cover</t>
  </si>
  <si>
    <t xml:space="preserve">cover duplicates</t>
  </si>
  <si>
    <t xml:space="preserve">covered</t>
  </si>
  <si>
    <t xml:space="preserve">covered claim</t>
  </si>
  <si>
    <t xml:space="preserve">crashes time</t>
  </si>
  <si>
    <t xml:space="preserve">credit</t>
  </si>
  <si>
    <t xml:space="preserve">credit agreement</t>
  </si>
  <si>
    <t xml:space="preserve">creeping</t>
  </si>
  <si>
    <t xml:space="preserve">creeping balance</t>
  </si>
  <si>
    <t xml:space="preserve">customer</t>
  </si>
  <si>
    <t xml:space="preserve">customer years</t>
  </si>
  <si>
    <t xml:space="preserve">cut</t>
  </si>
  <si>
    <t xml:space="preserve">cut acceptable</t>
  </si>
  <si>
    <t xml:space="preserve">cut escalate</t>
  </si>
  <si>
    <t xml:space="preserve">days</t>
  </si>
  <si>
    <t xml:space="preserve">days outstanding</t>
  </si>
  <si>
    <t xml:space="preserve">debit</t>
  </si>
  <si>
    <t xml:space="preserve">debit setup</t>
  </si>
  <si>
    <t xml:space="preserve">delayed missed</t>
  </si>
  <si>
    <t xml:space="preserve">departments</t>
  </si>
  <si>
    <t xml:space="preserve">departments took</t>
  </si>
  <si>
    <t xml:space="preserve">despite</t>
  </si>
  <si>
    <t xml:space="preserve">despite reminders</t>
  </si>
  <si>
    <t xml:space="preserve">details</t>
  </si>
  <si>
    <t xml:space="preserve">details acceptable</t>
  </si>
  <si>
    <t xml:space="preserve">did</t>
  </si>
  <si>
    <t xml:space="preserve">did authorise</t>
  </si>
  <si>
    <t xml:space="preserve">did explain</t>
  </si>
  <si>
    <t xml:space="preserve">did need</t>
  </si>
  <si>
    <t xml:space="preserve">different</t>
  </si>
  <si>
    <t xml:space="preserve">different answers</t>
  </si>
  <si>
    <t xml:space="preserve">different promised</t>
  </si>
  <si>
    <t xml:space="preserve">direct</t>
  </si>
  <si>
    <t xml:space="preserve">direct debit</t>
  </si>
  <si>
    <t xml:space="preserve">disappeared</t>
  </si>
  <si>
    <t xml:space="preserve">disappeared expect</t>
  </si>
  <si>
    <t xml:space="preserve">disappeared like</t>
  </si>
  <si>
    <t xml:space="preserve">disappeared want</t>
  </si>
  <si>
    <t xml:space="preserve">disappointed</t>
  </si>
  <si>
    <t xml:space="preserve">disappointed want</t>
  </si>
  <si>
    <t xml:space="preserve">dismissive</t>
  </si>
  <si>
    <t xml:space="preserve">dismissive called</t>
  </si>
  <si>
    <t xml:space="preserve">dragged</t>
  </si>
  <si>
    <t xml:space="preserve">dragged months</t>
  </si>
  <si>
    <t xml:space="preserve">duplicates</t>
  </si>
  <si>
    <t xml:space="preserve">duplicates like</t>
  </si>
  <si>
    <t xml:space="preserve">duplicates sort</t>
  </si>
  <si>
    <t xml:space="preserve">emails</t>
  </si>
  <si>
    <t xml:space="preserve">emails despite</t>
  </si>
  <si>
    <t xml:space="preserve">ended</t>
  </si>
  <si>
    <t xml:space="preserve">ended conversation</t>
  </si>
  <si>
    <t xml:space="preserve">error</t>
  </si>
  <si>
    <t xml:space="preserve">error message</t>
  </si>
  <si>
    <t xml:space="preserve">escalate</t>
  </si>
  <si>
    <t xml:space="preserve">expect</t>
  </si>
  <si>
    <t xml:space="preserve">expect compensation</t>
  </si>
  <si>
    <t xml:space="preserve">explain</t>
  </si>
  <si>
    <t xml:space="preserve">explain risks</t>
  </si>
  <si>
    <t xml:space="preserve">explained</t>
  </si>
  <si>
    <t xml:space="preserve">explained foreign</t>
  </si>
  <si>
    <t xml:space="preserve">explained properly</t>
  </si>
  <si>
    <t xml:space="preserve">extremely</t>
  </si>
  <si>
    <t xml:space="preserve">extremely disappointed</t>
  </si>
  <si>
    <t xml:space="preserve">factor</t>
  </si>
  <si>
    <t xml:space="preserve">factor codes</t>
  </si>
  <si>
    <t xml:space="preserve">failing</t>
  </si>
  <si>
    <t xml:space="preserve">failing locked</t>
  </si>
  <si>
    <t xml:space="preserve">fake text</t>
  </si>
  <si>
    <t xml:space="preserve">far</t>
  </si>
  <si>
    <t xml:space="preserve">far long</t>
  </si>
  <si>
    <t xml:space="preserve">far longer</t>
  </si>
  <si>
    <t xml:space="preserve">fee agreed</t>
  </si>
  <si>
    <t xml:space="preserve">fee appeared</t>
  </si>
  <si>
    <t xml:space="preserve">fee involved</t>
  </si>
  <si>
    <t xml:space="preserve">fee limit</t>
  </si>
  <si>
    <t xml:space="preserve">fee taken</t>
  </si>
  <si>
    <t xml:space="preserve">fee told</t>
  </si>
  <si>
    <t xml:space="preserve">feel</t>
  </si>
  <si>
    <t xml:space="preserve">feel treated</t>
  </si>
  <si>
    <t xml:space="preserve">foreign</t>
  </si>
  <si>
    <t xml:space="preserve">foreign transaction</t>
  </si>
  <si>
    <t xml:space="preserve">form</t>
  </si>
  <si>
    <t xml:space="preserve">form twice</t>
  </si>
  <si>
    <t xml:space="preserve">frankly</t>
  </si>
  <si>
    <t xml:space="preserve">frankly account</t>
  </si>
  <si>
    <t xml:space="preserve">frankly advised</t>
  </si>
  <si>
    <t xml:space="preserve">frankly application</t>
  </si>
  <si>
    <t xml:space="preserve">frankly brochure</t>
  </si>
  <si>
    <t xml:space="preserve">frankly card</t>
  </si>
  <si>
    <t xml:space="preserve">frankly charged</t>
  </si>
  <si>
    <t xml:space="preserve">frankly checked</t>
  </si>
  <si>
    <t xml:space="preserve">frankly complaints</t>
  </si>
  <si>
    <t xml:space="preserve">frankly factor</t>
  </si>
  <si>
    <t xml:space="preserve">frankly fake</t>
  </si>
  <si>
    <t xml:space="preserve">frankly feel</t>
  </si>
  <si>
    <t xml:space="preserve">frankly hit</t>
  </si>
  <si>
    <t xml:space="preserve">frankly identity</t>
  </si>
  <si>
    <t xml:space="preserve">frankly late</t>
  </si>
  <si>
    <t xml:space="preserve">frankly log</t>
  </si>
  <si>
    <t xml:space="preserve">frankly paperwork</t>
  </si>
  <si>
    <t xml:space="preserve">frankly pension</t>
  </si>
  <si>
    <t xml:space="preserve">frankly promised</t>
  </si>
  <si>
    <t xml:space="preserve">frankly reported</t>
  </si>
  <si>
    <t xml:space="preserve">frankly responded</t>
  </si>
  <si>
    <t xml:space="preserve">frankly salesperson</t>
  </si>
  <si>
    <t xml:space="preserve">frankly sent</t>
  </si>
  <si>
    <t xml:space="preserve">frankly spent</t>
  </si>
  <si>
    <t xml:space="preserve">frankly staff</t>
  </si>
  <si>
    <t xml:space="preserve">frankly terms</t>
  </si>
  <si>
    <t xml:space="preserve">frankly told</t>
  </si>
  <si>
    <t xml:space="preserve">frankly took</t>
  </si>
  <si>
    <t xml:space="preserve">frankly transactions</t>
  </si>
  <si>
    <t xml:space="preserve">frankly webchat</t>
  </si>
  <si>
    <t xml:space="preserve">fraud escalate</t>
  </si>
  <si>
    <t xml:space="preserve">fraud expect</t>
  </si>
  <si>
    <t xml:space="preserve">fraud like</t>
  </si>
  <si>
    <t xml:space="preserve">fraud sort</t>
  </si>
  <si>
    <t xml:space="preserve">fraud team</t>
  </si>
  <si>
    <t xml:space="preserve">fraud want</t>
  </si>
  <si>
    <t xml:space="preserve">fraudster acceptable</t>
  </si>
  <si>
    <t xml:space="preserve">fraudster escalate</t>
  </si>
  <si>
    <t xml:space="preserve">fraudster expect</t>
  </si>
  <si>
    <t xml:space="preserve">frozen</t>
  </si>
  <si>
    <t xml:space="preserve">frozen money</t>
  </si>
  <si>
    <t xml:space="preserve">gave</t>
  </si>
  <si>
    <t xml:space="preserve">gave details</t>
  </si>
  <si>
    <t xml:space="preserve">gave different</t>
  </si>
  <si>
    <t xml:space="preserve">getting</t>
  </si>
  <si>
    <t xml:space="preserve">getting error</t>
  </si>
  <si>
    <t xml:space="preserve">gone</t>
  </si>
  <si>
    <t xml:space="preserve">gone notice</t>
  </si>
  <si>
    <t xml:space="preserve">guaranteed returns</t>
  </si>
  <si>
    <t xml:space="preserve">handled</t>
  </si>
  <si>
    <t xml:space="preserve">handled acceptable</t>
  </si>
  <si>
    <t xml:space="preserve">handled expect</t>
  </si>
  <si>
    <t xml:space="preserve">handled want</t>
  </si>
  <si>
    <t xml:space="preserve">handler</t>
  </si>
  <si>
    <t xml:space="preserve">handler unhelpful</t>
  </si>
  <si>
    <t xml:space="preserve">happened</t>
  </si>
  <si>
    <t xml:space="preserve">happened account</t>
  </si>
  <si>
    <t xml:space="preserve">happened like</t>
  </si>
  <si>
    <t xml:space="preserve">happened sort</t>
  </si>
  <si>
    <t xml:space="preserve">happened taking</t>
  </si>
  <si>
    <t xml:space="preserve">hello</t>
  </si>
  <si>
    <t xml:space="preserve">hello account</t>
  </si>
  <si>
    <t xml:space="preserve">hello adviser</t>
  </si>
  <si>
    <t xml:space="preserve">hello advisor</t>
  </si>
  <si>
    <t xml:space="preserve">hello app</t>
  </si>
  <si>
    <t xml:space="preserve">hello billed</t>
  </si>
  <si>
    <t xml:space="preserve">hello card</t>
  </si>
  <si>
    <t xml:space="preserve">hello closure</t>
  </si>
  <si>
    <t xml:space="preserve">hello explained</t>
  </si>
  <si>
    <t xml:space="preserve">hello feel</t>
  </si>
  <si>
    <t xml:space="preserve">hello fraud</t>
  </si>
  <si>
    <t xml:space="preserve">hello hit</t>
  </si>
  <si>
    <t xml:space="preserve">hello late</t>
  </si>
  <si>
    <t xml:space="preserve">hello log</t>
  </si>
  <si>
    <t xml:space="preserve">hello mortgage</t>
  </si>
  <si>
    <t xml:space="preserve">hello passed</t>
  </si>
  <si>
    <t xml:space="preserve">hello rate</t>
  </si>
  <si>
    <t xml:space="preserve">hello salesperson</t>
  </si>
  <si>
    <t xml:space="preserve">hello sold</t>
  </si>
  <si>
    <t xml:space="preserve">hello taken</t>
  </si>
  <si>
    <t xml:space="preserve">hello told</t>
  </si>
  <si>
    <t xml:space="preserve">hello tricked</t>
  </si>
  <si>
    <t xml:space="preserve">hello website</t>
  </si>
  <si>
    <t xml:space="preserve">hit</t>
  </si>
  <si>
    <t xml:space="preserve">hit penalty</t>
  </si>
  <si>
    <t xml:space="preserve">hold</t>
  </si>
  <si>
    <t xml:space="preserve">hold called</t>
  </si>
  <si>
    <t xml:space="preserve">hold cut</t>
  </si>
  <si>
    <t xml:space="preserve">holiday</t>
  </si>
  <si>
    <t xml:space="preserve">holiday like</t>
  </si>
  <si>
    <t xml:space="preserve">holiday log</t>
  </si>
  <si>
    <t xml:space="preserve">holiday sort</t>
  </si>
  <si>
    <t xml:space="preserve">hour</t>
  </si>
  <si>
    <t xml:space="preserve">hour hold</t>
  </si>
  <si>
    <t xml:space="preserve">identity</t>
  </si>
  <si>
    <t xml:space="preserve">identity stolen</t>
  </si>
  <si>
    <t xml:space="preserve">included</t>
  </si>
  <si>
    <t xml:space="preserve">included like</t>
  </si>
  <si>
    <t xml:space="preserve">included sort</t>
  </si>
  <si>
    <t xml:space="preserve">insurance actually</t>
  </si>
  <si>
    <t xml:space="preserve">investigating</t>
  </si>
  <si>
    <t xml:space="preserve">investigating properly</t>
  </si>
  <si>
    <t xml:space="preserve">investment</t>
  </si>
  <si>
    <t xml:space="preserve">investment acceptable</t>
  </si>
  <si>
    <t xml:space="preserve">investment expect</t>
  </si>
  <si>
    <t xml:space="preserve">investment fee</t>
  </si>
  <si>
    <t xml:space="preserve">investment sort</t>
  </si>
  <si>
    <t xml:space="preserve">involved</t>
  </si>
  <si>
    <t xml:space="preserve">involved acceptable</t>
  </si>
  <si>
    <t xml:space="preserve">involved expect</t>
  </si>
  <si>
    <t xml:space="preserve">involved like</t>
  </si>
  <si>
    <t xml:space="preserve">involved sort</t>
  </si>
  <si>
    <t xml:space="preserve">involved want</t>
  </si>
  <si>
    <t xml:space="preserve">keeps</t>
  </si>
  <si>
    <t xml:space="preserve">keeps failing</t>
  </si>
  <si>
    <t xml:space="preserve">late</t>
  </si>
  <si>
    <t xml:space="preserve">late payment</t>
  </si>
  <si>
    <t xml:space="preserve">led</t>
  </si>
  <si>
    <t xml:space="preserve">led website</t>
  </si>
  <si>
    <t xml:space="preserve">let</t>
  </si>
  <si>
    <t xml:space="preserve">let register</t>
  </si>
  <si>
    <t xml:space="preserve">like</t>
  </si>
  <si>
    <t xml:space="preserve">like response</t>
  </si>
  <si>
    <t xml:space="preserve">limit</t>
  </si>
  <si>
    <t xml:space="preserve">limit think</t>
  </si>
  <si>
    <t xml:space="preserve">link</t>
  </si>
  <si>
    <t xml:space="preserve">link arrives</t>
  </si>
  <si>
    <t xml:space="preserve">listen</t>
  </si>
  <si>
    <t xml:space="preserve">listen concerns</t>
  </si>
  <si>
    <t xml:space="preserve">loan</t>
  </si>
  <si>
    <t xml:space="preserve">loan taken</t>
  </si>
  <si>
    <t xml:space="preserve">locked reset</t>
  </si>
  <si>
    <t xml:space="preserve">log</t>
  </si>
  <si>
    <t xml:space="preserve">log check</t>
  </si>
  <si>
    <t xml:space="preserve">log mobile</t>
  </si>
  <si>
    <t xml:space="preserve">long</t>
  </si>
  <si>
    <t xml:space="preserve">long escalate</t>
  </si>
  <si>
    <t xml:space="preserve">long expect</t>
  </si>
  <si>
    <t xml:space="preserve">long like</t>
  </si>
  <si>
    <t xml:space="preserve">long sort</t>
  </si>
  <si>
    <t xml:space="preserve">long want</t>
  </si>
  <si>
    <t xml:space="preserve">longer</t>
  </si>
  <si>
    <t xml:space="preserve">longer said</t>
  </si>
  <si>
    <t xml:space="preserve">look</t>
  </si>
  <si>
    <t xml:space="preserve">look happened</t>
  </si>
  <si>
    <t xml:space="preserve">losing</t>
  </si>
  <si>
    <t xml:space="preserve">losing patience</t>
  </si>
  <si>
    <t xml:space="preserve">lost</t>
  </si>
  <si>
    <t xml:space="preserve">lost fee</t>
  </si>
  <si>
    <t xml:space="preserve">lost like</t>
  </si>
  <si>
    <t xml:space="preserve">lost value</t>
  </si>
  <si>
    <t xml:space="preserve">lost want</t>
  </si>
  <si>
    <t xml:space="preserve">lot</t>
  </si>
  <si>
    <t xml:space="preserve">lot stress</t>
  </si>
  <si>
    <t xml:space="preserve">lower</t>
  </si>
  <si>
    <t xml:space="preserve">maintenance</t>
  </si>
  <si>
    <t xml:space="preserve">maintenance fee</t>
  </si>
  <si>
    <t xml:space="preserve">manager</t>
  </si>
  <si>
    <t xml:space="preserve">manager listen</t>
  </si>
  <si>
    <t xml:space="preserve">member</t>
  </si>
  <si>
    <t xml:space="preserve">member rude</t>
  </si>
  <si>
    <t xml:space="preserve">message</t>
  </si>
  <si>
    <t xml:space="preserve">message led</t>
  </si>
  <si>
    <t xml:space="preserve">message sign</t>
  </si>
  <si>
    <t xml:space="preserve">misled insurance</t>
  </si>
  <si>
    <t xml:space="preserve">missed</t>
  </si>
  <si>
    <t xml:space="preserve">missed acceptable</t>
  </si>
  <si>
    <t xml:space="preserve">missed escalate</t>
  </si>
  <si>
    <t xml:space="preserve">mobile</t>
  </si>
  <si>
    <t xml:space="preserve">mobile app</t>
  </si>
  <si>
    <t xml:space="preserve">money</t>
  </si>
  <si>
    <t xml:space="preserve">money acceptable</t>
  </si>
  <si>
    <t xml:space="preserve">money disappeared</t>
  </si>
  <si>
    <t xml:space="preserve">money expect</t>
  </si>
  <si>
    <t xml:space="preserve">money fraudster</t>
  </si>
  <si>
    <t xml:space="preserve">money like</t>
  </si>
  <si>
    <t xml:space="preserve">money lost</t>
  </si>
  <si>
    <t xml:space="preserve">money want</t>
  </si>
  <si>
    <t xml:space="preserve">money working</t>
  </si>
  <si>
    <t xml:space="preserve">money worried</t>
  </si>
  <si>
    <t xml:space="preserve">month</t>
  </si>
  <si>
    <t xml:space="preserve">month ago</t>
  </si>
  <si>
    <t xml:space="preserve">month escalate</t>
  </si>
  <si>
    <t xml:space="preserve">month like</t>
  </si>
  <si>
    <t xml:space="preserve">month log</t>
  </si>
  <si>
    <t xml:space="preserve">month sort</t>
  </si>
  <si>
    <t xml:space="preserve">month taking</t>
  </si>
  <si>
    <t xml:space="preserve">month want</t>
  </si>
  <si>
    <t xml:space="preserve">monthly</t>
  </si>
  <si>
    <t xml:space="preserve">monthly fee</t>
  </si>
  <si>
    <t xml:space="preserve">months</t>
  </si>
  <si>
    <t xml:space="preserve">months log</t>
  </si>
  <si>
    <t xml:space="preserve">months want</t>
  </si>
  <si>
    <t xml:space="preserve">mortgage</t>
  </si>
  <si>
    <t xml:space="preserve">mortgage switch</t>
  </si>
  <si>
    <t xml:space="preserve">moving</t>
  </si>
  <si>
    <t xml:space="preserve">moving savings</t>
  </si>
  <si>
    <t xml:space="preserve">need</t>
  </si>
  <si>
    <t xml:space="preserve">need sort</t>
  </si>
  <si>
    <t xml:space="preserve">need taking</t>
  </si>
  <si>
    <t xml:space="preserve">need want</t>
  </si>
  <si>
    <t xml:space="preserve">notice</t>
  </si>
  <si>
    <t xml:space="preserve">notice costing</t>
  </si>
  <si>
    <t xml:space="preserve">old</t>
  </si>
  <si>
    <t xml:space="preserve">old account</t>
  </si>
  <si>
    <t xml:space="preserve">online</t>
  </si>
  <si>
    <t xml:space="preserve">online access</t>
  </si>
  <si>
    <t xml:space="preserve">online banking</t>
  </si>
  <si>
    <t xml:space="preserve">open</t>
  </si>
  <si>
    <t xml:space="preserve">open statements</t>
  </si>
  <si>
    <t xml:space="preserve">outstanding escalate</t>
  </si>
  <si>
    <t xml:space="preserve">overdraft</t>
  </si>
  <si>
    <t xml:space="preserve">overdraft fee</t>
  </si>
  <si>
    <t xml:space="preserve">ownership</t>
  </si>
  <si>
    <t xml:space="preserve">paperwork</t>
  </si>
  <si>
    <t xml:space="preserve">paperwork submitted</t>
  </si>
  <si>
    <t xml:space="preserve">passed</t>
  </si>
  <si>
    <t xml:space="preserve">passed departments</t>
  </si>
  <si>
    <t xml:space="preserve">password reset</t>
  </si>
  <si>
    <t xml:space="preserve">patience</t>
  </si>
  <si>
    <t xml:space="preserve">payment</t>
  </si>
  <si>
    <t xml:space="preserve">payment arrived</t>
  </si>
  <si>
    <t xml:space="preserve">payment fee</t>
  </si>
  <si>
    <t xml:space="preserve">payment refused</t>
  </si>
  <si>
    <t xml:space="preserve">payment time</t>
  </si>
  <si>
    <t xml:space="preserve">payments</t>
  </si>
  <si>
    <t xml:space="preserve">payments acceptable</t>
  </si>
  <si>
    <t xml:space="preserve">payments account</t>
  </si>
  <si>
    <t xml:space="preserve">payments like</t>
  </si>
  <si>
    <t xml:space="preserve">payments want</t>
  </si>
  <si>
    <t xml:space="preserve">penalty charge</t>
  </si>
  <si>
    <t xml:space="preserve">pending week</t>
  </si>
  <si>
    <t xml:space="preserve">pension</t>
  </si>
  <si>
    <t xml:space="preserve">pension transfer</t>
  </si>
  <si>
    <t xml:space="preserve">person</t>
  </si>
  <si>
    <t xml:space="preserve">person pretending</t>
  </si>
  <si>
    <t xml:space="preserve">phone</t>
  </si>
  <si>
    <t xml:space="preserve">phone fee</t>
  </si>
  <si>
    <t xml:space="preserve">phoned</t>
  </si>
  <si>
    <t xml:space="preserve">phoned gave</t>
  </si>
  <si>
    <t xml:space="preserve">plan</t>
  </si>
  <si>
    <t xml:space="preserve">plan did</t>
  </si>
  <si>
    <t xml:space="preserve">policy covered</t>
  </si>
  <si>
    <t xml:space="preserve">poor</t>
  </si>
  <si>
    <t xml:space="preserve">poor lost</t>
  </si>
  <si>
    <t xml:space="preserve">pretending</t>
  </si>
  <si>
    <t xml:space="preserve">pretending bank</t>
  </si>
  <si>
    <t xml:space="preserve">process claim</t>
  </si>
  <si>
    <t xml:space="preserve">product</t>
  </si>
  <si>
    <t xml:space="preserve">product suitable</t>
  </si>
  <si>
    <t xml:space="preserve">progress</t>
  </si>
  <si>
    <t xml:space="preserve">promised money</t>
  </si>
  <si>
    <t xml:space="preserve">promised time</t>
  </si>
  <si>
    <t xml:space="preserve">properly</t>
  </si>
  <si>
    <t xml:space="preserve">properly acceptable</t>
  </si>
  <si>
    <t xml:space="preserve">properly bought</t>
  </si>
  <si>
    <t xml:space="preserve">properly direct</t>
  </si>
  <si>
    <t xml:space="preserve">properly escalate</t>
  </si>
  <si>
    <t xml:space="preserve">properly think</t>
  </si>
  <si>
    <t xml:space="preserve">properly want</t>
  </si>
  <si>
    <t xml:space="preserve">pushed</t>
  </si>
  <si>
    <t xml:space="preserve">pushed plan</t>
  </si>
  <si>
    <t xml:space="preserve">raised</t>
  </si>
  <si>
    <t xml:space="preserve">raised advisor</t>
  </si>
  <si>
    <t xml:space="preserve">raised asked</t>
  </si>
  <si>
    <t xml:space="preserve">raised branch</t>
  </si>
  <si>
    <t xml:space="preserve">raised brochure</t>
  </si>
  <si>
    <t xml:space="preserve">raised explained</t>
  </si>
  <si>
    <t xml:space="preserve">raised fraud</t>
  </si>
  <si>
    <t xml:space="preserve">raised getting</t>
  </si>
  <si>
    <t xml:space="preserve">raised hit</t>
  </si>
  <si>
    <t xml:space="preserve">raised identity</t>
  </si>
  <si>
    <t xml:space="preserve">raised paperwork</t>
  </si>
  <si>
    <t xml:space="preserve">raised passed</t>
  </si>
  <si>
    <t xml:space="preserve">raised rate</t>
  </si>
  <si>
    <t xml:space="preserve">raised reported</t>
  </si>
  <si>
    <t xml:space="preserve">raised sent</t>
  </si>
  <si>
    <t xml:space="preserve">raised sold</t>
  </si>
  <si>
    <t xml:space="preserve">raised spent</t>
  </si>
  <si>
    <t xml:space="preserve">raised staff</t>
  </si>
  <si>
    <t xml:space="preserve">raised terms</t>
  </si>
  <si>
    <t xml:space="preserve">raised think</t>
  </si>
  <si>
    <t xml:space="preserve">raised tricked</t>
  </si>
  <si>
    <t xml:space="preserve">rate</t>
  </si>
  <si>
    <t xml:space="preserve">rate gone</t>
  </si>
  <si>
    <t xml:space="preserve">reader</t>
  </si>
  <si>
    <t xml:space="preserve">reader stopped</t>
  </si>
  <si>
    <t xml:space="preserve">received</t>
  </si>
  <si>
    <t xml:space="preserve">received poor</t>
  </si>
  <si>
    <t xml:space="preserve">recognise</t>
  </si>
  <si>
    <t xml:space="preserve">recognise escalate</t>
  </si>
  <si>
    <t xml:space="preserve">recognise want</t>
  </si>
  <si>
    <t xml:space="preserve">refunded</t>
  </si>
  <si>
    <t xml:space="preserve">refunded like</t>
  </si>
  <si>
    <t xml:space="preserve">refunded sort</t>
  </si>
  <si>
    <t xml:space="preserve">refunded think</t>
  </si>
  <si>
    <t xml:space="preserve">refused</t>
  </si>
  <si>
    <t xml:space="preserve">refused reimburse</t>
  </si>
  <si>
    <t xml:space="preserve">register</t>
  </si>
  <si>
    <t xml:space="preserve">register online</t>
  </si>
  <si>
    <t xml:space="preserve">reimburse</t>
  </si>
  <si>
    <t xml:space="preserve">reimburse expect</t>
  </si>
  <si>
    <t xml:space="preserve">reimburse want</t>
  </si>
  <si>
    <t xml:space="preserve">rejected</t>
  </si>
  <si>
    <t xml:space="preserve">rejected expect</t>
  </si>
  <si>
    <t xml:space="preserve">rejected like</t>
  </si>
  <si>
    <t xml:space="preserve">rejected log</t>
  </si>
  <si>
    <t xml:space="preserve">reminders</t>
  </si>
  <si>
    <t xml:space="preserve">reminders expect</t>
  </si>
  <si>
    <t xml:space="preserve">reported</t>
  </si>
  <si>
    <t xml:space="preserve">reported unauthorised</t>
  </si>
  <si>
    <t xml:space="preserve">reset keeps</t>
  </si>
  <si>
    <t xml:space="preserve">reset link</t>
  </si>
  <si>
    <t xml:space="preserve">resolved</t>
  </si>
  <si>
    <t xml:space="preserve">resolved like</t>
  </si>
  <si>
    <t xml:space="preserve">responded emails</t>
  </si>
  <si>
    <t xml:space="preserve">response</t>
  </si>
  <si>
    <t xml:space="preserve">response writing</t>
  </si>
  <si>
    <t xml:space="preserve">returns</t>
  </si>
  <si>
    <t xml:space="preserve">returns money</t>
  </si>
  <si>
    <t xml:space="preserve">right</t>
  </si>
  <si>
    <t xml:space="preserve">risks investment</t>
  </si>
  <si>
    <t xml:space="preserve">rude dismissive</t>
  </si>
  <si>
    <t xml:space="preserve">safe</t>
  </si>
  <si>
    <t xml:space="preserve">safe acceptable</t>
  </si>
  <si>
    <t xml:space="preserve">safe account</t>
  </si>
  <si>
    <t xml:space="preserve">safe escalate</t>
  </si>
  <si>
    <t xml:space="preserve">safe expect</t>
  </si>
  <si>
    <t xml:space="preserve">safe sort</t>
  </si>
  <si>
    <t xml:space="preserve">safe spent</t>
  </si>
  <si>
    <t xml:space="preserve">said</t>
  </si>
  <si>
    <t xml:space="preserve">said escalate</t>
  </si>
  <si>
    <t xml:space="preserve">said guaranteed</t>
  </si>
  <si>
    <t xml:space="preserve">said sort</t>
  </si>
  <si>
    <t xml:space="preserve">sale</t>
  </si>
  <si>
    <t xml:space="preserve">sale spent</t>
  </si>
  <si>
    <t xml:space="preserve">sale want</t>
  </si>
  <si>
    <t xml:space="preserve">salesperson pushed</t>
  </si>
  <si>
    <t xml:space="preserve">savings</t>
  </si>
  <si>
    <t xml:space="preserve">savings safe</t>
  </si>
  <si>
    <t xml:space="preserve">scam sent</t>
  </si>
  <si>
    <t xml:space="preserve">second</t>
  </si>
  <si>
    <t xml:space="preserve">second time</t>
  </si>
  <si>
    <t xml:space="preserve">sent</t>
  </si>
  <si>
    <t xml:space="preserve">sent form</t>
  </si>
  <si>
    <t xml:space="preserve">sent money</t>
  </si>
  <si>
    <t xml:space="preserve">sent phone</t>
  </si>
  <si>
    <t xml:space="preserve">separate</t>
  </si>
  <si>
    <t xml:space="preserve">separate calls</t>
  </si>
  <si>
    <t xml:space="preserve">setup</t>
  </si>
  <si>
    <t xml:space="preserve">setup delayed</t>
  </si>
  <si>
    <t xml:space="preserve">sign</t>
  </si>
  <si>
    <t xml:space="preserve">sign billed</t>
  </si>
  <si>
    <t xml:space="preserve">sign escalate</t>
  </si>
  <si>
    <t xml:space="preserve">sold product</t>
  </si>
  <si>
    <t xml:space="preserve">solving</t>
  </si>
  <si>
    <t xml:space="preserve">solving escalate</t>
  </si>
  <si>
    <t xml:space="preserve">solving like</t>
  </si>
  <si>
    <t xml:space="preserve">solving want</t>
  </si>
  <si>
    <t xml:space="preserve">sort</t>
  </si>
  <si>
    <t xml:space="preserve">spent</t>
  </si>
  <si>
    <t xml:space="preserve">spent ages</t>
  </si>
  <si>
    <t xml:space="preserve">spent hour</t>
  </si>
  <si>
    <t xml:space="preserve">staff member</t>
  </si>
  <si>
    <t xml:space="preserve">statement 15</t>
  </si>
  <si>
    <t xml:space="preserve">statement 25</t>
  </si>
  <si>
    <t xml:space="preserve">statement 48</t>
  </si>
  <si>
    <t xml:space="preserve">statement 60</t>
  </si>
  <si>
    <t xml:space="preserve">statements</t>
  </si>
  <si>
    <t xml:space="preserve">statements fee</t>
  </si>
  <si>
    <t xml:space="preserve">statements sort</t>
  </si>
  <si>
    <t xml:space="preserve">statements taking</t>
  </si>
  <si>
    <t xml:space="preserve">stolen loan</t>
  </si>
  <si>
    <t xml:space="preserve">stopped</t>
  </si>
  <si>
    <t xml:space="preserve">stopped working</t>
  </si>
  <si>
    <t xml:space="preserve">stress</t>
  </si>
  <si>
    <t xml:space="preserve">stress want</t>
  </si>
  <si>
    <t xml:space="preserve">stuck weeks</t>
  </si>
  <si>
    <t xml:space="preserve">submitted</t>
  </si>
  <si>
    <t xml:space="preserve">submitted month</t>
  </si>
  <si>
    <t xml:space="preserve">suitable</t>
  </si>
  <si>
    <t xml:space="preserve">suitable circumstances</t>
  </si>
  <si>
    <t xml:space="preserve">switch</t>
  </si>
  <si>
    <t xml:space="preserve">switch taking</t>
  </si>
  <si>
    <t xml:space="preserve">taken</t>
  </si>
  <si>
    <t xml:space="preserve">taken fee</t>
  </si>
  <si>
    <t xml:space="preserve">taken taking</t>
  </si>
  <si>
    <t xml:space="preserve">taken twice</t>
  </si>
  <si>
    <t xml:space="preserve">taken weeks</t>
  </si>
  <si>
    <t xml:space="preserve">taking</t>
  </si>
  <si>
    <t xml:space="preserve">taking far</t>
  </si>
  <si>
    <t xml:space="preserve">talked</t>
  </si>
  <si>
    <t xml:space="preserve">talked escalate</t>
  </si>
  <si>
    <t xml:space="preserve">talked expect</t>
  </si>
  <si>
    <t xml:space="preserve">talked sort</t>
  </si>
  <si>
    <t xml:space="preserve">talked taking</t>
  </si>
  <si>
    <t xml:space="preserve">team</t>
  </si>
  <si>
    <t xml:space="preserve">team closed</t>
  </si>
  <si>
    <t xml:space="preserve">terms</t>
  </si>
  <si>
    <t xml:space="preserve">terms different</t>
  </si>
  <si>
    <t xml:space="preserve">text message</t>
  </si>
  <si>
    <t xml:space="preserve">think</t>
  </si>
  <si>
    <t xml:space="preserve">think explained</t>
  </si>
  <si>
    <t xml:space="preserve">think victim</t>
  </si>
  <si>
    <t xml:space="preserve">time</t>
  </si>
  <si>
    <t xml:space="preserve">time expect</t>
  </si>
  <si>
    <t xml:space="preserve">time raised</t>
  </si>
  <si>
    <t xml:space="preserve">time sale</t>
  </si>
  <si>
    <t xml:space="preserve">time try</t>
  </si>
  <si>
    <t xml:space="preserve">time worried</t>
  </si>
  <si>
    <t xml:space="preserve">told</t>
  </si>
  <si>
    <t xml:space="preserve">told like</t>
  </si>
  <si>
    <t xml:space="preserve">told policy</t>
  </si>
  <si>
    <t xml:space="preserve">told taking</t>
  </si>
  <si>
    <t xml:space="preserve">took</t>
  </si>
  <si>
    <t xml:space="preserve">took overdraft</t>
  </si>
  <si>
    <t xml:space="preserve">took ownership</t>
  </si>
  <si>
    <t xml:space="preserve">transaction</t>
  </si>
  <si>
    <t xml:space="preserve">transaction charges</t>
  </si>
  <si>
    <t xml:space="preserve">transactions</t>
  </si>
  <si>
    <t xml:space="preserve">transactions card</t>
  </si>
  <si>
    <t xml:space="preserve">transfer</t>
  </si>
  <si>
    <t xml:space="preserve">transfer advice</t>
  </si>
  <si>
    <t xml:space="preserve">transfer pending</t>
  </si>
  <si>
    <t xml:space="preserve">treated</t>
  </si>
  <si>
    <t xml:space="preserve">tricked moving</t>
  </si>
  <si>
    <t xml:space="preserve">try</t>
  </si>
  <si>
    <t xml:space="preserve">try open</t>
  </si>
  <si>
    <t xml:space="preserve">twice</t>
  </si>
  <si>
    <t xml:space="preserve">twice lost</t>
  </si>
  <si>
    <t xml:space="preserve">twice month</t>
  </si>
  <si>
    <t xml:space="preserve">unable</t>
  </si>
  <si>
    <t xml:space="preserve">unable access</t>
  </si>
  <si>
    <t xml:space="preserve">unauthorised payment</t>
  </si>
  <si>
    <t xml:space="preserve">unexpected</t>
  </si>
  <si>
    <t xml:space="preserve">unexpected charge</t>
  </si>
  <si>
    <t xml:space="preserve">unhappy</t>
  </si>
  <si>
    <t xml:space="preserve">unhappy handled</t>
  </si>
  <si>
    <t xml:space="preserve">unhelpful talked</t>
  </si>
  <si>
    <t xml:space="preserve">update</t>
  </si>
  <si>
    <t xml:space="preserve">update expect</t>
  </si>
  <si>
    <t xml:space="preserve">update fake</t>
  </si>
  <si>
    <t xml:space="preserve">update fee</t>
  </si>
  <si>
    <t xml:space="preserve">updated</t>
  </si>
  <si>
    <t xml:space="preserve">updated like</t>
  </si>
  <si>
    <t xml:space="preserve">updated spent</t>
  </si>
  <si>
    <t xml:space="preserve">used</t>
  </si>
  <si>
    <t xml:space="preserve">used abroad</t>
  </si>
  <si>
    <t xml:space="preserve">value</t>
  </si>
  <si>
    <t xml:space="preserve">value escalate</t>
  </si>
  <si>
    <t xml:space="preserve">victim</t>
  </si>
  <si>
    <t xml:space="preserve">victim scam</t>
  </si>
  <si>
    <t xml:space="preserve">waiting escalate</t>
  </si>
  <si>
    <t xml:space="preserve">waiting expect</t>
  </si>
  <si>
    <t xml:space="preserve">waiting fee</t>
  </si>
  <si>
    <t xml:space="preserve">waiting want</t>
  </si>
  <si>
    <t xml:space="preserve">want</t>
  </si>
  <si>
    <t xml:space="preserve">want answers</t>
  </si>
  <si>
    <t xml:space="preserve">want refunded</t>
  </si>
  <si>
    <t xml:space="preserve">want resolved</t>
  </si>
  <si>
    <t xml:space="preserve">want right</t>
  </si>
  <si>
    <t xml:space="preserve">way</t>
  </si>
  <si>
    <t xml:space="preserve">way gone</t>
  </si>
  <si>
    <t xml:space="preserve">webchat agent</t>
  </si>
  <si>
    <t xml:space="preserve">website</t>
  </si>
  <si>
    <t xml:space="preserve">website let</t>
  </si>
  <si>
    <t xml:space="preserve">website money</t>
  </si>
  <si>
    <t xml:space="preserve">week</t>
  </si>
  <si>
    <t xml:space="preserve">week expect</t>
  </si>
  <si>
    <t xml:space="preserve">weeks process</t>
  </si>
  <si>
    <t xml:space="preserve">weeks progress</t>
  </si>
  <si>
    <t xml:space="preserve">working</t>
  </si>
  <si>
    <t xml:space="preserve">working approve</t>
  </si>
  <si>
    <t xml:space="preserve">working days</t>
  </si>
  <si>
    <t xml:space="preserve">worried</t>
  </si>
  <si>
    <t xml:space="preserve">worried fraud</t>
  </si>
  <si>
    <t xml:space="preserve">writing</t>
  </si>
  <si>
    <t xml:space="preserve">writing complain</t>
  </si>
  <si>
    <t xml:space="preserve">years</t>
  </si>
  <si>
    <t xml:space="preserve">years account</t>
  </si>
  <si>
    <t xml:space="preserve">years advised</t>
  </si>
  <si>
    <t xml:space="preserve">years advisor</t>
  </si>
  <si>
    <t xml:space="preserve">years app</t>
  </si>
  <si>
    <t xml:space="preserve">years application</t>
  </si>
  <si>
    <t xml:space="preserve">years asked</t>
  </si>
  <si>
    <t xml:space="preserve">years billed</t>
  </si>
  <si>
    <t xml:space="preserve">years card</t>
  </si>
  <si>
    <t xml:space="preserve">years checked</t>
  </si>
  <si>
    <t xml:space="preserve">years complaints</t>
  </si>
  <si>
    <t xml:space="preserve">years direct</t>
  </si>
  <si>
    <t xml:space="preserve">years explained</t>
  </si>
  <si>
    <t xml:space="preserve">years misled</t>
  </si>
  <si>
    <t xml:space="preserve">years password</t>
  </si>
  <si>
    <t xml:space="preserve">years payment</t>
  </si>
  <si>
    <t xml:space="preserve">years person</t>
  </si>
  <si>
    <t xml:space="preserve">years salesperson</t>
  </si>
  <si>
    <t xml:space="preserve">years sent</t>
  </si>
  <si>
    <t xml:space="preserve">years took</t>
  </si>
  <si>
    <t xml:space="preserve">years webchat</t>
  </si>
  <si>
    <t xml:space="preserve">clean_text</t>
  </si>
  <si>
    <t xml:space="preserve">exact_label</t>
  </si>
  <si>
    <t xml:space="preserve">fuzzy_label</t>
  </si>
  <si>
    <t xml:space="preserve">learned_label</t>
  </si>
  <si>
    <t xml:space="preserve">used_for</t>
  </si>
  <si>
    <t xml:space="preserve">train</t>
  </si>
  <si>
    <t xml:space="preserve">test</t>
  </si>
  <si>
    <t xml:space="preserve">N0001</t>
  </si>
  <si>
    <t xml:space="preserve">To whom it may concern, The pension transfer advice I received was poor and I have lost out. Also, my card reader stopped working and I cannot approve payments.</t>
  </si>
  <si>
    <t xml:space="preserve">N0002</t>
  </si>
  <si>
    <t xml:space="preserve">Hello, I was told this policy covered me but my claim was rejected. Also, i have been billed an annual fee I never agreed to. Please sort this out.</t>
  </si>
  <si>
    <t xml:space="preserve">N0003</t>
  </si>
  <si>
    <t xml:space="preserve">I think I was the victim of a scam and sent money to a fraudster. Also, why has my interest rate gone up without notice, it is costing me more every month. I would like a response in writing.</t>
  </si>
  <si>
    <t xml:space="preserve">N0004</t>
  </si>
  <si>
    <t xml:space="preserve">This is the second time I have raised this. I am unable to access my account to see my balance. I expect compensation.</t>
  </si>
  <si>
    <t xml:space="preserve">N0005</t>
  </si>
  <si>
    <t xml:space="preserve">I have been a customer for years. A late payment fee appeared and I want it refunded. I do not think it was explained proprly when I bought it.</t>
  </si>
  <si>
    <t xml:space="preserve">N0006</t>
  </si>
  <si>
    <t xml:space="preserve">I spent an hour on hold and then the call was cut off. There was also a fee involved. This is not acceptable.</t>
  </si>
  <si>
    <t xml:space="preserve">N0007</t>
  </si>
  <si>
    <t xml:space="preserve">I was tricked into moving savings to a safe account that was not safe. Also, i cannot log in to the mobile app since the update.</t>
  </si>
  <si>
    <t xml:space="preserve">N0008</t>
  </si>
  <si>
    <t xml:space="preserve">This is the second time I have raised this. I was advised to take out cover that duplicates what I already had. I want this put right.</t>
  </si>
  <si>
    <t xml:space="preserve">N0009</t>
  </si>
  <si>
    <t xml:space="preserve">The paprwork was submitted a month ago and I am still waiting. There was also a fee involved. I expect compensation.</t>
  </si>
  <si>
    <t xml:space="preserve">N0010</t>
  </si>
  <si>
    <t xml:space="preserve">To whom it may concern, I cannot log in to the mobile app since the update. I would like a response in writing.</t>
  </si>
  <si>
    <t xml:space="preserve">N0011</t>
  </si>
  <si>
    <t xml:space="preserve">There are transactions on my card I do not recognise. Please sort this out.</t>
  </si>
  <si>
    <t xml:space="preserve">N0012</t>
  </si>
  <si>
    <t xml:space="preserve">Frankly, The fraud team closed my case without investigating properly. Also, i spent an hour on hold and then the call was cut off. I expect compensation.</t>
  </si>
  <si>
    <t xml:space="preserve">N0013</t>
  </si>
  <si>
    <t xml:space="preserve">Hello, I was passed between four departments and no one took ownership. I could not log in to check either.</t>
  </si>
  <si>
    <t xml:space="preserve">N0014</t>
  </si>
  <si>
    <t xml:space="preserve">The paperwork was submitted a month ago and I am still waiting. I expect compensation.</t>
  </si>
  <si>
    <t xml:space="preserve">N0015</t>
  </si>
  <si>
    <t xml:space="preserve">This is the second time I have raised this. My online banking is locked and the reset link never arrives. Please escalate this.</t>
  </si>
  <si>
    <t xml:space="preserve">N0016</t>
  </si>
  <si>
    <t xml:space="preserve">Frankly, The payment still has not arrived in my account. Also, i asked for a callback and it never happened.</t>
  </si>
  <si>
    <t xml:space="preserve">N0017</t>
  </si>
  <si>
    <t xml:space="preserve">Frankly, I have been billed an annual fee I never agreed to.</t>
  </si>
  <si>
    <t xml:space="preserve">N0018</t>
  </si>
  <si>
    <t xml:space="preserve">Frankly, Why has my interest rate gone up without notice, it is costing me more every month. Also, the closure of my old account has dragged on for months. I would like a response in writing.</t>
  </si>
  <si>
    <t xml:space="preserve">N0019</t>
  </si>
  <si>
    <t xml:space="preserve">I have been a customer for years. I was charged a monthly fee that nobody told me about. This is not acceptable.</t>
  </si>
  <si>
    <t xml:space="preserve">N0020</t>
  </si>
  <si>
    <t xml:space="preserve">To whom it may concern, You promised the money within three working days and it is still outstanding. Please sort this out.</t>
  </si>
  <si>
    <t xml:space="preserve">N0021</t>
  </si>
  <si>
    <t xml:space="preserve">Frankly, You took an overdraft fee even though I was within my limit.</t>
  </si>
  <si>
    <t xml:space="preserve">N0022</t>
  </si>
  <si>
    <t xml:space="preserve">Frankly, My identity was stolen and a loan was taken out in my name.</t>
  </si>
  <si>
    <t xml:space="preserve">N0023</t>
  </si>
  <si>
    <t xml:space="preserve">This is the second time I have raised this. I cannot log in to the mobile app since the update. I expect compensation.</t>
  </si>
  <si>
    <t xml:space="preserve">N0024</t>
  </si>
  <si>
    <t xml:space="preserve">This is the second time I have raised this. I reported the unauthorised payment but you refused to reimburse me. I also spent ages on hold when I called about it.</t>
  </si>
  <si>
    <t xml:space="preserve">N0025</t>
  </si>
  <si>
    <t xml:space="preserve">I have been a customer for years. The password reset keeps failing and I am locked out. I would like a response in writing.</t>
  </si>
  <si>
    <t xml:space="preserve">N0026</t>
  </si>
  <si>
    <t xml:space="preserve">This is the second time I have raised this. A late payment fee appeared and I want it refunded. Please sort this out.</t>
  </si>
  <si>
    <t xml:space="preserve">N0027</t>
  </si>
  <si>
    <t xml:space="preserve">I am writing to complain. I keep getting an error message when I sign in. I want this put right.</t>
  </si>
  <si>
    <t xml:space="preserve">N0028</t>
  </si>
  <si>
    <t xml:space="preserve">This is the second time I have raised this. Someone has made payments from my account that I did not authorise. Please escalate this.</t>
  </si>
  <si>
    <t xml:space="preserve">N0029</t>
  </si>
  <si>
    <t xml:space="preserve">To whom it may concern, Someone has made payments from my account that I did not authorise. Also, two factor codes are not being sent to my phone.</t>
  </si>
  <si>
    <t xml:space="preserve">N0030</t>
  </si>
  <si>
    <t xml:space="preserve">This is the second time I have raised this. I was tricked into moving savings to a safe account that was not safe.</t>
  </si>
  <si>
    <t xml:space="preserve">N0031</t>
  </si>
  <si>
    <t xml:space="preserve">To whom it may concern, There are transactions on my card I do not recognise. Also, there is an unexpected charge on my statement of £15. This is not acceptable.</t>
  </si>
  <si>
    <t xml:space="preserve">N0032</t>
  </si>
  <si>
    <t xml:space="preserve">To whom it may concern, The terms were very different from what I was promised at the time of sale.</t>
  </si>
  <si>
    <t xml:space="preserve">N0033</t>
  </si>
  <si>
    <t xml:space="preserve">I have been a customer for years. My online banking is locked and the reset link never arrives. Also, you promised the money within three working days and it is still outstanding. Please sort this out.</t>
  </si>
  <si>
    <t xml:space="preserve">N0034</t>
  </si>
  <si>
    <t xml:space="preserve">Frankly, I asked for a callback and it never happened. I do not think it was explained properly when I bought it. I would like a response in writing.</t>
  </si>
  <si>
    <t xml:space="preserve">N0035</t>
  </si>
  <si>
    <t xml:space="preserve">My card reader stopped working and I cannot approve paymnts. Also, nobody explained the foreign transaction charges before my holiday. I want this put right.</t>
  </si>
  <si>
    <t xml:space="preserve">N0036</t>
  </si>
  <si>
    <t xml:space="preserve">To whom it may concern, The website will not let me register for online access. This is not acceptable.</t>
  </si>
  <si>
    <t xml:space="preserve">N0037</t>
  </si>
  <si>
    <t xml:space="preserve">Your advisor gave me different answers on two separate calls. Also, i have been billed an annual fee I never agreed to. Please sort this out.</t>
  </si>
  <si>
    <t xml:space="preserve">N0038</t>
  </si>
  <si>
    <t xml:space="preserve">The fraud team closed my case without investigating properly. Also, i sent the form twice and it seems to have been lost in the system. I want this put right.</t>
  </si>
  <si>
    <t xml:space="preserve">N0039</t>
  </si>
  <si>
    <t xml:space="preserve">I have been a customer for years. My application has been stuck for weeks with no progress.</t>
  </si>
  <si>
    <t xml:space="preserve">N0040</t>
  </si>
  <si>
    <t xml:space="preserve">Hello, Two factor codes are not being sent to my phone. Also, i think I was the victim of a scam and sent money to a fraudster. Please sort this out.</t>
  </si>
  <si>
    <t xml:space="preserve">N0041</t>
  </si>
  <si>
    <t xml:space="preserve">This is the second time I have raised this. I was tricked into moving savings to a safe account that was not safe. I expect compensation.</t>
  </si>
  <si>
    <t xml:space="preserve">N0042</t>
  </si>
  <si>
    <t xml:space="preserve">Frankly, The payment still has not arrive in my account.</t>
  </si>
  <si>
    <t xml:space="preserve">N0043</t>
  </si>
  <si>
    <t xml:space="preserve">It has taken six weeks to process my claim and nobody has updated me. This is not acceptable.</t>
  </si>
  <si>
    <t xml:space="preserve">N0044</t>
  </si>
  <si>
    <t xml:space="preserve">To whom it may concern, The website will not let me register for online access. Please sort this out.</t>
  </si>
  <si>
    <t xml:space="preserve">N0045</t>
  </si>
  <si>
    <t xml:space="preserve">The adviser did not explain the risks of the investment. Please sort this out.</t>
  </si>
  <si>
    <t xml:space="preserve">N0046</t>
  </si>
  <si>
    <t xml:space="preserve">To whom it may concern, A person pretending to be from your bank phoned me and I gave them details. I would like a response in writing.</t>
  </si>
  <si>
    <t xml:space="preserve">N0047</t>
  </si>
  <si>
    <t xml:space="preserve">I have been a customer for years. The salesperson pushed me into a plan I did not need. Please escalate this.</t>
  </si>
  <si>
    <t xml:space="preserve">N0048</t>
  </si>
  <si>
    <t xml:space="preserve">Hello, Why has my interest rate gone up without notice, it is costing me more every month. Also, i asked for a callback and it never happened. I want this put right.</t>
  </si>
  <si>
    <t xml:space="preserve">N0049</t>
  </si>
  <si>
    <t xml:space="preserve">I am writing to complain. Your advisor gave me different answers on two separate calls.</t>
  </si>
  <si>
    <t xml:space="preserve">N0050</t>
  </si>
  <si>
    <t xml:space="preserve">I was tricked into moving savings to a safe account that was not safe. Also, nobody checked whether I could afford the credit agreement. I would like a response in writing.</t>
  </si>
  <si>
    <t xml:space="preserve">N0051</t>
  </si>
  <si>
    <t xml:space="preserve">This is the second time I have raised this. I spent an hour on hold and then the call was cut off. I do not think it was explained properly when I bought it. I want this put right.</t>
  </si>
  <si>
    <t xml:space="preserve">N0052</t>
  </si>
  <si>
    <t xml:space="preserve">The terms were very different from what I was promised at the time of sale. Also, the website will not let me register for online access.</t>
  </si>
  <si>
    <t xml:space="preserve">N0053</t>
  </si>
  <si>
    <t xml:space="preserve">I was hit with a penalty charge for a payment I made on time. I want this put right.</t>
  </si>
  <si>
    <t xml:space="preserve">N0054</t>
  </si>
  <si>
    <t xml:space="preserve">I have been a customer for years. I think I was the victim of a scam and sent money to a fraudster. I want this put right.</t>
  </si>
  <si>
    <t xml:space="preserve">N0055</t>
  </si>
  <si>
    <t xml:space="preserve">Frankly, I keep getting an error message when I sign in. I am worried it might be fraud.</t>
  </si>
  <si>
    <t xml:space="preserve">N0056</t>
  </si>
  <si>
    <t xml:space="preserve">Frankly, The terms were very different from what I was promised at the time of sale. I would like a response in writing.</t>
  </si>
  <si>
    <t xml:space="preserve">N0057</t>
  </si>
  <si>
    <t xml:space="preserve">To whom it may concern, Nobody has responded to my emails despite three reminders. I would like a response in writing.</t>
  </si>
  <si>
    <t xml:space="preserve">N0058</t>
  </si>
  <si>
    <t xml:space="preserve">I have been a customer for years. The adviser did not explain the risks of the investment. Also, my application has been stuck for weeks with no progress.</t>
  </si>
  <si>
    <t xml:space="preserve">N0059</t>
  </si>
  <si>
    <t xml:space="preserve">I have been a customer for years. I was passed between four departments and no one took ownership. Also, someone has made payments from my account that I did not authorise. I want this put right.</t>
  </si>
  <si>
    <t xml:space="preserve">N0060</t>
  </si>
  <si>
    <t xml:space="preserve">I am writing to complain. I was hit with a penalty charge for a payment I made on time.</t>
  </si>
  <si>
    <t xml:space="preserve">N0061</t>
  </si>
  <si>
    <t xml:space="preserve">Hello, I was sold a product that was not suitable for my circumstances. I would like a response in writing.</t>
  </si>
  <si>
    <t xml:space="preserve">N0062</t>
  </si>
  <si>
    <t xml:space="preserve">Hello, I was misled about what the insurance actually included.</t>
  </si>
  <si>
    <t xml:space="preserve">N0063</t>
  </si>
  <si>
    <t xml:space="preserve">Frankly, My transfer has been pending for over a week. This is not acceptable.</t>
  </si>
  <si>
    <t xml:space="preserve">N0064</t>
  </si>
  <si>
    <t xml:space="preserve">The costs keep creeping up and my balance is lower than it should be. I do not think it was explained properly when I bought it.</t>
  </si>
  <si>
    <t xml:space="preserve">N0065</t>
  </si>
  <si>
    <t xml:space="preserve">My account was frozen and I cannot get in to move money. I do not think it was explained properly when I bought it. I expect compensation.</t>
  </si>
  <si>
    <t xml:space="preserve">N0066</t>
  </si>
  <si>
    <t xml:space="preserve">Frankly, Your advisor gave me different answers on two separate calls. I expect compensation.</t>
  </si>
  <si>
    <t xml:space="preserve">N0067</t>
  </si>
  <si>
    <t xml:space="preserve">This is the second time I have raised this. The adviser did not explain the risks of the investment. It has also been taking far too long. This is not acceptable.</t>
  </si>
  <si>
    <t xml:space="preserve">N0068</t>
  </si>
  <si>
    <t xml:space="preserve">I am writing to complain. I was told this policy covered me but my claim was rejected.</t>
  </si>
  <si>
    <t xml:space="preserve">N0069</t>
  </si>
  <si>
    <t xml:space="preserve">Hello, Your advisor gave me different answers on two separate calls. I would like a response in writing.</t>
  </si>
  <si>
    <t xml:space="preserve">N0070</t>
  </si>
  <si>
    <t xml:space="preserve">I am writing to complain. I was misled about what the insurance actually included. Also, the account maintenance fee was taken twice this month.</t>
  </si>
  <si>
    <t xml:space="preserve">N0071</t>
  </si>
  <si>
    <t xml:space="preserve">The adviser did not explain the risks of the investment. I expect compensation.</t>
  </si>
  <si>
    <t xml:space="preserve">N0072</t>
  </si>
  <si>
    <t xml:space="preserve">Frankly, The complaints handler was unhelpful and talked over me. Also, my application has been stuck for weeks with no progress. This is not acceptable.</t>
  </si>
  <si>
    <t xml:space="preserve">N0073</t>
  </si>
  <si>
    <t xml:space="preserve">Your advisor gave me different answers on two separate calls. Please sort this out.</t>
  </si>
  <si>
    <t xml:space="preserve">N0074</t>
  </si>
  <si>
    <t xml:space="preserve">I am writing to complain. The complaints handler was unhelpful and talked over me.</t>
  </si>
  <si>
    <t xml:space="preserve">N0075</t>
  </si>
  <si>
    <t xml:space="preserve">I am writing to complain. My identity was stolen and a loan was taken out in my name. Please escalate this.</t>
  </si>
  <si>
    <t xml:space="preserve">N0076</t>
  </si>
  <si>
    <t xml:space="preserve">I sent the form twice and it seems to have been lost in the system. Also, i spent an hour on hold and then the call was cut off. I expect compensation.</t>
  </si>
  <si>
    <t xml:space="preserve">N0077</t>
  </si>
  <si>
    <t xml:space="preserve">I have been a customer for years. My online banking is locked and the reset link never arrives. Also, the brochure said guaranteed returns and my money has lost value.</t>
  </si>
  <si>
    <t xml:space="preserve">N0078</t>
  </si>
  <si>
    <t xml:space="preserve">I have been a customer for years. The fraud team closed my case without investigating properly.</t>
  </si>
  <si>
    <t xml:space="preserve">N0079</t>
  </si>
  <si>
    <t xml:space="preserve">I am writing to complain. The payment still has not arrived in my account. I want this put right.</t>
  </si>
  <si>
    <t xml:space="preserve">N0080</t>
  </si>
  <si>
    <t xml:space="preserve">I am writing to complain. The app crashes every time I try to open my statements. There was also a fee involved. lease escalate this.</t>
  </si>
  <si>
    <t xml:space="preserve">N0081</t>
  </si>
  <si>
    <t xml:space="preserve">Frankly, The closure of my old account has dragged on for months.</t>
  </si>
  <si>
    <t xml:space="preserve">N0082</t>
  </si>
  <si>
    <t xml:space="preserve">This is the second time I have raised this. The fraud team closed my case without investigating properly. Please escalate this.</t>
  </si>
  <si>
    <t xml:space="preserve">N0083</t>
  </si>
  <si>
    <t xml:space="preserve">A late payment fee appeared and I want it refunded. Also, my transfer has been pending for over a week. This is not acceptable.</t>
  </si>
  <si>
    <t xml:space="preserve">N0084</t>
  </si>
  <si>
    <t xml:space="preserve">I am very unhappy with how this has been handled. Please escalate this.</t>
  </si>
  <si>
    <t xml:space="preserve">N0085</t>
  </si>
  <si>
    <t xml:space="preserve">Frankly, My mortgage switch is taking far longer than you said it would. There was also a fee involved. This is not acceptable.</t>
  </si>
  <si>
    <t xml:space="preserve">N0086</t>
  </si>
  <si>
    <t xml:space="preserve">I am very unhappy with how this as been handled. I expect compensation.</t>
  </si>
  <si>
    <t xml:space="preserve">N0087</t>
  </si>
  <si>
    <t xml:space="preserve">I have been billed an annual fee I never agreed to. Also, my transfer has been pending for over a week.</t>
  </si>
  <si>
    <t xml:space="preserve">N0088</t>
  </si>
  <si>
    <t xml:space="preserve">To whom it may concern, The terms were very different from what I was promised at the time of sale. Also, my mortgage switch is taking far longer than you said it would. This is not acceptable.</t>
  </si>
  <si>
    <t xml:space="preserve">N0089</t>
  </si>
  <si>
    <t xml:space="preserve">To whom it may concern, A late payment fee appeared and I wat it refunded. This is not acceptable.</t>
  </si>
  <si>
    <t xml:space="preserve">N0090</t>
  </si>
  <si>
    <t xml:space="preserve">There is an unexpected charge on my statement of £25. This is not acceptable.</t>
  </si>
  <si>
    <t xml:space="preserve">N0091</t>
  </si>
  <si>
    <t xml:space="preserve">This is the second time I have raised this. The pension transfer advice I received was poor and I have lost out.</t>
  </si>
  <si>
    <t xml:space="preserve">N0092</t>
  </si>
  <si>
    <t xml:space="preserve">This is the second time I have raised this. My mortgage switch is taking far longer than you said it would.</t>
  </si>
  <si>
    <t xml:space="preserve">N0093</t>
  </si>
  <si>
    <t xml:space="preserve">To whom it may concern, Nobody has responded to my emails despite three reminders. Also, there are transactions on my card I do not recognise.</t>
  </si>
  <si>
    <t xml:space="preserve">N0094</t>
  </si>
  <si>
    <t xml:space="preserve">A person pretending to be from your bank phoned me and I gave them details. I also spent ages on hold when I called about it.</t>
  </si>
  <si>
    <t xml:space="preserve">N0095</t>
  </si>
  <si>
    <t xml:space="preserve">I am writing to complain. My identity was stolen and a loan was taken out in my name.</t>
  </si>
  <si>
    <t xml:space="preserve">N0096</t>
  </si>
  <si>
    <t xml:space="preserve">The branch manager would not listen to my concerns. It has also been taking far too long. I would like a response in writing.</t>
  </si>
  <si>
    <t xml:space="preserve">N0097</t>
  </si>
  <si>
    <t xml:space="preserve">I am writing to complain. I reported the unauthorised payment but you refused to reimburse me. Also, i am unable to access my account to see my balance.</t>
  </si>
  <si>
    <t xml:space="preserve">N0098</t>
  </si>
  <si>
    <t xml:space="preserve">A late payment fee appeared and I want it refunded.</t>
  </si>
  <si>
    <t xml:space="preserve">N0099</t>
  </si>
  <si>
    <t xml:space="preserve">The terms were very different from what I was promised at the time of sale. Also, i spent an hour on hold and then the call was cut off.</t>
  </si>
  <si>
    <t xml:space="preserve">N0100</t>
  </si>
  <si>
    <t xml:space="preserve">I am writing to complain. The salesperson pushed me into a pla I did not need.</t>
  </si>
  <si>
    <t xml:space="preserve">N0101</t>
  </si>
  <si>
    <t xml:space="preserve">This is the second time I have raised this. I was told this policy covered me but my claim was rejected. I also spent ages on hold when I called about it.</t>
  </si>
  <si>
    <t xml:space="preserve">N0102</t>
  </si>
  <si>
    <t xml:space="preserve">I am writing to complain. The password reset keeps failing and I am locked out.</t>
  </si>
  <si>
    <t xml:space="preserve">N0103</t>
  </si>
  <si>
    <t xml:space="preserve">I am writing to complain. My account was frozen and I cannot get in to move money. I do not think it was explained properly when I bought it.</t>
  </si>
  <si>
    <t xml:space="preserve">N0104</t>
  </si>
  <si>
    <t xml:space="preserve">Hello, My online banking is locked and the reset link never arrives. Also, there is an unexpected charge on my statement of £25. I want this put right.</t>
  </si>
  <si>
    <t xml:space="preserve">N0105</t>
  </si>
  <si>
    <t xml:space="preserve">To whom it may concern, I spent an hour on hold and then the call was cut off. Also, the account maintenance fee was taken twice this month. This is not acceptable.</t>
  </si>
  <si>
    <t xml:space="preserve">N0106</t>
  </si>
  <si>
    <t xml:space="preserve">I am unable to access my account to see my balance. Please escalate this.</t>
  </si>
  <si>
    <t xml:space="preserve">N0107</t>
  </si>
  <si>
    <t xml:space="preserve">You took an overdraft fee even though I was within my limit. Please escalate this.</t>
  </si>
  <si>
    <t xml:space="preserve">N0108</t>
  </si>
  <si>
    <t xml:space="preserve">I have been a cstomer for years. I was told this policy covered me but my claim was rejected.</t>
  </si>
  <si>
    <t xml:space="preserve">N0109</t>
  </si>
  <si>
    <t xml:space="preserve">This has caused me a lot of stress and I want answers. This is not acceptable.</t>
  </si>
  <si>
    <t xml:space="preserve">N0110</t>
  </si>
  <si>
    <t xml:space="preserve">This is the second time I have raised this. I was passed between four departments and no one took ownership. I expect compensation.</t>
  </si>
  <si>
    <t xml:space="preserve">N0111</t>
  </si>
  <si>
    <t xml:space="preserve">This is the second time I have raised this. My application has been stuck for weeks with no progress. Also, there are transactions on my card I do not recognise. Please sort this out.</t>
  </si>
  <si>
    <t xml:space="preserve">N0112</t>
  </si>
  <si>
    <t xml:space="preserve">The branch manager would not listen to my concerns. I would lie a response in writing.</t>
  </si>
  <si>
    <t xml:space="preserve">N0113</t>
  </si>
  <si>
    <t xml:space="preserve">I have been a customer for years. I was passed between four deparments and no one took ownership.</t>
  </si>
  <si>
    <t xml:space="preserve">N0114</t>
  </si>
  <si>
    <t xml:space="preserve">Hello, The brochure said guaranteed returns and my money has lost value. It has also been taking far too long. I want this put right.</t>
  </si>
  <si>
    <t xml:space="preserve">N0115</t>
  </si>
  <si>
    <t xml:space="preserve">I have been a customer for years. I think I was the victim of a scam and sent money to a fraudster.</t>
  </si>
  <si>
    <t xml:space="preserve">N0116</t>
  </si>
  <si>
    <t xml:space="preserve">Frankly, I was passed between four departments and no one took ownership. Also, the direct debit setup was delayed and I missed a bill because of it. Please escalate this.</t>
  </si>
  <si>
    <t xml:space="preserve">N0117</t>
  </si>
  <si>
    <t xml:space="preserve">I was misled about what the insurance actually included. Also, your advisor gave me different answers on two separate calls. I want this put right.</t>
  </si>
  <si>
    <t xml:space="preserve">N0118</t>
  </si>
  <si>
    <t xml:space="preserve">This is the second time I have raised this. The paperwork was submitted a month ago and I am still waiting.</t>
  </si>
  <si>
    <t xml:space="preserve">N0119</t>
  </si>
  <si>
    <t xml:space="preserve">To whom it may concern, My application has been stuck for weeks with no progress. I expect compensation.</t>
  </si>
  <si>
    <t xml:space="preserve">N0120</t>
  </si>
  <si>
    <t xml:space="preserve">This is the second time I have raised this. The direct debit setup was delayed and I missed a bill because of it.</t>
  </si>
  <si>
    <t xml:space="preserve">N0121</t>
  </si>
  <si>
    <t xml:space="preserve">I am writing to complain. Nobody explained the foreign transaction charges before my holiday. I am worried it might be fraud. Please escalate this.</t>
  </si>
  <si>
    <t xml:space="preserve">N0122</t>
  </si>
  <si>
    <t xml:space="preserve">This is the second time I have raised this. I was hit with a penalty charge for a payment I made on time. I could not log in to check either.</t>
  </si>
  <si>
    <t xml:space="preserve">N0123</t>
  </si>
  <si>
    <t xml:space="preserve">The closure of my old account has dragged on for onths. Please escalate this.</t>
  </si>
  <si>
    <t xml:space="preserve">N0124</t>
  </si>
  <si>
    <t xml:space="preserve">To whom it may concern, The fraud team closed my case without investigating properly. I want this put right.</t>
  </si>
  <si>
    <t xml:space="preserve">N0125</t>
  </si>
  <si>
    <t xml:space="preserve">I am writing to complain. The website will not let me register for online access. This is not acceptable.</t>
  </si>
  <si>
    <t xml:space="preserve">N0126</t>
  </si>
  <si>
    <t xml:space="preserve">This is the second time I have raised this. I have been billed an annual fee I never agreed to.</t>
  </si>
  <si>
    <t xml:space="preserve">N0127</t>
  </si>
  <si>
    <t xml:space="preserve">You promised the money within three working days and it is stil outstanding. Also, i was advised to take out cover that duplicates what I already had. Please escalate this.</t>
  </si>
  <si>
    <t xml:space="preserve">N0128</t>
  </si>
  <si>
    <t xml:space="preserve">A person pretending to be from your bank phoned me and I gave them details. Please escalate this.</t>
  </si>
  <si>
    <t xml:space="preserve">N0129</t>
  </si>
  <si>
    <t xml:space="preserve">I am writing to complain. Nobody explained the foreign transaction charges before my holiday. This is not acceptable.</t>
  </si>
  <si>
    <t xml:space="preserve">N0130</t>
  </si>
  <si>
    <t xml:space="preserve">This is the second time I have raised this. The direct debit setup was delayed and I missed a bill because of it. Also, i was charged a monthly fee that nobody told me about.</t>
  </si>
  <si>
    <t xml:space="preserve">N0131</t>
  </si>
  <si>
    <t xml:space="preserve">This is the second time I have raised this. It has taken six weeks to process my claim and nobody has updated me. I would like a response in writing.</t>
  </si>
  <si>
    <t xml:space="preserve">N0132</t>
  </si>
  <si>
    <t xml:space="preserve">I spent an hour on hold and then the call was cut off.</t>
  </si>
  <si>
    <t xml:space="preserve">N0133</t>
  </si>
  <si>
    <t xml:space="preserve">This is the second time I have raised this. I reported the unauthorised payment but you refused to reimburse me. I would like a response in writing.</t>
  </si>
  <si>
    <t xml:space="preserve">N0134</t>
  </si>
  <si>
    <t xml:space="preserve">The fraud team closed my case without investigating properly.</t>
  </si>
  <si>
    <t xml:space="preserve">N0135</t>
  </si>
  <si>
    <t xml:space="preserve">I am witing to complain. I feel I was treated badly because of my age. Also, there is an unexpected charge on my statement of £35. Please escalate this.</t>
  </si>
  <si>
    <t xml:space="preserve">N0136</t>
  </si>
  <si>
    <t xml:space="preserve">This is the second time I have raised this. I have been billed an annual fee I never agreed to. Also, the adviser did not explain the risks of the investment. This is not acceptable.</t>
  </si>
  <si>
    <t xml:space="preserve">N0137</t>
  </si>
  <si>
    <t xml:space="preserve">This is the second time I have raised this. My application has been stuck for weeks with no progress. I want this put right.</t>
  </si>
  <si>
    <t xml:space="preserve">N0138</t>
  </si>
  <si>
    <t xml:space="preserve">To whom it may concern, My application has been stuck for weeks with no progress. Please escalate this.</t>
  </si>
  <si>
    <t xml:space="preserve">N0139</t>
  </si>
  <si>
    <t xml:space="preserve">To whom it may concern, I was hit with a penalty charge for a payment I made on time. I could not log in to check either. This is not acceptable.</t>
  </si>
  <si>
    <t xml:space="preserve">N0140</t>
  </si>
  <si>
    <t xml:space="preserve">I am writing to complain. A late payment fee appeared and I want it refunded. I also spent ages on hold when I called about it. Please escalate this.</t>
  </si>
  <si>
    <t xml:space="preserve">N0141</t>
  </si>
  <si>
    <t xml:space="preserve">This is the second time I have raised this. Your advisor gave me different answers on two separate calls. It has also been taking far too long. I would like a response in writing.</t>
  </si>
  <si>
    <t xml:space="preserve">N0142</t>
  </si>
  <si>
    <t xml:space="preserve">This is the second time I have raised this. It has taken six weeks to process my claim and nobody has updated me.</t>
  </si>
  <si>
    <t xml:space="preserve">N0143</t>
  </si>
  <si>
    <t xml:space="preserve">The direct debit setup was delayed and I missed a bill because of it. I am worried it might be fraud.</t>
  </si>
  <si>
    <t xml:space="preserve">N0144</t>
  </si>
  <si>
    <t xml:space="preserve">I have been a customer for years. My transfer has been pending for over a week. I am worried it might be fraud. Please escalate this.</t>
  </si>
  <si>
    <t xml:space="preserve">N0145</t>
  </si>
  <si>
    <t xml:space="preserve">I have been a customer for years. The webchat agent ended the conversation without solving anything. Also, my application has been stuck for weeks with no progress. This is not acceptable.</t>
  </si>
  <si>
    <t xml:space="preserve">N0146</t>
  </si>
  <si>
    <t xml:space="preserve">My online banking is locked and the reset link never arrives. I would like a response in writing.</t>
  </si>
  <si>
    <t xml:space="preserve">N0147</t>
  </si>
  <si>
    <t xml:space="preserve">I have been a customer for years. The paperwork was submitted a month ago and I am still waiting. I am worried it might be fraud. This is not acceptable.</t>
  </si>
  <si>
    <t xml:space="preserve">N0148</t>
  </si>
  <si>
    <t xml:space="preserve">I reported the unauthorised payment but you refused to reimburse me. Also, the adviser did not explain the risks of the investment. This is not acceptable.</t>
  </si>
  <si>
    <t xml:space="preserve">N0149</t>
  </si>
  <si>
    <t xml:space="preserve">I have been a customer for years. The account maintenance fee was taken twice this month. I would like a response in writing.</t>
  </si>
  <si>
    <t xml:space="preserve">N0150</t>
  </si>
  <si>
    <t xml:space="preserve">Hello, I was told this policy covered me but my claim was rejected. Also, someone has made payments from my account that I did not authorise. I expect compensation.</t>
  </si>
  <si>
    <t xml:space="preserve">N0151</t>
  </si>
  <si>
    <t xml:space="preserve">I am writing to complain. I was sold a product that was not suitable for my circumstances.</t>
  </si>
  <si>
    <t xml:space="preserve">N0152</t>
  </si>
  <si>
    <t xml:space="preserve">I am writing to complain. My card was cloned and used abroad. lso, i keep getting an error message when I sign in. Please escalate this.</t>
  </si>
  <si>
    <t xml:space="preserve">N0153</t>
  </si>
  <si>
    <t xml:space="preserve">I have been a customer for years. I was misled about what the insurance actually included. Also, someone has made payments from my account that I did not authorise.</t>
  </si>
  <si>
    <t xml:space="preserve">N0154</t>
  </si>
  <si>
    <t xml:space="preserve">Nobody has responded to my emails despite three reminders. It has also been taking far too long.</t>
  </si>
  <si>
    <t xml:space="preserve">N0155</t>
  </si>
  <si>
    <t xml:space="preserve">The pension transfer advice I received was poor and I have lost out. Also, i feel I was treated badly because of my age. I expect compensation.</t>
  </si>
  <si>
    <t xml:space="preserve">N0156</t>
  </si>
  <si>
    <t xml:space="preserve">Hello, Your advisor gave me different answers on two separate calls. I could not log in to check either. This is not acceptable.</t>
  </si>
  <si>
    <t xml:space="preserve">N0157</t>
  </si>
  <si>
    <t xml:space="preserve">The direct debit setup was delayed and I missed a bill because of it. I could not log in to check either.</t>
  </si>
  <si>
    <t xml:space="preserve">N0158</t>
  </si>
  <si>
    <t xml:space="preserve">Frankly, Someone ha made payments from my account that I did not authorise. I want this put right.</t>
  </si>
  <si>
    <t xml:space="preserve">N0159</t>
  </si>
  <si>
    <t xml:space="preserve">Hello, The costs keep creeping up and my balance is lower than it should be. Please escalate this.</t>
  </si>
  <si>
    <t xml:space="preserve">N0160</t>
  </si>
  <si>
    <t xml:space="preserve">I have been a customer for years. I keep getting an error message when I sign in. Please escalate this.</t>
  </si>
  <si>
    <t xml:space="preserve">N0161</t>
  </si>
  <si>
    <t xml:space="preserve">Hello, I was told this policy covered me but my claim was rejected. Please sort this out.</t>
  </si>
  <si>
    <t xml:space="preserve">N0162</t>
  </si>
  <si>
    <t xml:space="preserve">This is the second time I have raised this. I think I was the victim of a scam nd sent money to a fraudster. This is not acceptable.</t>
  </si>
  <si>
    <t xml:space="preserve">N0163</t>
  </si>
  <si>
    <t xml:space="preserve">I have been a customer for years. I was told this policy covered me but my claim was rejected. Also, the app crashes every time I try to open my statements. Please sort this out.</t>
  </si>
  <si>
    <t xml:space="preserve">N0164</t>
  </si>
  <si>
    <t xml:space="preserve">This is the second time I have raised this. The terms were very different from what I was promised at the time of sale. Pleae sort this out.</t>
  </si>
  <si>
    <t xml:space="preserve">N0165</t>
  </si>
  <si>
    <t xml:space="preserve">Hello, Someone has made payments from my account that I did not authorise. Also, the terms were very different from what I was promised at the time of sale.</t>
  </si>
  <si>
    <t xml:space="preserve">N0166</t>
  </si>
  <si>
    <t xml:space="preserve">To whom it may concern, The adviser did not explain the risks of the investment. I am worried it might be fraud.</t>
  </si>
  <si>
    <t xml:space="preserve">N0167</t>
  </si>
  <si>
    <t xml:space="preserve">To whom it may concern, My transfer has been pending for over a week.</t>
  </si>
  <si>
    <t xml:space="preserve">N0168</t>
  </si>
  <si>
    <t xml:space="preserve">Hello, You took an overdraft fee even though I was within my limit. I do not think it was explained properly when I bought it. This is not acceptable.</t>
  </si>
  <si>
    <t xml:space="preserve">N0169</t>
  </si>
  <si>
    <t xml:space="preserve">To whom it may concern, Nobody explained the foreign transaction charges before my holiday. Also, a fake text message led me to a website and my money disappeared. I expect compensation.</t>
  </si>
  <si>
    <t xml:space="preserve">N0170</t>
  </si>
  <si>
    <t xml:space="preserve">I am writing to complain. I reported the unauthorised payment but you refused to reimburse me. Please sort this out.</t>
  </si>
  <si>
    <t xml:space="preserve">N0171</t>
  </si>
  <si>
    <t xml:space="preserve">To whom it may concern, I was sold a product that was not suitable for my circumstances. I would like a response in writing.</t>
  </si>
  <si>
    <t xml:space="preserve">N0172</t>
  </si>
  <si>
    <t xml:space="preserve">Frankly, The costs keep creeping up and my balance is lower than it should be. It has also been taking far too long. I would like a response in writing.</t>
  </si>
  <si>
    <t xml:space="preserve">N0173</t>
  </si>
  <si>
    <t xml:space="preserve">To whom it may concern, My online banking is locked and the reset link never arrives. I also spent ages on hold when I called about it. Please sort this out.</t>
  </si>
  <si>
    <t xml:space="preserve">N0174</t>
  </si>
  <si>
    <t xml:space="preserve">I have been a customer for years. The brochure said guaranteed returns and my money has lost value.</t>
  </si>
  <si>
    <t xml:space="preserve">N0175</t>
  </si>
  <si>
    <t xml:space="preserve">I am writing to complain. The brochure said guaranteed returns and my money has lost value. I am worried it might be fraud. I want this put right.</t>
  </si>
  <si>
    <t xml:space="preserve">N0176</t>
  </si>
  <si>
    <t xml:space="preserve">I am writing to complain. The complaints handler was unhelpful and talked over me. Also, i am unable to access my account to see my balance. I expect compensation.</t>
  </si>
  <si>
    <t xml:space="preserve">N0177</t>
  </si>
  <si>
    <t xml:space="preserve">I have been a customer for years. The password reset keeps failing and I am locked out. Also, i was charged a monthly fee that nobody told me about.</t>
  </si>
  <si>
    <t xml:space="preserve">N0178</t>
  </si>
  <si>
    <t xml:space="preserve">Hello, My card was cloned and used abroad. There was also a fee involved. I want this put right.</t>
  </si>
  <si>
    <t xml:space="preserve">N0179</t>
  </si>
  <si>
    <t xml:space="preserve">There is an unexpected charge on my statement of £25. I also spent ages on hold when I called about it. Please sort this out.</t>
  </si>
  <si>
    <t xml:space="preserve">N0180</t>
  </si>
  <si>
    <t xml:space="preserve">Hello, My application has been stuck for weeks with no progress. I expect compensation.</t>
  </si>
  <si>
    <t xml:space="preserve">N0181</t>
  </si>
  <si>
    <t xml:space="preserve">I have been a customer for years. I was hit with a penalty charge for a payment I made on time. I would like a response in writing.</t>
  </si>
  <si>
    <t xml:space="preserve">N0182</t>
  </si>
  <si>
    <t xml:space="preserve">To whom it may concern, You promised the money within tree working days and it is still outstanding. I could not log in to check either. Please sort this out.</t>
  </si>
  <si>
    <t xml:space="preserve">N0183</t>
  </si>
  <si>
    <t xml:space="preserve">This is the second time I have raised this. Nobody explained the foreign transaction charges before my holiday. Also, the staff member was rude and dismissive when I called. Please sort this out.</t>
  </si>
  <si>
    <t xml:space="preserve">N0184</t>
  </si>
  <si>
    <t xml:space="preserve">To whom it may concern, The direct debit setup was delayed and I missed a bill because of it.</t>
  </si>
  <si>
    <t xml:space="preserve">N0185</t>
  </si>
  <si>
    <t xml:space="preserve">I am writing to complain. A fake text message led me to a website and my money disappeared. Also, i was advised to take out cover that duplicates what I already had. Please sort this out.</t>
  </si>
  <si>
    <t xml:space="preserve">N0186</t>
  </si>
  <si>
    <t xml:space="preserve">My online banking is locked and the reset link never arrives. Also, someone has made payments from my account that I did not authorise. This is not acceptable.</t>
  </si>
  <si>
    <t xml:space="preserve">N0187</t>
  </si>
  <si>
    <t xml:space="preserve">I sent the form twice and it seems to have been lost in the system. I do not think it was explained propely when I bought it. I want this put right.</t>
  </si>
  <si>
    <t xml:space="preserve">N0188</t>
  </si>
  <si>
    <t xml:space="preserve">This is the second time I have raised this. Nobody explained the foreign transaction charges before my holiday. Also, i was passed between four departments and no one took ownership. I expect compensation.</t>
  </si>
  <si>
    <t xml:space="preserve">N0189</t>
  </si>
  <si>
    <t xml:space="preserve">I have been a customer for years. I spent an hour on hold and then the call was cut off. I would like a response in writing.</t>
  </si>
  <si>
    <t xml:space="preserve">N0190</t>
  </si>
  <si>
    <t xml:space="preserve">Frankly, I feel I was treated badly because of my age. This is not acceptable.</t>
  </si>
  <si>
    <t xml:space="preserve">N0191</t>
  </si>
  <si>
    <t xml:space="preserve">The staff member was rude and dismissive when I called. Also, my card was cloned and used abroad. I would like a response in writing.</t>
  </si>
  <si>
    <t xml:space="preserve">N0192</t>
  </si>
  <si>
    <t xml:space="preserve">Frankly, I was passed between four departments and no one took ownership.</t>
  </si>
  <si>
    <t xml:space="preserve">N0193</t>
  </si>
  <si>
    <t xml:space="preserve">To whom it may concern, My online banking is loced and the reset link never arrives. This is not acceptable.</t>
  </si>
  <si>
    <t xml:space="preserve">N0194</t>
  </si>
  <si>
    <t xml:space="preserve">Nobody has responded to my emails despite three reminders. Also, the paperwork was submitted a month ago and I am still waiting.</t>
  </si>
  <si>
    <t xml:space="preserve">N0195</t>
  </si>
  <si>
    <t xml:space="preserve">I am writing to complain. The website will not let me register for online access. I am worried it might be fraud.</t>
  </si>
  <si>
    <t xml:space="preserve">N0196</t>
  </si>
  <si>
    <t xml:space="preserve">This is the second time I have raised this. Two factor codes are not being sent to my phone. Also, i was misled about what the insurance actually ncluded. I expect compensation.</t>
  </si>
  <si>
    <t xml:space="preserve">N0197</t>
  </si>
  <si>
    <t xml:space="preserve">The payment still has not arrived in my account. I am worried it might be fraud. Please escalate this.</t>
  </si>
  <si>
    <t xml:space="preserve">N0198</t>
  </si>
  <si>
    <t xml:space="preserve">This is the second time I have raised this. The complaints handler was unhelpful and talked over me. Please sort this out.</t>
  </si>
  <si>
    <t xml:space="preserve">N0199</t>
  </si>
  <si>
    <t xml:space="preserve">Frankly, I have been billed an annual fee I never agreed to. Also, you promsed the money within three working days and it is still outstanding. Please sort this out.</t>
  </si>
  <si>
    <t xml:space="preserve">N0200</t>
  </si>
  <si>
    <t xml:space="preserve">This is the second time I have raised this. The app crashes every time I try to open my statements. I am worried it might be fraud.</t>
  </si>
  <si>
    <t xml:space="preserve">final_label</t>
  </si>
  <si>
    <t xml:space="preserve">final_correct</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</si>
</sst>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color rgb="FFFFFFFF"/>
      <name val="Cambria"/>
      <family val="0"/>
      <charset val="1"/>
    </font>
    <font>
      <b val="true"/>
      <sz val="11"/>
      <name val="Cambria"/>
      <family val="0"/>
      <charset val="1"/>
    </font>
  </fonts>
  <fills count="3">
    <fill>
      <patternFill patternType="none"/>
    </fill>
    <fill>
      <patternFill patternType="gray125"/>
    </fill>
    <fill>
      <patternFill patternType="solid">
        <fgColor rgb="FF2F5D8A"/>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2F5D8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0"/>
  </cols>
  <sheetData>
    <row r="1" customFormat="false" ht="17.35" hidden="false" customHeight="false" outlineLevel="0" collapsed="false">
      <c r="A1" s="1" t="s">
        <v>0</v>
      </c>
    </row>
    <row r="3" customFormat="false" ht="15" hidden="false" customHeight="false" outlineLevel="0" collapsed="false">
      <c r="A3" s="0" t="s">
        <v>1</v>
      </c>
    </row>
    <row r="4" customFormat="false" ht="15" hidden="false" customHeight="false" outlineLevel="0" collapsed="false">
      <c r="A4" s="0" t="s">
        <v>2</v>
      </c>
      <c r="B4" s="0" t="s">
        <v>3</v>
      </c>
    </row>
    <row r="5" customFormat="false" ht="15" hidden="false" customHeight="false" outlineLevel="0" collapsed="false">
      <c r="A5" s="0" t="s">
        <v>4</v>
      </c>
      <c r="B5" s="0" t="s">
        <v>5</v>
      </c>
    </row>
    <row r="6" customFormat="false" ht="15" hidden="false" customHeight="false" outlineLevel="0" collapsed="false">
      <c r="A6" s="0" t="s">
        <v>6</v>
      </c>
      <c r="B6" s="0" t="s">
        <v>7</v>
      </c>
    </row>
    <row r="7" customFormat="false" ht="15" hidden="false" customHeight="false" outlineLevel="0" collapsed="false">
      <c r="A7" s="0" t="s">
        <v>8</v>
      </c>
      <c r="B7" s="0" t="s">
        <v>9</v>
      </c>
    </row>
    <row r="9" customFormat="false" ht="15" hidden="false" customHeight="false" outlineLevel="0" collapsed="false">
      <c r="A9" s="0" t="s">
        <v>10</v>
      </c>
    </row>
    <row r="10" customFormat="false" ht="15" hidden="false" customHeight="false" outlineLevel="0" collapsed="false">
      <c r="A10" s="0" t="s">
        <v>11</v>
      </c>
    </row>
    <row r="11" customFormat="false" ht="15" hidden="false" customHeight="false" outlineLevel="0" collapsed="false">
      <c r="A11" s="0" t="s">
        <v>12</v>
      </c>
    </row>
    <row r="12" customFormat="false" ht="15" hidden="false" customHeight="false" outlineLevel="0" collapsed="false">
      <c r="A12" s="0" t="s">
        <v>13</v>
      </c>
      <c r="B12" s="0" t="s">
        <v>14</v>
      </c>
    </row>
    <row r="13" customFormat="false" ht="15" hidden="false" customHeight="false" outlineLevel="0" collapsed="false">
      <c r="A13" s="0"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90"/>
  </cols>
  <sheetData>
    <row r="1" customFormat="false" ht="28.35" hidden="false" customHeight="false" outlineLevel="0" collapsed="false">
      <c r="A1" s="2" t="s">
        <v>16</v>
      </c>
      <c r="B1" s="2" t="s">
        <v>17</v>
      </c>
      <c r="C1" s="2" t="s">
        <v>18</v>
      </c>
    </row>
    <row r="2" customFormat="false" ht="15" hidden="false" customHeight="false" outlineLevel="0" collapsed="false">
      <c r="A2" s="0" t="s">
        <v>19</v>
      </c>
      <c r="B2" s="0" t="s">
        <v>20</v>
      </c>
      <c r="C2" s="0" t="s">
        <v>21</v>
      </c>
    </row>
    <row r="3" customFormat="false" ht="15" hidden="false" customHeight="false" outlineLevel="0" collapsed="false">
      <c r="A3" s="0" t="s">
        <v>22</v>
      </c>
      <c r="B3" s="0" t="s">
        <v>23</v>
      </c>
      <c r="C3" s="0" t="s">
        <v>21</v>
      </c>
    </row>
    <row r="4" customFormat="false" ht="15" hidden="false" customHeight="false" outlineLevel="0" collapsed="false">
      <c r="A4" s="0" t="s">
        <v>24</v>
      </c>
      <c r="B4" s="0" t="s">
        <v>25</v>
      </c>
      <c r="C4" s="0" t="s">
        <v>21</v>
      </c>
    </row>
    <row r="5" customFormat="false" ht="15" hidden="false" customHeight="false" outlineLevel="0" collapsed="false">
      <c r="A5" s="0" t="s">
        <v>26</v>
      </c>
      <c r="B5" s="0" t="s">
        <v>27</v>
      </c>
      <c r="C5" s="0" t="s">
        <v>28</v>
      </c>
    </row>
    <row r="6" customFormat="false" ht="15" hidden="false" customHeight="false" outlineLevel="0" collapsed="false">
      <c r="A6" s="0" t="s">
        <v>29</v>
      </c>
      <c r="B6" s="0" t="s">
        <v>30</v>
      </c>
      <c r="C6" s="0" t="s">
        <v>28</v>
      </c>
    </row>
    <row r="7" customFormat="false" ht="15" hidden="false" customHeight="false" outlineLevel="0" collapsed="false">
      <c r="A7" s="0" t="s">
        <v>31</v>
      </c>
      <c r="B7" s="0" t="s">
        <v>32</v>
      </c>
      <c r="C7" s="0" t="s">
        <v>33</v>
      </c>
    </row>
    <row r="8" customFormat="false" ht="15" hidden="false" customHeight="false" outlineLevel="0" collapsed="false">
      <c r="A8" s="0" t="s">
        <v>34</v>
      </c>
      <c r="B8" s="0" t="s">
        <v>35</v>
      </c>
      <c r="C8" s="0" t="s">
        <v>21</v>
      </c>
    </row>
    <row r="9" customFormat="false" ht="15" hidden="false" customHeight="false" outlineLevel="0" collapsed="false">
      <c r="A9" s="0" t="s">
        <v>36</v>
      </c>
      <c r="B9" s="0" t="s">
        <v>37</v>
      </c>
      <c r="C9" s="0" t="s">
        <v>38</v>
      </c>
    </row>
    <row r="10" customFormat="false" ht="15" hidden="false" customHeight="false" outlineLevel="0" collapsed="false">
      <c r="A10" s="0" t="s">
        <v>39</v>
      </c>
      <c r="B10" s="0" t="s">
        <v>40</v>
      </c>
      <c r="C10" s="0" t="s">
        <v>41</v>
      </c>
    </row>
    <row r="11" customFormat="false" ht="15" hidden="false" customHeight="false" outlineLevel="0" collapsed="false">
      <c r="A11" s="0" t="s">
        <v>42</v>
      </c>
      <c r="B11" s="0" t="s">
        <v>43</v>
      </c>
      <c r="C11" s="0" t="s">
        <v>44</v>
      </c>
    </row>
    <row r="12" customFormat="false" ht="15" hidden="false" customHeight="false" outlineLevel="0" collapsed="false">
      <c r="A12" s="0" t="s">
        <v>45</v>
      </c>
      <c r="B12" s="0" t="s">
        <v>46</v>
      </c>
      <c r="C12" s="0" t="s">
        <v>44</v>
      </c>
    </row>
    <row r="13" customFormat="false" ht="15" hidden="false" customHeight="false" outlineLevel="0" collapsed="false">
      <c r="A13" s="0" t="s">
        <v>47</v>
      </c>
      <c r="B13" s="0" t="s">
        <v>48</v>
      </c>
      <c r="C13" s="0" t="s">
        <v>38</v>
      </c>
    </row>
    <row r="14" customFormat="false" ht="15" hidden="false" customHeight="false" outlineLevel="0" collapsed="false">
      <c r="A14" s="0" t="s">
        <v>49</v>
      </c>
      <c r="B14" s="0" t="s">
        <v>50</v>
      </c>
      <c r="C14" s="0" t="s">
        <v>41</v>
      </c>
    </row>
    <row r="15" customFormat="false" ht="15" hidden="false" customHeight="false" outlineLevel="0" collapsed="false">
      <c r="A15" s="0" t="s">
        <v>51</v>
      </c>
      <c r="B15" s="0" t="s">
        <v>52</v>
      </c>
      <c r="C15" s="0" t="s">
        <v>38</v>
      </c>
    </row>
    <row r="16" customFormat="false" ht="15" hidden="false" customHeight="false" outlineLevel="0" collapsed="false">
      <c r="A16" s="0" t="s">
        <v>53</v>
      </c>
      <c r="B16" s="0" t="s">
        <v>54</v>
      </c>
      <c r="C16" s="0" t="s">
        <v>41</v>
      </c>
    </row>
    <row r="17" customFormat="false" ht="15" hidden="false" customHeight="false" outlineLevel="0" collapsed="false">
      <c r="A17" s="0" t="s">
        <v>55</v>
      </c>
      <c r="B17" s="0" t="s">
        <v>56</v>
      </c>
      <c r="C17" s="0" t="s">
        <v>21</v>
      </c>
    </row>
    <row r="18" customFormat="false" ht="15" hidden="false" customHeight="false" outlineLevel="0" collapsed="false">
      <c r="A18" s="0" t="s">
        <v>57</v>
      </c>
      <c r="B18" s="0" t="s">
        <v>58</v>
      </c>
      <c r="C18" s="0" t="s">
        <v>33</v>
      </c>
    </row>
    <row r="19" customFormat="false" ht="15" hidden="false" customHeight="false" outlineLevel="0" collapsed="false">
      <c r="A19" s="0" t="s">
        <v>59</v>
      </c>
      <c r="B19" s="0" t="s">
        <v>60</v>
      </c>
      <c r="C19" s="0" t="s">
        <v>41</v>
      </c>
    </row>
    <row r="20" customFormat="false" ht="15" hidden="false" customHeight="false" outlineLevel="0" collapsed="false">
      <c r="A20" s="0" t="s">
        <v>61</v>
      </c>
      <c r="B20" s="0" t="s">
        <v>62</v>
      </c>
      <c r="C20" s="0" t="s">
        <v>38</v>
      </c>
    </row>
    <row r="21" customFormat="false" ht="15" hidden="false" customHeight="false" outlineLevel="0" collapsed="false">
      <c r="A21" s="0" t="s">
        <v>63</v>
      </c>
      <c r="B21" s="0" t="s">
        <v>64</v>
      </c>
      <c r="C21" s="0" t="s">
        <v>28</v>
      </c>
    </row>
    <row r="22" customFormat="false" ht="15" hidden="false" customHeight="false" outlineLevel="0" collapsed="false">
      <c r="A22" s="0" t="s">
        <v>65</v>
      </c>
      <c r="B22" s="0" t="s">
        <v>66</v>
      </c>
      <c r="C22" s="0" t="s">
        <v>28</v>
      </c>
    </row>
    <row r="23" customFormat="false" ht="15" hidden="false" customHeight="false" outlineLevel="0" collapsed="false">
      <c r="A23" s="0" t="s">
        <v>67</v>
      </c>
      <c r="B23" s="0" t="s">
        <v>68</v>
      </c>
      <c r="C23" s="0" t="s">
        <v>44</v>
      </c>
    </row>
    <row r="24" customFormat="false" ht="15" hidden="false" customHeight="false" outlineLevel="0" collapsed="false">
      <c r="A24" s="0" t="s">
        <v>69</v>
      </c>
      <c r="B24" s="0" t="s">
        <v>70</v>
      </c>
      <c r="C24" s="0" t="s">
        <v>28</v>
      </c>
    </row>
    <row r="25" customFormat="false" ht="15" hidden="false" customHeight="false" outlineLevel="0" collapsed="false">
      <c r="A25" s="0" t="s">
        <v>71</v>
      </c>
      <c r="B25" s="0" t="s">
        <v>72</v>
      </c>
      <c r="C25" s="0" t="s">
        <v>21</v>
      </c>
    </row>
    <row r="26" customFormat="false" ht="15" hidden="false" customHeight="false" outlineLevel="0" collapsed="false">
      <c r="A26" s="0" t="s">
        <v>73</v>
      </c>
      <c r="B26" s="0" t="s">
        <v>74</v>
      </c>
      <c r="C26" s="0" t="s">
        <v>44</v>
      </c>
    </row>
    <row r="27" customFormat="false" ht="15" hidden="false" customHeight="false" outlineLevel="0" collapsed="false">
      <c r="A27" s="0" t="s">
        <v>75</v>
      </c>
      <c r="B27" s="0" t="s">
        <v>76</v>
      </c>
      <c r="C27" s="0" t="s">
        <v>41</v>
      </c>
    </row>
    <row r="28" customFormat="false" ht="15" hidden="false" customHeight="false" outlineLevel="0" collapsed="false">
      <c r="A28" s="0" t="s">
        <v>77</v>
      </c>
      <c r="B28" s="0" t="s">
        <v>78</v>
      </c>
      <c r="C28" s="0" t="s">
        <v>21</v>
      </c>
    </row>
    <row r="29" customFormat="false" ht="15" hidden="false" customHeight="false" outlineLevel="0" collapsed="false">
      <c r="A29" s="0" t="s">
        <v>79</v>
      </c>
      <c r="B29" s="0" t="s">
        <v>80</v>
      </c>
      <c r="C29" s="0" t="s">
        <v>28</v>
      </c>
    </row>
    <row r="30" customFormat="false" ht="15" hidden="false" customHeight="false" outlineLevel="0" collapsed="false">
      <c r="A30" s="0" t="s">
        <v>81</v>
      </c>
      <c r="B30" s="0" t="s">
        <v>82</v>
      </c>
      <c r="C30" s="0" t="s">
        <v>33</v>
      </c>
    </row>
    <row r="31" customFormat="false" ht="15" hidden="false" customHeight="false" outlineLevel="0" collapsed="false">
      <c r="A31" s="0" t="s">
        <v>83</v>
      </c>
      <c r="B31" s="0" t="s">
        <v>84</v>
      </c>
      <c r="C31" s="0" t="s">
        <v>44</v>
      </c>
    </row>
    <row r="32" customFormat="false" ht="15" hidden="false" customHeight="false" outlineLevel="0" collapsed="false">
      <c r="A32" s="0" t="s">
        <v>85</v>
      </c>
      <c r="B32" s="0" t="s">
        <v>86</v>
      </c>
      <c r="C32" s="0" t="s">
        <v>41</v>
      </c>
    </row>
    <row r="33" customFormat="false" ht="15" hidden="false" customHeight="false" outlineLevel="0" collapsed="false">
      <c r="A33" s="0" t="s">
        <v>87</v>
      </c>
      <c r="B33" s="0" t="s">
        <v>88</v>
      </c>
      <c r="C33" s="0" t="s">
        <v>38</v>
      </c>
    </row>
    <row r="34" customFormat="false" ht="15" hidden="false" customHeight="false" outlineLevel="0" collapsed="false">
      <c r="A34" s="0" t="s">
        <v>89</v>
      </c>
      <c r="B34" s="0" t="s">
        <v>90</v>
      </c>
      <c r="C34" s="0" t="s">
        <v>21</v>
      </c>
    </row>
    <row r="35" customFormat="false" ht="15" hidden="false" customHeight="false" outlineLevel="0" collapsed="false">
      <c r="A35" s="0" t="s">
        <v>91</v>
      </c>
      <c r="B35" s="0" t="s">
        <v>92</v>
      </c>
      <c r="C35" s="0" t="s">
        <v>41</v>
      </c>
    </row>
    <row r="36" customFormat="false" ht="15" hidden="false" customHeight="false" outlineLevel="0" collapsed="false">
      <c r="A36" s="0" t="s">
        <v>93</v>
      </c>
      <c r="B36" s="0" t="s">
        <v>94</v>
      </c>
      <c r="C36" s="0" t="s">
        <v>28</v>
      </c>
    </row>
    <row r="37" customFormat="false" ht="15" hidden="false" customHeight="false" outlineLevel="0" collapsed="false">
      <c r="A37" s="0" t="s">
        <v>95</v>
      </c>
      <c r="B37" s="0" t="s">
        <v>96</v>
      </c>
      <c r="C37" s="0" t="s">
        <v>38</v>
      </c>
    </row>
    <row r="38" customFormat="false" ht="15" hidden="false" customHeight="false" outlineLevel="0" collapsed="false">
      <c r="A38" s="0" t="s">
        <v>97</v>
      </c>
      <c r="B38" s="0" t="s">
        <v>98</v>
      </c>
      <c r="C38" s="0" t="s">
        <v>44</v>
      </c>
    </row>
    <row r="39" customFormat="false" ht="15" hidden="false" customHeight="false" outlineLevel="0" collapsed="false">
      <c r="A39" s="0" t="s">
        <v>99</v>
      </c>
      <c r="B39" s="0" t="s">
        <v>100</v>
      </c>
      <c r="C39" s="0" t="s">
        <v>33</v>
      </c>
    </row>
    <row r="40" customFormat="false" ht="15" hidden="false" customHeight="false" outlineLevel="0" collapsed="false">
      <c r="A40" s="0" t="s">
        <v>101</v>
      </c>
      <c r="B40" s="0" t="s">
        <v>102</v>
      </c>
      <c r="C40" s="0" t="s">
        <v>38</v>
      </c>
    </row>
    <row r="41" customFormat="false" ht="15" hidden="false" customHeight="false" outlineLevel="0" collapsed="false">
      <c r="A41" s="0" t="s">
        <v>103</v>
      </c>
      <c r="B41" s="0" t="s">
        <v>104</v>
      </c>
      <c r="C41" s="0" t="s">
        <v>38</v>
      </c>
    </row>
    <row r="42" customFormat="false" ht="15" hidden="false" customHeight="false" outlineLevel="0" collapsed="false">
      <c r="A42" s="0" t="s">
        <v>105</v>
      </c>
      <c r="B42" s="0" t="s">
        <v>106</v>
      </c>
      <c r="C42" s="0" t="s">
        <v>28</v>
      </c>
    </row>
    <row r="43" customFormat="false" ht="15" hidden="false" customHeight="false" outlineLevel="0" collapsed="false">
      <c r="A43" s="0" t="s">
        <v>107</v>
      </c>
      <c r="B43" s="0" t="s">
        <v>108</v>
      </c>
      <c r="C43" s="0" t="s">
        <v>38</v>
      </c>
    </row>
    <row r="44" customFormat="false" ht="15" hidden="false" customHeight="false" outlineLevel="0" collapsed="false">
      <c r="A44" s="0" t="s">
        <v>109</v>
      </c>
      <c r="B44" s="0" t="s">
        <v>110</v>
      </c>
      <c r="C44" s="0" t="s">
        <v>21</v>
      </c>
    </row>
    <row r="45" customFormat="false" ht="15" hidden="false" customHeight="false" outlineLevel="0" collapsed="false">
      <c r="A45" s="0" t="s">
        <v>111</v>
      </c>
      <c r="B45" s="0" t="s">
        <v>112</v>
      </c>
      <c r="C45" s="0" t="s">
        <v>41</v>
      </c>
    </row>
    <row r="46" customFormat="false" ht="15" hidden="false" customHeight="false" outlineLevel="0" collapsed="false">
      <c r="A46" s="0" t="s">
        <v>113</v>
      </c>
      <c r="B46" s="0" t="s">
        <v>114</v>
      </c>
      <c r="C46" s="0" t="s">
        <v>44</v>
      </c>
    </row>
    <row r="47" customFormat="false" ht="15" hidden="false" customHeight="false" outlineLevel="0" collapsed="false">
      <c r="A47" s="0" t="s">
        <v>115</v>
      </c>
      <c r="B47" s="0" t="s">
        <v>116</v>
      </c>
      <c r="C47" s="0" t="s">
        <v>41</v>
      </c>
    </row>
    <row r="48" customFormat="false" ht="15" hidden="false" customHeight="false" outlineLevel="0" collapsed="false">
      <c r="A48" s="0" t="s">
        <v>117</v>
      </c>
      <c r="B48" s="0" t="s">
        <v>118</v>
      </c>
      <c r="C48" s="0" t="s">
        <v>38</v>
      </c>
    </row>
    <row r="49" customFormat="false" ht="15" hidden="false" customHeight="false" outlineLevel="0" collapsed="false">
      <c r="A49" s="0" t="s">
        <v>119</v>
      </c>
      <c r="B49" s="0" t="s">
        <v>120</v>
      </c>
      <c r="C49" s="0" t="s">
        <v>33</v>
      </c>
    </row>
    <row r="50" customFormat="false" ht="15" hidden="false" customHeight="false" outlineLevel="0" collapsed="false">
      <c r="A50" s="0" t="s">
        <v>121</v>
      </c>
      <c r="B50" s="0" t="s">
        <v>122</v>
      </c>
      <c r="C50" s="0" t="s">
        <v>33</v>
      </c>
    </row>
    <row r="51" customFormat="false" ht="15" hidden="false" customHeight="false" outlineLevel="0" collapsed="false">
      <c r="A51" s="0" t="s">
        <v>123</v>
      </c>
      <c r="B51" s="0" t="s">
        <v>124</v>
      </c>
      <c r="C51" s="0" t="s">
        <v>33</v>
      </c>
    </row>
    <row r="52" customFormat="false" ht="15" hidden="false" customHeight="false" outlineLevel="0" collapsed="false">
      <c r="A52" s="0" t="s">
        <v>125</v>
      </c>
      <c r="B52" s="0" t="s">
        <v>126</v>
      </c>
      <c r="C52" s="0" t="s">
        <v>41</v>
      </c>
    </row>
    <row r="53" customFormat="false" ht="15" hidden="false" customHeight="false" outlineLevel="0" collapsed="false">
      <c r="A53" s="0" t="s">
        <v>127</v>
      </c>
      <c r="B53" s="0" t="s">
        <v>128</v>
      </c>
      <c r="C53" s="0" t="s">
        <v>28</v>
      </c>
    </row>
    <row r="54" customFormat="false" ht="15" hidden="false" customHeight="false" outlineLevel="0" collapsed="false">
      <c r="A54" s="0" t="s">
        <v>129</v>
      </c>
      <c r="B54" s="0" t="s">
        <v>130</v>
      </c>
      <c r="C54" s="0" t="s">
        <v>28</v>
      </c>
    </row>
    <row r="55" customFormat="false" ht="15" hidden="false" customHeight="false" outlineLevel="0" collapsed="false">
      <c r="A55" s="0" t="s">
        <v>131</v>
      </c>
      <c r="B55" s="0" t="s">
        <v>132</v>
      </c>
      <c r="C55" s="0" t="s">
        <v>21</v>
      </c>
    </row>
    <row r="56" customFormat="false" ht="15" hidden="false" customHeight="false" outlineLevel="0" collapsed="false">
      <c r="A56" s="0" t="s">
        <v>133</v>
      </c>
      <c r="B56" s="0" t="s">
        <v>134</v>
      </c>
      <c r="C56" s="0" t="s">
        <v>44</v>
      </c>
    </row>
    <row r="57" customFormat="false" ht="15" hidden="false" customHeight="false" outlineLevel="0" collapsed="false">
      <c r="A57" s="0" t="s">
        <v>135</v>
      </c>
      <c r="B57" s="0" t="s">
        <v>136</v>
      </c>
      <c r="C57" s="0" t="s">
        <v>28</v>
      </c>
    </row>
    <row r="58" customFormat="false" ht="15" hidden="false" customHeight="false" outlineLevel="0" collapsed="false">
      <c r="A58" s="0" t="s">
        <v>137</v>
      </c>
      <c r="B58" s="0" t="s">
        <v>138</v>
      </c>
      <c r="C58" s="0" t="s">
        <v>21</v>
      </c>
    </row>
    <row r="59" customFormat="false" ht="15" hidden="false" customHeight="false" outlineLevel="0" collapsed="false">
      <c r="A59" s="0" t="s">
        <v>139</v>
      </c>
      <c r="B59" s="0" t="s">
        <v>140</v>
      </c>
      <c r="C59" s="0" t="s">
        <v>41</v>
      </c>
    </row>
    <row r="60" customFormat="false" ht="15" hidden="false" customHeight="false" outlineLevel="0" collapsed="false">
      <c r="A60" s="0" t="s">
        <v>141</v>
      </c>
      <c r="B60" s="0" t="s">
        <v>142</v>
      </c>
      <c r="C60" s="0" t="s">
        <v>41</v>
      </c>
    </row>
    <row r="61" customFormat="false" ht="15" hidden="false" customHeight="false" outlineLevel="0" collapsed="false">
      <c r="A61" s="0" t="s">
        <v>143</v>
      </c>
      <c r="B61" s="0" t="s">
        <v>144</v>
      </c>
      <c r="C61" s="0" t="s">
        <v>38</v>
      </c>
    </row>
    <row r="62" customFormat="false" ht="15" hidden="false" customHeight="false" outlineLevel="0" collapsed="false">
      <c r="A62" s="0" t="s">
        <v>145</v>
      </c>
      <c r="B62" s="0" t="s">
        <v>146</v>
      </c>
      <c r="C62" s="0" t="s">
        <v>38</v>
      </c>
    </row>
    <row r="63" customFormat="false" ht="15" hidden="false" customHeight="false" outlineLevel="0" collapsed="false">
      <c r="A63" s="0" t="s">
        <v>147</v>
      </c>
      <c r="B63" s="0" t="s">
        <v>148</v>
      </c>
      <c r="C63" s="0" t="s">
        <v>41</v>
      </c>
    </row>
    <row r="64" customFormat="false" ht="15" hidden="false" customHeight="false" outlineLevel="0" collapsed="false">
      <c r="A64" s="0" t="s">
        <v>149</v>
      </c>
      <c r="B64" s="0" t="s">
        <v>150</v>
      </c>
      <c r="C64" s="0" t="s">
        <v>41</v>
      </c>
    </row>
    <row r="65" customFormat="false" ht="15" hidden="false" customHeight="false" outlineLevel="0" collapsed="false">
      <c r="A65" s="0" t="s">
        <v>151</v>
      </c>
      <c r="B65" s="0" t="s">
        <v>152</v>
      </c>
      <c r="C65" s="0" t="s">
        <v>33</v>
      </c>
    </row>
    <row r="66" customFormat="false" ht="15" hidden="false" customHeight="false" outlineLevel="0" collapsed="false">
      <c r="A66" s="0" t="s">
        <v>153</v>
      </c>
      <c r="B66" s="0" t="s">
        <v>154</v>
      </c>
      <c r="C66" s="0" t="s">
        <v>33</v>
      </c>
    </row>
    <row r="67" customFormat="false" ht="15" hidden="false" customHeight="false" outlineLevel="0" collapsed="false">
      <c r="A67" s="0" t="s">
        <v>155</v>
      </c>
      <c r="B67" s="0" t="s">
        <v>156</v>
      </c>
      <c r="C67" s="0" t="s">
        <v>33</v>
      </c>
    </row>
    <row r="68" customFormat="false" ht="15" hidden="false" customHeight="false" outlineLevel="0" collapsed="false">
      <c r="A68" s="0" t="s">
        <v>157</v>
      </c>
      <c r="B68" s="0" t="s">
        <v>158</v>
      </c>
      <c r="C68" s="0" t="s">
        <v>44</v>
      </c>
    </row>
    <row r="69" customFormat="false" ht="15" hidden="false" customHeight="false" outlineLevel="0" collapsed="false">
      <c r="A69" s="0" t="s">
        <v>159</v>
      </c>
      <c r="B69" s="0" t="s">
        <v>160</v>
      </c>
      <c r="C69" s="0" t="s">
        <v>44</v>
      </c>
    </row>
    <row r="70" customFormat="false" ht="15" hidden="false" customHeight="false" outlineLevel="0" collapsed="false">
      <c r="A70" s="0" t="s">
        <v>161</v>
      </c>
      <c r="B70" s="0" t="s">
        <v>162</v>
      </c>
      <c r="C70" s="0" t="s">
        <v>21</v>
      </c>
    </row>
    <row r="71" customFormat="false" ht="15" hidden="false" customHeight="false" outlineLevel="0" collapsed="false">
      <c r="A71" s="0" t="s">
        <v>163</v>
      </c>
      <c r="B71" s="0" t="s">
        <v>164</v>
      </c>
      <c r="C71" s="0" t="s">
        <v>44</v>
      </c>
    </row>
    <row r="72" customFormat="false" ht="15" hidden="false" customHeight="false" outlineLevel="0" collapsed="false">
      <c r="A72" s="0" t="s">
        <v>165</v>
      </c>
      <c r="B72" s="0" t="s">
        <v>166</v>
      </c>
      <c r="C72" s="0" t="s">
        <v>41</v>
      </c>
    </row>
    <row r="73" customFormat="false" ht="15" hidden="false" customHeight="false" outlineLevel="0" collapsed="false">
      <c r="A73" s="0" t="s">
        <v>167</v>
      </c>
      <c r="B73" s="0" t="s">
        <v>168</v>
      </c>
      <c r="C73" s="0" t="s">
        <v>38</v>
      </c>
    </row>
    <row r="74" customFormat="false" ht="15" hidden="false" customHeight="false" outlineLevel="0" collapsed="false">
      <c r="A74" s="0" t="s">
        <v>169</v>
      </c>
      <c r="B74" s="0" t="s">
        <v>170</v>
      </c>
      <c r="C74" s="0" t="s">
        <v>21</v>
      </c>
    </row>
    <row r="75" customFormat="false" ht="15" hidden="false" customHeight="false" outlineLevel="0" collapsed="false">
      <c r="A75" s="0" t="s">
        <v>171</v>
      </c>
      <c r="B75" s="0" t="s">
        <v>172</v>
      </c>
      <c r="C75" s="0" t="s">
        <v>21</v>
      </c>
    </row>
    <row r="76" customFormat="false" ht="15" hidden="false" customHeight="false" outlineLevel="0" collapsed="false">
      <c r="A76" s="0" t="s">
        <v>173</v>
      </c>
      <c r="B76" s="0" t="s">
        <v>174</v>
      </c>
      <c r="C76" s="0" t="s">
        <v>21</v>
      </c>
    </row>
    <row r="77" customFormat="false" ht="15" hidden="false" customHeight="false" outlineLevel="0" collapsed="false">
      <c r="A77" s="0" t="s">
        <v>175</v>
      </c>
      <c r="B77" s="0" t="s">
        <v>176</v>
      </c>
      <c r="C77" s="0" t="s">
        <v>33</v>
      </c>
    </row>
    <row r="78" customFormat="false" ht="15" hidden="false" customHeight="false" outlineLevel="0" collapsed="false">
      <c r="A78" s="0" t="s">
        <v>177</v>
      </c>
      <c r="B78" s="0" t="s">
        <v>178</v>
      </c>
      <c r="C78" s="0" t="s">
        <v>33</v>
      </c>
    </row>
    <row r="79" customFormat="false" ht="15" hidden="false" customHeight="false" outlineLevel="0" collapsed="false">
      <c r="A79" s="0" t="s">
        <v>179</v>
      </c>
      <c r="B79" s="0" t="s">
        <v>180</v>
      </c>
      <c r="C79" s="0" t="s">
        <v>28</v>
      </c>
    </row>
    <row r="80" customFormat="false" ht="15" hidden="false" customHeight="false" outlineLevel="0" collapsed="false">
      <c r="A80" s="0" t="s">
        <v>181</v>
      </c>
      <c r="B80" s="0" t="s">
        <v>182</v>
      </c>
      <c r="C80" s="0" t="s">
        <v>21</v>
      </c>
    </row>
    <row r="81" customFormat="false" ht="15" hidden="false" customHeight="false" outlineLevel="0" collapsed="false">
      <c r="A81" s="0" t="s">
        <v>183</v>
      </c>
      <c r="B81" s="0" t="s">
        <v>184</v>
      </c>
      <c r="C81" s="0" t="s">
        <v>38</v>
      </c>
    </row>
    <row r="82" customFormat="false" ht="15" hidden="false" customHeight="false" outlineLevel="0" collapsed="false">
      <c r="A82" s="0" t="s">
        <v>185</v>
      </c>
      <c r="B82" s="0" t="s">
        <v>186</v>
      </c>
      <c r="C82" s="0" t="s">
        <v>41</v>
      </c>
    </row>
    <row r="83" customFormat="false" ht="15" hidden="false" customHeight="false" outlineLevel="0" collapsed="false">
      <c r="A83" s="0" t="s">
        <v>187</v>
      </c>
      <c r="B83" s="0" t="s">
        <v>188</v>
      </c>
      <c r="C83" s="0" t="s">
        <v>44</v>
      </c>
    </row>
    <row r="84" customFormat="false" ht="15" hidden="false" customHeight="false" outlineLevel="0" collapsed="false">
      <c r="A84" s="0" t="s">
        <v>189</v>
      </c>
      <c r="B84" s="0" t="s">
        <v>190</v>
      </c>
      <c r="C84" s="0" t="s">
        <v>33</v>
      </c>
    </row>
    <row r="85" customFormat="false" ht="15" hidden="false" customHeight="false" outlineLevel="0" collapsed="false">
      <c r="A85" s="0" t="s">
        <v>191</v>
      </c>
      <c r="B85" s="0" t="s">
        <v>192</v>
      </c>
      <c r="C85" s="0" t="s">
        <v>28</v>
      </c>
    </row>
    <row r="86" customFormat="false" ht="15" hidden="false" customHeight="false" outlineLevel="0" collapsed="false">
      <c r="A86" s="0" t="s">
        <v>193</v>
      </c>
      <c r="B86" s="0" t="s">
        <v>194</v>
      </c>
      <c r="C86" s="0" t="s">
        <v>33</v>
      </c>
    </row>
    <row r="87" customFormat="false" ht="15" hidden="false" customHeight="false" outlineLevel="0" collapsed="false">
      <c r="A87" s="0" t="s">
        <v>195</v>
      </c>
      <c r="B87" s="0" t="s">
        <v>196</v>
      </c>
      <c r="C87" s="0" t="s">
        <v>38</v>
      </c>
    </row>
    <row r="88" customFormat="false" ht="15" hidden="false" customHeight="false" outlineLevel="0" collapsed="false">
      <c r="A88" s="0" t="s">
        <v>197</v>
      </c>
      <c r="B88" s="0" t="s">
        <v>198</v>
      </c>
      <c r="C88" s="0" t="s">
        <v>33</v>
      </c>
    </row>
    <row r="89" customFormat="false" ht="15" hidden="false" customHeight="false" outlineLevel="0" collapsed="false">
      <c r="A89" s="0" t="s">
        <v>199</v>
      </c>
      <c r="B89" s="0" t="s">
        <v>200</v>
      </c>
      <c r="C89" s="0" t="s">
        <v>21</v>
      </c>
    </row>
    <row r="90" customFormat="false" ht="15" hidden="false" customHeight="false" outlineLevel="0" collapsed="false">
      <c r="A90" s="0" t="s">
        <v>201</v>
      </c>
      <c r="B90" s="0" t="s">
        <v>202</v>
      </c>
      <c r="C90" s="0" t="s">
        <v>33</v>
      </c>
    </row>
    <row r="91" customFormat="false" ht="15" hidden="false" customHeight="false" outlineLevel="0" collapsed="false">
      <c r="A91" s="0" t="s">
        <v>203</v>
      </c>
      <c r="B91" s="0" t="s">
        <v>204</v>
      </c>
      <c r="C91" s="0" t="s">
        <v>44</v>
      </c>
    </row>
    <row r="92" customFormat="false" ht="15" hidden="false" customHeight="false" outlineLevel="0" collapsed="false">
      <c r="A92" s="0" t="s">
        <v>205</v>
      </c>
      <c r="B92" s="0" t="s">
        <v>206</v>
      </c>
      <c r="C92" s="0" t="s">
        <v>33</v>
      </c>
    </row>
    <row r="93" customFormat="false" ht="15" hidden="false" customHeight="false" outlineLevel="0" collapsed="false">
      <c r="A93" s="0" t="s">
        <v>207</v>
      </c>
      <c r="B93" s="0" t="s">
        <v>208</v>
      </c>
      <c r="C93" s="0" t="s">
        <v>33</v>
      </c>
    </row>
    <row r="94" customFormat="false" ht="15" hidden="false" customHeight="false" outlineLevel="0" collapsed="false">
      <c r="A94" s="0" t="s">
        <v>209</v>
      </c>
      <c r="B94" s="0" t="s">
        <v>210</v>
      </c>
      <c r="C94" s="0" t="s">
        <v>41</v>
      </c>
    </row>
    <row r="95" customFormat="false" ht="15" hidden="false" customHeight="false" outlineLevel="0" collapsed="false">
      <c r="A95" s="0" t="s">
        <v>211</v>
      </c>
      <c r="B95" s="0" t="s">
        <v>212</v>
      </c>
      <c r="C95" s="0" t="s">
        <v>41</v>
      </c>
    </row>
    <row r="96" customFormat="false" ht="15" hidden="false" customHeight="false" outlineLevel="0" collapsed="false">
      <c r="A96" s="0" t="s">
        <v>213</v>
      </c>
      <c r="B96" s="0" t="s">
        <v>214</v>
      </c>
      <c r="C96" s="0" t="s">
        <v>33</v>
      </c>
    </row>
    <row r="97" customFormat="false" ht="15" hidden="false" customHeight="false" outlineLevel="0" collapsed="false">
      <c r="A97" s="0" t="s">
        <v>215</v>
      </c>
      <c r="B97" s="0" t="s">
        <v>216</v>
      </c>
      <c r="C97" s="0" t="s">
        <v>28</v>
      </c>
    </row>
    <row r="98" customFormat="false" ht="15" hidden="false" customHeight="false" outlineLevel="0" collapsed="false">
      <c r="A98" s="0" t="s">
        <v>217</v>
      </c>
      <c r="B98" s="0" t="s">
        <v>218</v>
      </c>
      <c r="C98" s="0" t="s">
        <v>44</v>
      </c>
    </row>
    <row r="99" customFormat="false" ht="15" hidden="false" customHeight="false" outlineLevel="0" collapsed="false">
      <c r="A99" s="0" t="s">
        <v>219</v>
      </c>
      <c r="B99" s="0" t="s">
        <v>220</v>
      </c>
      <c r="C99" s="0" t="s">
        <v>33</v>
      </c>
    </row>
    <row r="100" customFormat="false" ht="15" hidden="false" customHeight="false" outlineLevel="0" collapsed="false">
      <c r="A100" s="0" t="s">
        <v>221</v>
      </c>
      <c r="B100" s="0" t="s">
        <v>222</v>
      </c>
      <c r="C100" s="0" t="s">
        <v>44</v>
      </c>
    </row>
    <row r="101" customFormat="false" ht="15" hidden="false" customHeight="false" outlineLevel="0" collapsed="false">
      <c r="A101" s="0" t="s">
        <v>223</v>
      </c>
      <c r="B101" s="0" t="s">
        <v>224</v>
      </c>
      <c r="C101" s="0" t="s">
        <v>21</v>
      </c>
    </row>
    <row r="102" customFormat="false" ht="15" hidden="false" customHeight="false" outlineLevel="0" collapsed="false">
      <c r="A102" s="0" t="s">
        <v>225</v>
      </c>
      <c r="B102" s="0" t="s">
        <v>226</v>
      </c>
      <c r="C102" s="0" t="s">
        <v>38</v>
      </c>
    </row>
    <row r="103" customFormat="false" ht="15" hidden="false" customHeight="false" outlineLevel="0" collapsed="false">
      <c r="A103" s="0" t="s">
        <v>227</v>
      </c>
      <c r="B103" s="0" t="s">
        <v>228</v>
      </c>
      <c r="C103" s="0" t="s">
        <v>41</v>
      </c>
    </row>
    <row r="104" customFormat="false" ht="15" hidden="false" customHeight="false" outlineLevel="0" collapsed="false">
      <c r="A104" s="0" t="s">
        <v>229</v>
      </c>
      <c r="B104" s="0" t="s">
        <v>230</v>
      </c>
      <c r="C104" s="0" t="s">
        <v>41</v>
      </c>
    </row>
    <row r="105" customFormat="false" ht="15" hidden="false" customHeight="false" outlineLevel="0" collapsed="false">
      <c r="A105" s="0" t="s">
        <v>231</v>
      </c>
      <c r="B105" s="0" t="s">
        <v>232</v>
      </c>
      <c r="C105" s="0" t="s">
        <v>33</v>
      </c>
    </row>
    <row r="106" customFormat="false" ht="15" hidden="false" customHeight="false" outlineLevel="0" collapsed="false">
      <c r="A106" s="0" t="s">
        <v>233</v>
      </c>
      <c r="B106" s="0" t="s">
        <v>234</v>
      </c>
      <c r="C106" s="0" t="s">
        <v>44</v>
      </c>
    </row>
    <row r="107" customFormat="false" ht="15" hidden="false" customHeight="false" outlineLevel="0" collapsed="false">
      <c r="A107" s="0" t="s">
        <v>235</v>
      </c>
      <c r="B107" s="0" t="s">
        <v>236</v>
      </c>
      <c r="C107" s="0" t="s">
        <v>41</v>
      </c>
    </row>
    <row r="108" customFormat="false" ht="15" hidden="false" customHeight="false" outlineLevel="0" collapsed="false">
      <c r="A108" s="0" t="s">
        <v>237</v>
      </c>
      <c r="B108" s="0" t="s">
        <v>238</v>
      </c>
      <c r="C108" s="0" t="s">
        <v>38</v>
      </c>
    </row>
    <row r="109" customFormat="false" ht="15" hidden="false" customHeight="false" outlineLevel="0" collapsed="false">
      <c r="A109" s="0" t="s">
        <v>239</v>
      </c>
      <c r="B109" s="0" t="s">
        <v>240</v>
      </c>
      <c r="C109" s="0" t="s">
        <v>21</v>
      </c>
    </row>
    <row r="110" customFormat="false" ht="15" hidden="false" customHeight="false" outlineLevel="0" collapsed="false">
      <c r="A110" s="0" t="s">
        <v>241</v>
      </c>
      <c r="B110" s="0" t="s">
        <v>242</v>
      </c>
      <c r="C110" s="0" t="s">
        <v>28</v>
      </c>
    </row>
    <row r="111" customFormat="false" ht="15" hidden="false" customHeight="false" outlineLevel="0" collapsed="false">
      <c r="A111" s="0" t="s">
        <v>243</v>
      </c>
      <c r="B111" s="0" t="s">
        <v>244</v>
      </c>
      <c r="C111" s="0" t="s">
        <v>44</v>
      </c>
    </row>
    <row r="112" customFormat="false" ht="15" hidden="false" customHeight="false" outlineLevel="0" collapsed="false">
      <c r="A112" s="0" t="s">
        <v>245</v>
      </c>
      <c r="B112" s="0" t="s">
        <v>246</v>
      </c>
      <c r="C112" s="0" t="s">
        <v>44</v>
      </c>
    </row>
    <row r="113" customFormat="false" ht="15" hidden="false" customHeight="false" outlineLevel="0" collapsed="false">
      <c r="A113" s="0" t="s">
        <v>247</v>
      </c>
      <c r="B113" s="0" t="s">
        <v>248</v>
      </c>
      <c r="C113" s="0" t="s">
        <v>33</v>
      </c>
    </row>
    <row r="114" customFormat="false" ht="15" hidden="false" customHeight="false" outlineLevel="0" collapsed="false">
      <c r="A114" s="0" t="s">
        <v>249</v>
      </c>
      <c r="B114" s="0" t="s">
        <v>250</v>
      </c>
      <c r="C114" s="0" t="s">
        <v>21</v>
      </c>
    </row>
    <row r="115" customFormat="false" ht="15" hidden="false" customHeight="false" outlineLevel="0" collapsed="false">
      <c r="A115" s="0" t="s">
        <v>251</v>
      </c>
      <c r="B115" s="0" t="s">
        <v>252</v>
      </c>
      <c r="C115" s="0" t="s">
        <v>33</v>
      </c>
    </row>
    <row r="116" customFormat="false" ht="15" hidden="false" customHeight="false" outlineLevel="0" collapsed="false">
      <c r="A116" s="0" t="s">
        <v>253</v>
      </c>
      <c r="B116" s="0" t="s">
        <v>254</v>
      </c>
      <c r="C116" s="0" t="s">
        <v>28</v>
      </c>
    </row>
    <row r="117" customFormat="false" ht="15" hidden="false" customHeight="false" outlineLevel="0" collapsed="false">
      <c r="A117" s="0" t="s">
        <v>255</v>
      </c>
      <c r="B117" s="0" t="s">
        <v>256</v>
      </c>
      <c r="C117" s="0" t="s">
        <v>33</v>
      </c>
    </row>
    <row r="118" customFormat="false" ht="15" hidden="false" customHeight="false" outlineLevel="0" collapsed="false">
      <c r="A118" s="0" t="s">
        <v>257</v>
      </c>
      <c r="B118" s="0" t="s">
        <v>258</v>
      </c>
      <c r="C118" s="0" t="s">
        <v>41</v>
      </c>
    </row>
    <row r="119" customFormat="false" ht="15" hidden="false" customHeight="false" outlineLevel="0" collapsed="false">
      <c r="A119" s="0" t="s">
        <v>259</v>
      </c>
      <c r="B119" s="0" t="s">
        <v>37</v>
      </c>
      <c r="C119" s="0" t="s">
        <v>38</v>
      </c>
    </row>
    <row r="120" customFormat="false" ht="15" hidden="false" customHeight="false" outlineLevel="0" collapsed="false">
      <c r="A120" s="0" t="s">
        <v>260</v>
      </c>
      <c r="B120" s="0" t="s">
        <v>261</v>
      </c>
      <c r="C120" s="0" t="s">
        <v>38</v>
      </c>
    </row>
    <row r="121" customFormat="false" ht="15" hidden="false" customHeight="false" outlineLevel="0" collapsed="false">
      <c r="A121" s="0" t="s">
        <v>262</v>
      </c>
      <c r="B121" s="0" t="s">
        <v>263</v>
      </c>
      <c r="C121" s="0" t="s">
        <v>21</v>
      </c>
    </row>
    <row r="122" customFormat="false" ht="15" hidden="false" customHeight="false" outlineLevel="0" collapsed="false">
      <c r="A122" s="0" t="s">
        <v>264</v>
      </c>
      <c r="B122" s="0" t="s">
        <v>265</v>
      </c>
      <c r="C122" s="0" t="s">
        <v>41</v>
      </c>
    </row>
    <row r="123" customFormat="false" ht="15" hidden="false" customHeight="false" outlineLevel="0" collapsed="false">
      <c r="A123" s="0" t="s">
        <v>266</v>
      </c>
      <c r="B123" s="0" t="s">
        <v>267</v>
      </c>
      <c r="C123" s="0" t="s">
        <v>38</v>
      </c>
    </row>
    <row r="124" customFormat="false" ht="15" hidden="false" customHeight="false" outlineLevel="0" collapsed="false">
      <c r="A124" s="0" t="s">
        <v>268</v>
      </c>
      <c r="B124" s="0" t="s">
        <v>269</v>
      </c>
      <c r="C124" s="0" t="s">
        <v>28</v>
      </c>
    </row>
    <row r="125" customFormat="false" ht="15" hidden="false" customHeight="false" outlineLevel="0" collapsed="false">
      <c r="A125" s="0" t="s">
        <v>270</v>
      </c>
      <c r="B125" s="0" t="s">
        <v>271</v>
      </c>
      <c r="C125" s="0" t="s">
        <v>28</v>
      </c>
    </row>
    <row r="126" customFormat="false" ht="15" hidden="false" customHeight="false" outlineLevel="0" collapsed="false">
      <c r="A126" s="0" t="s">
        <v>272</v>
      </c>
      <c r="B126" s="0" t="s">
        <v>273</v>
      </c>
      <c r="C126" s="0" t="s">
        <v>44</v>
      </c>
    </row>
    <row r="127" customFormat="false" ht="15" hidden="false" customHeight="false" outlineLevel="0" collapsed="false">
      <c r="A127" s="0" t="s">
        <v>274</v>
      </c>
      <c r="B127" s="0" t="s">
        <v>275</v>
      </c>
      <c r="C127" s="0" t="s">
        <v>41</v>
      </c>
    </row>
    <row r="128" customFormat="false" ht="15" hidden="false" customHeight="false" outlineLevel="0" collapsed="false">
      <c r="A128" s="0" t="s">
        <v>276</v>
      </c>
      <c r="B128" s="0" t="s">
        <v>277</v>
      </c>
      <c r="C128" s="0" t="s">
        <v>28</v>
      </c>
    </row>
    <row r="129" customFormat="false" ht="15" hidden="false" customHeight="false" outlineLevel="0" collapsed="false">
      <c r="A129" s="0" t="s">
        <v>278</v>
      </c>
      <c r="B129" s="0" t="s">
        <v>279</v>
      </c>
      <c r="C129" s="0" t="s">
        <v>21</v>
      </c>
    </row>
    <row r="130" customFormat="false" ht="15" hidden="false" customHeight="false" outlineLevel="0" collapsed="false">
      <c r="A130" s="0" t="s">
        <v>280</v>
      </c>
      <c r="B130" s="0" t="s">
        <v>281</v>
      </c>
      <c r="C130" s="0" t="s">
        <v>28</v>
      </c>
    </row>
    <row r="131" customFormat="false" ht="15" hidden="false" customHeight="false" outlineLevel="0" collapsed="false">
      <c r="A131" s="0" t="s">
        <v>282</v>
      </c>
      <c r="B131" s="0" t="s">
        <v>283</v>
      </c>
      <c r="C131" s="0" t="s">
        <v>44</v>
      </c>
    </row>
    <row r="132" customFormat="false" ht="15" hidden="false" customHeight="false" outlineLevel="0" collapsed="false">
      <c r="A132" s="0" t="s">
        <v>284</v>
      </c>
      <c r="B132" s="0" t="s">
        <v>285</v>
      </c>
      <c r="C132" s="0" t="s">
        <v>28</v>
      </c>
    </row>
    <row r="133" customFormat="false" ht="15" hidden="false" customHeight="false" outlineLevel="0" collapsed="false">
      <c r="A133" s="0" t="s">
        <v>286</v>
      </c>
      <c r="B133" s="0" t="s">
        <v>287</v>
      </c>
      <c r="C133" s="0" t="s">
        <v>38</v>
      </c>
    </row>
    <row r="134" customFormat="false" ht="15" hidden="false" customHeight="false" outlineLevel="0" collapsed="false">
      <c r="A134" s="0" t="s">
        <v>288</v>
      </c>
      <c r="B134" s="0" t="s">
        <v>289</v>
      </c>
      <c r="C134" s="0" t="s">
        <v>33</v>
      </c>
    </row>
    <row r="135" customFormat="false" ht="15" hidden="false" customHeight="false" outlineLevel="0" collapsed="false">
      <c r="A135" s="0" t="s">
        <v>290</v>
      </c>
      <c r="B135" s="0" t="s">
        <v>291</v>
      </c>
      <c r="C135" s="0" t="s">
        <v>21</v>
      </c>
    </row>
    <row r="136" customFormat="false" ht="15" hidden="false" customHeight="false" outlineLevel="0" collapsed="false">
      <c r="A136" s="0" t="s">
        <v>292</v>
      </c>
      <c r="B136" s="0" t="s">
        <v>293</v>
      </c>
      <c r="C136" s="0" t="s">
        <v>44</v>
      </c>
    </row>
    <row r="137" customFormat="false" ht="15" hidden="false" customHeight="false" outlineLevel="0" collapsed="false">
      <c r="A137" s="0" t="s">
        <v>294</v>
      </c>
      <c r="B137" s="0" t="s">
        <v>295</v>
      </c>
      <c r="C137" s="0" t="s">
        <v>41</v>
      </c>
    </row>
    <row r="138" customFormat="false" ht="15" hidden="false" customHeight="false" outlineLevel="0" collapsed="false">
      <c r="A138" s="0" t="s">
        <v>296</v>
      </c>
      <c r="B138" s="0" t="s">
        <v>297</v>
      </c>
      <c r="C138" s="0" t="s">
        <v>44</v>
      </c>
    </row>
    <row r="139" customFormat="false" ht="15" hidden="false" customHeight="false" outlineLevel="0" collapsed="false">
      <c r="A139" s="0" t="s">
        <v>298</v>
      </c>
      <c r="B139" s="0" t="s">
        <v>299</v>
      </c>
      <c r="C139" s="0" t="s">
        <v>44</v>
      </c>
    </row>
    <row r="140" customFormat="false" ht="15" hidden="false" customHeight="false" outlineLevel="0" collapsed="false">
      <c r="A140" s="0" t="s">
        <v>300</v>
      </c>
      <c r="B140" s="0" t="s">
        <v>301</v>
      </c>
      <c r="C140" s="0" t="s">
        <v>21</v>
      </c>
    </row>
    <row r="141" customFormat="false" ht="15" hidden="false" customHeight="false" outlineLevel="0" collapsed="false">
      <c r="A141" s="0" t="s">
        <v>302</v>
      </c>
      <c r="B141" s="0" t="s">
        <v>303</v>
      </c>
      <c r="C141" s="0" t="s">
        <v>38</v>
      </c>
    </row>
    <row r="142" customFormat="false" ht="15" hidden="false" customHeight="false" outlineLevel="0" collapsed="false">
      <c r="A142" s="0" t="s">
        <v>304</v>
      </c>
      <c r="B142" s="0" t="s">
        <v>305</v>
      </c>
      <c r="C142" s="0" t="s">
        <v>21</v>
      </c>
    </row>
    <row r="143" customFormat="false" ht="15" hidden="false" customHeight="false" outlineLevel="0" collapsed="false">
      <c r="A143" s="0" t="s">
        <v>306</v>
      </c>
      <c r="B143" s="0" t="s">
        <v>307</v>
      </c>
      <c r="C143" s="0" t="s">
        <v>41</v>
      </c>
    </row>
    <row r="144" customFormat="false" ht="15" hidden="false" customHeight="false" outlineLevel="0" collapsed="false">
      <c r="A144" s="0" t="s">
        <v>308</v>
      </c>
      <c r="B144" s="0" t="s">
        <v>309</v>
      </c>
      <c r="C144" s="0" t="s">
        <v>38</v>
      </c>
    </row>
    <row r="145" customFormat="false" ht="15" hidden="false" customHeight="false" outlineLevel="0" collapsed="false">
      <c r="A145" s="0" t="s">
        <v>310</v>
      </c>
      <c r="B145" s="0" t="s">
        <v>311</v>
      </c>
      <c r="C145" s="0" t="s">
        <v>38</v>
      </c>
    </row>
    <row r="146" customFormat="false" ht="15" hidden="false" customHeight="false" outlineLevel="0" collapsed="false">
      <c r="A146" s="0" t="s">
        <v>312</v>
      </c>
      <c r="B146" s="0" t="s">
        <v>313</v>
      </c>
      <c r="C146" s="0" t="s">
        <v>33</v>
      </c>
    </row>
    <row r="147" customFormat="false" ht="15" hidden="false" customHeight="false" outlineLevel="0" collapsed="false">
      <c r="A147" s="0" t="s">
        <v>314</v>
      </c>
      <c r="B147" s="0" t="s">
        <v>315</v>
      </c>
      <c r="C147" s="0" t="s">
        <v>41</v>
      </c>
    </row>
    <row r="148" customFormat="false" ht="15" hidden="false" customHeight="false" outlineLevel="0" collapsed="false">
      <c r="A148" s="0" t="s">
        <v>316</v>
      </c>
      <c r="B148" s="0" t="s">
        <v>317</v>
      </c>
      <c r="C148" s="0" t="s">
        <v>28</v>
      </c>
    </row>
    <row r="149" customFormat="false" ht="15" hidden="false" customHeight="false" outlineLevel="0" collapsed="false">
      <c r="A149" s="0" t="s">
        <v>318</v>
      </c>
      <c r="B149" s="0" t="s">
        <v>319</v>
      </c>
      <c r="C149" s="0" t="s">
        <v>21</v>
      </c>
    </row>
    <row r="150" customFormat="false" ht="15" hidden="false" customHeight="false" outlineLevel="0" collapsed="false">
      <c r="A150" s="0" t="s">
        <v>320</v>
      </c>
      <c r="B150" s="0" t="s">
        <v>321</v>
      </c>
      <c r="C150" s="0" t="s">
        <v>33</v>
      </c>
    </row>
    <row r="151" customFormat="false" ht="15" hidden="false" customHeight="false" outlineLevel="0" collapsed="false">
      <c r="A151" s="0" t="s">
        <v>322</v>
      </c>
      <c r="B151" s="0" t="s">
        <v>323</v>
      </c>
      <c r="C151" s="0" t="s">
        <v>21</v>
      </c>
    </row>
    <row r="152" customFormat="false" ht="15" hidden="false" customHeight="false" outlineLevel="0" collapsed="false">
      <c r="A152" s="0" t="s">
        <v>324</v>
      </c>
      <c r="B152" s="0" t="s">
        <v>325</v>
      </c>
      <c r="C152" s="0" t="s">
        <v>41</v>
      </c>
    </row>
    <row r="153" customFormat="false" ht="15" hidden="false" customHeight="false" outlineLevel="0" collapsed="false">
      <c r="A153" s="0" t="s">
        <v>326</v>
      </c>
      <c r="B153" s="0" t="s">
        <v>327</v>
      </c>
      <c r="C153" s="0" t="s">
        <v>38</v>
      </c>
    </row>
    <row r="154" customFormat="false" ht="15" hidden="false" customHeight="false" outlineLevel="0" collapsed="false">
      <c r="A154" s="0" t="s">
        <v>328</v>
      </c>
      <c r="B154" s="0" t="s">
        <v>329</v>
      </c>
      <c r="C154" s="0" t="s">
        <v>33</v>
      </c>
    </row>
    <row r="155" customFormat="false" ht="15" hidden="false" customHeight="false" outlineLevel="0" collapsed="false">
      <c r="A155" s="0" t="s">
        <v>330</v>
      </c>
      <c r="B155" s="0" t="s">
        <v>331</v>
      </c>
      <c r="C155" s="0" t="s">
        <v>33</v>
      </c>
    </row>
    <row r="156" customFormat="false" ht="15" hidden="false" customHeight="false" outlineLevel="0" collapsed="false">
      <c r="A156" s="0" t="s">
        <v>332</v>
      </c>
      <c r="B156" s="0" t="s">
        <v>333</v>
      </c>
      <c r="C156" s="0" t="s">
        <v>28</v>
      </c>
    </row>
    <row r="157" customFormat="false" ht="15" hidden="false" customHeight="false" outlineLevel="0" collapsed="false">
      <c r="A157" s="0" t="s">
        <v>334</v>
      </c>
      <c r="B157" s="0" t="s">
        <v>335</v>
      </c>
      <c r="C157" s="0" t="s">
        <v>44</v>
      </c>
    </row>
    <row r="158" customFormat="false" ht="15" hidden="false" customHeight="false" outlineLevel="0" collapsed="false">
      <c r="A158" s="0" t="s">
        <v>336</v>
      </c>
      <c r="B158" s="0" t="s">
        <v>337</v>
      </c>
      <c r="C158" s="0" t="s">
        <v>33</v>
      </c>
    </row>
    <row r="159" customFormat="false" ht="15" hidden="false" customHeight="false" outlineLevel="0" collapsed="false">
      <c r="A159" s="0" t="s">
        <v>338</v>
      </c>
      <c r="B159" s="0" t="s">
        <v>339</v>
      </c>
      <c r="C159" s="0" t="s">
        <v>41</v>
      </c>
    </row>
    <row r="160" customFormat="false" ht="15" hidden="false" customHeight="false" outlineLevel="0" collapsed="false">
      <c r="A160" s="0" t="s">
        <v>340</v>
      </c>
      <c r="B160" s="0" t="s">
        <v>341</v>
      </c>
      <c r="C160" s="0" t="s">
        <v>38</v>
      </c>
    </row>
    <row r="161" customFormat="false" ht="15" hidden="false" customHeight="false" outlineLevel="0" collapsed="false">
      <c r="A161" s="0" t="s">
        <v>342</v>
      </c>
      <c r="B161" s="0" t="s">
        <v>343</v>
      </c>
      <c r="C161" s="0" t="s">
        <v>33</v>
      </c>
    </row>
    <row r="162" customFormat="false" ht="15" hidden="false" customHeight="false" outlineLevel="0" collapsed="false">
      <c r="A162" s="0" t="s">
        <v>344</v>
      </c>
      <c r="B162" s="0" t="s">
        <v>311</v>
      </c>
      <c r="C162" s="0" t="s">
        <v>38</v>
      </c>
    </row>
    <row r="163" customFormat="false" ht="15" hidden="false" customHeight="false" outlineLevel="0" collapsed="false">
      <c r="A163" s="0" t="s">
        <v>345</v>
      </c>
      <c r="B163" s="0" t="s">
        <v>346</v>
      </c>
      <c r="C163" s="0" t="s">
        <v>33</v>
      </c>
    </row>
    <row r="164" customFormat="false" ht="15" hidden="false" customHeight="false" outlineLevel="0" collapsed="false">
      <c r="A164" s="0" t="s">
        <v>347</v>
      </c>
      <c r="B164" s="0" t="s">
        <v>348</v>
      </c>
      <c r="C164" s="0" t="s">
        <v>28</v>
      </c>
    </row>
    <row r="165" customFormat="false" ht="15" hidden="false" customHeight="false" outlineLevel="0" collapsed="false">
      <c r="A165" s="0" t="s">
        <v>349</v>
      </c>
      <c r="B165" s="0" t="s">
        <v>350</v>
      </c>
      <c r="C165" s="0" t="s">
        <v>21</v>
      </c>
    </row>
    <row r="166" customFormat="false" ht="15" hidden="false" customHeight="false" outlineLevel="0" collapsed="false">
      <c r="A166" s="0" t="s">
        <v>351</v>
      </c>
      <c r="B166" s="0" t="s">
        <v>352</v>
      </c>
      <c r="C166" s="0" t="s">
        <v>38</v>
      </c>
    </row>
    <row r="167" customFormat="false" ht="15" hidden="false" customHeight="false" outlineLevel="0" collapsed="false">
      <c r="A167" s="0" t="s">
        <v>353</v>
      </c>
      <c r="B167" s="0" t="s">
        <v>354</v>
      </c>
      <c r="C167" s="0" t="s">
        <v>44</v>
      </c>
    </row>
    <row r="168" customFormat="false" ht="15" hidden="false" customHeight="false" outlineLevel="0" collapsed="false">
      <c r="A168" s="0" t="s">
        <v>355</v>
      </c>
      <c r="B168" s="0" t="s">
        <v>356</v>
      </c>
      <c r="C168" s="0" t="s">
        <v>44</v>
      </c>
    </row>
    <row r="169" customFormat="false" ht="15" hidden="false" customHeight="false" outlineLevel="0" collapsed="false">
      <c r="A169" s="0" t="s">
        <v>357</v>
      </c>
      <c r="B169" s="0" t="s">
        <v>358</v>
      </c>
      <c r="C169" s="0" t="s">
        <v>44</v>
      </c>
    </row>
    <row r="170" customFormat="false" ht="15" hidden="false" customHeight="false" outlineLevel="0" collapsed="false">
      <c r="A170" s="0" t="s">
        <v>359</v>
      </c>
      <c r="B170" s="0" t="s">
        <v>360</v>
      </c>
      <c r="C170" s="0" t="s">
        <v>28</v>
      </c>
    </row>
    <row r="171" customFormat="false" ht="15" hidden="false" customHeight="false" outlineLevel="0" collapsed="false">
      <c r="A171" s="0" t="s">
        <v>361</v>
      </c>
      <c r="B171" s="0" t="s">
        <v>362</v>
      </c>
      <c r="C171" s="0" t="s">
        <v>41</v>
      </c>
    </row>
    <row r="172" customFormat="false" ht="15" hidden="false" customHeight="false" outlineLevel="0" collapsed="false">
      <c r="A172" s="0" t="s">
        <v>363</v>
      </c>
      <c r="B172" s="0" t="s">
        <v>364</v>
      </c>
      <c r="C172" s="0" t="s">
        <v>33</v>
      </c>
    </row>
    <row r="173" customFormat="false" ht="15" hidden="false" customHeight="false" outlineLevel="0" collapsed="false">
      <c r="A173" s="0" t="s">
        <v>365</v>
      </c>
      <c r="B173" s="0" t="s">
        <v>366</v>
      </c>
      <c r="C173" s="0" t="s">
        <v>21</v>
      </c>
    </row>
    <row r="174" customFormat="false" ht="15" hidden="false" customHeight="false" outlineLevel="0" collapsed="false">
      <c r="A174" s="0" t="s">
        <v>367</v>
      </c>
      <c r="B174" s="0" t="s">
        <v>368</v>
      </c>
      <c r="C174" s="0" t="s">
        <v>28</v>
      </c>
    </row>
    <row r="175" customFormat="false" ht="15" hidden="false" customHeight="false" outlineLevel="0" collapsed="false">
      <c r="A175" s="0" t="s">
        <v>369</v>
      </c>
      <c r="B175" s="0" t="s">
        <v>370</v>
      </c>
      <c r="C175" s="0" t="s">
        <v>38</v>
      </c>
    </row>
    <row r="176" customFormat="false" ht="15" hidden="false" customHeight="false" outlineLevel="0" collapsed="false">
      <c r="A176" s="0" t="s">
        <v>371</v>
      </c>
      <c r="B176" s="0" t="s">
        <v>372</v>
      </c>
      <c r="C176" s="0" t="s">
        <v>41</v>
      </c>
    </row>
    <row r="177" customFormat="false" ht="15" hidden="false" customHeight="false" outlineLevel="0" collapsed="false">
      <c r="A177" s="0" t="s">
        <v>373</v>
      </c>
      <c r="B177" s="0" t="s">
        <v>374</v>
      </c>
      <c r="C177" s="0" t="s">
        <v>44</v>
      </c>
    </row>
    <row r="178" customFormat="false" ht="15" hidden="false" customHeight="false" outlineLevel="0" collapsed="false">
      <c r="A178" s="0" t="s">
        <v>375</v>
      </c>
      <c r="B178" s="0" t="s">
        <v>376</v>
      </c>
      <c r="C178" s="0" t="s">
        <v>33</v>
      </c>
    </row>
    <row r="179" customFormat="false" ht="15" hidden="false" customHeight="false" outlineLevel="0" collapsed="false">
      <c r="A179" s="0" t="s">
        <v>377</v>
      </c>
      <c r="B179" s="0" t="s">
        <v>378</v>
      </c>
      <c r="C179" s="0" t="s">
        <v>21</v>
      </c>
    </row>
    <row r="180" customFormat="false" ht="15" hidden="false" customHeight="false" outlineLevel="0" collapsed="false">
      <c r="A180" s="0" t="s">
        <v>379</v>
      </c>
      <c r="B180" s="0" t="s">
        <v>350</v>
      </c>
      <c r="C180" s="0" t="s">
        <v>21</v>
      </c>
    </row>
    <row r="181" customFormat="false" ht="15" hidden="false" customHeight="false" outlineLevel="0" collapsed="false">
      <c r="A181" s="0" t="s">
        <v>380</v>
      </c>
      <c r="B181" s="0" t="s">
        <v>381</v>
      </c>
      <c r="C181" s="0" t="s">
        <v>33</v>
      </c>
    </row>
    <row r="182" customFormat="false" ht="15" hidden="false" customHeight="false" outlineLevel="0" collapsed="false">
      <c r="A182" s="0" t="s">
        <v>382</v>
      </c>
      <c r="B182" s="0" t="s">
        <v>383</v>
      </c>
      <c r="C182" s="0" t="s">
        <v>33</v>
      </c>
    </row>
    <row r="183" customFormat="false" ht="15" hidden="false" customHeight="false" outlineLevel="0" collapsed="false">
      <c r="A183" s="0" t="s">
        <v>384</v>
      </c>
      <c r="B183" s="0" t="s">
        <v>385</v>
      </c>
      <c r="C183" s="0" t="s">
        <v>41</v>
      </c>
    </row>
    <row r="184" customFormat="false" ht="15" hidden="false" customHeight="false" outlineLevel="0" collapsed="false">
      <c r="A184" s="0" t="s">
        <v>386</v>
      </c>
      <c r="B184" s="0" t="s">
        <v>387</v>
      </c>
      <c r="C184" s="0" t="s">
        <v>44</v>
      </c>
    </row>
    <row r="185" customFormat="false" ht="15" hidden="false" customHeight="false" outlineLevel="0" collapsed="false">
      <c r="A185" s="0" t="s">
        <v>388</v>
      </c>
      <c r="B185" s="0" t="s">
        <v>389</v>
      </c>
      <c r="C185" s="0" t="s">
        <v>33</v>
      </c>
    </row>
    <row r="186" customFormat="false" ht="15" hidden="false" customHeight="false" outlineLevel="0" collapsed="false">
      <c r="A186" s="0" t="s">
        <v>390</v>
      </c>
      <c r="B186" s="0" t="s">
        <v>391</v>
      </c>
      <c r="C186" s="0" t="s">
        <v>33</v>
      </c>
    </row>
    <row r="187" customFormat="false" ht="15" hidden="false" customHeight="false" outlineLevel="0" collapsed="false">
      <c r="A187" s="0" t="s">
        <v>392</v>
      </c>
      <c r="B187" s="0" t="s">
        <v>393</v>
      </c>
      <c r="C187" s="0" t="s">
        <v>41</v>
      </c>
    </row>
    <row r="188" customFormat="false" ht="15" hidden="false" customHeight="false" outlineLevel="0" collapsed="false">
      <c r="A188" s="0" t="s">
        <v>394</v>
      </c>
      <c r="B188" s="0" t="s">
        <v>395</v>
      </c>
      <c r="C188" s="0" t="s">
        <v>21</v>
      </c>
    </row>
    <row r="189" customFormat="false" ht="15" hidden="false" customHeight="false" outlineLevel="0" collapsed="false">
      <c r="A189" s="0" t="s">
        <v>396</v>
      </c>
      <c r="B189" s="0" t="s">
        <v>372</v>
      </c>
      <c r="C189" s="0" t="s">
        <v>41</v>
      </c>
    </row>
    <row r="190" customFormat="false" ht="15" hidden="false" customHeight="false" outlineLevel="0" collapsed="false">
      <c r="A190" s="0" t="s">
        <v>397</v>
      </c>
      <c r="B190" s="0" t="s">
        <v>210</v>
      </c>
      <c r="C190" s="0" t="s">
        <v>41</v>
      </c>
    </row>
    <row r="191" customFormat="false" ht="15" hidden="false" customHeight="false" outlineLevel="0" collapsed="false">
      <c r="A191" s="0" t="s">
        <v>398</v>
      </c>
      <c r="B191" s="0" t="s">
        <v>399</v>
      </c>
      <c r="C191" s="0" t="s">
        <v>33</v>
      </c>
    </row>
    <row r="192" customFormat="false" ht="15" hidden="false" customHeight="false" outlineLevel="0" collapsed="false">
      <c r="A192" s="0" t="s">
        <v>400</v>
      </c>
      <c r="B192" s="0" t="s">
        <v>366</v>
      </c>
      <c r="C192" s="0" t="s">
        <v>21</v>
      </c>
    </row>
    <row r="193" customFormat="false" ht="15" hidden="false" customHeight="false" outlineLevel="0" collapsed="false">
      <c r="A193" s="0" t="s">
        <v>401</v>
      </c>
      <c r="B193" s="0" t="s">
        <v>210</v>
      </c>
      <c r="C193" s="0" t="s">
        <v>41</v>
      </c>
    </row>
    <row r="194" customFormat="false" ht="15" hidden="false" customHeight="false" outlineLevel="0" collapsed="false">
      <c r="A194" s="0" t="s">
        <v>402</v>
      </c>
      <c r="B194" s="0" t="s">
        <v>403</v>
      </c>
      <c r="C194" s="0" t="s">
        <v>21</v>
      </c>
    </row>
    <row r="195" customFormat="false" ht="15" hidden="false" customHeight="false" outlineLevel="0" collapsed="false">
      <c r="A195" s="0" t="s">
        <v>404</v>
      </c>
      <c r="B195" s="0" t="s">
        <v>66</v>
      </c>
      <c r="C195" s="0" t="s">
        <v>28</v>
      </c>
    </row>
    <row r="196" customFormat="false" ht="15" hidden="false" customHeight="false" outlineLevel="0" collapsed="false">
      <c r="A196" s="0" t="s">
        <v>405</v>
      </c>
      <c r="B196" s="0" t="s">
        <v>406</v>
      </c>
      <c r="C196" s="0" t="s">
        <v>38</v>
      </c>
    </row>
    <row r="197" customFormat="false" ht="15" hidden="false" customHeight="false" outlineLevel="0" collapsed="false">
      <c r="A197" s="0" t="s">
        <v>407</v>
      </c>
      <c r="B197" s="0" t="s">
        <v>408</v>
      </c>
      <c r="C197" s="0" t="s">
        <v>38</v>
      </c>
    </row>
    <row r="198" customFormat="false" ht="15" hidden="false" customHeight="false" outlineLevel="0" collapsed="false">
      <c r="A198" s="0" t="s">
        <v>409</v>
      </c>
      <c r="B198" s="0" t="s">
        <v>410</v>
      </c>
      <c r="C198" s="0" t="s">
        <v>28</v>
      </c>
    </row>
    <row r="199" customFormat="false" ht="15" hidden="false" customHeight="false" outlineLevel="0" collapsed="false">
      <c r="A199" s="0" t="s">
        <v>411</v>
      </c>
      <c r="B199" s="0" t="s">
        <v>412</v>
      </c>
      <c r="C199" s="0" t="s">
        <v>38</v>
      </c>
    </row>
    <row r="200" customFormat="false" ht="15" hidden="false" customHeight="false" outlineLevel="0" collapsed="false">
      <c r="A200" s="0" t="s">
        <v>413</v>
      </c>
      <c r="B200" s="0" t="s">
        <v>414</v>
      </c>
      <c r="C200" s="0" t="s">
        <v>44</v>
      </c>
    </row>
    <row r="201" customFormat="false" ht="15" hidden="false" customHeight="false" outlineLevel="0" collapsed="false">
      <c r="A201" s="0" t="s">
        <v>415</v>
      </c>
      <c r="B201" s="0" t="s">
        <v>416</v>
      </c>
      <c r="C201" s="0" t="s">
        <v>38</v>
      </c>
    </row>
    <row r="202" customFormat="false" ht="15" hidden="false" customHeight="false" outlineLevel="0" collapsed="false">
      <c r="A202" s="0" t="s">
        <v>417</v>
      </c>
      <c r="B202" s="0" t="s">
        <v>418</v>
      </c>
      <c r="C202" s="0" t="s">
        <v>21</v>
      </c>
    </row>
    <row r="203" customFormat="false" ht="15" hidden="false" customHeight="false" outlineLevel="0" collapsed="false">
      <c r="A203" s="0" t="s">
        <v>419</v>
      </c>
      <c r="B203" s="0" t="s">
        <v>420</v>
      </c>
      <c r="C203" s="0" t="s">
        <v>44</v>
      </c>
    </row>
    <row r="204" customFormat="false" ht="15" hidden="false" customHeight="false" outlineLevel="0" collapsed="false">
      <c r="A204" s="0" t="s">
        <v>421</v>
      </c>
      <c r="B204" s="0" t="s">
        <v>422</v>
      </c>
      <c r="C204" s="0" t="s">
        <v>33</v>
      </c>
    </row>
    <row r="205" customFormat="false" ht="15" hidden="false" customHeight="false" outlineLevel="0" collapsed="false">
      <c r="A205" s="0" t="s">
        <v>423</v>
      </c>
      <c r="B205" s="0" t="s">
        <v>424</v>
      </c>
      <c r="C205" s="0" t="s">
        <v>33</v>
      </c>
    </row>
    <row r="206" customFormat="false" ht="15" hidden="false" customHeight="false" outlineLevel="0" collapsed="false">
      <c r="A206" s="0" t="s">
        <v>425</v>
      </c>
      <c r="B206" s="0" t="s">
        <v>426</v>
      </c>
      <c r="C206" s="0" t="s">
        <v>33</v>
      </c>
    </row>
    <row r="207" customFormat="false" ht="15" hidden="false" customHeight="false" outlineLevel="0" collapsed="false">
      <c r="A207" s="0" t="s">
        <v>427</v>
      </c>
      <c r="B207" s="0" t="s">
        <v>428</v>
      </c>
      <c r="C207" s="0" t="s">
        <v>21</v>
      </c>
    </row>
    <row r="208" customFormat="false" ht="15" hidden="false" customHeight="false" outlineLevel="0" collapsed="false">
      <c r="A208" s="0" t="s">
        <v>429</v>
      </c>
      <c r="B208" s="0" t="s">
        <v>430</v>
      </c>
      <c r="C208" s="0" t="s">
        <v>38</v>
      </c>
    </row>
    <row r="209" customFormat="false" ht="15" hidden="false" customHeight="false" outlineLevel="0" collapsed="false">
      <c r="A209" s="0" t="s">
        <v>431</v>
      </c>
      <c r="B209" s="0" t="s">
        <v>432</v>
      </c>
      <c r="C209" s="0" t="s">
        <v>33</v>
      </c>
    </row>
    <row r="210" customFormat="false" ht="15" hidden="false" customHeight="false" outlineLevel="0" collapsed="false">
      <c r="A210" s="0" t="s">
        <v>433</v>
      </c>
      <c r="B210" s="0" t="s">
        <v>434</v>
      </c>
      <c r="C210" s="0" t="s">
        <v>44</v>
      </c>
    </row>
    <row r="211" customFormat="false" ht="15" hidden="false" customHeight="false" outlineLevel="0" collapsed="false">
      <c r="A211" s="0" t="s">
        <v>435</v>
      </c>
      <c r="B211" s="0" t="s">
        <v>436</v>
      </c>
      <c r="C211" s="0" t="s">
        <v>28</v>
      </c>
    </row>
    <row r="212" customFormat="false" ht="15" hidden="false" customHeight="false" outlineLevel="0" collapsed="false">
      <c r="A212" s="0" t="s">
        <v>437</v>
      </c>
      <c r="B212" s="0" t="s">
        <v>438</v>
      </c>
      <c r="C212" s="0" t="s">
        <v>44</v>
      </c>
    </row>
    <row r="213" customFormat="false" ht="15" hidden="false" customHeight="false" outlineLevel="0" collapsed="false">
      <c r="A213" s="0" t="s">
        <v>439</v>
      </c>
      <c r="B213" s="0" t="s">
        <v>440</v>
      </c>
      <c r="C213" s="0" t="s">
        <v>41</v>
      </c>
    </row>
    <row r="214" customFormat="false" ht="15" hidden="false" customHeight="false" outlineLevel="0" collapsed="false">
      <c r="A214" s="0" t="s">
        <v>441</v>
      </c>
      <c r="B214" s="0" t="s">
        <v>442</v>
      </c>
      <c r="C214" s="0" t="s">
        <v>41</v>
      </c>
    </row>
    <row r="215" customFormat="false" ht="15" hidden="false" customHeight="false" outlineLevel="0" collapsed="false">
      <c r="A215" s="0" t="s">
        <v>443</v>
      </c>
      <c r="B215" s="0" t="s">
        <v>444</v>
      </c>
      <c r="C215" s="0" t="s">
        <v>38</v>
      </c>
    </row>
    <row r="216" customFormat="false" ht="15" hidden="false" customHeight="false" outlineLevel="0" collapsed="false">
      <c r="A216" s="0" t="s">
        <v>445</v>
      </c>
      <c r="B216" s="0" t="s">
        <v>446</v>
      </c>
      <c r="C216" s="0" t="s">
        <v>33</v>
      </c>
    </row>
    <row r="217" customFormat="false" ht="15" hidden="false" customHeight="false" outlineLevel="0" collapsed="false">
      <c r="A217" s="0" t="s">
        <v>447</v>
      </c>
      <c r="B217" s="0" t="s">
        <v>448</v>
      </c>
      <c r="C217" s="0" t="s">
        <v>21</v>
      </c>
    </row>
    <row r="218" customFormat="false" ht="15" hidden="false" customHeight="false" outlineLevel="0" collapsed="false">
      <c r="A218" s="0" t="s">
        <v>449</v>
      </c>
      <c r="B218" s="0" t="s">
        <v>450</v>
      </c>
      <c r="C218" s="0" t="s">
        <v>33</v>
      </c>
    </row>
    <row r="219" customFormat="false" ht="15" hidden="false" customHeight="false" outlineLevel="0" collapsed="false">
      <c r="A219" s="0" t="s">
        <v>451</v>
      </c>
      <c r="B219" s="0" t="s">
        <v>452</v>
      </c>
      <c r="C219" s="0" t="s">
        <v>38</v>
      </c>
    </row>
    <row r="220" customFormat="false" ht="15" hidden="false" customHeight="false" outlineLevel="0" collapsed="false">
      <c r="A220" s="0" t="s">
        <v>453</v>
      </c>
      <c r="B220" s="0" t="s">
        <v>454</v>
      </c>
      <c r="C220" s="0" t="s">
        <v>33</v>
      </c>
    </row>
    <row r="221" customFormat="false" ht="15" hidden="false" customHeight="false" outlineLevel="0" collapsed="false">
      <c r="A221" s="0" t="s">
        <v>455</v>
      </c>
      <c r="B221" s="0" t="s">
        <v>456</v>
      </c>
      <c r="C221" s="0" t="s">
        <v>33</v>
      </c>
    </row>
    <row r="222" customFormat="false" ht="15" hidden="false" customHeight="false" outlineLevel="0" collapsed="false">
      <c r="A222" s="0" t="s">
        <v>457</v>
      </c>
      <c r="B222" s="0" t="s">
        <v>458</v>
      </c>
      <c r="C222" s="0" t="s">
        <v>21</v>
      </c>
    </row>
    <row r="223" customFormat="false" ht="15" hidden="false" customHeight="false" outlineLevel="0" collapsed="false">
      <c r="A223" s="0" t="s">
        <v>459</v>
      </c>
      <c r="B223" s="0" t="s">
        <v>460</v>
      </c>
      <c r="C223" s="0" t="s">
        <v>41</v>
      </c>
    </row>
    <row r="224" customFormat="false" ht="15" hidden="false" customHeight="false" outlineLevel="0" collapsed="false">
      <c r="A224" s="0" t="s">
        <v>461</v>
      </c>
      <c r="B224" s="0" t="s">
        <v>462</v>
      </c>
      <c r="C224" s="0" t="s">
        <v>21</v>
      </c>
    </row>
    <row r="225" customFormat="false" ht="15" hidden="false" customHeight="false" outlineLevel="0" collapsed="false">
      <c r="A225" s="0" t="s">
        <v>463</v>
      </c>
      <c r="B225" s="0" t="s">
        <v>464</v>
      </c>
      <c r="C225" s="0" t="s">
        <v>28</v>
      </c>
    </row>
    <row r="226" customFormat="false" ht="15" hidden="false" customHeight="false" outlineLevel="0" collapsed="false">
      <c r="A226" s="0" t="s">
        <v>465</v>
      </c>
      <c r="B226" s="0" t="s">
        <v>466</v>
      </c>
      <c r="C226" s="0" t="s">
        <v>28</v>
      </c>
    </row>
    <row r="227" customFormat="false" ht="15" hidden="false" customHeight="false" outlineLevel="0" collapsed="false">
      <c r="A227" s="0" t="s">
        <v>467</v>
      </c>
      <c r="B227" s="0" t="s">
        <v>468</v>
      </c>
      <c r="C227" s="0" t="s">
        <v>41</v>
      </c>
    </row>
    <row r="228" customFormat="false" ht="15" hidden="false" customHeight="false" outlineLevel="0" collapsed="false">
      <c r="A228" s="0" t="s">
        <v>469</v>
      </c>
      <c r="B228" s="0" t="s">
        <v>470</v>
      </c>
      <c r="C228" s="0" t="s">
        <v>28</v>
      </c>
    </row>
    <row r="229" customFormat="false" ht="15" hidden="false" customHeight="false" outlineLevel="0" collapsed="false">
      <c r="A229" s="0" t="s">
        <v>471</v>
      </c>
      <c r="B229" s="0" t="s">
        <v>472</v>
      </c>
      <c r="C229" s="0" t="s">
        <v>21</v>
      </c>
    </row>
    <row r="230" customFormat="false" ht="15" hidden="false" customHeight="false" outlineLevel="0" collapsed="false">
      <c r="A230" s="0" t="s">
        <v>473</v>
      </c>
      <c r="B230" s="0" t="s">
        <v>474</v>
      </c>
      <c r="C230" s="0" t="s">
        <v>28</v>
      </c>
    </row>
    <row r="231" customFormat="false" ht="15" hidden="false" customHeight="false" outlineLevel="0" collapsed="false">
      <c r="A231" s="0" t="s">
        <v>475</v>
      </c>
      <c r="B231" s="0" t="s">
        <v>476</v>
      </c>
      <c r="C231" s="0" t="s">
        <v>38</v>
      </c>
    </row>
    <row r="232" customFormat="false" ht="15" hidden="false" customHeight="false" outlineLevel="0" collapsed="false">
      <c r="A232" s="0" t="s">
        <v>477</v>
      </c>
      <c r="B232" s="0" t="s">
        <v>478</v>
      </c>
      <c r="C232" s="0" t="s">
        <v>33</v>
      </c>
    </row>
    <row r="233" customFormat="false" ht="15" hidden="false" customHeight="false" outlineLevel="0" collapsed="false">
      <c r="A233" s="0" t="s">
        <v>479</v>
      </c>
      <c r="B233" s="0" t="s">
        <v>480</v>
      </c>
      <c r="C233" s="0" t="s">
        <v>28</v>
      </c>
    </row>
    <row r="234" customFormat="false" ht="15" hidden="false" customHeight="false" outlineLevel="0" collapsed="false">
      <c r="A234" s="0" t="s">
        <v>481</v>
      </c>
      <c r="B234" s="0" t="s">
        <v>482</v>
      </c>
      <c r="C234" s="0" t="s">
        <v>41</v>
      </c>
    </row>
    <row r="235" customFormat="false" ht="15" hidden="false" customHeight="false" outlineLevel="0" collapsed="false">
      <c r="A235" s="0" t="s">
        <v>483</v>
      </c>
      <c r="B235" s="0" t="s">
        <v>484</v>
      </c>
      <c r="C235" s="0" t="s">
        <v>44</v>
      </c>
    </row>
    <row r="236" customFormat="false" ht="15" hidden="false" customHeight="false" outlineLevel="0" collapsed="false">
      <c r="A236" s="0" t="s">
        <v>485</v>
      </c>
      <c r="B236" s="0" t="s">
        <v>486</v>
      </c>
      <c r="C236" s="0" t="s">
        <v>33</v>
      </c>
    </row>
    <row r="237" customFormat="false" ht="15" hidden="false" customHeight="false" outlineLevel="0" collapsed="false">
      <c r="A237" s="0" t="s">
        <v>487</v>
      </c>
      <c r="B237" s="0" t="s">
        <v>488</v>
      </c>
      <c r="C237" s="0" t="s">
        <v>41</v>
      </c>
    </row>
    <row r="238" customFormat="false" ht="15" hidden="false" customHeight="false" outlineLevel="0" collapsed="false">
      <c r="A238" s="0" t="s">
        <v>489</v>
      </c>
      <c r="B238" s="0" t="s">
        <v>490</v>
      </c>
      <c r="C238" s="0" t="s">
        <v>21</v>
      </c>
    </row>
    <row r="239" customFormat="false" ht="15" hidden="false" customHeight="false" outlineLevel="0" collapsed="false">
      <c r="A239" s="0" t="s">
        <v>491</v>
      </c>
      <c r="B239" s="0" t="s">
        <v>492</v>
      </c>
      <c r="C239" s="0" t="s">
        <v>28</v>
      </c>
    </row>
    <row r="240" customFormat="false" ht="15" hidden="false" customHeight="false" outlineLevel="0" collapsed="false">
      <c r="A240" s="0" t="s">
        <v>493</v>
      </c>
      <c r="B240" s="0" t="s">
        <v>494</v>
      </c>
      <c r="C240" s="0" t="s">
        <v>28</v>
      </c>
    </row>
    <row r="241" customFormat="false" ht="15" hidden="false" customHeight="false" outlineLevel="0" collapsed="false">
      <c r="A241" s="0" t="s">
        <v>495</v>
      </c>
      <c r="B241" s="0" t="s">
        <v>496</v>
      </c>
      <c r="C241" s="0" t="s">
        <v>44</v>
      </c>
    </row>
    <row r="242" customFormat="false" ht="15" hidden="false" customHeight="false" outlineLevel="0" collapsed="false">
      <c r="A242" s="0" t="s">
        <v>497</v>
      </c>
      <c r="B242" s="0" t="s">
        <v>498</v>
      </c>
      <c r="C242" s="0" t="s">
        <v>28</v>
      </c>
    </row>
    <row r="243" customFormat="false" ht="15" hidden="false" customHeight="false" outlineLevel="0" collapsed="false">
      <c r="A243" s="0" t="s">
        <v>499</v>
      </c>
      <c r="B243" s="0" t="s">
        <v>500</v>
      </c>
      <c r="C243" s="0" t="s">
        <v>28</v>
      </c>
    </row>
    <row r="244" customFormat="false" ht="15" hidden="false" customHeight="false" outlineLevel="0" collapsed="false">
      <c r="A244" s="0" t="s">
        <v>501</v>
      </c>
      <c r="B244" s="0" t="s">
        <v>502</v>
      </c>
      <c r="C244" s="0" t="s">
        <v>21</v>
      </c>
    </row>
    <row r="245" customFormat="false" ht="15" hidden="false" customHeight="false" outlineLevel="0" collapsed="false">
      <c r="A245" s="0" t="s">
        <v>503</v>
      </c>
      <c r="B245" s="0" t="s">
        <v>504</v>
      </c>
      <c r="C245" s="0" t="s">
        <v>41</v>
      </c>
    </row>
    <row r="246" customFormat="false" ht="15" hidden="false" customHeight="false" outlineLevel="0" collapsed="false">
      <c r="A246" s="0" t="s">
        <v>505</v>
      </c>
      <c r="B246" s="0" t="s">
        <v>506</v>
      </c>
      <c r="C246" s="0" t="s">
        <v>33</v>
      </c>
    </row>
    <row r="247" customFormat="false" ht="15" hidden="false" customHeight="false" outlineLevel="0" collapsed="false">
      <c r="A247" s="0" t="s">
        <v>507</v>
      </c>
      <c r="B247" s="0" t="s">
        <v>508</v>
      </c>
      <c r="C247" s="0" t="s">
        <v>38</v>
      </c>
    </row>
    <row r="248" customFormat="false" ht="15" hidden="false" customHeight="false" outlineLevel="0" collapsed="false">
      <c r="A248" s="0" t="s">
        <v>509</v>
      </c>
      <c r="B248" s="0" t="s">
        <v>510</v>
      </c>
      <c r="C248" s="0" t="s">
        <v>28</v>
      </c>
    </row>
    <row r="249" customFormat="false" ht="15" hidden="false" customHeight="false" outlineLevel="0" collapsed="false">
      <c r="A249" s="0" t="s">
        <v>511</v>
      </c>
      <c r="B249" s="0" t="s">
        <v>512</v>
      </c>
      <c r="C249" s="0" t="s">
        <v>38</v>
      </c>
    </row>
    <row r="250" customFormat="false" ht="15" hidden="false" customHeight="false" outlineLevel="0" collapsed="false">
      <c r="A250" s="0" t="s">
        <v>513</v>
      </c>
      <c r="B250" s="0" t="s">
        <v>514</v>
      </c>
      <c r="C250" s="0" t="s">
        <v>44</v>
      </c>
    </row>
    <row r="251" customFormat="false" ht="15" hidden="false" customHeight="false" outlineLevel="0" collapsed="false">
      <c r="A251" s="0" t="s">
        <v>515</v>
      </c>
      <c r="B251" s="0" t="s">
        <v>516</v>
      </c>
      <c r="C251" s="0" t="s">
        <v>41</v>
      </c>
    </row>
    <row r="252" customFormat="false" ht="15" hidden="false" customHeight="false" outlineLevel="0" collapsed="false">
      <c r="A252" s="0" t="s">
        <v>517</v>
      </c>
      <c r="B252" s="0" t="s">
        <v>518</v>
      </c>
      <c r="C252" s="0" t="s">
        <v>44</v>
      </c>
    </row>
    <row r="253" customFormat="false" ht="15" hidden="false" customHeight="false" outlineLevel="0" collapsed="false">
      <c r="A253" s="0" t="s">
        <v>519</v>
      </c>
      <c r="B253" s="0" t="s">
        <v>520</v>
      </c>
      <c r="C253" s="0" t="s">
        <v>28</v>
      </c>
    </row>
    <row r="254" customFormat="false" ht="15" hidden="false" customHeight="false" outlineLevel="0" collapsed="false">
      <c r="A254" s="0" t="s">
        <v>521</v>
      </c>
      <c r="B254" s="0" t="s">
        <v>522</v>
      </c>
      <c r="C254" s="0" t="s">
        <v>38</v>
      </c>
    </row>
    <row r="255" customFormat="false" ht="15" hidden="false" customHeight="false" outlineLevel="0" collapsed="false">
      <c r="A255" s="0" t="s">
        <v>523</v>
      </c>
      <c r="B255" s="0" t="s">
        <v>524</v>
      </c>
      <c r="C255" s="0" t="s">
        <v>41</v>
      </c>
    </row>
    <row r="256" customFormat="false" ht="15" hidden="false" customHeight="false" outlineLevel="0" collapsed="false">
      <c r="A256" s="0" t="s">
        <v>525</v>
      </c>
      <c r="B256" s="0" t="s">
        <v>526</v>
      </c>
      <c r="C256" s="0" t="s">
        <v>21</v>
      </c>
    </row>
    <row r="257" customFormat="false" ht="15" hidden="false" customHeight="false" outlineLevel="0" collapsed="false">
      <c r="A257" s="0" t="s">
        <v>527</v>
      </c>
      <c r="B257" s="0" t="s">
        <v>528</v>
      </c>
      <c r="C257" s="0" t="s">
        <v>28</v>
      </c>
    </row>
    <row r="258" customFormat="false" ht="15" hidden="false" customHeight="false" outlineLevel="0" collapsed="false">
      <c r="A258" s="0" t="s">
        <v>529</v>
      </c>
      <c r="B258" s="0" t="s">
        <v>530</v>
      </c>
      <c r="C258" s="0" t="s">
        <v>44</v>
      </c>
    </row>
    <row r="259" customFormat="false" ht="15" hidden="false" customHeight="false" outlineLevel="0" collapsed="false">
      <c r="A259" s="0" t="s">
        <v>531</v>
      </c>
      <c r="B259" s="0" t="s">
        <v>532</v>
      </c>
      <c r="C259" s="0" t="s">
        <v>28</v>
      </c>
    </row>
    <row r="260" customFormat="false" ht="15" hidden="false" customHeight="false" outlineLevel="0" collapsed="false">
      <c r="A260" s="0" t="s">
        <v>533</v>
      </c>
      <c r="B260" s="0" t="s">
        <v>534</v>
      </c>
      <c r="C260" s="0" t="s">
        <v>44</v>
      </c>
    </row>
    <row r="261" customFormat="false" ht="15" hidden="false" customHeight="false" outlineLevel="0" collapsed="false">
      <c r="A261" s="0" t="s">
        <v>535</v>
      </c>
      <c r="B261" s="0" t="s">
        <v>536</v>
      </c>
      <c r="C261" s="0" t="s">
        <v>38</v>
      </c>
    </row>
    <row r="262" customFormat="false" ht="15" hidden="false" customHeight="false" outlineLevel="0" collapsed="false">
      <c r="A262" s="0" t="s">
        <v>537</v>
      </c>
      <c r="B262" s="0" t="s">
        <v>538</v>
      </c>
      <c r="C262" s="0" t="s">
        <v>44</v>
      </c>
    </row>
    <row r="263" customFormat="false" ht="15" hidden="false" customHeight="false" outlineLevel="0" collapsed="false">
      <c r="A263" s="0" t="s">
        <v>539</v>
      </c>
      <c r="B263" s="0" t="s">
        <v>540</v>
      </c>
      <c r="C263" s="0" t="s">
        <v>38</v>
      </c>
    </row>
    <row r="264" customFormat="false" ht="15" hidden="false" customHeight="false" outlineLevel="0" collapsed="false">
      <c r="A264" s="0" t="s">
        <v>541</v>
      </c>
      <c r="B264" s="0" t="s">
        <v>542</v>
      </c>
      <c r="C264" s="0" t="s">
        <v>33</v>
      </c>
    </row>
    <row r="265" customFormat="false" ht="15" hidden="false" customHeight="false" outlineLevel="0" collapsed="false">
      <c r="A265" s="0" t="s">
        <v>543</v>
      </c>
      <c r="B265" s="0" t="s">
        <v>544</v>
      </c>
      <c r="C265" s="0" t="s">
        <v>33</v>
      </c>
    </row>
    <row r="266" customFormat="false" ht="15" hidden="false" customHeight="false" outlineLevel="0" collapsed="false">
      <c r="A266" s="0" t="s">
        <v>545</v>
      </c>
      <c r="B266" s="0" t="s">
        <v>546</v>
      </c>
      <c r="C266" s="0" t="s">
        <v>28</v>
      </c>
    </row>
    <row r="267" customFormat="false" ht="15" hidden="false" customHeight="false" outlineLevel="0" collapsed="false">
      <c r="A267" s="0" t="s">
        <v>547</v>
      </c>
      <c r="B267" s="0" t="s">
        <v>548</v>
      </c>
      <c r="C267" s="0" t="s">
        <v>44</v>
      </c>
    </row>
    <row r="268" customFormat="false" ht="15" hidden="false" customHeight="false" outlineLevel="0" collapsed="false">
      <c r="A268" s="0" t="s">
        <v>549</v>
      </c>
      <c r="B268" s="0" t="s">
        <v>550</v>
      </c>
      <c r="C268" s="0" t="s">
        <v>44</v>
      </c>
    </row>
    <row r="269" customFormat="false" ht="15" hidden="false" customHeight="false" outlineLevel="0" collapsed="false">
      <c r="A269" s="0" t="s">
        <v>551</v>
      </c>
      <c r="B269" s="0" t="s">
        <v>552</v>
      </c>
      <c r="C269" s="0" t="s">
        <v>38</v>
      </c>
    </row>
    <row r="270" customFormat="false" ht="15" hidden="false" customHeight="false" outlineLevel="0" collapsed="false">
      <c r="A270" s="0" t="s">
        <v>553</v>
      </c>
      <c r="B270" s="0" t="s">
        <v>554</v>
      </c>
      <c r="C270" s="0" t="s">
        <v>44</v>
      </c>
    </row>
    <row r="271" customFormat="false" ht="15" hidden="false" customHeight="false" outlineLevel="0" collapsed="false">
      <c r="A271" s="0" t="s">
        <v>555</v>
      </c>
      <c r="B271" s="0" t="s">
        <v>556</v>
      </c>
      <c r="C271" s="0" t="s">
        <v>33</v>
      </c>
    </row>
    <row r="272" customFormat="false" ht="15" hidden="false" customHeight="false" outlineLevel="0" collapsed="false">
      <c r="A272" s="0" t="s">
        <v>557</v>
      </c>
      <c r="B272" s="0" t="s">
        <v>558</v>
      </c>
      <c r="C272" s="0" t="s">
        <v>44</v>
      </c>
    </row>
    <row r="273" customFormat="false" ht="15" hidden="false" customHeight="false" outlineLevel="0" collapsed="false">
      <c r="A273" s="0" t="s">
        <v>559</v>
      </c>
      <c r="B273" s="0" t="s">
        <v>560</v>
      </c>
      <c r="C273" s="0" t="s">
        <v>44</v>
      </c>
    </row>
    <row r="274" customFormat="false" ht="15" hidden="false" customHeight="false" outlineLevel="0" collapsed="false">
      <c r="A274" s="0" t="s">
        <v>561</v>
      </c>
      <c r="B274" s="0" t="s">
        <v>562</v>
      </c>
      <c r="C274" s="0" t="s">
        <v>38</v>
      </c>
    </row>
    <row r="275" customFormat="false" ht="15" hidden="false" customHeight="false" outlineLevel="0" collapsed="false">
      <c r="A275" s="0" t="s">
        <v>563</v>
      </c>
      <c r="B275" s="0" t="s">
        <v>564</v>
      </c>
      <c r="C275" s="0" t="s">
        <v>33</v>
      </c>
    </row>
    <row r="276" customFormat="false" ht="15" hidden="false" customHeight="false" outlineLevel="0" collapsed="false">
      <c r="A276" s="0" t="s">
        <v>565</v>
      </c>
      <c r="B276" s="0" t="s">
        <v>566</v>
      </c>
      <c r="C276" s="0" t="s">
        <v>33</v>
      </c>
    </row>
    <row r="277" customFormat="false" ht="15" hidden="false" customHeight="false" outlineLevel="0" collapsed="false">
      <c r="A277" s="0" t="s">
        <v>567</v>
      </c>
      <c r="B277" s="0" t="s">
        <v>568</v>
      </c>
      <c r="C277" s="0" t="s">
        <v>33</v>
      </c>
    </row>
    <row r="278" customFormat="false" ht="15" hidden="false" customHeight="false" outlineLevel="0" collapsed="false">
      <c r="A278" s="0" t="s">
        <v>569</v>
      </c>
      <c r="B278" s="0" t="s">
        <v>570</v>
      </c>
      <c r="C278" s="0" t="s">
        <v>21</v>
      </c>
    </row>
    <row r="279" customFormat="false" ht="15" hidden="false" customHeight="false" outlineLevel="0" collapsed="false">
      <c r="A279" s="0" t="s">
        <v>571</v>
      </c>
      <c r="B279" s="0" t="s">
        <v>572</v>
      </c>
      <c r="C279" s="0" t="s">
        <v>44</v>
      </c>
    </row>
    <row r="280" customFormat="false" ht="15" hidden="false" customHeight="false" outlineLevel="0" collapsed="false">
      <c r="A280" s="0" t="s">
        <v>573</v>
      </c>
      <c r="B280" s="0" t="s">
        <v>574</v>
      </c>
      <c r="C280" s="0" t="s">
        <v>44</v>
      </c>
    </row>
    <row r="281" customFormat="false" ht="15" hidden="false" customHeight="false" outlineLevel="0" collapsed="false">
      <c r="A281" s="0" t="s">
        <v>575</v>
      </c>
      <c r="B281" s="0" t="s">
        <v>576</v>
      </c>
      <c r="C281" s="0" t="s">
        <v>21</v>
      </c>
    </row>
    <row r="282" customFormat="false" ht="15" hidden="false" customHeight="false" outlineLevel="0" collapsed="false">
      <c r="A282" s="0" t="s">
        <v>577</v>
      </c>
      <c r="B282" s="0" t="s">
        <v>578</v>
      </c>
      <c r="C282" s="0" t="s">
        <v>21</v>
      </c>
    </row>
    <row r="283" customFormat="false" ht="15" hidden="false" customHeight="false" outlineLevel="0" collapsed="false">
      <c r="A283" s="0" t="s">
        <v>579</v>
      </c>
      <c r="B283" s="0" t="s">
        <v>580</v>
      </c>
      <c r="C283" s="0" t="s">
        <v>33</v>
      </c>
    </row>
    <row r="284" customFormat="false" ht="15" hidden="false" customHeight="false" outlineLevel="0" collapsed="false">
      <c r="A284" s="0" t="s">
        <v>581</v>
      </c>
      <c r="B284" s="0" t="s">
        <v>582</v>
      </c>
      <c r="C284" s="0" t="s">
        <v>28</v>
      </c>
    </row>
    <row r="285" customFormat="false" ht="15" hidden="false" customHeight="false" outlineLevel="0" collapsed="false">
      <c r="A285" s="0" t="s">
        <v>583</v>
      </c>
      <c r="B285" s="0" t="s">
        <v>584</v>
      </c>
      <c r="C285" s="0" t="s">
        <v>41</v>
      </c>
    </row>
    <row r="286" customFormat="false" ht="15" hidden="false" customHeight="false" outlineLevel="0" collapsed="false">
      <c r="A286" s="0" t="s">
        <v>585</v>
      </c>
      <c r="B286" s="0" t="s">
        <v>586</v>
      </c>
      <c r="C286" s="0" t="s">
        <v>44</v>
      </c>
    </row>
    <row r="287" customFormat="false" ht="15" hidden="false" customHeight="false" outlineLevel="0" collapsed="false">
      <c r="A287" s="0" t="s">
        <v>587</v>
      </c>
      <c r="B287" s="0" t="s">
        <v>588</v>
      </c>
      <c r="C287" s="0" t="s">
        <v>21</v>
      </c>
    </row>
    <row r="288" customFormat="false" ht="15" hidden="false" customHeight="false" outlineLevel="0" collapsed="false">
      <c r="A288" s="0" t="s">
        <v>589</v>
      </c>
      <c r="B288" s="0" t="s">
        <v>590</v>
      </c>
      <c r="C288" s="0" t="s">
        <v>33</v>
      </c>
    </row>
    <row r="289" customFormat="false" ht="15" hidden="false" customHeight="false" outlineLevel="0" collapsed="false">
      <c r="A289" s="0" t="s">
        <v>591</v>
      </c>
      <c r="B289" s="0" t="s">
        <v>592</v>
      </c>
      <c r="C289" s="0" t="s">
        <v>38</v>
      </c>
    </row>
    <row r="290" customFormat="false" ht="15" hidden="false" customHeight="false" outlineLevel="0" collapsed="false">
      <c r="A290" s="0" t="s">
        <v>593</v>
      </c>
      <c r="B290" s="0" t="s">
        <v>594</v>
      </c>
      <c r="C290" s="0" t="s">
        <v>28</v>
      </c>
    </row>
    <row r="291" customFormat="false" ht="15" hidden="false" customHeight="false" outlineLevel="0" collapsed="false">
      <c r="A291" s="0" t="s">
        <v>595</v>
      </c>
      <c r="B291" s="0" t="s">
        <v>596</v>
      </c>
      <c r="C291" s="0" t="s">
        <v>28</v>
      </c>
    </row>
    <row r="292" customFormat="false" ht="15" hidden="false" customHeight="false" outlineLevel="0" collapsed="false">
      <c r="A292" s="0" t="s">
        <v>597</v>
      </c>
      <c r="B292" s="0" t="s">
        <v>598</v>
      </c>
      <c r="C292" s="0" t="s">
        <v>21</v>
      </c>
    </row>
    <row r="293" customFormat="false" ht="15" hidden="false" customHeight="false" outlineLevel="0" collapsed="false">
      <c r="A293" s="0" t="s">
        <v>599</v>
      </c>
      <c r="B293" s="0" t="s">
        <v>600</v>
      </c>
      <c r="C293" s="0" t="s">
        <v>38</v>
      </c>
    </row>
    <row r="294" customFormat="false" ht="15" hidden="false" customHeight="false" outlineLevel="0" collapsed="false">
      <c r="A294" s="0" t="s">
        <v>601</v>
      </c>
      <c r="B294" s="0" t="s">
        <v>602</v>
      </c>
      <c r="C294" s="0" t="s">
        <v>41</v>
      </c>
    </row>
    <row r="295" customFormat="false" ht="15" hidden="false" customHeight="false" outlineLevel="0" collapsed="false">
      <c r="A295" s="0" t="s">
        <v>603</v>
      </c>
      <c r="B295" s="0" t="s">
        <v>604</v>
      </c>
      <c r="C295" s="0" t="s">
        <v>21</v>
      </c>
    </row>
    <row r="296" customFormat="false" ht="15" hidden="false" customHeight="false" outlineLevel="0" collapsed="false">
      <c r="A296" s="0" t="s">
        <v>605</v>
      </c>
      <c r="B296" s="0" t="s">
        <v>606</v>
      </c>
      <c r="C296" s="0" t="s">
        <v>33</v>
      </c>
    </row>
    <row r="297" customFormat="false" ht="15" hidden="false" customHeight="false" outlineLevel="0" collapsed="false">
      <c r="A297" s="0" t="s">
        <v>607</v>
      </c>
      <c r="B297" s="0" t="s">
        <v>608</v>
      </c>
      <c r="C297" s="0" t="s">
        <v>44</v>
      </c>
    </row>
    <row r="298" customFormat="false" ht="15" hidden="false" customHeight="false" outlineLevel="0" collapsed="false">
      <c r="A298" s="0" t="s">
        <v>609</v>
      </c>
      <c r="B298" s="0" t="s">
        <v>610</v>
      </c>
      <c r="C298" s="0" t="s">
        <v>44</v>
      </c>
    </row>
    <row r="299" customFormat="false" ht="15" hidden="false" customHeight="false" outlineLevel="0" collapsed="false">
      <c r="A299" s="0" t="s">
        <v>611</v>
      </c>
      <c r="B299" s="0" t="s">
        <v>612</v>
      </c>
      <c r="C299" s="0" t="s">
        <v>38</v>
      </c>
    </row>
    <row r="300" customFormat="false" ht="15" hidden="false" customHeight="false" outlineLevel="0" collapsed="false">
      <c r="A300" s="0" t="s">
        <v>613</v>
      </c>
      <c r="B300" s="0" t="s">
        <v>614</v>
      </c>
      <c r="C300" s="0" t="s">
        <v>38</v>
      </c>
    </row>
    <row r="301" customFormat="false" ht="15" hidden="false" customHeight="false" outlineLevel="0" collapsed="false">
      <c r="A301" s="0" t="s">
        <v>615</v>
      </c>
      <c r="B301" s="0" t="s">
        <v>616</v>
      </c>
      <c r="C301" s="0" t="s">
        <v>44</v>
      </c>
    </row>
    <row r="302" customFormat="false" ht="15" hidden="false" customHeight="false" outlineLevel="0" collapsed="false">
      <c r="A302" s="0" t="s">
        <v>617</v>
      </c>
      <c r="B302" s="0" t="s">
        <v>618</v>
      </c>
      <c r="C302" s="0" t="s">
        <v>28</v>
      </c>
    </row>
    <row r="303" customFormat="false" ht="15" hidden="false" customHeight="false" outlineLevel="0" collapsed="false">
      <c r="A303" s="0" t="s">
        <v>619</v>
      </c>
      <c r="B303" s="0" t="s">
        <v>620</v>
      </c>
      <c r="C303" s="0" t="s">
        <v>38</v>
      </c>
    </row>
    <row r="304" customFormat="false" ht="15" hidden="false" customHeight="false" outlineLevel="0" collapsed="false">
      <c r="A304" s="0" t="s">
        <v>621</v>
      </c>
      <c r="B304" s="0" t="s">
        <v>622</v>
      </c>
      <c r="C304" s="0" t="s">
        <v>28</v>
      </c>
    </row>
    <row r="305" customFormat="false" ht="15" hidden="false" customHeight="false" outlineLevel="0" collapsed="false">
      <c r="A305" s="0" t="s">
        <v>623</v>
      </c>
      <c r="B305" s="0" t="s">
        <v>624</v>
      </c>
      <c r="C305" s="0" t="s">
        <v>21</v>
      </c>
    </row>
    <row r="306" customFormat="false" ht="15" hidden="false" customHeight="false" outlineLevel="0" collapsed="false">
      <c r="A306" s="0" t="s">
        <v>625</v>
      </c>
      <c r="B306" s="0" t="s">
        <v>626</v>
      </c>
      <c r="C306" s="0" t="s">
        <v>38</v>
      </c>
    </row>
    <row r="307" customFormat="false" ht="15" hidden="false" customHeight="false" outlineLevel="0" collapsed="false">
      <c r="A307" s="0" t="s">
        <v>627</v>
      </c>
      <c r="B307" s="0" t="s">
        <v>628</v>
      </c>
      <c r="C307" s="0" t="s">
        <v>41</v>
      </c>
    </row>
    <row r="308" customFormat="false" ht="15" hidden="false" customHeight="false" outlineLevel="0" collapsed="false">
      <c r="A308" s="0" t="s">
        <v>629</v>
      </c>
      <c r="B308" s="0" t="s">
        <v>630</v>
      </c>
      <c r="C308" s="0" t="s">
        <v>28</v>
      </c>
    </row>
    <row r="309" customFormat="false" ht="15" hidden="false" customHeight="false" outlineLevel="0" collapsed="false">
      <c r="A309" s="0" t="s">
        <v>631</v>
      </c>
      <c r="B309" s="0" t="s">
        <v>632</v>
      </c>
      <c r="C309" s="0" t="s">
        <v>28</v>
      </c>
    </row>
    <row r="310" customFormat="false" ht="15" hidden="false" customHeight="false" outlineLevel="0" collapsed="false">
      <c r="A310" s="0" t="s">
        <v>633</v>
      </c>
      <c r="B310" s="0" t="s">
        <v>634</v>
      </c>
      <c r="C310" s="0" t="s">
        <v>33</v>
      </c>
    </row>
    <row r="311" customFormat="false" ht="15" hidden="false" customHeight="false" outlineLevel="0" collapsed="false">
      <c r="A311" s="0" t="s">
        <v>635</v>
      </c>
      <c r="B311" s="0" t="s">
        <v>636</v>
      </c>
      <c r="C311" s="0" t="s">
        <v>21</v>
      </c>
    </row>
    <row r="312" customFormat="false" ht="15" hidden="false" customHeight="false" outlineLevel="0" collapsed="false">
      <c r="A312" s="0" t="s">
        <v>637</v>
      </c>
      <c r="B312" s="0" t="s">
        <v>638</v>
      </c>
      <c r="C312" s="0" t="s">
        <v>41</v>
      </c>
    </row>
    <row r="313" customFormat="false" ht="15" hidden="false" customHeight="false" outlineLevel="0" collapsed="false">
      <c r="A313" s="0" t="s">
        <v>639</v>
      </c>
      <c r="B313" s="0" t="s">
        <v>640</v>
      </c>
      <c r="C313" s="0" t="s">
        <v>38</v>
      </c>
    </row>
    <row r="314" customFormat="false" ht="15" hidden="false" customHeight="false" outlineLevel="0" collapsed="false">
      <c r="A314" s="0" t="s">
        <v>641</v>
      </c>
      <c r="B314" s="0" t="s">
        <v>642</v>
      </c>
      <c r="C314" s="0" t="s">
        <v>41</v>
      </c>
    </row>
    <row r="315" customFormat="false" ht="15" hidden="false" customHeight="false" outlineLevel="0" collapsed="false">
      <c r="A315" s="0" t="s">
        <v>643</v>
      </c>
      <c r="B315" s="0" t="s">
        <v>644</v>
      </c>
      <c r="C315" s="0" t="s">
        <v>41</v>
      </c>
    </row>
    <row r="316" customFormat="false" ht="15" hidden="false" customHeight="false" outlineLevel="0" collapsed="false">
      <c r="A316" s="0" t="s">
        <v>645</v>
      </c>
      <c r="B316" s="0" t="s">
        <v>646</v>
      </c>
      <c r="C316" s="0" t="s">
        <v>44</v>
      </c>
    </row>
    <row r="317" customFormat="false" ht="15" hidden="false" customHeight="false" outlineLevel="0" collapsed="false">
      <c r="A317" s="0" t="s">
        <v>647</v>
      </c>
      <c r="B317" s="0" t="s">
        <v>648</v>
      </c>
      <c r="C317" s="0" t="s">
        <v>21</v>
      </c>
    </row>
    <row r="318" customFormat="false" ht="15" hidden="false" customHeight="false" outlineLevel="0" collapsed="false">
      <c r="A318" s="0" t="s">
        <v>649</v>
      </c>
      <c r="B318" s="0" t="s">
        <v>650</v>
      </c>
      <c r="C318" s="0" t="s">
        <v>38</v>
      </c>
    </row>
    <row r="319" customFormat="false" ht="15" hidden="false" customHeight="false" outlineLevel="0" collapsed="false">
      <c r="A319" s="0" t="s">
        <v>651</v>
      </c>
      <c r="B319" s="0" t="s">
        <v>652</v>
      </c>
      <c r="C319" s="0" t="s">
        <v>28</v>
      </c>
    </row>
    <row r="320" customFormat="false" ht="15" hidden="false" customHeight="false" outlineLevel="0" collapsed="false">
      <c r="A320" s="0" t="s">
        <v>653</v>
      </c>
      <c r="B320" s="0" t="s">
        <v>654</v>
      </c>
      <c r="C320" s="0" t="s">
        <v>21</v>
      </c>
    </row>
    <row r="321" customFormat="false" ht="15" hidden="false" customHeight="false" outlineLevel="0" collapsed="false">
      <c r="A321" s="0" t="s">
        <v>655</v>
      </c>
      <c r="B321" s="0" t="s">
        <v>656</v>
      </c>
      <c r="C321" s="0" t="s">
        <v>44</v>
      </c>
    </row>
    <row r="322" customFormat="false" ht="15" hidden="false" customHeight="false" outlineLevel="0" collapsed="false">
      <c r="A322" s="0" t="s">
        <v>657</v>
      </c>
      <c r="B322" s="0" t="s">
        <v>658</v>
      </c>
      <c r="C322" s="0" t="s">
        <v>21</v>
      </c>
    </row>
    <row r="323" customFormat="false" ht="15" hidden="false" customHeight="false" outlineLevel="0" collapsed="false">
      <c r="A323" s="0" t="s">
        <v>659</v>
      </c>
      <c r="B323" s="0" t="s">
        <v>660</v>
      </c>
      <c r="C323" s="0" t="s">
        <v>38</v>
      </c>
    </row>
    <row r="324" customFormat="false" ht="15" hidden="false" customHeight="false" outlineLevel="0" collapsed="false">
      <c r="A324" s="0" t="s">
        <v>661</v>
      </c>
      <c r="B324" s="0" t="s">
        <v>662</v>
      </c>
      <c r="C324" s="0" t="s">
        <v>21</v>
      </c>
    </row>
    <row r="325" customFormat="false" ht="15" hidden="false" customHeight="false" outlineLevel="0" collapsed="false">
      <c r="A325" s="0" t="s">
        <v>663</v>
      </c>
      <c r="B325" s="0" t="s">
        <v>664</v>
      </c>
      <c r="C325" s="0" t="s">
        <v>44</v>
      </c>
    </row>
    <row r="326" customFormat="false" ht="15" hidden="false" customHeight="false" outlineLevel="0" collapsed="false">
      <c r="A326" s="0" t="s">
        <v>665</v>
      </c>
      <c r="B326" s="0" t="s">
        <v>666</v>
      </c>
      <c r="C326" s="0" t="s">
        <v>21</v>
      </c>
    </row>
    <row r="327" customFormat="false" ht="15" hidden="false" customHeight="false" outlineLevel="0" collapsed="false">
      <c r="A327" s="0" t="s">
        <v>667</v>
      </c>
      <c r="B327" s="0" t="s">
        <v>668</v>
      </c>
      <c r="C327" s="0" t="s">
        <v>44</v>
      </c>
    </row>
    <row r="328" customFormat="false" ht="15" hidden="false" customHeight="false" outlineLevel="0" collapsed="false">
      <c r="A328" s="0" t="s">
        <v>669</v>
      </c>
      <c r="B328" s="0" t="s">
        <v>670</v>
      </c>
      <c r="C328" s="0" t="s">
        <v>28</v>
      </c>
    </row>
    <row r="329" customFormat="false" ht="15" hidden="false" customHeight="false" outlineLevel="0" collapsed="false">
      <c r="A329" s="0" t="s">
        <v>671</v>
      </c>
      <c r="B329" s="0" t="s">
        <v>672</v>
      </c>
      <c r="C329" s="0" t="s">
        <v>38</v>
      </c>
    </row>
    <row r="330" customFormat="false" ht="15" hidden="false" customHeight="false" outlineLevel="0" collapsed="false">
      <c r="A330" s="0" t="s">
        <v>673</v>
      </c>
      <c r="B330" s="0" t="s">
        <v>674</v>
      </c>
      <c r="C330" s="0" t="s">
        <v>44</v>
      </c>
    </row>
    <row r="331" customFormat="false" ht="15" hidden="false" customHeight="false" outlineLevel="0" collapsed="false">
      <c r="A331" s="0" t="s">
        <v>675</v>
      </c>
      <c r="B331" s="0" t="s">
        <v>676</v>
      </c>
      <c r="C331" s="0" t="s">
        <v>41</v>
      </c>
    </row>
    <row r="332" customFormat="false" ht="15" hidden="false" customHeight="false" outlineLevel="0" collapsed="false">
      <c r="A332" s="0" t="s">
        <v>677</v>
      </c>
      <c r="B332" s="0" t="s">
        <v>678</v>
      </c>
      <c r="C332" s="0" t="s">
        <v>38</v>
      </c>
    </row>
    <row r="333" customFormat="false" ht="15" hidden="false" customHeight="false" outlineLevel="0" collapsed="false">
      <c r="A333" s="0" t="s">
        <v>679</v>
      </c>
      <c r="B333" s="0" t="s">
        <v>680</v>
      </c>
      <c r="C333" s="0" t="s">
        <v>21</v>
      </c>
    </row>
    <row r="334" customFormat="false" ht="15" hidden="false" customHeight="false" outlineLevel="0" collapsed="false">
      <c r="A334" s="0" t="s">
        <v>681</v>
      </c>
      <c r="B334" s="0" t="s">
        <v>682</v>
      </c>
      <c r="C334" s="0" t="s">
        <v>21</v>
      </c>
    </row>
    <row r="335" customFormat="false" ht="15" hidden="false" customHeight="false" outlineLevel="0" collapsed="false">
      <c r="A335" s="0" t="s">
        <v>683</v>
      </c>
      <c r="B335" s="0" t="s">
        <v>684</v>
      </c>
      <c r="C335" s="0" t="s">
        <v>21</v>
      </c>
    </row>
    <row r="336" customFormat="false" ht="15" hidden="false" customHeight="false" outlineLevel="0" collapsed="false">
      <c r="A336" s="0" t="s">
        <v>685</v>
      </c>
      <c r="B336" s="0" t="s">
        <v>686</v>
      </c>
      <c r="C336" s="0" t="s">
        <v>38</v>
      </c>
    </row>
    <row r="337" customFormat="false" ht="15" hidden="false" customHeight="false" outlineLevel="0" collapsed="false">
      <c r="A337" s="0" t="s">
        <v>687</v>
      </c>
      <c r="B337" s="0" t="s">
        <v>688</v>
      </c>
      <c r="C337" s="0" t="s">
        <v>38</v>
      </c>
    </row>
    <row r="338" customFormat="false" ht="15" hidden="false" customHeight="false" outlineLevel="0" collapsed="false">
      <c r="A338" s="0" t="s">
        <v>689</v>
      </c>
      <c r="B338" s="0" t="s">
        <v>690</v>
      </c>
      <c r="C338" s="0" t="s">
        <v>38</v>
      </c>
    </row>
    <row r="339" customFormat="false" ht="15" hidden="false" customHeight="false" outlineLevel="0" collapsed="false">
      <c r="A339" s="0" t="s">
        <v>691</v>
      </c>
      <c r="B339" s="0" t="s">
        <v>692</v>
      </c>
      <c r="C339" s="0" t="s">
        <v>44</v>
      </c>
    </row>
    <row r="340" customFormat="false" ht="15" hidden="false" customHeight="false" outlineLevel="0" collapsed="false">
      <c r="A340" s="0" t="s">
        <v>693</v>
      </c>
      <c r="B340" s="0" t="s">
        <v>694</v>
      </c>
      <c r="C340" s="0" t="s">
        <v>44</v>
      </c>
    </row>
    <row r="341" customFormat="false" ht="15" hidden="false" customHeight="false" outlineLevel="0" collapsed="false">
      <c r="A341" s="0" t="s">
        <v>695</v>
      </c>
      <c r="B341" s="0" t="s">
        <v>696</v>
      </c>
      <c r="C341" s="0" t="s">
        <v>28</v>
      </c>
    </row>
    <row r="342" customFormat="false" ht="15" hidden="false" customHeight="false" outlineLevel="0" collapsed="false">
      <c r="A342" s="0" t="s">
        <v>697</v>
      </c>
      <c r="B342" s="0" t="s">
        <v>698</v>
      </c>
      <c r="C342" s="0" t="s">
        <v>33</v>
      </c>
    </row>
    <row r="343" customFormat="false" ht="15" hidden="false" customHeight="false" outlineLevel="0" collapsed="false">
      <c r="A343" s="0" t="s">
        <v>699</v>
      </c>
      <c r="B343" s="0" t="s">
        <v>700</v>
      </c>
      <c r="C343" s="0" t="s">
        <v>21</v>
      </c>
    </row>
    <row r="344" customFormat="false" ht="15" hidden="false" customHeight="false" outlineLevel="0" collapsed="false">
      <c r="A344" s="0" t="s">
        <v>701</v>
      </c>
      <c r="B344" s="0" t="s">
        <v>702</v>
      </c>
      <c r="C344" s="0" t="s">
        <v>38</v>
      </c>
    </row>
    <row r="345" customFormat="false" ht="15" hidden="false" customHeight="false" outlineLevel="0" collapsed="false">
      <c r="A345" s="0" t="s">
        <v>703</v>
      </c>
      <c r="B345" s="0" t="s">
        <v>704</v>
      </c>
      <c r="C345" s="0" t="s">
        <v>21</v>
      </c>
    </row>
    <row r="346" customFormat="false" ht="15" hidden="false" customHeight="false" outlineLevel="0" collapsed="false">
      <c r="A346" s="0" t="s">
        <v>705</v>
      </c>
      <c r="B346" s="0" t="s">
        <v>706</v>
      </c>
      <c r="C346" s="0" t="s">
        <v>41</v>
      </c>
    </row>
    <row r="347" customFormat="false" ht="15" hidden="false" customHeight="false" outlineLevel="0" collapsed="false">
      <c r="A347" s="0" t="s">
        <v>707</v>
      </c>
      <c r="B347" s="0" t="s">
        <v>708</v>
      </c>
      <c r="C347" s="0" t="s">
        <v>33</v>
      </c>
    </row>
    <row r="348" customFormat="false" ht="15" hidden="false" customHeight="false" outlineLevel="0" collapsed="false">
      <c r="A348" s="0" t="s">
        <v>709</v>
      </c>
      <c r="B348" s="0" t="s">
        <v>710</v>
      </c>
      <c r="C348" s="0" t="s">
        <v>38</v>
      </c>
    </row>
    <row r="349" customFormat="false" ht="15" hidden="false" customHeight="false" outlineLevel="0" collapsed="false">
      <c r="A349" s="0" t="s">
        <v>711</v>
      </c>
      <c r="B349" s="0" t="s">
        <v>712</v>
      </c>
      <c r="C349" s="0" t="s">
        <v>21</v>
      </c>
    </row>
    <row r="350" customFormat="false" ht="15" hidden="false" customHeight="false" outlineLevel="0" collapsed="false">
      <c r="A350" s="0" t="s">
        <v>713</v>
      </c>
      <c r="B350" s="0" t="s">
        <v>714</v>
      </c>
      <c r="C350" s="0" t="s">
        <v>41</v>
      </c>
    </row>
    <row r="351" customFormat="false" ht="15" hidden="false" customHeight="false" outlineLevel="0" collapsed="false">
      <c r="A351" s="0" t="s">
        <v>715</v>
      </c>
      <c r="B351" s="0" t="s">
        <v>716</v>
      </c>
      <c r="C351" s="0" t="s">
        <v>44</v>
      </c>
    </row>
    <row r="352" customFormat="false" ht="15" hidden="false" customHeight="false" outlineLevel="0" collapsed="false">
      <c r="A352" s="0" t="s">
        <v>717</v>
      </c>
      <c r="B352" s="0" t="s">
        <v>718</v>
      </c>
      <c r="C352" s="0" t="s">
        <v>41</v>
      </c>
    </row>
    <row r="353" customFormat="false" ht="15" hidden="false" customHeight="false" outlineLevel="0" collapsed="false">
      <c r="A353" s="0" t="s">
        <v>719</v>
      </c>
      <c r="B353" s="0" t="s">
        <v>720</v>
      </c>
      <c r="C353" s="0" t="s">
        <v>28</v>
      </c>
    </row>
    <row r="354" customFormat="false" ht="15" hidden="false" customHeight="false" outlineLevel="0" collapsed="false">
      <c r="A354" s="0" t="s">
        <v>721</v>
      </c>
      <c r="B354" s="0" t="s">
        <v>722</v>
      </c>
      <c r="C354" s="0" t="s">
        <v>44</v>
      </c>
    </row>
    <row r="355" customFormat="false" ht="15" hidden="false" customHeight="false" outlineLevel="0" collapsed="false">
      <c r="A355" s="0" t="s">
        <v>723</v>
      </c>
      <c r="B355" s="0" t="s">
        <v>724</v>
      </c>
      <c r="C355" s="0" t="s">
        <v>33</v>
      </c>
    </row>
    <row r="356" customFormat="false" ht="15" hidden="false" customHeight="false" outlineLevel="0" collapsed="false">
      <c r="A356" s="0" t="s">
        <v>725</v>
      </c>
      <c r="B356" s="0" t="s">
        <v>726</v>
      </c>
      <c r="C356" s="0" t="s">
        <v>41</v>
      </c>
    </row>
    <row r="357" customFormat="false" ht="15" hidden="false" customHeight="false" outlineLevel="0" collapsed="false">
      <c r="A357" s="0" t="s">
        <v>727</v>
      </c>
      <c r="B357" s="0" t="s">
        <v>728</v>
      </c>
      <c r="C357" s="0" t="s">
        <v>38</v>
      </c>
    </row>
    <row r="358" customFormat="false" ht="15" hidden="false" customHeight="false" outlineLevel="0" collapsed="false">
      <c r="A358" s="0" t="s">
        <v>729</v>
      </c>
      <c r="B358" s="0" t="s">
        <v>144</v>
      </c>
      <c r="C358" s="0" t="s">
        <v>38</v>
      </c>
    </row>
    <row r="359" customFormat="false" ht="15" hidden="false" customHeight="false" outlineLevel="0" collapsed="false">
      <c r="A359" s="0" t="s">
        <v>730</v>
      </c>
      <c r="B359" s="0" t="s">
        <v>731</v>
      </c>
      <c r="C359" s="0" t="s">
        <v>33</v>
      </c>
    </row>
    <row r="360" customFormat="false" ht="15" hidden="false" customHeight="false" outlineLevel="0" collapsed="false">
      <c r="A360" s="0" t="s">
        <v>732</v>
      </c>
      <c r="B360" s="0" t="s">
        <v>733</v>
      </c>
      <c r="C360" s="0" t="s">
        <v>41</v>
      </c>
    </row>
    <row r="361" customFormat="false" ht="15" hidden="false" customHeight="false" outlineLevel="0" collapsed="false">
      <c r="A361" s="0" t="s">
        <v>734</v>
      </c>
      <c r="B361" s="0" t="s">
        <v>735</v>
      </c>
      <c r="C361" s="0" t="s">
        <v>21</v>
      </c>
    </row>
    <row r="362" customFormat="false" ht="15" hidden="false" customHeight="false" outlineLevel="0" collapsed="false">
      <c r="A362" s="0" t="s">
        <v>736</v>
      </c>
      <c r="B362" s="0" t="s">
        <v>737</v>
      </c>
      <c r="C362" s="0" t="s">
        <v>33</v>
      </c>
    </row>
    <row r="363" customFormat="false" ht="15" hidden="false" customHeight="false" outlineLevel="0" collapsed="false">
      <c r="A363" s="0" t="s">
        <v>738</v>
      </c>
      <c r="B363" s="0" t="s">
        <v>739</v>
      </c>
      <c r="C363" s="0" t="s">
        <v>44</v>
      </c>
    </row>
    <row r="364" customFormat="false" ht="15" hidden="false" customHeight="false" outlineLevel="0" collapsed="false">
      <c r="A364" s="0" t="s">
        <v>740</v>
      </c>
      <c r="B364" s="0" t="s">
        <v>741</v>
      </c>
      <c r="C364" s="0" t="s">
        <v>28</v>
      </c>
    </row>
    <row r="365" customFormat="false" ht="15" hidden="false" customHeight="false" outlineLevel="0" collapsed="false">
      <c r="A365" s="0" t="s">
        <v>742</v>
      </c>
      <c r="B365" s="0" t="s">
        <v>743</v>
      </c>
      <c r="C365" s="0" t="s">
        <v>38</v>
      </c>
    </row>
    <row r="366" customFormat="false" ht="15" hidden="false" customHeight="false" outlineLevel="0" collapsed="false">
      <c r="A366" s="0" t="s">
        <v>744</v>
      </c>
      <c r="B366" s="0" t="s">
        <v>745</v>
      </c>
      <c r="C366" s="0" t="s">
        <v>28</v>
      </c>
    </row>
    <row r="367" customFormat="false" ht="15" hidden="false" customHeight="false" outlineLevel="0" collapsed="false">
      <c r="A367" s="0" t="s">
        <v>746</v>
      </c>
      <c r="B367" s="0" t="s">
        <v>747</v>
      </c>
      <c r="C367" s="0" t="s">
        <v>28</v>
      </c>
    </row>
    <row r="368" customFormat="false" ht="15" hidden="false" customHeight="false" outlineLevel="0" collapsed="false">
      <c r="A368" s="0" t="s">
        <v>748</v>
      </c>
      <c r="B368" s="0" t="s">
        <v>749</v>
      </c>
      <c r="C368" s="0" t="s">
        <v>28</v>
      </c>
    </row>
    <row r="369" customFormat="false" ht="15" hidden="false" customHeight="false" outlineLevel="0" collapsed="false">
      <c r="A369" s="0" t="s">
        <v>750</v>
      </c>
      <c r="B369" s="0" t="s">
        <v>751</v>
      </c>
      <c r="C369" s="0" t="s">
        <v>33</v>
      </c>
    </row>
    <row r="370" customFormat="false" ht="15" hidden="false" customHeight="false" outlineLevel="0" collapsed="false">
      <c r="A370" s="0" t="s">
        <v>752</v>
      </c>
      <c r="B370" s="0" t="s">
        <v>753</v>
      </c>
      <c r="C370" s="0" t="s">
        <v>33</v>
      </c>
    </row>
    <row r="371" customFormat="false" ht="15" hidden="false" customHeight="false" outlineLevel="0" collapsed="false">
      <c r="A371" s="0" t="s">
        <v>754</v>
      </c>
      <c r="B371" s="0" t="s">
        <v>755</v>
      </c>
      <c r="C371" s="0" t="s">
        <v>33</v>
      </c>
    </row>
    <row r="372" customFormat="false" ht="15" hidden="false" customHeight="false" outlineLevel="0" collapsed="false">
      <c r="A372" s="0" t="s">
        <v>756</v>
      </c>
      <c r="B372" s="0" t="s">
        <v>757</v>
      </c>
      <c r="C372" s="0" t="s">
        <v>21</v>
      </c>
    </row>
    <row r="373" customFormat="false" ht="15" hidden="false" customHeight="false" outlineLevel="0" collapsed="false">
      <c r="A373" s="0" t="s">
        <v>758</v>
      </c>
      <c r="B373" s="0" t="s">
        <v>759</v>
      </c>
      <c r="C373" s="0" t="s">
        <v>41</v>
      </c>
    </row>
    <row r="374" customFormat="false" ht="15" hidden="false" customHeight="false" outlineLevel="0" collapsed="false">
      <c r="A374" s="0" t="s">
        <v>760</v>
      </c>
      <c r="B374" s="0" t="s">
        <v>761</v>
      </c>
      <c r="C374" s="0" t="s">
        <v>41</v>
      </c>
    </row>
    <row r="375" customFormat="false" ht="15" hidden="false" customHeight="false" outlineLevel="0" collapsed="false">
      <c r="A375" s="0" t="s">
        <v>762</v>
      </c>
      <c r="B375" s="0" t="s">
        <v>763</v>
      </c>
      <c r="C375" s="0" t="s">
        <v>38</v>
      </c>
    </row>
    <row r="376" customFormat="false" ht="15" hidden="false" customHeight="false" outlineLevel="0" collapsed="false">
      <c r="A376" s="0" t="s">
        <v>764</v>
      </c>
      <c r="B376" s="0" t="s">
        <v>424</v>
      </c>
      <c r="C376" s="0" t="s">
        <v>28</v>
      </c>
    </row>
    <row r="377" customFormat="false" ht="15" hidden="false" customHeight="false" outlineLevel="0" collapsed="false">
      <c r="A377" s="0" t="s">
        <v>765</v>
      </c>
      <c r="B377" s="0" t="s">
        <v>766</v>
      </c>
      <c r="C377" s="0" t="s">
        <v>41</v>
      </c>
    </row>
    <row r="378" customFormat="false" ht="15" hidden="false" customHeight="false" outlineLevel="0" collapsed="false">
      <c r="A378" s="0" t="s">
        <v>767</v>
      </c>
      <c r="B378" s="0" t="s">
        <v>768</v>
      </c>
      <c r="C378" s="0" t="s">
        <v>44</v>
      </c>
    </row>
    <row r="379" customFormat="false" ht="15" hidden="false" customHeight="false" outlineLevel="0" collapsed="false">
      <c r="A379" s="0" t="s">
        <v>769</v>
      </c>
      <c r="B379" s="0" t="s">
        <v>770</v>
      </c>
      <c r="C379" s="0" t="s">
        <v>21</v>
      </c>
    </row>
    <row r="380" customFormat="false" ht="15" hidden="false" customHeight="false" outlineLevel="0" collapsed="false">
      <c r="A380" s="0" t="s">
        <v>771</v>
      </c>
      <c r="B380" s="0" t="s">
        <v>772</v>
      </c>
      <c r="C380" s="0" t="s">
        <v>21</v>
      </c>
    </row>
    <row r="381" customFormat="false" ht="15" hidden="false" customHeight="false" outlineLevel="0" collapsed="false">
      <c r="A381" s="0" t="s">
        <v>773</v>
      </c>
      <c r="B381" s="0" t="s">
        <v>774</v>
      </c>
      <c r="C381" s="0" t="s">
        <v>41</v>
      </c>
    </row>
    <row r="382" customFormat="false" ht="15" hidden="false" customHeight="false" outlineLevel="0" collapsed="false">
      <c r="A382" s="0" t="s">
        <v>775</v>
      </c>
      <c r="B382" s="0" t="s">
        <v>776</v>
      </c>
      <c r="C382" s="0" t="s">
        <v>33</v>
      </c>
    </row>
    <row r="383" customFormat="false" ht="15" hidden="false" customHeight="false" outlineLevel="0" collapsed="false">
      <c r="A383" s="0" t="s">
        <v>777</v>
      </c>
      <c r="B383" s="0" t="s">
        <v>778</v>
      </c>
      <c r="C383" s="0" t="s">
        <v>33</v>
      </c>
    </row>
    <row r="384" customFormat="false" ht="15" hidden="false" customHeight="false" outlineLevel="0" collapsed="false">
      <c r="A384" s="0" t="s">
        <v>779</v>
      </c>
      <c r="B384" s="0" t="s">
        <v>780</v>
      </c>
      <c r="C384" s="0" t="s">
        <v>41</v>
      </c>
    </row>
    <row r="385" customFormat="false" ht="15" hidden="false" customHeight="false" outlineLevel="0" collapsed="false">
      <c r="A385" s="0" t="s">
        <v>781</v>
      </c>
      <c r="B385" s="0" t="s">
        <v>782</v>
      </c>
      <c r="C385" s="0" t="s">
        <v>28</v>
      </c>
    </row>
    <row r="386" customFormat="false" ht="15" hidden="false" customHeight="false" outlineLevel="0" collapsed="false">
      <c r="A386" s="0" t="s">
        <v>783</v>
      </c>
      <c r="B386" s="0" t="s">
        <v>784</v>
      </c>
      <c r="C386" s="0" t="s">
        <v>38</v>
      </c>
    </row>
    <row r="387" customFormat="false" ht="15" hidden="false" customHeight="false" outlineLevel="0" collapsed="false">
      <c r="A387" s="0" t="s">
        <v>785</v>
      </c>
      <c r="B387" s="0" t="s">
        <v>786</v>
      </c>
      <c r="C387" s="0" t="s">
        <v>44</v>
      </c>
    </row>
    <row r="388" customFormat="false" ht="15" hidden="false" customHeight="false" outlineLevel="0" collapsed="false">
      <c r="A388" s="0" t="s">
        <v>787</v>
      </c>
      <c r="B388" s="0" t="s">
        <v>788</v>
      </c>
      <c r="C388" s="0" t="s">
        <v>21</v>
      </c>
    </row>
    <row r="389" customFormat="false" ht="15" hidden="false" customHeight="false" outlineLevel="0" collapsed="false">
      <c r="A389" s="0" t="s">
        <v>789</v>
      </c>
      <c r="B389" s="0" t="s">
        <v>790</v>
      </c>
      <c r="C389" s="0" t="s">
        <v>28</v>
      </c>
    </row>
    <row r="390" customFormat="false" ht="15" hidden="false" customHeight="false" outlineLevel="0" collapsed="false">
      <c r="A390" s="0" t="s">
        <v>791</v>
      </c>
      <c r="B390" s="0" t="s">
        <v>792</v>
      </c>
      <c r="C390" s="0" t="s">
        <v>38</v>
      </c>
    </row>
    <row r="391" customFormat="false" ht="15" hidden="false" customHeight="false" outlineLevel="0" collapsed="false">
      <c r="A391" s="0" t="s">
        <v>793</v>
      </c>
      <c r="B391" s="0" t="s">
        <v>794</v>
      </c>
      <c r="C391" s="0" t="s">
        <v>38</v>
      </c>
    </row>
    <row r="392" customFormat="false" ht="15" hidden="false" customHeight="false" outlineLevel="0" collapsed="false">
      <c r="A392" s="0" t="s">
        <v>795</v>
      </c>
      <c r="B392" s="0" t="s">
        <v>796</v>
      </c>
      <c r="C392" s="0" t="s">
        <v>44</v>
      </c>
    </row>
    <row r="393" customFormat="false" ht="15" hidden="false" customHeight="false" outlineLevel="0" collapsed="false">
      <c r="A393" s="0" t="s">
        <v>797</v>
      </c>
      <c r="B393" s="0" t="s">
        <v>440</v>
      </c>
      <c r="C393" s="0" t="s">
        <v>33</v>
      </c>
    </row>
    <row r="394" customFormat="false" ht="15" hidden="false" customHeight="false" outlineLevel="0" collapsed="false">
      <c r="A394" s="0" t="s">
        <v>798</v>
      </c>
      <c r="B394" s="0" t="s">
        <v>799</v>
      </c>
      <c r="C394" s="0" t="s">
        <v>33</v>
      </c>
    </row>
    <row r="395" customFormat="false" ht="15" hidden="false" customHeight="false" outlineLevel="0" collapsed="false">
      <c r="A395" s="0" t="s">
        <v>800</v>
      </c>
      <c r="B395" s="0" t="s">
        <v>801</v>
      </c>
      <c r="C395" s="0" t="s">
        <v>41</v>
      </c>
    </row>
    <row r="396" customFormat="false" ht="15" hidden="false" customHeight="false" outlineLevel="0" collapsed="false">
      <c r="A396" s="0" t="s">
        <v>802</v>
      </c>
      <c r="B396" s="0" t="s">
        <v>803</v>
      </c>
      <c r="C396" s="0" t="s">
        <v>41</v>
      </c>
    </row>
    <row r="397" customFormat="false" ht="15" hidden="false" customHeight="false" outlineLevel="0" collapsed="false">
      <c r="A397" s="0" t="s">
        <v>804</v>
      </c>
      <c r="B397" s="0" t="s">
        <v>805</v>
      </c>
      <c r="C397" s="0" t="s">
        <v>41</v>
      </c>
    </row>
    <row r="398" customFormat="false" ht="15" hidden="false" customHeight="false" outlineLevel="0" collapsed="false">
      <c r="A398" s="0" t="s">
        <v>806</v>
      </c>
      <c r="B398" s="0" t="s">
        <v>807</v>
      </c>
      <c r="C398" s="0" t="s">
        <v>38</v>
      </c>
    </row>
    <row r="399" customFormat="false" ht="15" hidden="false" customHeight="false" outlineLevel="0" collapsed="false">
      <c r="A399" s="0" t="s">
        <v>808</v>
      </c>
      <c r="B399" s="0" t="s">
        <v>809</v>
      </c>
      <c r="C399" s="0" t="s">
        <v>38</v>
      </c>
    </row>
    <row r="400" customFormat="false" ht="15" hidden="false" customHeight="false" outlineLevel="0" collapsed="false">
      <c r="A400" s="0" t="s">
        <v>810</v>
      </c>
      <c r="B400" s="0" t="s">
        <v>811</v>
      </c>
      <c r="C400" s="0" t="s">
        <v>38</v>
      </c>
    </row>
    <row r="401" customFormat="false" ht="15" hidden="false" customHeight="false" outlineLevel="0" collapsed="false">
      <c r="A401" s="0" t="s">
        <v>812</v>
      </c>
      <c r="B401" s="0" t="s">
        <v>813</v>
      </c>
      <c r="C401" s="0" t="s">
        <v>21</v>
      </c>
    </row>
    <row r="402" customFormat="false" ht="15" hidden="false" customHeight="false" outlineLevel="0" collapsed="false">
      <c r="A402" s="0" t="s">
        <v>814</v>
      </c>
      <c r="B402" s="0" t="s">
        <v>815</v>
      </c>
      <c r="C402" s="0" t="s">
        <v>38</v>
      </c>
    </row>
    <row r="403" customFormat="false" ht="15" hidden="false" customHeight="false" outlineLevel="0" collapsed="false">
      <c r="A403" s="0" t="s">
        <v>816</v>
      </c>
      <c r="B403" s="0" t="s">
        <v>817</v>
      </c>
      <c r="C403" s="0" t="s">
        <v>44</v>
      </c>
    </row>
    <row r="404" customFormat="false" ht="15" hidden="false" customHeight="false" outlineLevel="0" collapsed="false">
      <c r="A404" s="0" t="s">
        <v>818</v>
      </c>
      <c r="B404" s="0" t="s">
        <v>819</v>
      </c>
      <c r="C404" s="0" t="s">
        <v>38</v>
      </c>
    </row>
    <row r="405" customFormat="false" ht="15" hidden="false" customHeight="false" outlineLevel="0" collapsed="false">
      <c r="A405" s="0" t="s">
        <v>820</v>
      </c>
      <c r="B405" s="0" t="s">
        <v>821</v>
      </c>
      <c r="C405" s="0" t="s">
        <v>28</v>
      </c>
    </row>
    <row r="406" customFormat="false" ht="15" hidden="false" customHeight="false" outlineLevel="0" collapsed="false">
      <c r="A406" s="0" t="s">
        <v>822</v>
      </c>
      <c r="B406" s="0" t="s">
        <v>486</v>
      </c>
      <c r="C406" s="0" t="s">
        <v>33</v>
      </c>
    </row>
    <row r="407" customFormat="false" ht="15" hidden="false" customHeight="false" outlineLevel="0" collapsed="false">
      <c r="A407" s="0" t="s">
        <v>823</v>
      </c>
      <c r="B407" s="0" t="s">
        <v>824</v>
      </c>
      <c r="C407" s="0" t="s">
        <v>44</v>
      </c>
    </row>
    <row r="408" customFormat="false" ht="15" hidden="false" customHeight="false" outlineLevel="0" collapsed="false">
      <c r="A408" s="0" t="s">
        <v>825</v>
      </c>
      <c r="B408" s="0" t="s">
        <v>826</v>
      </c>
      <c r="C408" s="0" t="s">
        <v>21</v>
      </c>
    </row>
    <row r="409" customFormat="false" ht="15" hidden="false" customHeight="false" outlineLevel="0" collapsed="false">
      <c r="A409" s="0" t="s">
        <v>827</v>
      </c>
      <c r="B409" s="0" t="s">
        <v>828</v>
      </c>
      <c r="C409" s="0" t="s">
        <v>28</v>
      </c>
    </row>
    <row r="410" customFormat="false" ht="15" hidden="false" customHeight="false" outlineLevel="0" collapsed="false">
      <c r="A410" s="0" t="s">
        <v>829</v>
      </c>
      <c r="B410" s="0" t="s">
        <v>830</v>
      </c>
      <c r="C410" s="0" t="s">
        <v>44</v>
      </c>
    </row>
    <row r="411" customFormat="false" ht="15" hidden="false" customHeight="false" outlineLevel="0" collapsed="false">
      <c r="A411" s="0" t="s">
        <v>831</v>
      </c>
      <c r="B411" s="0" t="s">
        <v>832</v>
      </c>
      <c r="C411" s="0" t="s">
        <v>21</v>
      </c>
    </row>
    <row r="412" customFormat="false" ht="15" hidden="false" customHeight="false" outlineLevel="0" collapsed="false">
      <c r="A412" s="0" t="s">
        <v>833</v>
      </c>
      <c r="B412" s="0" t="s">
        <v>834</v>
      </c>
      <c r="C412" s="0" t="s">
        <v>28</v>
      </c>
    </row>
    <row r="413" customFormat="false" ht="15" hidden="false" customHeight="false" outlineLevel="0" collapsed="false">
      <c r="A413" s="0" t="s">
        <v>835</v>
      </c>
      <c r="B413" s="0" t="s">
        <v>836</v>
      </c>
      <c r="C413" s="0" t="s">
        <v>21</v>
      </c>
    </row>
    <row r="414" customFormat="false" ht="15" hidden="false" customHeight="false" outlineLevel="0" collapsed="false">
      <c r="A414" s="0" t="s">
        <v>837</v>
      </c>
      <c r="B414" s="0" t="s">
        <v>374</v>
      </c>
      <c r="C414" s="0" t="s">
        <v>44</v>
      </c>
    </row>
    <row r="415" customFormat="false" ht="15" hidden="false" customHeight="false" outlineLevel="0" collapsed="false">
      <c r="A415" s="0" t="s">
        <v>838</v>
      </c>
      <c r="B415" s="0" t="s">
        <v>839</v>
      </c>
      <c r="C415" s="0" t="s">
        <v>38</v>
      </c>
    </row>
    <row r="416" customFormat="false" ht="15" hidden="false" customHeight="false" outlineLevel="0" collapsed="false">
      <c r="A416" s="0" t="s">
        <v>840</v>
      </c>
      <c r="B416" s="0" t="s">
        <v>841</v>
      </c>
      <c r="C416" s="0" t="s">
        <v>28</v>
      </c>
    </row>
    <row r="417" customFormat="false" ht="15" hidden="false" customHeight="false" outlineLevel="0" collapsed="false">
      <c r="A417" s="0" t="s">
        <v>842</v>
      </c>
      <c r="B417" s="0" t="s">
        <v>843</v>
      </c>
      <c r="C417" s="0" t="s">
        <v>38</v>
      </c>
    </row>
    <row r="418" customFormat="false" ht="15" hidden="false" customHeight="false" outlineLevel="0" collapsed="false">
      <c r="A418" s="0" t="s">
        <v>844</v>
      </c>
      <c r="B418" s="0" t="s">
        <v>845</v>
      </c>
      <c r="C418" s="0" t="s">
        <v>41</v>
      </c>
    </row>
    <row r="419" customFormat="false" ht="15" hidden="false" customHeight="false" outlineLevel="0" collapsed="false">
      <c r="A419" s="0" t="s">
        <v>846</v>
      </c>
      <c r="B419" s="0" t="s">
        <v>847</v>
      </c>
      <c r="C419" s="0" t="s">
        <v>33</v>
      </c>
    </row>
    <row r="420" customFormat="false" ht="15" hidden="false" customHeight="false" outlineLevel="0" collapsed="false">
      <c r="A420" s="0" t="s">
        <v>848</v>
      </c>
      <c r="B420" s="0" t="s">
        <v>849</v>
      </c>
      <c r="C420" s="0" t="s">
        <v>33</v>
      </c>
    </row>
    <row r="421" customFormat="false" ht="15" hidden="false" customHeight="false" outlineLevel="0" collapsed="false">
      <c r="A421" s="0" t="s">
        <v>850</v>
      </c>
      <c r="B421" s="0" t="s">
        <v>851</v>
      </c>
      <c r="C421" s="0" t="s">
        <v>38</v>
      </c>
    </row>
    <row r="422" customFormat="false" ht="15" hidden="false" customHeight="false" outlineLevel="0" collapsed="false">
      <c r="A422" s="0" t="s">
        <v>852</v>
      </c>
      <c r="B422" s="0" t="s">
        <v>853</v>
      </c>
      <c r="C422" s="0" t="s">
        <v>41</v>
      </c>
    </row>
    <row r="423" customFormat="false" ht="15" hidden="false" customHeight="false" outlineLevel="0" collapsed="false">
      <c r="A423" s="0" t="s">
        <v>854</v>
      </c>
      <c r="B423" s="0" t="s">
        <v>855</v>
      </c>
      <c r="C423" s="0" t="s">
        <v>38</v>
      </c>
    </row>
    <row r="424" customFormat="false" ht="15" hidden="false" customHeight="false" outlineLevel="0" collapsed="false">
      <c r="A424" s="0" t="s">
        <v>856</v>
      </c>
      <c r="B424" s="0" t="s">
        <v>857</v>
      </c>
      <c r="C424" s="0" t="s">
        <v>28</v>
      </c>
    </row>
    <row r="425" customFormat="false" ht="15" hidden="false" customHeight="false" outlineLevel="0" collapsed="false">
      <c r="A425" s="0" t="s">
        <v>858</v>
      </c>
      <c r="B425" s="0" t="s">
        <v>859</v>
      </c>
      <c r="C425" s="0" t="s">
        <v>44</v>
      </c>
    </row>
    <row r="426" customFormat="false" ht="15" hidden="false" customHeight="false" outlineLevel="0" collapsed="false">
      <c r="A426" s="0" t="s">
        <v>860</v>
      </c>
      <c r="B426" s="0" t="s">
        <v>861</v>
      </c>
      <c r="C426" s="0" t="s">
        <v>44</v>
      </c>
    </row>
    <row r="427" customFormat="false" ht="15" hidden="false" customHeight="false" outlineLevel="0" collapsed="false">
      <c r="A427" s="0" t="s">
        <v>862</v>
      </c>
      <c r="B427" s="0" t="s">
        <v>863</v>
      </c>
      <c r="C427" s="0" t="s">
        <v>33</v>
      </c>
    </row>
    <row r="428" customFormat="false" ht="15" hidden="false" customHeight="false" outlineLevel="0" collapsed="false">
      <c r="A428" s="0" t="s">
        <v>864</v>
      </c>
      <c r="B428" s="0" t="s">
        <v>865</v>
      </c>
      <c r="C428" s="0" t="s">
        <v>28</v>
      </c>
    </row>
    <row r="429" customFormat="false" ht="15" hidden="false" customHeight="false" outlineLevel="0" collapsed="false">
      <c r="A429" s="0" t="s">
        <v>866</v>
      </c>
      <c r="B429" s="0" t="s">
        <v>867</v>
      </c>
      <c r="C429" s="0" t="s">
        <v>21</v>
      </c>
    </row>
    <row r="430" customFormat="false" ht="15" hidden="false" customHeight="false" outlineLevel="0" collapsed="false">
      <c r="A430" s="0" t="s">
        <v>868</v>
      </c>
      <c r="B430" s="0" t="s">
        <v>869</v>
      </c>
      <c r="C430" s="0" t="s">
        <v>33</v>
      </c>
    </row>
    <row r="431" customFormat="false" ht="15" hidden="false" customHeight="false" outlineLevel="0" collapsed="false">
      <c r="A431" s="0" t="s">
        <v>870</v>
      </c>
      <c r="B431" s="0" t="s">
        <v>871</v>
      </c>
      <c r="C431" s="0" t="s">
        <v>21</v>
      </c>
    </row>
    <row r="432" customFormat="false" ht="15" hidden="false" customHeight="false" outlineLevel="0" collapsed="false">
      <c r="A432" s="0" t="s">
        <v>872</v>
      </c>
      <c r="B432" s="0" t="s">
        <v>873</v>
      </c>
      <c r="C432" s="0" t="s">
        <v>28</v>
      </c>
    </row>
    <row r="433" customFormat="false" ht="15" hidden="false" customHeight="false" outlineLevel="0" collapsed="false">
      <c r="A433" s="0" t="s">
        <v>874</v>
      </c>
      <c r="B433" s="0" t="s">
        <v>875</v>
      </c>
      <c r="C433" s="0" t="s">
        <v>41</v>
      </c>
    </row>
    <row r="434" customFormat="false" ht="15" hidden="false" customHeight="false" outlineLevel="0" collapsed="false">
      <c r="A434" s="0" t="s">
        <v>876</v>
      </c>
      <c r="B434" s="0" t="s">
        <v>877</v>
      </c>
      <c r="C434" s="0" t="s">
        <v>21</v>
      </c>
    </row>
    <row r="435" customFormat="false" ht="15" hidden="false" customHeight="false" outlineLevel="0" collapsed="false">
      <c r="A435" s="0" t="s">
        <v>878</v>
      </c>
      <c r="B435" s="0" t="s">
        <v>879</v>
      </c>
      <c r="C435" s="0" t="s">
        <v>28</v>
      </c>
    </row>
    <row r="436" customFormat="false" ht="15" hidden="false" customHeight="false" outlineLevel="0" collapsed="false">
      <c r="A436" s="0" t="s">
        <v>880</v>
      </c>
      <c r="B436" s="0" t="s">
        <v>881</v>
      </c>
      <c r="C436" s="0" t="s">
        <v>44</v>
      </c>
    </row>
    <row r="437" customFormat="false" ht="15" hidden="false" customHeight="false" outlineLevel="0" collapsed="false">
      <c r="A437" s="0" t="s">
        <v>882</v>
      </c>
      <c r="B437" s="0" t="s">
        <v>883</v>
      </c>
      <c r="C437" s="0" t="s">
        <v>28</v>
      </c>
    </row>
    <row r="438" customFormat="false" ht="15" hidden="false" customHeight="false" outlineLevel="0" collapsed="false">
      <c r="A438" s="0" t="s">
        <v>884</v>
      </c>
      <c r="B438" s="0" t="s">
        <v>885</v>
      </c>
      <c r="C438" s="0" t="s">
        <v>21</v>
      </c>
    </row>
    <row r="439" customFormat="false" ht="15" hidden="false" customHeight="false" outlineLevel="0" collapsed="false">
      <c r="A439" s="0" t="s">
        <v>886</v>
      </c>
      <c r="B439" s="0" t="s">
        <v>887</v>
      </c>
      <c r="C439" s="0" t="s">
        <v>21</v>
      </c>
    </row>
    <row r="440" customFormat="false" ht="15" hidden="false" customHeight="false" outlineLevel="0" collapsed="false">
      <c r="A440" s="0" t="s">
        <v>888</v>
      </c>
      <c r="B440" s="0" t="s">
        <v>566</v>
      </c>
      <c r="C440" s="0" t="s">
        <v>28</v>
      </c>
    </row>
    <row r="441" customFormat="false" ht="15" hidden="false" customHeight="false" outlineLevel="0" collapsed="false">
      <c r="A441" s="0" t="s">
        <v>889</v>
      </c>
      <c r="B441" s="0" t="s">
        <v>890</v>
      </c>
      <c r="C441" s="0" t="s">
        <v>28</v>
      </c>
    </row>
    <row r="442" customFormat="false" ht="15" hidden="false" customHeight="false" outlineLevel="0" collapsed="false">
      <c r="A442" s="0" t="s">
        <v>891</v>
      </c>
      <c r="B442" s="0" t="s">
        <v>892</v>
      </c>
      <c r="C442" s="0" t="s">
        <v>33</v>
      </c>
    </row>
    <row r="443" customFormat="false" ht="15" hidden="false" customHeight="false" outlineLevel="0" collapsed="false">
      <c r="A443" s="0" t="s">
        <v>893</v>
      </c>
      <c r="B443" s="0" t="s">
        <v>894</v>
      </c>
      <c r="C443" s="0" t="s">
        <v>21</v>
      </c>
    </row>
    <row r="444" customFormat="false" ht="15" hidden="false" customHeight="false" outlineLevel="0" collapsed="false">
      <c r="A444" s="0" t="s">
        <v>895</v>
      </c>
      <c r="B444" s="0" t="s">
        <v>896</v>
      </c>
      <c r="C444" s="0" t="s">
        <v>41</v>
      </c>
    </row>
    <row r="445" customFormat="false" ht="15" hidden="false" customHeight="false" outlineLevel="0" collapsed="false">
      <c r="A445" s="0" t="s">
        <v>897</v>
      </c>
      <c r="B445" s="0" t="s">
        <v>898</v>
      </c>
      <c r="C445" s="0" t="s">
        <v>44</v>
      </c>
    </row>
    <row r="446" customFormat="false" ht="15" hidden="false" customHeight="false" outlineLevel="0" collapsed="false">
      <c r="A446" s="0" t="s">
        <v>899</v>
      </c>
      <c r="B446" s="0" t="s">
        <v>618</v>
      </c>
      <c r="C446" s="0" t="s">
        <v>28</v>
      </c>
    </row>
    <row r="447" customFormat="false" ht="15" hidden="false" customHeight="false" outlineLevel="0" collapsed="false">
      <c r="A447" s="0" t="s">
        <v>900</v>
      </c>
      <c r="B447" s="0" t="s">
        <v>48</v>
      </c>
      <c r="C447" s="0" t="s">
        <v>38</v>
      </c>
    </row>
    <row r="448" customFormat="false" ht="15" hidden="false" customHeight="false" outlineLevel="0" collapsed="false">
      <c r="A448" s="0" t="s">
        <v>901</v>
      </c>
      <c r="B448" s="0" t="s">
        <v>902</v>
      </c>
      <c r="C448" s="0" t="s">
        <v>28</v>
      </c>
    </row>
    <row r="449" customFormat="false" ht="15" hidden="false" customHeight="false" outlineLevel="0" collapsed="false">
      <c r="A449" s="0" t="s">
        <v>903</v>
      </c>
      <c r="B449" s="0" t="s">
        <v>904</v>
      </c>
      <c r="C449" s="0" t="s">
        <v>28</v>
      </c>
    </row>
    <row r="450" customFormat="false" ht="15" hidden="false" customHeight="false" outlineLevel="0" collapsed="false">
      <c r="A450" s="0" t="s">
        <v>905</v>
      </c>
      <c r="B450" s="0" t="s">
        <v>906</v>
      </c>
      <c r="C450" s="0" t="s">
        <v>28</v>
      </c>
    </row>
    <row r="451" customFormat="false" ht="15" hidden="false" customHeight="false" outlineLevel="0" collapsed="false">
      <c r="A451" s="0" t="s">
        <v>907</v>
      </c>
      <c r="B451" s="0" t="s">
        <v>908</v>
      </c>
      <c r="C451" s="0" t="s">
        <v>38</v>
      </c>
    </row>
    <row r="452" customFormat="false" ht="15" hidden="false" customHeight="false" outlineLevel="0" collapsed="false">
      <c r="A452" s="0" t="s">
        <v>909</v>
      </c>
      <c r="B452" s="0" t="s">
        <v>910</v>
      </c>
      <c r="C452" s="0" t="s">
        <v>38</v>
      </c>
    </row>
    <row r="453" customFormat="false" ht="15" hidden="false" customHeight="false" outlineLevel="0" collapsed="false">
      <c r="A453" s="0" t="s">
        <v>911</v>
      </c>
      <c r="B453" s="0" t="s">
        <v>912</v>
      </c>
      <c r="C453" s="0" t="s">
        <v>41</v>
      </c>
    </row>
    <row r="454" customFormat="false" ht="15" hidden="false" customHeight="false" outlineLevel="0" collapsed="false">
      <c r="A454" s="0" t="s">
        <v>913</v>
      </c>
      <c r="B454" s="0" t="s">
        <v>914</v>
      </c>
      <c r="C454" s="0" t="s">
        <v>38</v>
      </c>
    </row>
    <row r="455" customFormat="false" ht="15" hidden="false" customHeight="false" outlineLevel="0" collapsed="false">
      <c r="A455" s="0" t="s">
        <v>915</v>
      </c>
      <c r="B455" s="0" t="s">
        <v>916</v>
      </c>
      <c r="C455" s="0" t="s">
        <v>33</v>
      </c>
    </row>
    <row r="456" customFormat="false" ht="15" hidden="false" customHeight="false" outlineLevel="0" collapsed="false">
      <c r="A456" s="0" t="s">
        <v>917</v>
      </c>
      <c r="B456" s="0" t="s">
        <v>918</v>
      </c>
      <c r="C456" s="0" t="s">
        <v>44</v>
      </c>
    </row>
    <row r="457" customFormat="false" ht="15" hidden="false" customHeight="false" outlineLevel="0" collapsed="false">
      <c r="A457" s="0" t="s">
        <v>919</v>
      </c>
      <c r="B457" s="0" t="s">
        <v>920</v>
      </c>
      <c r="C457" s="0" t="s">
        <v>41</v>
      </c>
    </row>
    <row r="458" customFormat="false" ht="15" hidden="false" customHeight="false" outlineLevel="0" collapsed="false">
      <c r="A458" s="0" t="s">
        <v>921</v>
      </c>
      <c r="B458" s="0" t="s">
        <v>922</v>
      </c>
      <c r="C458" s="0" t="s">
        <v>33</v>
      </c>
    </row>
    <row r="459" customFormat="false" ht="15" hidden="false" customHeight="false" outlineLevel="0" collapsed="false">
      <c r="A459" s="0" t="s">
        <v>923</v>
      </c>
      <c r="B459" s="0" t="s">
        <v>924</v>
      </c>
      <c r="C459" s="0" t="s">
        <v>21</v>
      </c>
    </row>
    <row r="460" customFormat="false" ht="15" hidden="false" customHeight="false" outlineLevel="0" collapsed="false">
      <c r="A460" s="0" t="s">
        <v>925</v>
      </c>
      <c r="B460" s="0" t="s">
        <v>926</v>
      </c>
      <c r="C460" s="0" t="s">
        <v>44</v>
      </c>
    </row>
    <row r="461" customFormat="false" ht="15" hidden="false" customHeight="false" outlineLevel="0" collapsed="false">
      <c r="A461" s="0" t="s">
        <v>927</v>
      </c>
      <c r="B461" s="0" t="s">
        <v>928</v>
      </c>
      <c r="C461" s="0" t="s">
        <v>41</v>
      </c>
    </row>
    <row r="462" customFormat="false" ht="15" hidden="false" customHeight="false" outlineLevel="0" collapsed="false">
      <c r="A462" s="0" t="s">
        <v>929</v>
      </c>
      <c r="B462" s="0" t="s">
        <v>930</v>
      </c>
      <c r="C462" s="0" t="s">
        <v>44</v>
      </c>
    </row>
    <row r="463" customFormat="false" ht="15" hidden="false" customHeight="false" outlineLevel="0" collapsed="false">
      <c r="A463" s="0" t="s">
        <v>931</v>
      </c>
      <c r="B463" s="0" t="s">
        <v>932</v>
      </c>
      <c r="C463" s="0" t="s">
        <v>33</v>
      </c>
    </row>
    <row r="464" customFormat="false" ht="15" hidden="false" customHeight="false" outlineLevel="0" collapsed="false">
      <c r="A464" s="0" t="s">
        <v>933</v>
      </c>
      <c r="B464" s="0" t="s">
        <v>934</v>
      </c>
      <c r="C464" s="0" t="s">
        <v>38</v>
      </c>
    </row>
    <row r="465" customFormat="false" ht="15" hidden="false" customHeight="false" outlineLevel="0" collapsed="false">
      <c r="A465" s="0" t="s">
        <v>935</v>
      </c>
      <c r="B465" s="0" t="s">
        <v>936</v>
      </c>
      <c r="C465" s="0" t="s">
        <v>44</v>
      </c>
    </row>
    <row r="466" customFormat="false" ht="15" hidden="false" customHeight="false" outlineLevel="0" collapsed="false">
      <c r="A466" s="0" t="s">
        <v>937</v>
      </c>
      <c r="B466" s="0" t="s">
        <v>938</v>
      </c>
      <c r="C466" s="0" t="s">
        <v>38</v>
      </c>
    </row>
    <row r="467" customFormat="false" ht="15" hidden="false" customHeight="false" outlineLevel="0" collapsed="false">
      <c r="A467" s="0" t="s">
        <v>939</v>
      </c>
      <c r="B467" s="0" t="s">
        <v>940</v>
      </c>
      <c r="C467" s="0" t="s">
        <v>21</v>
      </c>
    </row>
    <row r="468" customFormat="false" ht="15" hidden="false" customHeight="false" outlineLevel="0" collapsed="false">
      <c r="A468" s="0" t="s">
        <v>941</v>
      </c>
      <c r="B468" s="0" t="s">
        <v>942</v>
      </c>
      <c r="C468" s="0" t="s">
        <v>28</v>
      </c>
    </row>
    <row r="469" customFormat="false" ht="15" hidden="false" customHeight="false" outlineLevel="0" collapsed="false">
      <c r="A469" s="0" t="s">
        <v>943</v>
      </c>
      <c r="B469" s="0" t="s">
        <v>944</v>
      </c>
      <c r="C469" s="0" t="s">
        <v>41</v>
      </c>
    </row>
    <row r="470" customFormat="false" ht="15" hidden="false" customHeight="false" outlineLevel="0" collapsed="false">
      <c r="A470" s="0" t="s">
        <v>945</v>
      </c>
      <c r="B470" s="0" t="s">
        <v>946</v>
      </c>
      <c r="C470" s="0" t="s">
        <v>41</v>
      </c>
    </row>
    <row r="471" customFormat="false" ht="15" hidden="false" customHeight="false" outlineLevel="0" collapsed="false">
      <c r="A471" s="0" t="s">
        <v>947</v>
      </c>
      <c r="B471" s="0" t="s">
        <v>948</v>
      </c>
      <c r="C471" s="0" t="s">
        <v>33</v>
      </c>
    </row>
    <row r="472" customFormat="false" ht="15" hidden="false" customHeight="false" outlineLevel="0" collapsed="false">
      <c r="A472" s="0" t="s">
        <v>949</v>
      </c>
      <c r="B472" s="0" t="s">
        <v>950</v>
      </c>
      <c r="C472" s="0" t="s">
        <v>38</v>
      </c>
    </row>
    <row r="473" customFormat="false" ht="15" hidden="false" customHeight="false" outlineLevel="0" collapsed="false">
      <c r="A473" s="0" t="s">
        <v>951</v>
      </c>
      <c r="B473" s="0" t="s">
        <v>952</v>
      </c>
      <c r="C473" s="0" t="s">
        <v>28</v>
      </c>
    </row>
    <row r="474" customFormat="false" ht="15" hidden="false" customHeight="false" outlineLevel="0" collapsed="false">
      <c r="A474" s="0" t="s">
        <v>953</v>
      </c>
      <c r="B474" s="0" t="s">
        <v>954</v>
      </c>
      <c r="C474" s="0" t="s">
        <v>33</v>
      </c>
    </row>
    <row r="475" customFormat="false" ht="15" hidden="false" customHeight="false" outlineLevel="0" collapsed="false">
      <c r="A475" s="0" t="s">
        <v>955</v>
      </c>
      <c r="B475" s="0" t="s">
        <v>956</v>
      </c>
      <c r="C475" s="0" t="s">
        <v>44</v>
      </c>
    </row>
    <row r="476" customFormat="false" ht="15" hidden="false" customHeight="false" outlineLevel="0" collapsed="false">
      <c r="A476" s="0" t="s">
        <v>957</v>
      </c>
      <c r="B476" s="0" t="s">
        <v>958</v>
      </c>
      <c r="C476" s="0" t="s">
        <v>33</v>
      </c>
    </row>
    <row r="477" customFormat="false" ht="15" hidden="false" customHeight="false" outlineLevel="0" collapsed="false">
      <c r="A477" s="0" t="s">
        <v>959</v>
      </c>
      <c r="B477" s="0" t="s">
        <v>960</v>
      </c>
      <c r="C477" s="0" t="s">
        <v>44</v>
      </c>
    </row>
    <row r="478" customFormat="false" ht="15" hidden="false" customHeight="false" outlineLevel="0" collapsed="false">
      <c r="A478" s="0" t="s">
        <v>961</v>
      </c>
      <c r="B478" s="0" t="s">
        <v>962</v>
      </c>
      <c r="C478" s="0" t="s">
        <v>44</v>
      </c>
    </row>
    <row r="479" customFormat="false" ht="15" hidden="false" customHeight="false" outlineLevel="0" collapsed="false">
      <c r="A479" s="0" t="s">
        <v>963</v>
      </c>
      <c r="B479" s="0" t="s">
        <v>656</v>
      </c>
      <c r="C479" s="0" t="s">
        <v>44</v>
      </c>
    </row>
    <row r="480" customFormat="false" ht="15" hidden="false" customHeight="false" outlineLevel="0" collapsed="false">
      <c r="A480" s="0" t="s">
        <v>964</v>
      </c>
      <c r="B480" s="0" t="s">
        <v>965</v>
      </c>
      <c r="C480" s="0" t="s">
        <v>21</v>
      </c>
    </row>
    <row r="481" customFormat="false" ht="15" hidden="false" customHeight="false" outlineLevel="0" collapsed="false">
      <c r="A481" s="0" t="s">
        <v>966</v>
      </c>
      <c r="B481" s="0" t="s">
        <v>967</v>
      </c>
      <c r="C481" s="0" t="s">
        <v>41</v>
      </c>
    </row>
    <row r="482" customFormat="false" ht="15" hidden="false" customHeight="false" outlineLevel="0" collapsed="false">
      <c r="A482" s="0" t="s">
        <v>968</v>
      </c>
      <c r="B482" s="0" t="s">
        <v>969</v>
      </c>
      <c r="C482" s="0" t="s">
        <v>33</v>
      </c>
    </row>
    <row r="483" customFormat="false" ht="15" hidden="false" customHeight="false" outlineLevel="0" collapsed="false">
      <c r="A483" s="0" t="s">
        <v>970</v>
      </c>
      <c r="B483" s="0" t="s">
        <v>971</v>
      </c>
      <c r="C483" s="0" t="s">
        <v>28</v>
      </c>
    </row>
    <row r="484" customFormat="false" ht="15" hidden="false" customHeight="false" outlineLevel="0" collapsed="false">
      <c r="A484" s="0" t="s">
        <v>972</v>
      </c>
      <c r="B484" s="0" t="s">
        <v>973</v>
      </c>
      <c r="C484" s="0" t="s">
        <v>28</v>
      </c>
    </row>
    <row r="485" customFormat="false" ht="15" hidden="false" customHeight="false" outlineLevel="0" collapsed="false">
      <c r="A485" s="0" t="s">
        <v>974</v>
      </c>
      <c r="B485" s="0" t="s">
        <v>975</v>
      </c>
      <c r="C485" s="0" t="s">
        <v>33</v>
      </c>
    </row>
    <row r="486" customFormat="false" ht="15" hidden="false" customHeight="false" outlineLevel="0" collapsed="false">
      <c r="A486" s="0" t="s">
        <v>976</v>
      </c>
      <c r="B486" s="0" t="s">
        <v>977</v>
      </c>
      <c r="C486" s="0" t="s">
        <v>41</v>
      </c>
    </row>
    <row r="487" customFormat="false" ht="15" hidden="false" customHeight="false" outlineLevel="0" collapsed="false">
      <c r="A487" s="0" t="s">
        <v>978</v>
      </c>
      <c r="B487" s="0" t="s">
        <v>248</v>
      </c>
      <c r="C487" s="0" t="s">
        <v>33</v>
      </c>
    </row>
    <row r="488" customFormat="false" ht="15" hidden="false" customHeight="false" outlineLevel="0" collapsed="false">
      <c r="A488" s="0" t="s">
        <v>979</v>
      </c>
      <c r="B488" s="0" t="s">
        <v>980</v>
      </c>
      <c r="C488" s="0" t="s">
        <v>44</v>
      </c>
    </row>
    <row r="489" customFormat="false" ht="15" hidden="false" customHeight="false" outlineLevel="0" collapsed="false">
      <c r="A489" s="0" t="s">
        <v>981</v>
      </c>
      <c r="B489" s="0" t="s">
        <v>982</v>
      </c>
      <c r="C489" s="0" t="s">
        <v>21</v>
      </c>
    </row>
    <row r="490" customFormat="false" ht="15" hidden="false" customHeight="false" outlineLevel="0" collapsed="false">
      <c r="A490" s="0" t="s">
        <v>983</v>
      </c>
      <c r="B490" s="0" t="s">
        <v>134</v>
      </c>
      <c r="C490" s="0" t="s">
        <v>44</v>
      </c>
    </row>
    <row r="491" customFormat="false" ht="15" hidden="false" customHeight="false" outlineLevel="0" collapsed="false">
      <c r="A491" s="0" t="s">
        <v>984</v>
      </c>
      <c r="B491" s="0" t="s">
        <v>985</v>
      </c>
      <c r="C491" s="0" t="s">
        <v>28</v>
      </c>
    </row>
    <row r="492" customFormat="false" ht="15" hidden="false" customHeight="false" outlineLevel="0" collapsed="false">
      <c r="A492" s="0" t="s">
        <v>986</v>
      </c>
      <c r="B492" s="0" t="s">
        <v>987</v>
      </c>
      <c r="C492" s="0" t="s">
        <v>28</v>
      </c>
    </row>
    <row r="493" customFormat="false" ht="15" hidden="false" customHeight="false" outlineLevel="0" collapsed="false">
      <c r="A493" s="0" t="s">
        <v>988</v>
      </c>
      <c r="B493" s="0" t="s">
        <v>989</v>
      </c>
      <c r="C493" s="0" t="s">
        <v>38</v>
      </c>
    </row>
    <row r="494" customFormat="false" ht="15" hidden="false" customHeight="false" outlineLevel="0" collapsed="false">
      <c r="A494" s="0" t="s">
        <v>990</v>
      </c>
      <c r="B494" s="0" t="s">
        <v>991</v>
      </c>
      <c r="C494" s="0" t="s">
        <v>41</v>
      </c>
    </row>
    <row r="495" customFormat="false" ht="15" hidden="false" customHeight="false" outlineLevel="0" collapsed="false">
      <c r="A495" s="0" t="s">
        <v>992</v>
      </c>
      <c r="B495" s="0" t="s">
        <v>993</v>
      </c>
      <c r="C495" s="0" t="s">
        <v>21</v>
      </c>
    </row>
    <row r="496" customFormat="false" ht="15" hidden="false" customHeight="false" outlineLevel="0" collapsed="false">
      <c r="A496" s="0" t="s">
        <v>994</v>
      </c>
      <c r="B496" s="0" t="s">
        <v>995</v>
      </c>
      <c r="C496" s="0" t="s">
        <v>33</v>
      </c>
    </row>
    <row r="497" customFormat="false" ht="15" hidden="false" customHeight="false" outlineLevel="0" collapsed="false">
      <c r="A497" s="0" t="s">
        <v>996</v>
      </c>
      <c r="B497" s="0" t="s">
        <v>997</v>
      </c>
      <c r="C497" s="0" t="s">
        <v>41</v>
      </c>
    </row>
    <row r="498" customFormat="false" ht="15" hidden="false" customHeight="false" outlineLevel="0" collapsed="false">
      <c r="A498" s="0" t="s">
        <v>998</v>
      </c>
      <c r="B498" s="0" t="s">
        <v>999</v>
      </c>
      <c r="C498" s="0" t="s">
        <v>21</v>
      </c>
    </row>
    <row r="499" customFormat="false" ht="15" hidden="false" customHeight="false" outlineLevel="0" collapsed="false">
      <c r="A499" s="0" t="s">
        <v>1000</v>
      </c>
      <c r="B499" s="0" t="s">
        <v>1001</v>
      </c>
      <c r="C499" s="0" t="s">
        <v>38</v>
      </c>
    </row>
    <row r="500" customFormat="false" ht="15" hidden="false" customHeight="false" outlineLevel="0" collapsed="false">
      <c r="A500" s="0" t="s">
        <v>1002</v>
      </c>
      <c r="B500" s="0" t="s">
        <v>1003</v>
      </c>
      <c r="C500" s="0" t="s">
        <v>41</v>
      </c>
    </row>
    <row r="501" customFormat="false" ht="15" hidden="false" customHeight="false" outlineLevel="0" collapsed="false">
      <c r="A501" s="0" t="s">
        <v>1004</v>
      </c>
      <c r="B501" s="0" t="s">
        <v>1005</v>
      </c>
      <c r="C501" s="0" t="s">
        <v>28</v>
      </c>
    </row>
    <row r="502" customFormat="false" ht="15" hidden="false" customHeight="false" outlineLevel="0" collapsed="false">
      <c r="A502" s="0" t="s">
        <v>1006</v>
      </c>
      <c r="B502" s="0" t="s">
        <v>596</v>
      </c>
      <c r="C502" s="0" t="s">
        <v>28</v>
      </c>
    </row>
    <row r="503" customFormat="false" ht="15" hidden="false" customHeight="false" outlineLevel="0" collapsed="false">
      <c r="A503" s="0" t="s">
        <v>1007</v>
      </c>
      <c r="B503" s="0" t="s">
        <v>1008</v>
      </c>
      <c r="C503" s="0" t="s">
        <v>28</v>
      </c>
    </row>
    <row r="504" customFormat="false" ht="15" hidden="false" customHeight="false" outlineLevel="0" collapsed="false">
      <c r="A504" s="0" t="s">
        <v>1009</v>
      </c>
      <c r="B504" s="0" t="s">
        <v>1010</v>
      </c>
      <c r="C504" s="0" t="s">
        <v>28</v>
      </c>
    </row>
    <row r="505" customFormat="false" ht="15" hidden="false" customHeight="false" outlineLevel="0" collapsed="false">
      <c r="A505" s="0" t="s">
        <v>1011</v>
      </c>
      <c r="B505" s="0" t="s">
        <v>1012</v>
      </c>
      <c r="C505" s="0" t="s">
        <v>38</v>
      </c>
    </row>
    <row r="506" customFormat="false" ht="15" hidden="false" customHeight="false" outlineLevel="0" collapsed="false">
      <c r="A506" s="0" t="s">
        <v>1013</v>
      </c>
      <c r="B506" s="0" t="s">
        <v>1014</v>
      </c>
      <c r="C506" s="0" t="s">
        <v>28</v>
      </c>
    </row>
    <row r="507" customFormat="false" ht="15" hidden="false" customHeight="false" outlineLevel="0" collapsed="false">
      <c r="A507" s="0" t="s">
        <v>1015</v>
      </c>
      <c r="B507" s="0" t="s">
        <v>1016</v>
      </c>
      <c r="C507" s="0" t="s">
        <v>21</v>
      </c>
    </row>
    <row r="508" customFormat="false" ht="15" hidden="false" customHeight="false" outlineLevel="0" collapsed="false">
      <c r="A508" s="0" t="s">
        <v>1017</v>
      </c>
      <c r="B508" s="0" t="s">
        <v>1018</v>
      </c>
      <c r="C508" s="0" t="s">
        <v>41</v>
      </c>
    </row>
    <row r="509" customFormat="false" ht="15" hidden="false" customHeight="false" outlineLevel="0" collapsed="false">
      <c r="A509" s="0" t="s">
        <v>1019</v>
      </c>
      <c r="B509" s="0" t="s">
        <v>1020</v>
      </c>
      <c r="C509" s="0" t="s">
        <v>44</v>
      </c>
    </row>
    <row r="510" customFormat="false" ht="15" hidden="false" customHeight="false" outlineLevel="0" collapsed="false">
      <c r="A510" s="0" t="s">
        <v>1021</v>
      </c>
      <c r="B510" s="0" t="s">
        <v>190</v>
      </c>
      <c r="C510" s="0" t="s">
        <v>38</v>
      </c>
    </row>
    <row r="511" customFormat="false" ht="15" hidden="false" customHeight="false" outlineLevel="0" collapsed="false">
      <c r="A511" s="0" t="s">
        <v>1022</v>
      </c>
      <c r="B511" s="0" t="s">
        <v>1023</v>
      </c>
      <c r="C511" s="0" t="s">
        <v>38</v>
      </c>
    </row>
    <row r="512" customFormat="false" ht="15" hidden="false" customHeight="false" outlineLevel="0" collapsed="false">
      <c r="A512" s="0" t="s">
        <v>1024</v>
      </c>
      <c r="B512" s="0" t="s">
        <v>1025</v>
      </c>
      <c r="C512" s="0" t="s">
        <v>38</v>
      </c>
    </row>
    <row r="513" customFormat="false" ht="15" hidden="false" customHeight="false" outlineLevel="0" collapsed="false">
      <c r="A513" s="0" t="s">
        <v>1026</v>
      </c>
      <c r="B513" s="0" t="s">
        <v>1027</v>
      </c>
      <c r="C513" s="0" t="s">
        <v>28</v>
      </c>
    </row>
    <row r="514" customFormat="false" ht="15" hidden="false" customHeight="false" outlineLevel="0" collapsed="false">
      <c r="A514" s="0" t="s">
        <v>1028</v>
      </c>
      <c r="B514" s="0" t="s">
        <v>1029</v>
      </c>
      <c r="C514" s="0" t="s">
        <v>44</v>
      </c>
    </row>
    <row r="515" customFormat="false" ht="15" hidden="false" customHeight="false" outlineLevel="0" collapsed="false">
      <c r="A515" s="0" t="s">
        <v>1030</v>
      </c>
      <c r="B515" s="0" t="s">
        <v>1031</v>
      </c>
      <c r="C515" s="0" t="s">
        <v>44</v>
      </c>
    </row>
    <row r="516" customFormat="false" ht="15" hidden="false" customHeight="false" outlineLevel="0" collapsed="false">
      <c r="A516" s="0" t="s">
        <v>1032</v>
      </c>
      <c r="B516" s="0" t="s">
        <v>1033</v>
      </c>
      <c r="C516" s="0" t="s">
        <v>33</v>
      </c>
    </row>
    <row r="517" customFormat="false" ht="15" hidden="false" customHeight="false" outlineLevel="0" collapsed="false">
      <c r="A517" s="0" t="s">
        <v>1034</v>
      </c>
      <c r="B517" s="0" t="s">
        <v>1035</v>
      </c>
      <c r="C517" s="0" t="s">
        <v>41</v>
      </c>
    </row>
    <row r="518" customFormat="false" ht="15" hidden="false" customHeight="false" outlineLevel="0" collapsed="false">
      <c r="A518" s="0" t="s">
        <v>1036</v>
      </c>
      <c r="B518" s="0" t="s">
        <v>1037</v>
      </c>
      <c r="C518" s="0" t="s">
        <v>44</v>
      </c>
    </row>
    <row r="519" customFormat="false" ht="15" hidden="false" customHeight="false" outlineLevel="0" collapsed="false">
      <c r="A519" s="0" t="s">
        <v>1038</v>
      </c>
      <c r="B519" s="0" t="s">
        <v>1039</v>
      </c>
      <c r="C519" s="0" t="s">
        <v>41</v>
      </c>
    </row>
    <row r="520" customFormat="false" ht="15" hidden="false" customHeight="false" outlineLevel="0" collapsed="false">
      <c r="A520" s="0" t="s">
        <v>1040</v>
      </c>
      <c r="B520" s="0" t="s">
        <v>1041</v>
      </c>
      <c r="C520" s="0" t="s">
        <v>28</v>
      </c>
    </row>
    <row r="521" customFormat="false" ht="15" hidden="false" customHeight="false" outlineLevel="0" collapsed="false">
      <c r="A521" s="0" t="s">
        <v>1042</v>
      </c>
      <c r="B521" s="0" t="s">
        <v>1043</v>
      </c>
      <c r="C521" s="0" t="s">
        <v>44</v>
      </c>
    </row>
    <row r="522" customFormat="false" ht="15" hidden="false" customHeight="false" outlineLevel="0" collapsed="false">
      <c r="A522" s="0" t="s">
        <v>1044</v>
      </c>
      <c r="B522" s="0" t="s">
        <v>1045</v>
      </c>
      <c r="C522" s="0" t="s">
        <v>41</v>
      </c>
    </row>
    <row r="523" customFormat="false" ht="15" hidden="false" customHeight="false" outlineLevel="0" collapsed="false">
      <c r="A523" s="0" t="s">
        <v>1046</v>
      </c>
      <c r="B523" s="0" t="s">
        <v>1047</v>
      </c>
      <c r="C523" s="0" t="s">
        <v>44</v>
      </c>
    </row>
    <row r="524" customFormat="false" ht="15" hidden="false" customHeight="false" outlineLevel="0" collapsed="false">
      <c r="A524" s="0" t="s">
        <v>1048</v>
      </c>
      <c r="B524" s="0" t="s">
        <v>1049</v>
      </c>
      <c r="C524" s="0" t="s">
        <v>38</v>
      </c>
    </row>
    <row r="525" customFormat="false" ht="15" hidden="false" customHeight="false" outlineLevel="0" collapsed="false">
      <c r="A525" s="0" t="s">
        <v>1050</v>
      </c>
      <c r="B525" s="0" t="s">
        <v>1051</v>
      </c>
      <c r="C525" s="0" t="s">
        <v>41</v>
      </c>
    </row>
    <row r="526" customFormat="false" ht="15" hidden="false" customHeight="false" outlineLevel="0" collapsed="false">
      <c r="A526" s="0" t="s">
        <v>1052</v>
      </c>
      <c r="B526" s="0" t="s">
        <v>1053</v>
      </c>
      <c r="C526" s="0" t="s">
        <v>21</v>
      </c>
    </row>
    <row r="527" customFormat="false" ht="15" hidden="false" customHeight="false" outlineLevel="0" collapsed="false">
      <c r="A527" s="0" t="s">
        <v>1054</v>
      </c>
      <c r="B527" s="0" t="s">
        <v>1055</v>
      </c>
      <c r="C527" s="0" t="s">
        <v>28</v>
      </c>
    </row>
    <row r="528" customFormat="false" ht="15" hidden="false" customHeight="false" outlineLevel="0" collapsed="false">
      <c r="A528" s="0" t="s">
        <v>1056</v>
      </c>
      <c r="B528" s="0" t="s">
        <v>1055</v>
      </c>
      <c r="C528" s="0" t="s">
        <v>28</v>
      </c>
    </row>
    <row r="529" customFormat="false" ht="15" hidden="false" customHeight="false" outlineLevel="0" collapsed="false">
      <c r="A529" s="0" t="s">
        <v>1057</v>
      </c>
      <c r="B529" s="0" t="s">
        <v>1058</v>
      </c>
      <c r="C529" s="0" t="s">
        <v>33</v>
      </c>
    </row>
    <row r="530" customFormat="false" ht="15" hidden="false" customHeight="false" outlineLevel="0" collapsed="false">
      <c r="A530" s="0" t="s">
        <v>1059</v>
      </c>
      <c r="B530" s="0" t="s">
        <v>1060</v>
      </c>
      <c r="C530" s="0" t="s">
        <v>21</v>
      </c>
    </row>
    <row r="531" customFormat="false" ht="15" hidden="false" customHeight="false" outlineLevel="0" collapsed="false">
      <c r="A531" s="0" t="s">
        <v>1061</v>
      </c>
      <c r="B531" s="0" t="s">
        <v>1062</v>
      </c>
      <c r="C531" s="0" t="s">
        <v>33</v>
      </c>
    </row>
    <row r="532" customFormat="false" ht="15" hidden="false" customHeight="false" outlineLevel="0" collapsed="false">
      <c r="A532" s="0" t="s">
        <v>1063</v>
      </c>
      <c r="B532" s="0" t="s">
        <v>1064</v>
      </c>
      <c r="C532" s="0" t="s">
        <v>33</v>
      </c>
    </row>
    <row r="533" customFormat="false" ht="15" hidden="false" customHeight="false" outlineLevel="0" collapsed="false">
      <c r="A533" s="0" t="s">
        <v>1065</v>
      </c>
      <c r="B533" s="0" t="s">
        <v>1066</v>
      </c>
      <c r="C533" s="0" t="s">
        <v>33</v>
      </c>
    </row>
    <row r="534" customFormat="false" ht="15" hidden="false" customHeight="false" outlineLevel="0" collapsed="false">
      <c r="A534" s="0" t="s">
        <v>1067</v>
      </c>
      <c r="B534" s="0" t="s">
        <v>1068</v>
      </c>
      <c r="C534" s="0" t="s">
        <v>44</v>
      </c>
    </row>
    <row r="535" customFormat="false" ht="15" hidden="false" customHeight="false" outlineLevel="0" collapsed="false">
      <c r="A535" s="0" t="s">
        <v>1069</v>
      </c>
      <c r="B535" s="0" t="s">
        <v>1070</v>
      </c>
      <c r="C535" s="0" t="s">
        <v>38</v>
      </c>
    </row>
    <row r="536" customFormat="false" ht="15" hidden="false" customHeight="false" outlineLevel="0" collapsed="false">
      <c r="A536" s="0" t="s">
        <v>1071</v>
      </c>
      <c r="B536" s="0" t="s">
        <v>1072</v>
      </c>
      <c r="C536" s="0" t="s">
        <v>41</v>
      </c>
    </row>
    <row r="537" customFormat="false" ht="15" hidden="false" customHeight="false" outlineLevel="0" collapsed="false">
      <c r="A537" s="0" t="s">
        <v>1073</v>
      </c>
      <c r="B537" s="0" t="s">
        <v>1074</v>
      </c>
      <c r="C537" s="0" t="s">
        <v>44</v>
      </c>
    </row>
    <row r="538" customFormat="false" ht="15" hidden="false" customHeight="false" outlineLevel="0" collapsed="false">
      <c r="A538" s="0" t="s">
        <v>1075</v>
      </c>
      <c r="B538" s="0" t="s">
        <v>1076</v>
      </c>
      <c r="C538" s="0" t="s">
        <v>44</v>
      </c>
    </row>
    <row r="539" customFormat="false" ht="15" hidden="false" customHeight="false" outlineLevel="0" collapsed="false">
      <c r="A539" s="0" t="s">
        <v>1077</v>
      </c>
      <c r="B539" s="0" t="s">
        <v>1078</v>
      </c>
      <c r="C539" s="0" t="s">
        <v>38</v>
      </c>
    </row>
    <row r="540" customFormat="false" ht="15" hidden="false" customHeight="false" outlineLevel="0" collapsed="false">
      <c r="A540" s="0" t="s">
        <v>1079</v>
      </c>
      <c r="B540" s="0" t="s">
        <v>1080</v>
      </c>
      <c r="C540" s="0" t="s">
        <v>44</v>
      </c>
    </row>
    <row r="541" customFormat="false" ht="15" hidden="false" customHeight="false" outlineLevel="0" collapsed="false">
      <c r="A541" s="0" t="s">
        <v>1081</v>
      </c>
      <c r="B541" s="0" t="s">
        <v>1082</v>
      </c>
      <c r="C541" s="0" t="s">
        <v>38</v>
      </c>
    </row>
    <row r="542" customFormat="false" ht="15" hidden="false" customHeight="false" outlineLevel="0" collapsed="false">
      <c r="A542" s="0" t="s">
        <v>1083</v>
      </c>
      <c r="B542" s="0" t="s">
        <v>1084</v>
      </c>
      <c r="C542" s="0" t="s">
        <v>33</v>
      </c>
    </row>
    <row r="543" customFormat="false" ht="15" hidden="false" customHeight="false" outlineLevel="0" collapsed="false">
      <c r="A543" s="0" t="s">
        <v>1085</v>
      </c>
      <c r="B543" s="0" t="s">
        <v>1086</v>
      </c>
      <c r="C543" s="0" t="s">
        <v>41</v>
      </c>
    </row>
    <row r="544" customFormat="false" ht="15" hidden="false" customHeight="false" outlineLevel="0" collapsed="false">
      <c r="A544" s="0" t="s">
        <v>1087</v>
      </c>
      <c r="B544" s="0" t="s">
        <v>1088</v>
      </c>
      <c r="C544" s="0" t="s">
        <v>41</v>
      </c>
    </row>
    <row r="545" customFormat="false" ht="15" hidden="false" customHeight="false" outlineLevel="0" collapsed="false">
      <c r="A545" s="0" t="s">
        <v>1089</v>
      </c>
      <c r="B545" s="0" t="s">
        <v>1090</v>
      </c>
      <c r="C545" s="0" t="s">
        <v>41</v>
      </c>
    </row>
    <row r="546" customFormat="false" ht="15" hidden="false" customHeight="false" outlineLevel="0" collapsed="false">
      <c r="A546" s="0" t="s">
        <v>1091</v>
      </c>
      <c r="B546" s="0" t="s">
        <v>1092</v>
      </c>
      <c r="C546" s="0" t="s">
        <v>44</v>
      </c>
    </row>
    <row r="547" customFormat="false" ht="15" hidden="false" customHeight="false" outlineLevel="0" collapsed="false">
      <c r="A547" s="0" t="s">
        <v>1093</v>
      </c>
      <c r="B547" s="0" t="s">
        <v>1094</v>
      </c>
      <c r="C547" s="0" t="s">
        <v>28</v>
      </c>
    </row>
    <row r="548" customFormat="false" ht="15" hidden="false" customHeight="false" outlineLevel="0" collapsed="false">
      <c r="A548" s="0" t="s">
        <v>1095</v>
      </c>
      <c r="B548" s="0" t="s">
        <v>1096</v>
      </c>
      <c r="C548" s="0" t="s">
        <v>44</v>
      </c>
    </row>
    <row r="549" customFormat="false" ht="15" hidden="false" customHeight="false" outlineLevel="0" collapsed="false">
      <c r="A549" s="0" t="s">
        <v>1097</v>
      </c>
      <c r="B549" s="0" t="s">
        <v>1098</v>
      </c>
      <c r="C549" s="0" t="s">
        <v>44</v>
      </c>
    </row>
    <row r="550" customFormat="false" ht="15" hidden="false" customHeight="false" outlineLevel="0" collapsed="false">
      <c r="A550" s="0" t="s">
        <v>1099</v>
      </c>
      <c r="B550" s="0" t="s">
        <v>1100</v>
      </c>
      <c r="C550" s="0" t="s">
        <v>21</v>
      </c>
    </row>
    <row r="551" customFormat="false" ht="15" hidden="false" customHeight="false" outlineLevel="0" collapsed="false">
      <c r="A551" s="0" t="s">
        <v>1101</v>
      </c>
      <c r="B551" s="0" t="s">
        <v>1102</v>
      </c>
      <c r="C551" s="0" t="s">
        <v>28</v>
      </c>
    </row>
    <row r="552" customFormat="false" ht="15" hidden="false" customHeight="false" outlineLevel="0" collapsed="false">
      <c r="A552" s="0" t="s">
        <v>1103</v>
      </c>
      <c r="B552" s="0" t="s">
        <v>1104</v>
      </c>
      <c r="C552" s="0" t="s">
        <v>44</v>
      </c>
    </row>
    <row r="553" customFormat="false" ht="15" hidden="false" customHeight="false" outlineLevel="0" collapsed="false">
      <c r="A553" s="0" t="s">
        <v>1105</v>
      </c>
      <c r="B553" s="0" t="s">
        <v>1106</v>
      </c>
      <c r="C553" s="0" t="s">
        <v>41</v>
      </c>
    </row>
    <row r="554" customFormat="false" ht="15" hidden="false" customHeight="false" outlineLevel="0" collapsed="false">
      <c r="A554" s="0" t="s">
        <v>1107</v>
      </c>
      <c r="B554" s="0" t="s">
        <v>1108</v>
      </c>
      <c r="C554" s="0" t="s">
        <v>21</v>
      </c>
    </row>
    <row r="555" customFormat="false" ht="15" hidden="false" customHeight="false" outlineLevel="0" collapsed="false">
      <c r="A555" s="0" t="s">
        <v>1109</v>
      </c>
      <c r="B555" s="0" t="s">
        <v>1110</v>
      </c>
      <c r="C555" s="0" t="s">
        <v>28</v>
      </c>
    </row>
    <row r="556" customFormat="false" ht="15" hidden="false" customHeight="false" outlineLevel="0" collapsed="false">
      <c r="A556" s="0" t="s">
        <v>1111</v>
      </c>
      <c r="B556" s="0" t="s">
        <v>1112</v>
      </c>
      <c r="C556" s="0" t="s">
        <v>38</v>
      </c>
    </row>
    <row r="557" customFormat="false" ht="15" hidden="false" customHeight="false" outlineLevel="0" collapsed="false">
      <c r="A557" s="0" t="s">
        <v>1113</v>
      </c>
      <c r="B557" s="0" t="s">
        <v>1114</v>
      </c>
      <c r="C557" s="0" t="s">
        <v>21</v>
      </c>
    </row>
    <row r="558" customFormat="false" ht="15" hidden="false" customHeight="false" outlineLevel="0" collapsed="false">
      <c r="A558" s="0" t="s">
        <v>1115</v>
      </c>
      <c r="B558" s="0" t="s">
        <v>1116</v>
      </c>
      <c r="C558" s="0" t="s">
        <v>21</v>
      </c>
    </row>
    <row r="559" customFormat="false" ht="15" hidden="false" customHeight="false" outlineLevel="0" collapsed="false">
      <c r="A559" s="0" t="s">
        <v>1117</v>
      </c>
      <c r="B559" s="0" t="s">
        <v>1118</v>
      </c>
      <c r="C559" s="0" t="s">
        <v>21</v>
      </c>
    </row>
    <row r="560" customFormat="false" ht="15" hidden="false" customHeight="false" outlineLevel="0" collapsed="false">
      <c r="A560" s="0" t="s">
        <v>1119</v>
      </c>
      <c r="B560" s="0" t="s">
        <v>1120</v>
      </c>
      <c r="C560" s="0" t="s">
        <v>38</v>
      </c>
    </row>
    <row r="561" customFormat="false" ht="15" hidden="false" customHeight="false" outlineLevel="0" collapsed="false">
      <c r="A561" s="0" t="s">
        <v>1121</v>
      </c>
      <c r="B561" s="0" t="s">
        <v>56</v>
      </c>
      <c r="C561" s="0" t="s">
        <v>21</v>
      </c>
    </row>
    <row r="562" customFormat="false" ht="15" hidden="false" customHeight="false" outlineLevel="0" collapsed="false">
      <c r="A562" s="0" t="s">
        <v>1122</v>
      </c>
      <c r="B562" s="0" t="s">
        <v>739</v>
      </c>
      <c r="C562" s="0" t="s">
        <v>44</v>
      </c>
    </row>
    <row r="563" customFormat="false" ht="15" hidden="false" customHeight="false" outlineLevel="0" collapsed="false">
      <c r="A563" s="0" t="s">
        <v>1123</v>
      </c>
      <c r="B563" s="0" t="s">
        <v>1124</v>
      </c>
      <c r="C563" s="0" t="s">
        <v>38</v>
      </c>
    </row>
    <row r="564" customFormat="false" ht="15" hidden="false" customHeight="false" outlineLevel="0" collapsed="false">
      <c r="A564" s="0" t="s">
        <v>1125</v>
      </c>
      <c r="B564" s="0" t="s">
        <v>1126</v>
      </c>
      <c r="C564" s="0" t="s">
        <v>38</v>
      </c>
    </row>
    <row r="565" customFormat="false" ht="15" hidden="false" customHeight="false" outlineLevel="0" collapsed="false">
      <c r="A565" s="0" t="s">
        <v>1127</v>
      </c>
      <c r="B565" s="0" t="s">
        <v>1128</v>
      </c>
      <c r="C565" s="0" t="s">
        <v>33</v>
      </c>
    </row>
    <row r="566" customFormat="false" ht="15" hidden="false" customHeight="false" outlineLevel="0" collapsed="false">
      <c r="A566" s="0" t="s">
        <v>1129</v>
      </c>
      <c r="B566" s="0" t="s">
        <v>1130</v>
      </c>
      <c r="C566" s="0" t="s">
        <v>38</v>
      </c>
    </row>
    <row r="567" customFormat="false" ht="15" hidden="false" customHeight="false" outlineLevel="0" collapsed="false">
      <c r="A567" s="0" t="s">
        <v>1131</v>
      </c>
      <c r="B567" s="0" t="s">
        <v>1132</v>
      </c>
      <c r="C567" s="0" t="s">
        <v>28</v>
      </c>
    </row>
    <row r="568" customFormat="false" ht="15" hidden="false" customHeight="false" outlineLevel="0" collapsed="false">
      <c r="A568" s="0" t="s">
        <v>1133</v>
      </c>
      <c r="B568" s="0" t="s">
        <v>1134</v>
      </c>
      <c r="C568" s="0" t="s">
        <v>38</v>
      </c>
    </row>
    <row r="569" customFormat="false" ht="15" hidden="false" customHeight="false" outlineLevel="0" collapsed="false">
      <c r="A569" s="0" t="s">
        <v>1135</v>
      </c>
      <c r="B569" s="0" t="s">
        <v>1136</v>
      </c>
      <c r="C569" s="0" t="s">
        <v>28</v>
      </c>
    </row>
    <row r="570" customFormat="false" ht="15" hidden="false" customHeight="false" outlineLevel="0" collapsed="false">
      <c r="A570" s="0" t="s">
        <v>1137</v>
      </c>
      <c r="B570" s="0" t="s">
        <v>1138</v>
      </c>
      <c r="C570" s="0" t="s">
        <v>38</v>
      </c>
    </row>
    <row r="571" customFormat="false" ht="15" hidden="false" customHeight="false" outlineLevel="0" collapsed="false">
      <c r="A571" s="0" t="s">
        <v>1139</v>
      </c>
      <c r="B571" s="0" t="s">
        <v>86</v>
      </c>
      <c r="C571" s="0" t="s">
        <v>41</v>
      </c>
    </row>
    <row r="572" customFormat="false" ht="15" hidden="false" customHeight="false" outlineLevel="0" collapsed="false">
      <c r="A572" s="0" t="s">
        <v>1140</v>
      </c>
      <c r="B572" s="0" t="s">
        <v>1141</v>
      </c>
      <c r="C572" s="0" t="s">
        <v>21</v>
      </c>
    </row>
    <row r="573" customFormat="false" ht="15" hidden="false" customHeight="false" outlineLevel="0" collapsed="false">
      <c r="A573" s="0" t="s">
        <v>1142</v>
      </c>
      <c r="B573" s="0" t="s">
        <v>319</v>
      </c>
      <c r="C573" s="0" t="s">
        <v>21</v>
      </c>
    </row>
    <row r="574" customFormat="false" ht="15" hidden="false" customHeight="false" outlineLevel="0" collapsed="false">
      <c r="A574" s="0" t="s">
        <v>1143</v>
      </c>
      <c r="B574" s="0" t="s">
        <v>1144</v>
      </c>
      <c r="C574" s="0" t="s">
        <v>44</v>
      </c>
    </row>
    <row r="575" customFormat="false" ht="15" hidden="false" customHeight="false" outlineLevel="0" collapsed="false">
      <c r="A575" s="0" t="s">
        <v>1145</v>
      </c>
      <c r="B575" s="0" t="s">
        <v>1146</v>
      </c>
      <c r="C575" s="0" t="s">
        <v>44</v>
      </c>
    </row>
    <row r="576" customFormat="false" ht="15" hidden="false" customHeight="false" outlineLevel="0" collapsed="false">
      <c r="A576" s="0" t="s">
        <v>1147</v>
      </c>
      <c r="B576" s="0" t="s">
        <v>1148</v>
      </c>
      <c r="C576" s="0" t="s">
        <v>21</v>
      </c>
    </row>
    <row r="577" customFormat="false" ht="15" hidden="false" customHeight="false" outlineLevel="0" collapsed="false">
      <c r="A577" s="0" t="s">
        <v>1149</v>
      </c>
      <c r="B577" s="0" t="s">
        <v>1150</v>
      </c>
      <c r="C577" s="0" t="s">
        <v>44</v>
      </c>
    </row>
    <row r="578" customFormat="false" ht="15" hidden="false" customHeight="false" outlineLevel="0" collapsed="false">
      <c r="A578" s="0" t="s">
        <v>1151</v>
      </c>
      <c r="B578" s="0" t="s">
        <v>1152</v>
      </c>
      <c r="C578" s="0" t="s">
        <v>38</v>
      </c>
    </row>
    <row r="579" customFormat="false" ht="15" hidden="false" customHeight="false" outlineLevel="0" collapsed="false">
      <c r="A579" s="0" t="s">
        <v>1153</v>
      </c>
      <c r="B579" s="0" t="s">
        <v>1154</v>
      </c>
      <c r="C579" s="0" t="s">
        <v>44</v>
      </c>
    </row>
    <row r="580" customFormat="false" ht="15" hidden="false" customHeight="false" outlineLevel="0" collapsed="false">
      <c r="A580" s="0" t="s">
        <v>1155</v>
      </c>
      <c r="B580" s="0" t="s">
        <v>1156</v>
      </c>
      <c r="C580" s="0" t="s">
        <v>41</v>
      </c>
    </row>
    <row r="581" customFormat="false" ht="15" hidden="false" customHeight="false" outlineLevel="0" collapsed="false">
      <c r="A581" s="0" t="s">
        <v>1157</v>
      </c>
      <c r="B581" s="0" t="s">
        <v>1158</v>
      </c>
      <c r="C581" s="0" t="s">
        <v>41</v>
      </c>
    </row>
    <row r="582" customFormat="false" ht="15" hidden="false" customHeight="false" outlineLevel="0" collapsed="false">
      <c r="A582" s="0" t="s">
        <v>1159</v>
      </c>
      <c r="B582" s="0" t="s">
        <v>1160</v>
      </c>
      <c r="C582" s="0" t="s">
        <v>21</v>
      </c>
    </row>
    <row r="583" customFormat="false" ht="15" hidden="false" customHeight="false" outlineLevel="0" collapsed="false">
      <c r="A583" s="0" t="s">
        <v>1161</v>
      </c>
      <c r="B583" s="0" t="s">
        <v>1162</v>
      </c>
      <c r="C583" s="0" t="s">
        <v>21</v>
      </c>
    </row>
    <row r="584" customFormat="false" ht="15" hidden="false" customHeight="false" outlineLevel="0" collapsed="false">
      <c r="A584" s="0" t="s">
        <v>1163</v>
      </c>
      <c r="B584" s="0" t="s">
        <v>1164</v>
      </c>
      <c r="C584" s="0" t="s">
        <v>44</v>
      </c>
    </row>
    <row r="585" customFormat="false" ht="15" hidden="false" customHeight="false" outlineLevel="0" collapsed="false">
      <c r="A585" s="0" t="s">
        <v>1165</v>
      </c>
      <c r="B585" s="0" t="s">
        <v>1166</v>
      </c>
      <c r="C585" s="0" t="s">
        <v>21</v>
      </c>
    </row>
    <row r="586" customFormat="false" ht="15" hidden="false" customHeight="false" outlineLevel="0" collapsed="false">
      <c r="A586" s="0" t="s">
        <v>1167</v>
      </c>
      <c r="B586" s="0" t="s">
        <v>1168</v>
      </c>
      <c r="C586" s="0" t="s">
        <v>28</v>
      </c>
    </row>
    <row r="587" customFormat="false" ht="15" hidden="false" customHeight="false" outlineLevel="0" collapsed="false">
      <c r="A587" s="0" t="s">
        <v>1169</v>
      </c>
      <c r="B587" s="0" t="s">
        <v>1170</v>
      </c>
      <c r="C587" s="0" t="s">
        <v>38</v>
      </c>
    </row>
    <row r="588" customFormat="false" ht="15" hidden="false" customHeight="false" outlineLevel="0" collapsed="false">
      <c r="A588" s="0" t="s">
        <v>1171</v>
      </c>
      <c r="B588" s="0" t="s">
        <v>170</v>
      </c>
      <c r="C588" s="0" t="s">
        <v>21</v>
      </c>
    </row>
    <row r="589" customFormat="false" ht="15" hidden="false" customHeight="false" outlineLevel="0" collapsed="false">
      <c r="A589" s="0" t="s">
        <v>1172</v>
      </c>
      <c r="B589" s="0" t="s">
        <v>1173</v>
      </c>
      <c r="C589" s="0" t="s">
        <v>38</v>
      </c>
    </row>
    <row r="590" customFormat="false" ht="15" hidden="false" customHeight="false" outlineLevel="0" collapsed="false">
      <c r="A590" s="0" t="s">
        <v>1174</v>
      </c>
      <c r="B590" s="0" t="s">
        <v>1175</v>
      </c>
      <c r="C590" s="0" t="s">
        <v>44</v>
      </c>
    </row>
    <row r="591" customFormat="false" ht="15" hidden="false" customHeight="false" outlineLevel="0" collapsed="false">
      <c r="A591" s="0" t="s">
        <v>1176</v>
      </c>
      <c r="B591" s="0" t="s">
        <v>1177</v>
      </c>
      <c r="C591" s="0" t="s">
        <v>28</v>
      </c>
    </row>
    <row r="592" customFormat="false" ht="15" hidden="false" customHeight="false" outlineLevel="0" collapsed="false">
      <c r="A592" s="0" t="s">
        <v>1178</v>
      </c>
      <c r="B592" s="0" t="s">
        <v>1179</v>
      </c>
      <c r="C592" s="0" t="s">
        <v>38</v>
      </c>
    </row>
    <row r="593" customFormat="false" ht="15" hidden="false" customHeight="false" outlineLevel="0" collapsed="false">
      <c r="A593" s="0" t="s">
        <v>1180</v>
      </c>
      <c r="B593" s="0" t="s">
        <v>1181</v>
      </c>
      <c r="C593" s="0" t="s">
        <v>33</v>
      </c>
    </row>
    <row r="594" customFormat="false" ht="15" hidden="false" customHeight="false" outlineLevel="0" collapsed="false">
      <c r="A594" s="0" t="s">
        <v>1182</v>
      </c>
      <c r="B594" s="0" t="s">
        <v>1183</v>
      </c>
      <c r="C594" s="0" t="s">
        <v>38</v>
      </c>
    </row>
    <row r="595" customFormat="false" ht="15" hidden="false" customHeight="false" outlineLevel="0" collapsed="false">
      <c r="A595" s="0" t="s">
        <v>1184</v>
      </c>
      <c r="B595" s="0" t="s">
        <v>456</v>
      </c>
      <c r="C595" s="0" t="s">
        <v>33</v>
      </c>
    </row>
    <row r="596" customFormat="false" ht="15" hidden="false" customHeight="false" outlineLevel="0" collapsed="false">
      <c r="A596" s="0" t="s">
        <v>1185</v>
      </c>
      <c r="B596" s="0" t="s">
        <v>1186</v>
      </c>
      <c r="C596" s="0" t="s">
        <v>38</v>
      </c>
    </row>
    <row r="597" customFormat="false" ht="15" hidden="false" customHeight="false" outlineLevel="0" collapsed="false">
      <c r="A597" s="0" t="s">
        <v>1187</v>
      </c>
      <c r="B597" s="0" t="s">
        <v>1188</v>
      </c>
      <c r="C597" s="0" t="s">
        <v>44</v>
      </c>
    </row>
    <row r="598" customFormat="false" ht="15" hidden="false" customHeight="false" outlineLevel="0" collapsed="false">
      <c r="A598" s="0" t="s">
        <v>1189</v>
      </c>
      <c r="B598" s="0" t="s">
        <v>1190</v>
      </c>
      <c r="C598" s="0" t="s">
        <v>28</v>
      </c>
    </row>
    <row r="599" customFormat="false" ht="15" hidden="false" customHeight="false" outlineLevel="0" collapsed="false">
      <c r="A599" s="0" t="s">
        <v>1191</v>
      </c>
      <c r="B599" s="0" t="s">
        <v>1192</v>
      </c>
      <c r="C599" s="0" t="s">
        <v>44</v>
      </c>
    </row>
    <row r="600" customFormat="false" ht="15" hidden="false" customHeight="false" outlineLevel="0" collapsed="false">
      <c r="A600" s="0" t="s">
        <v>1193</v>
      </c>
      <c r="B600" s="0" t="s">
        <v>1194</v>
      </c>
      <c r="C600" s="0" t="s">
        <v>44</v>
      </c>
    </row>
    <row r="601" customFormat="false" ht="15" hidden="false" customHeight="false" outlineLevel="0" collapsed="false">
      <c r="A601" s="0" t="s">
        <v>1195</v>
      </c>
      <c r="B601" s="0" t="s">
        <v>1196</v>
      </c>
      <c r="C601" s="0" t="s">
        <v>38</v>
      </c>
    </row>
    <row r="602" customFormat="false" ht="15" hidden="false" customHeight="false" outlineLevel="0" collapsed="false">
      <c r="A602" s="0" t="s">
        <v>1197</v>
      </c>
      <c r="B602" s="0" t="s">
        <v>1198</v>
      </c>
      <c r="C602" s="0" t="s">
        <v>41</v>
      </c>
    </row>
    <row r="603" customFormat="false" ht="15" hidden="false" customHeight="false" outlineLevel="0" collapsed="false">
      <c r="A603" s="0" t="s">
        <v>1199</v>
      </c>
      <c r="B603" s="0" t="s">
        <v>1200</v>
      </c>
      <c r="C603" s="0" t="s">
        <v>21</v>
      </c>
    </row>
    <row r="604" customFormat="false" ht="15" hidden="false" customHeight="false" outlineLevel="0" collapsed="false">
      <c r="A604" s="0" t="s">
        <v>1201</v>
      </c>
      <c r="B604" s="0" t="s">
        <v>1202</v>
      </c>
      <c r="C604" s="0" t="s">
        <v>38</v>
      </c>
    </row>
    <row r="605" customFormat="false" ht="15" hidden="false" customHeight="false" outlineLevel="0" collapsed="false">
      <c r="A605" s="0" t="s">
        <v>1203</v>
      </c>
      <c r="B605" s="0" t="s">
        <v>1204</v>
      </c>
      <c r="C605" s="0" t="s">
        <v>33</v>
      </c>
    </row>
    <row r="606" customFormat="false" ht="15" hidden="false" customHeight="false" outlineLevel="0" collapsed="false">
      <c r="A606" s="0" t="s">
        <v>1205</v>
      </c>
      <c r="B606" s="0" t="s">
        <v>1206</v>
      </c>
      <c r="C606" s="0" t="s">
        <v>33</v>
      </c>
    </row>
    <row r="607" customFormat="false" ht="15" hidden="false" customHeight="false" outlineLevel="0" collapsed="false">
      <c r="A607" s="0" t="s">
        <v>1207</v>
      </c>
      <c r="B607" s="0" t="s">
        <v>1208</v>
      </c>
      <c r="C607" s="0" t="s">
        <v>41</v>
      </c>
    </row>
    <row r="608" customFormat="false" ht="15" hidden="false" customHeight="false" outlineLevel="0" collapsed="false">
      <c r="A608" s="0" t="s">
        <v>1209</v>
      </c>
      <c r="B608" s="0" t="s">
        <v>1210</v>
      </c>
      <c r="C608" s="0" t="s">
        <v>41</v>
      </c>
    </row>
    <row r="609" customFormat="false" ht="15" hidden="false" customHeight="false" outlineLevel="0" collapsed="false">
      <c r="A609" s="0" t="s">
        <v>1211</v>
      </c>
      <c r="B609" s="0" t="s">
        <v>942</v>
      </c>
      <c r="C609" s="0" t="s">
        <v>28</v>
      </c>
    </row>
    <row r="610" customFormat="false" ht="15" hidden="false" customHeight="false" outlineLevel="0" collapsed="false">
      <c r="A610" s="0" t="s">
        <v>1212</v>
      </c>
      <c r="B610" s="0" t="s">
        <v>1213</v>
      </c>
      <c r="C610" s="0" t="s">
        <v>21</v>
      </c>
    </row>
    <row r="611" customFormat="false" ht="15" hidden="false" customHeight="false" outlineLevel="0" collapsed="false">
      <c r="A611" s="0" t="s">
        <v>1214</v>
      </c>
      <c r="B611" s="0" t="s">
        <v>1215</v>
      </c>
      <c r="C611" s="0" t="s">
        <v>21</v>
      </c>
    </row>
    <row r="612" customFormat="false" ht="15" hidden="false" customHeight="false" outlineLevel="0" collapsed="false">
      <c r="A612" s="0" t="s">
        <v>1216</v>
      </c>
      <c r="B612" s="0" t="s">
        <v>1217</v>
      </c>
      <c r="C612" s="0" t="s">
        <v>28</v>
      </c>
    </row>
    <row r="613" customFormat="false" ht="15" hidden="false" customHeight="false" outlineLevel="0" collapsed="false">
      <c r="A613" s="0" t="s">
        <v>1218</v>
      </c>
      <c r="B613" s="0" t="s">
        <v>1219</v>
      </c>
      <c r="C613" s="0" t="s">
        <v>38</v>
      </c>
    </row>
    <row r="614" customFormat="false" ht="15" hidden="false" customHeight="false" outlineLevel="0" collapsed="false">
      <c r="A614" s="0" t="s">
        <v>1220</v>
      </c>
      <c r="B614" s="0" t="s">
        <v>1221</v>
      </c>
      <c r="C614" s="0" t="s">
        <v>38</v>
      </c>
    </row>
    <row r="615" customFormat="false" ht="15" hidden="false" customHeight="false" outlineLevel="0" collapsed="false">
      <c r="A615" s="0" t="s">
        <v>1222</v>
      </c>
      <c r="B615" s="0" t="s">
        <v>1223</v>
      </c>
      <c r="C615" s="0" t="s">
        <v>21</v>
      </c>
    </row>
    <row r="616" customFormat="false" ht="15" hidden="false" customHeight="false" outlineLevel="0" collapsed="false">
      <c r="A616" s="0" t="s">
        <v>1224</v>
      </c>
      <c r="B616" s="0" t="s">
        <v>1225</v>
      </c>
      <c r="C616" s="0" t="s">
        <v>28</v>
      </c>
    </row>
    <row r="617" customFormat="false" ht="15" hidden="false" customHeight="false" outlineLevel="0" collapsed="false">
      <c r="A617" s="0" t="s">
        <v>1226</v>
      </c>
      <c r="B617" s="0" t="s">
        <v>1227</v>
      </c>
      <c r="C617" s="0" t="s">
        <v>38</v>
      </c>
    </row>
    <row r="618" customFormat="false" ht="15" hidden="false" customHeight="false" outlineLevel="0" collapsed="false">
      <c r="A618" s="0" t="s">
        <v>1228</v>
      </c>
      <c r="B618" s="0" t="s">
        <v>1229</v>
      </c>
      <c r="C618" s="0" t="s">
        <v>21</v>
      </c>
    </row>
    <row r="619" customFormat="false" ht="15" hidden="false" customHeight="false" outlineLevel="0" collapsed="false">
      <c r="A619" s="0" t="s">
        <v>1230</v>
      </c>
      <c r="B619" s="0" t="s">
        <v>486</v>
      </c>
      <c r="C619" s="0" t="s">
        <v>33</v>
      </c>
    </row>
    <row r="620" customFormat="false" ht="15" hidden="false" customHeight="false" outlineLevel="0" collapsed="false">
      <c r="A620" s="0" t="s">
        <v>1231</v>
      </c>
      <c r="B620" s="0" t="s">
        <v>1232</v>
      </c>
      <c r="C620" s="0" t="s">
        <v>44</v>
      </c>
    </row>
    <row r="621" customFormat="false" ht="15" hidden="false" customHeight="false" outlineLevel="0" collapsed="false">
      <c r="A621" s="0" t="s">
        <v>1233</v>
      </c>
      <c r="B621" s="0" t="s">
        <v>1234</v>
      </c>
      <c r="C621" s="0" t="s">
        <v>38</v>
      </c>
    </row>
    <row r="622" customFormat="false" ht="15" hidden="false" customHeight="false" outlineLevel="0" collapsed="false">
      <c r="A622" s="0" t="s">
        <v>1235</v>
      </c>
      <c r="B622" s="0" t="s">
        <v>1236</v>
      </c>
      <c r="C622" s="0" t="s">
        <v>33</v>
      </c>
    </row>
    <row r="623" customFormat="false" ht="15" hidden="false" customHeight="false" outlineLevel="0" collapsed="false">
      <c r="A623" s="0" t="s">
        <v>1237</v>
      </c>
      <c r="B623" s="0" t="s">
        <v>1238</v>
      </c>
      <c r="C623" s="0" t="s">
        <v>33</v>
      </c>
    </row>
    <row r="624" customFormat="false" ht="15" hidden="false" customHeight="false" outlineLevel="0" collapsed="false">
      <c r="A624" s="0" t="s">
        <v>1239</v>
      </c>
      <c r="B624" s="0" t="s">
        <v>1240</v>
      </c>
      <c r="C624" s="0" t="s">
        <v>44</v>
      </c>
    </row>
    <row r="625" customFormat="false" ht="15" hidden="false" customHeight="false" outlineLevel="0" collapsed="false">
      <c r="A625" s="0" t="s">
        <v>1241</v>
      </c>
      <c r="B625" s="0" t="s">
        <v>1242</v>
      </c>
      <c r="C625" s="0" t="s">
        <v>33</v>
      </c>
    </row>
    <row r="626" customFormat="false" ht="15" hidden="false" customHeight="false" outlineLevel="0" collapsed="false">
      <c r="A626" s="0" t="s">
        <v>1243</v>
      </c>
      <c r="B626" s="0" t="s">
        <v>566</v>
      </c>
      <c r="C626" s="0" t="s">
        <v>38</v>
      </c>
    </row>
    <row r="627" customFormat="false" ht="15" hidden="false" customHeight="false" outlineLevel="0" collapsed="false">
      <c r="A627" s="0" t="s">
        <v>1244</v>
      </c>
      <c r="B627" s="0" t="s">
        <v>1245</v>
      </c>
      <c r="C627" s="0" t="s">
        <v>33</v>
      </c>
    </row>
    <row r="628" customFormat="false" ht="15" hidden="false" customHeight="false" outlineLevel="0" collapsed="false">
      <c r="A628" s="0" t="s">
        <v>1246</v>
      </c>
      <c r="B628" s="0" t="s">
        <v>1247</v>
      </c>
      <c r="C628" s="0" t="s">
        <v>28</v>
      </c>
    </row>
    <row r="629" customFormat="false" ht="15" hidden="false" customHeight="false" outlineLevel="0" collapsed="false">
      <c r="A629" s="0" t="s">
        <v>1248</v>
      </c>
      <c r="B629" s="0" t="s">
        <v>1249</v>
      </c>
      <c r="C629" s="0" t="s">
        <v>21</v>
      </c>
    </row>
    <row r="630" customFormat="false" ht="15" hidden="false" customHeight="false" outlineLevel="0" collapsed="false">
      <c r="A630" s="0" t="s">
        <v>1250</v>
      </c>
      <c r="B630" s="0" t="s">
        <v>1251</v>
      </c>
      <c r="C630" s="0" t="s">
        <v>38</v>
      </c>
    </row>
    <row r="631" customFormat="false" ht="15" hidden="false" customHeight="false" outlineLevel="0" collapsed="false">
      <c r="A631" s="0" t="s">
        <v>1252</v>
      </c>
      <c r="B631" s="0" t="s">
        <v>1253</v>
      </c>
      <c r="C631" s="0" t="s">
        <v>28</v>
      </c>
    </row>
    <row r="632" customFormat="false" ht="15" hidden="false" customHeight="false" outlineLevel="0" collapsed="false">
      <c r="A632" s="0" t="s">
        <v>1254</v>
      </c>
      <c r="B632" s="0" t="s">
        <v>1255</v>
      </c>
      <c r="C632" s="0" t="s">
        <v>41</v>
      </c>
    </row>
    <row r="633" customFormat="false" ht="15" hidden="false" customHeight="false" outlineLevel="0" collapsed="false">
      <c r="A633" s="0" t="s">
        <v>1256</v>
      </c>
      <c r="B633" s="0" t="s">
        <v>1257</v>
      </c>
      <c r="C633" s="0" t="s">
        <v>44</v>
      </c>
    </row>
    <row r="634" customFormat="false" ht="15" hidden="false" customHeight="false" outlineLevel="0" collapsed="false">
      <c r="A634" s="0" t="s">
        <v>1258</v>
      </c>
      <c r="B634" s="0" t="s">
        <v>1259</v>
      </c>
      <c r="C634" s="0" t="s">
        <v>38</v>
      </c>
    </row>
    <row r="635" customFormat="false" ht="15" hidden="false" customHeight="false" outlineLevel="0" collapsed="false">
      <c r="A635" s="0" t="s">
        <v>1260</v>
      </c>
      <c r="B635" s="0" t="s">
        <v>1261</v>
      </c>
      <c r="C635" s="0" t="s">
        <v>28</v>
      </c>
    </row>
    <row r="636" customFormat="false" ht="15" hidden="false" customHeight="false" outlineLevel="0" collapsed="false">
      <c r="A636" s="0" t="s">
        <v>1262</v>
      </c>
      <c r="B636" s="0" t="s">
        <v>1263</v>
      </c>
      <c r="C636" s="0" t="s">
        <v>44</v>
      </c>
    </row>
    <row r="637" customFormat="false" ht="15" hidden="false" customHeight="false" outlineLevel="0" collapsed="false">
      <c r="A637" s="0" t="s">
        <v>1264</v>
      </c>
      <c r="B637" s="0" t="s">
        <v>1265</v>
      </c>
      <c r="C637" s="0" t="s">
        <v>28</v>
      </c>
    </row>
    <row r="638" customFormat="false" ht="15" hidden="false" customHeight="false" outlineLevel="0" collapsed="false">
      <c r="A638" s="0" t="s">
        <v>1266</v>
      </c>
      <c r="B638" s="0" t="s">
        <v>1267</v>
      </c>
      <c r="C638" s="0" t="s">
        <v>44</v>
      </c>
    </row>
    <row r="639" customFormat="false" ht="15" hidden="false" customHeight="false" outlineLevel="0" collapsed="false">
      <c r="A639" s="0" t="s">
        <v>1268</v>
      </c>
      <c r="B639" s="0" t="s">
        <v>1269</v>
      </c>
      <c r="C639" s="0" t="s">
        <v>41</v>
      </c>
    </row>
    <row r="640" customFormat="false" ht="15" hidden="false" customHeight="false" outlineLevel="0" collapsed="false">
      <c r="A640" s="0" t="s">
        <v>1270</v>
      </c>
      <c r="B640" s="0" t="s">
        <v>1271</v>
      </c>
      <c r="C640" s="0" t="s">
        <v>28</v>
      </c>
    </row>
    <row r="641" customFormat="false" ht="15" hidden="false" customHeight="false" outlineLevel="0" collapsed="false">
      <c r="A641" s="0" t="s">
        <v>1272</v>
      </c>
      <c r="B641" s="0" t="s">
        <v>1273</v>
      </c>
      <c r="C641" s="0" t="s">
        <v>33</v>
      </c>
    </row>
    <row r="642" customFormat="false" ht="15" hidden="false" customHeight="false" outlineLevel="0" collapsed="false">
      <c r="A642" s="0" t="s">
        <v>1274</v>
      </c>
      <c r="B642" s="0" t="s">
        <v>570</v>
      </c>
      <c r="C642" s="0" t="s">
        <v>38</v>
      </c>
    </row>
    <row r="643" customFormat="false" ht="15" hidden="false" customHeight="false" outlineLevel="0" collapsed="false">
      <c r="A643" s="0" t="s">
        <v>1275</v>
      </c>
      <c r="B643" s="0" t="s">
        <v>1276</v>
      </c>
      <c r="C643" s="0" t="s">
        <v>44</v>
      </c>
    </row>
    <row r="644" customFormat="false" ht="15" hidden="false" customHeight="false" outlineLevel="0" collapsed="false">
      <c r="A644" s="0" t="s">
        <v>1277</v>
      </c>
      <c r="B644" s="0" t="s">
        <v>1278</v>
      </c>
      <c r="C644" s="0" t="s">
        <v>44</v>
      </c>
    </row>
    <row r="645" customFormat="false" ht="15" hidden="false" customHeight="false" outlineLevel="0" collapsed="false">
      <c r="A645" s="0" t="s">
        <v>1279</v>
      </c>
      <c r="B645" s="0" t="s">
        <v>1280</v>
      </c>
      <c r="C645" s="0" t="s">
        <v>41</v>
      </c>
    </row>
    <row r="646" customFormat="false" ht="15" hidden="false" customHeight="false" outlineLevel="0" collapsed="false">
      <c r="A646" s="0" t="s">
        <v>1281</v>
      </c>
      <c r="B646" s="0" t="s">
        <v>1282</v>
      </c>
      <c r="C646" s="0" t="s">
        <v>33</v>
      </c>
    </row>
    <row r="647" customFormat="false" ht="15" hidden="false" customHeight="false" outlineLevel="0" collapsed="false">
      <c r="A647" s="0" t="s">
        <v>1283</v>
      </c>
      <c r="B647" s="0" t="s">
        <v>1284</v>
      </c>
      <c r="C647" s="0" t="s">
        <v>41</v>
      </c>
    </row>
    <row r="648" customFormat="false" ht="15" hidden="false" customHeight="false" outlineLevel="0" collapsed="false">
      <c r="A648" s="0" t="s">
        <v>1285</v>
      </c>
      <c r="B648" s="0" t="s">
        <v>1286</v>
      </c>
      <c r="C648" s="0" t="s">
        <v>33</v>
      </c>
    </row>
    <row r="649" customFormat="false" ht="15" hidden="false" customHeight="false" outlineLevel="0" collapsed="false">
      <c r="A649" s="0" t="s">
        <v>1287</v>
      </c>
      <c r="B649" s="0" t="s">
        <v>1257</v>
      </c>
      <c r="C649" s="0" t="s">
        <v>44</v>
      </c>
    </row>
    <row r="650" customFormat="false" ht="15" hidden="false" customHeight="false" outlineLevel="0" collapsed="false">
      <c r="A650" s="0" t="s">
        <v>1288</v>
      </c>
      <c r="B650" s="0" t="s">
        <v>1289</v>
      </c>
      <c r="C650" s="0" t="s">
        <v>44</v>
      </c>
    </row>
    <row r="651" customFormat="false" ht="15" hidden="false" customHeight="false" outlineLevel="0" collapsed="false">
      <c r="A651" s="0" t="s">
        <v>1290</v>
      </c>
      <c r="B651" s="0" t="s">
        <v>628</v>
      </c>
      <c r="C651" s="0" t="s">
        <v>41</v>
      </c>
    </row>
    <row r="652" customFormat="false" ht="15" hidden="false" customHeight="false" outlineLevel="0" collapsed="false">
      <c r="A652" s="0" t="s">
        <v>1291</v>
      </c>
      <c r="B652" s="0" t="s">
        <v>1292</v>
      </c>
      <c r="C652" s="0" t="s">
        <v>33</v>
      </c>
    </row>
    <row r="653" customFormat="false" ht="15" hidden="false" customHeight="false" outlineLevel="0" collapsed="false">
      <c r="A653" s="0" t="s">
        <v>1293</v>
      </c>
      <c r="B653" s="0" t="s">
        <v>1294</v>
      </c>
      <c r="C653" s="0" t="s">
        <v>33</v>
      </c>
    </row>
    <row r="654" customFormat="false" ht="15" hidden="false" customHeight="false" outlineLevel="0" collapsed="false">
      <c r="A654" s="0" t="s">
        <v>1295</v>
      </c>
      <c r="B654" s="0" t="s">
        <v>450</v>
      </c>
      <c r="C654" s="0" t="s">
        <v>33</v>
      </c>
    </row>
    <row r="655" customFormat="false" ht="15" hidden="false" customHeight="false" outlineLevel="0" collapsed="false">
      <c r="A655" s="0" t="s">
        <v>1296</v>
      </c>
      <c r="B655" s="0" t="s">
        <v>1297</v>
      </c>
      <c r="C655" s="0" t="s">
        <v>44</v>
      </c>
    </row>
    <row r="656" customFormat="false" ht="15" hidden="false" customHeight="false" outlineLevel="0" collapsed="false">
      <c r="A656" s="0" t="s">
        <v>1298</v>
      </c>
      <c r="B656" s="0" t="s">
        <v>1299</v>
      </c>
      <c r="C656" s="0" t="s">
        <v>33</v>
      </c>
    </row>
    <row r="657" customFormat="false" ht="15" hidden="false" customHeight="false" outlineLevel="0" collapsed="false">
      <c r="A657" s="0" t="s">
        <v>1300</v>
      </c>
      <c r="B657" s="0" t="s">
        <v>1301</v>
      </c>
      <c r="C657" s="0" t="s">
        <v>41</v>
      </c>
    </row>
    <row r="658" customFormat="false" ht="15" hidden="false" customHeight="false" outlineLevel="0" collapsed="false">
      <c r="A658" s="0" t="s">
        <v>1302</v>
      </c>
      <c r="B658" s="0" t="s">
        <v>1303</v>
      </c>
      <c r="C658" s="0" t="s">
        <v>28</v>
      </c>
    </row>
    <row r="659" customFormat="false" ht="15" hidden="false" customHeight="false" outlineLevel="0" collapsed="false">
      <c r="A659" s="0" t="s">
        <v>1304</v>
      </c>
      <c r="B659" s="0" t="s">
        <v>586</v>
      </c>
      <c r="C659" s="0" t="s">
        <v>44</v>
      </c>
    </row>
    <row r="660" customFormat="false" ht="15" hidden="false" customHeight="false" outlineLevel="0" collapsed="false">
      <c r="A660" s="0" t="s">
        <v>1305</v>
      </c>
      <c r="B660" s="0" t="s">
        <v>1306</v>
      </c>
      <c r="C660" s="0" t="s">
        <v>28</v>
      </c>
    </row>
    <row r="661" customFormat="false" ht="15" hidden="false" customHeight="false" outlineLevel="0" collapsed="false">
      <c r="A661" s="0" t="s">
        <v>1307</v>
      </c>
      <c r="B661" s="0" t="s">
        <v>1308</v>
      </c>
      <c r="C661" s="0" t="s">
        <v>38</v>
      </c>
    </row>
    <row r="662" customFormat="false" ht="15" hidden="false" customHeight="false" outlineLevel="0" collapsed="false">
      <c r="A662" s="0" t="s">
        <v>1309</v>
      </c>
      <c r="B662" s="0" t="s">
        <v>1310</v>
      </c>
      <c r="C662" s="0" t="s">
        <v>21</v>
      </c>
    </row>
    <row r="663" customFormat="false" ht="15" hidden="false" customHeight="false" outlineLevel="0" collapsed="false">
      <c r="A663" s="0" t="s">
        <v>1311</v>
      </c>
      <c r="B663" s="0" t="s">
        <v>1312</v>
      </c>
      <c r="C663" s="0" t="s">
        <v>28</v>
      </c>
    </row>
    <row r="664" customFormat="false" ht="15" hidden="false" customHeight="false" outlineLevel="0" collapsed="false">
      <c r="A664" s="0" t="s">
        <v>1313</v>
      </c>
      <c r="B664" s="0" t="s">
        <v>1314</v>
      </c>
      <c r="C664" s="0" t="s">
        <v>21</v>
      </c>
    </row>
    <row r="665" customFormat="false" ht="15" hidden="false" customHeight="false" outlineLevel="0" collapsed="false">
      <c r="A665" s="0" t="s">
        <v>1315</v>
      </c>
      <c r="B665" s="0" t="s">
        <v>1316</v>
      </c>
      <c r="C665" s="0" t="s">
        <v>33</v>
      </c>
    </row>
    <row r="666" customFormat="false" ht="15" hidden="false" customHeight="false" outlineLevel="0" collapsed="false">
      <c r="A666" s="0" t="s">
        <v>1317</v>
      </c>
      <c r="B666" s="0" t="s">
        <v>1318</v>
      </c>
      <c r="C666" s="0" t="s">
        <v>38</v>
      </c>
    </row>
    <row r="667" customFormat="false" ht="15" hidden="false" customHeight="false" outlineLevel="0" collapsed="false">
      <c r="A667" s="0" t="s">
        <v>1319</v>
      </c>
      <c r="B667" s="0" t="s">
        <v>1320</v>
      </c>
      <c r="C667" s="0" t="s">
        <v>21</v>
      </c>
    </row>
    <row r="668" customFormat="false" ht="15" hidden="false" customHeight="false" outlineLevel="0" collapsed="false">
      <c r="A668" s="0" t="s">
        <v>1321</v>
      </c>
      <c r="B668" s="0" t="s">
        <v>1322</v>
      </c>
      <c r="C668" s="0" t="s">
        <v>28</v>
      </c>
    </row>
    <row r="669" customFormat="false" ht="15" hidden="false" customHeight="false" outlineLevel="0" collapsed="false">
      <c r="A669" s="0" t="s">
        <v>1323</v>
      </c>
      <c r="B669" s="0" t="s">
        <v>1324</v>
      </c>
      <c r="C669" s="0" t="s">
        <v>44</v>
      </c>
    </row>
    <row r="670" customFormat="false" ht="15" hidden="false" customHeight="false" outlineLevel="0" collapsed="false">
      <c r="A670" s="0" t="s">
        <v>1325</v>
      </c>
      <c r="B670" s="0" t="s">
        <v>1326</v>
      </c>
      <c r="C670" s="0" t="s">
        <v>41</v>
      </c>
    </row>
    <row r="671" customFormat="false" ht="15" hidden="false" customHeight="false" outlineLevel="0" collapsed="false">
      <c r="A671" s="0" t="s">
        <v>1327</v>
      </c>
      <c r="B671" s="0" t="s">
        <v>1328</v>
      </c>
      <c r="C671" s="0" t="s">
        <v>21</v>
      </c>
    </row>
    <row r="672" customFormat="false" ht="15" hidden="false" customHeight="false" outlineLevel="0" collapsed="false">
      <c r="A672" s="0" t="s">
        <v>1329</v>
      </c>
      <c r="B672" s="0" t="s">
        <v>1330</v>
      </c>
      <c r="C672" s="0" t="s">
        <v>44</v>
      </c>
    </row>
    <row r="673" customFormat="false" ht="15" hidden="false" customHeight="false" outlineLevel="0" collapsed="false">
      <c r="A673" s="0" t="s">
        <v>1331</v>
      </c>
      <c r="B673" s="0" t="s">
        <v>1332</v>
      </c>
      <c r="C673" s="0" t="s">
        <v>41</v>
      </c>
    </row>
    <row r="674" customFormat="false" ht="15" hidden="false" customHeight="false" outlineLevel="0" collapsed="false">
      <c r="A674" s="0" t="s">
        <v>1333</v>
      </c>
      <c r="B674" s="0" t="s">
        <v>1334</v>
      </c>
      <c r="C674" s="0" t="s">
        <v>41</v>
      </c>
    </row>
    <row r="675" customFormat="false" ht="15" hidden="false" customHeight="false" outlineLevel="0" collapsed="false">
      <c r="A675" s="0" t="s">
        <v>1335</v>
      </c>
      <c r="B675" s="0" t="s">
        <v>1336</v>
      </c>
      <c r="C675" s="0" t="s">
        <v>21</v>
      </c>
    </row>
    <row r="676" customFormat="false" ht="15" hidden="false" customHeight="false" outlineLevel="0" collapsed="false">
      <c r="A676" s="0" t="s">
        <v>1337</v>
      </c>
      <c r="B676" s="0" t="s">
        <v>1338</v>
      </c>
      <c r="C676" s="0" t="s">
        <v>28</v>
      </c>
    </row>
    <row r="677" customFormat="false" ht="15" hidden="false" customHeight="false" outlineLevel="0" collapsed="false">
      <c r="A677" s="0" t="s">
        <v>1339</v>
      </c>
      <c r="B677" s="0" t="s">
        <v>1340</v>
      </c>
      <c r="C677" s="0" t="s">
        <v>33</v>
      </c>
    </row>
    <row r="678" customFormat="false" ht="15" hidden="false" customHeight="false" outlineLevel="0" collapsed="false">
      <c r="A678" s="0" t="s">
        <v>1341</v>
      </c>
      <c r="B678" s="0" t="s">
        <v>1342</v>
      </c>
      <c r="C678" s="0" t="s">
        <v>21</v>
      </c>
    </row>
    <row r="679" customFormat="false" ht="15" hidden="false" customHeight="false" outlineLevel="0" collapsed="false">
      <c r="A679" s="0" t="s">
        <v>1343</v>
      </c>
      <c r="B679" s="0" t="s">
        <v>566</v>
      </c>
      <c r="C679" s="0" t="s">
        <v>41</v>
      </c>
    </row>
    <row r="680" customFormat="false" ht="15" hidden="false" customHeight="false" outlineLevel="0" collapsed="false">
      <c r="A680" s="0" t="s">
        <v>1344</v>
      </c>
      <c r="B680" s="0" t="s">
        <v>1345</v>
      </c>
      <c r="C680" s="0" t="s">
        <v>21</v>
      </c>
    </row>
    <row r="681" customFormat="false" ht="15" hidden="false" customHeight="false" outlineLevel="0" collapsed="false">
      <c r="A681" s="0" t="s">
        <v>1346</v>
      </c>
      <c r="B681" s="0" t="s">
        <v>1347</v>
      </c>
      <c r="C681" s="0" t="s">
        <v>41</v>
      </c>
    </row>
    <row r="682" customFormat="false" ht="15" hidden="false" customHeight="false" outlineLevel="0" collapsed="false">
      <c r="A682" s="0" t="s">
        <v>1348</v>
      </c>
      <c r="B682" s="0" t="s">
        <v>1349</v>
      </c>
      <c r="C682" s="0" t="s">
        <v>21</v>
      </c>
    </row>
    <row r="683" customFormat="false" ht="15" hidden="false" customHeight="false" outlineLevel="0" collapsed="false">
      <c r="A683" s="0" t="s">
        <v>1350</v>
      </c>
      <c r="B683" s="0" t="s">
        <v>1351</v>
      </c>
      <c r="C683" s="0" t="s">
        <v>38</v>
      </c>
    </row>
    <row r="684" customFormat="false" ht="15" hidden="false" customHeight="false" outlineLevel="0" collapsed="false">
      <c r="A684" s="0" t="s">
        <v>1352</v>
      </c>
      <c r="B684" s="0" t="s">
        <v>1353</v>
      </c>
      <c r="C684" s="0" t="s">
        <v>44</v>
      </c>
    </row>
    <row r="685" customFormat="false" ht="15" hidden="false" customHeight="false" outlineLevel="0" collapsed="false">
      <c r="A685" s="0" t="s">
        <v>1354</v>
      </c>
      <c r="B685" s="0" t="s">
        <v>1355</v>
      </c>
      <c r="C685" s="0" t="s">
        <v>41</v>
      </c>
    </row>
    <row r="686" customFormat="false" ht="15" hidden="false" customHeight="false" outlineLevel="0" collapsed="false">
      <c r="A686" s="0" t="s">
        <v>1356</v>
      </c>
      <c r="B686" s="0" t="s">
        <v>1074</v>
      </c>
      <c r="C686" s="0" t="s">
        <v>44</v>
      </c>
    </row>
    <row r="687" customFormat="false" ht="15" hidden="false" customHeight="false" outlineLevel="0" collapsed="false">
      <c r="A687" s="0" t="s">
        <v>1357</v>
      </c>
      <c r="B687" s="0" t="s">
        <v>1358</v>
      </c>
      <c r="C687" s="0" t="s">
        <v>28</v>
      </c>
    </row>
    <row r="688" customFormat="false" ht="15" hidden="false" customHeight="false" outlineLevel="0" collapsed="false">
      <c r="A688" s="0" t="s">
        <v>1359</v>
      </c>
      <c r="B688" s="0" t="s">
        <v>1360</v>
      </c>
      <c r="C688" s="0" t="s">
        <v>33</v>
      </c>
    </row>
    <row r="689" customFormat="false" ht="15" hidden="false" customHeight="false" outlineLevel="0" collapsed="false">
      <c r="A689" s="0" t="s">
        <v>1361</v>
      </c>
      <c r="B689" s="0" t="s">
        <v>1362</v>
      </c>
      <c r="C689" s="0" t="s">
        <v>38</v>
      </c>
    </row>
    <row r="690" customFormat="false" ht="15" hidden="false" customHeight="false" outlineLevel="0" collapsed="false">
      <c r="A690" s="0" t="s">
        <v>1363</v>
      </c>
      <c r="B690" s="0" t="s">
        <v>1364</v>
      </c>
      <c r="C690" s="0" t="s">
        <v>44</v>
      </c>
    </row>
    <row r="691" customFormat="false" ht="15" hidden="false" customHeight="false" outlineLevel="0" collapsed="false">
      <c r="A691" s="0" t="s">
        <v>1365</v>
      </c>
      <c r="B691" s="0" t="s">
        <v>1366</v>
      </c>
      <c r="C691" s="0" t="s">
        <v>44</v>
      </c>
    </row>
    <row r="692" customFormat="false" ht="15" hidden="false" customHeight="false" outlineLevel="0" collapsed="false">
      <c r="A692" s="0" t="s">
        <v>1367</v>
      </c>
      <c r="B692" s="0" t="s">
        <v>1368</v>
      </c>
      <c r="C692" s="0" t="s">
        <v>44</v>
      </c>
    </row>
    <row r="693" customFormat="false" ht="15" hidden="false" customHeight="false" outlineLevel="0" collapsed="false">
      <c r="A693" s="0" t="s">
        <v>1369</v>
      </c>
      <c r="B693" s="0" t="s">
        <v>1370</v>
      </c>
      <c r="C693" s="0" t="s">
        <v>28</v>
      </c>
    </row>
    <row r="694" customFormat="false" ht="15" hidden="false" customHeight="false" outlineLevel="0" collapsed="false">
      <c r="A694" s="0" t="s">
        <v>1371</v>
      </c>
      <c r="B694" s="0" t="s">
        <v>1372</v>
      </c>
      <c r="C694" s="0" t="s">
        <v>41</v>
      </c>
    </row>
    <row r="695" customFormat="false" ht="15" hidden="false" customHeight="false" outlineLevel="0" collapsed="false">
      <c r="A695" s="0" t="s">
        <v>1373</v>
      </c>
      <c r="B695" s="0" t="s">
        <v>1374</v>
      </c>
      <c r="C695" s="0" t="s">
        <v>38</v>
      </c>
    </row>
    <row r="696" customFormat="false" ht="15" hidden="false" customHeight="false" outlineLevel="0" collapsed="false">
      <c r="A696" s="0" t="s">
        <v>1375</v>
      </c>
      <c r="B696" s="0" t="s">
        <v>1376</v>
      </c>
      <c r="C696" s="0" t="s">
        <v>21</v>
      </c>
    </row>
    <row r="697" customFormat="false" ht="15" hidden="false" customHeight="false" outlineLevel="0" collapsed="false">
      <c r="A697" s="0" t="s">
        <v>1377</v>
      </c>
      <c r="B697" s="0" t="s">
        <v>1378</v>
      </c>
      <c r="C697" s="0" t="s">
        <v>38</v>
      </c>
    </row>
    <row r="698" customFormat="false" ht="15" hidden="false" customHeight="false" outlineLevel="0" collapsed="false">
      <c r="A698" s="0" t="s">
        <v>1379</v>
      </c>
      <c r="B698" s="0" t="s">
        <v>1380</v>
      </c>
      <c r="C698" s="0" t="s">
        <v>38</v>
      </c>
    </row>
    <row r="699" customFormat="false" ht="15" hidden="false" customHeight="false" outlineLevel="0" collapsed="false">
      <c r="A699" s="0" t="s">
        <v>1381</v>
      </c>
      <c r="B699" s="0" t="s">
        <v>1043</v>
      </c>
      <c r="C699" s="0" t="s">
        <v>44</v>
      </c>
    </row>
    <row r="700" customFormat="false" ht="15" hidden="false" customHeight="false" outlineLevel="0" collapsed="false">
      <c r="A700" s="0" t="s">
        <v>1382</v>
      </c>
      <c r="B700" s="0" t="s">
        <v>1383</v>
      </c>
      <c r="C700" s="0" t="s">
        <v>21</v>
      </c>
    </row>
    <row r="701" customFormat="false" ht="15" hidden="false" customHeight="false" outlineLevel="0" collapsed="false">
      <c r="A701" s="0" t="s">
        <v>1384</v>
      </c>
      <c r="B701" s="0" t="s">
        <v>1385</v>
      </c>
      <c r="C701" s="0" t="s">
        <v>21</v>
      </c>
    </row>
    <row r="702" customFormat="false" ht="15" hidden="false" customHeight="false" outlineLevel="0" collapsed="false">
      <c r="A702" s="0" t="s">
        <v>1386</v>
      </c>
      <c r="B702" s="0" t="s">
        <v>1387</v>
      </c>
      <c r="C702" s="0" t="s">
        <v>28</v>
      </c>
    </row>
    <row r="703" customFormat="false" ht="15" hidden="false" customHeight="false" outlineLevel="0" collapsed="false">
      <c r="A703" s="0" t="s">
        <v>1388</v>
      </c>
      <c r="B703" s="0" t="s">
        <v>1389</v>
      </c>
      <c r="C703" s="0" t="s">
        <v>38</v>
      </c>
    </row>
    <row r="704" customFormat="false" ht="15" hidden="false" customHeight="false" outlineLevel="0" collapsed="false">
      <c r="A704" s="0" t="s">
        <v>1390</v>
      </c>
      <c r="B704" s="0" t="s">
        <v>1391</v>
      </c>
      <c r="C704" s="0" t="s">
        <v>41</v>
      </c>
    </row>
    <row r="705" customFormat="false" ht="15" hidden="false" customHeight="false" outlineLevel="0" collapsed="false">
      <c r="A705" s="0" t="s">
        <v>1392</v>
      </c>
      <c r="B705" s="0" t="s">
        <v>1393</v>
      </c>
      <c r="C705" s="0" t="s">
        <v>21</v>
      </c>
    </row>
    <row r="706" customFormat="false" ht="15" hidden="false" customHeight="false" outlineLevel="0" collapsed="false">
      <c r="A706" s="0" t="s">
        <v>1394</v>
      </c>
      <c r="B706" s="0" t="s">
        <v>30</v>
      </c>
      <c r="C706" s="0" t="s">
        <v>28</v>
      </c>
    </row>
    <row r="707" customFormat="false" ht="15" hidden="false" customHeight="false" outlineLevel="0" collapsed="false">
      <c r="A707" s="0" t="s">
        <v>1395</v>
      </c>
      <c r="B707" s="0" t="s">
        <v>1396</v>
      </c>
      <c r="C707" s="0" t="s">
        <v>33</v>
      </c>
    </row>
    <row r="708" customFormat="false" ht="15" hidden="false" customHeight="false" outlineLevel="0" collapsed="false">
      <c r="A708" s="0" t="s">
        <v>1397</v>
      </c>
      <c r="B708" s="0" t="s">
        <v>1398</v>
      </c>
      <c r="C708" s="0" t="s">
        <v>28</v>
      </c>
    </row>
    <row r="709" customFormat="false" ht="15" hidden="false" customHeight="false" outlineLevel="0" collapsed="false">
      <c r="A709" s="0" t="s">
        <v>1399</v>
      </c>
      <c r="B709" s="0" t="s">
        <v>1400</v>
      </c>
      <c r="C709" s="0" t="s">
        <v>28</v>
      </c>
    </row>
    <row r="710" customFormat="false" ht="15" hidden="false" customHeight="false" outlineLevel="0" collapsed="false">
      <c r="A710" s="0" t="s">
        <v>1401</v>
      </c>
      <c r="B710" s="0" t="s">
        <v>1402</v>
      </c>
      <c r="C710" s="0" t="s">
        <v>21</v>
      </c>
    </row>
    <row r="711" customFormat="false" ht="15" hidden="false" customHeight="false" outlineLevel="0" collapsed="false">
      <c r="A711" s="0" t="s">
        <v>1403</v>
      </c>
      <c r="B711" s="0" t="s">
        <v>1404</v>
      </c>
      <c r="C711" s="0" t="s">
        <v>41</v>
      </c>
    </row>
    <row r="712" customFormat="false" ht="15" hidden="false" customHeight="false" outlineLevel="0" collapsed="false">
      <c r="A712" s="0" t="s">
        <v>1405</v>
      </c>
      <c r="B712" s="0" t="s">
        <v>1406</v>
      </c>
      <c r="C712" s="0" t="s">
        <v>21</v>
      </c>
    </row>
    <row r="713" customFormat="false" ht="15" hidden="false" customHeight="false" outlineLevel="0" collapsed="false">
      <c r="A713" s="0" t="s">
        <v>1407</v>
      </c>
      <c r="B713" s="0" t="s">
        <v>1408</v>
      </c>
      <c r="C713" s="0" t="s">
        <v>41</v>
      </c>
    </row>
    <row r="714" customFormat="false" ht="15" hidden="false" customHeight="false" outlineLevel="0" collapsed="false">
      <c r="A714" s="0" t="s">
        <v>1409</v>
      </c>
      <c r="B714" s="0" t="s">
        <v>1410</v>
      </c>
      <c r="C714" s="0" t="s">
        <v>41</v>
      </c>
    </row>
    <row r="715" customFormat="false" ht="15" hidden="false" customHeight="false" outlineLevel="0" collapsed="false">
      <c r="A715" s="0" t="s">
        <v>1411</v>
      </c>
      <c r="B715" s="0" t="s">
        <v>1412</v>
      </c>
      <c r="C715" s="0" t="s">
        <v>21</v>
      </c>
    </row>
    <row r="716" customFormat="false" ht="15" hidden="false" customHeight="false" outlineLevel="0" collapsed="false">
      <c r="A716" s="0" t="s">
        <v>1413</v>
      </c>
      <c r="B716" s="0" t="s">
        <v>1414</v>
      </c>
      <c r="C716" s="0" t="s">
        <v>21</v>
      </c>
    </row>
    <row r="717" customFormat="false" ht="15" hidden="false" customHeight="false" outlineLevel="0" collapsed="false">
      <c r="A717" s="0" t="s">
        <v>1415</v>
      </c>
      <c r="B717" s="0" t="s">
        <v>1416</v>
      </c>
      <c r="C717" s="0" t="s">
        <v>28</v>
      </c>
    </row>
    <row r="718" customFormat="false" ht="15" hidden="false" customHeight="false" outlineLevel="0" collapsed="false">
      <c r="A718" s="0" t="s">
        <v>1417</v>
      </c>
      <c r="B718" s="0" t="s">
        <v>1418</v>
      </c>
      <c r="C718" s="0" t="s">
        <v>38</v>
      </c>
    </row>
    <row r="719" customFormat="false" ht="15" hidden="false" customHeight="false" outlineLevel="0" collapsed="false">
      <c r="A719" s="0" t="s">
        <v>1419</v>
      </c>
      <c r="B719" s="0" t="s">
        <v>1420</v>
      </c>
      <c r="C719" s="0" t="s">
        <v>21</v>
      </c>
    </row>
    <row r="720" customFormat="false" ht="15" hidden="false" customHeight="false" outlineLevel="0" collapsed="false">
      <c r="A720" s="0" t="s">
        <v>1421</v>
      </c>
      <c r="B720" s="0" t="s">
        <v>1422</v>
      </c>
      <c r="C720" s="0" t="s">
        <v>28</v>
      </c>
    </row>
    <row r="721" customFormat="false" ht="15" hidden="false" customHeight="false" outlineLevel="0" collapsed="false">
      <c r="A721" s="0" t="s">
        <v>1423</v>
      </c>
      <c r="B721" s="0" t="s">
        <v>1424</v>
      </c>
      <c r="C721" s="0" t="s">
        <v>33</v>
      </c>
    </row>
    <row r="722" customFormat="false" ht="15" hidden="false" customHeight="false" outlineLevel="0" collapsed="false">
      <c r="A722" s="0" t="s">
        <v>1425</v>
      </c>
      <c r="B722" s="0" t="s">
        <v>1426</v>
      </c>
      <c r="C722" s="0" t="s">
        <v>33</v>
      </c>
    </row>
    <row r="723" customFormat="false" ht="15" hidden="false" customHeight="false" outlineLevel="0" collapsed="false">
      <c r="A723" s="0" t="s">
        <v>1427</v>
      </c>
      <c r="B723" s="0" t="s">
        <v>1428</v>
      </c>
      <c r="C723" s="0" t="s">
        <v>33</v>
      </c>
    </row>
    <row r="724" customFormat="false" ht="15" hidden="false" customHeight="false" outlineLevel="0" collapsed="false">
      <c r="A724" s="0" t="s">
        <v>1429</v>
      </c>
      <c r="B724" s="0" t="s">
        <v>1430</v>
      </c>
      <c r="C724" s="0" t="s">
        <v>28</v>
      </c>
    </row>
    <row r="725" customFormat="false" ht="15" hidden="false" customHeight="false" outlineLevel="0" collapsed="false">
      <c r="A725" s="0" t="s">
        <v>1431</v>
      </c>
      <c r="B725" s="0" t="s">
        <v>1432</v>
      </c>
      <c r="C725" s="0" t="s">
        <v>33</v>
      </c>
    </row>
    <row r="726" customFormat="false" ht="15" hidden="false" customHeight="false" outlineLevel="0" collapsed="false">
      <c r="A726" s="0" t="s">
        <v>1433</v>
      </c>
      <c r="B726" s="0" t="s">
        <v>1434</v>
      </c>
      <c r="C726" s="0" t="s">
        <v>41</v>
      </c>
    </row>
    <row r="727" customFormat="false" ht="15" hidden="false" customHeight="false" outlineLevel="0" collapsed="false">
      <c r="A727" s="0" t="s">
        <v>1435</v>
      </c>
      <c r="B727" s="0" t="s">
        <v>1436</v>
      </c>
      <c r="C727" s="0" t="s">
        <v>33</v>
      </c>
    </row>
    <row r="728" customFormat="false" ht="15" hidden="false" customHeight="false" outlineLevel="0" collapsed="false">
      <c r="A728" s="0" t="s">
        <v>1437</v>
      </c>
      <c r="B728" s="0" t="s">
        <v>1438</v>
      </c>
      <c r="C728" s="0" t="s">
        <v>44</v>
      </c>
    </row>
    <row r="729" customFormat="false" ht="15" hidden="false" customHeight="false" outlineLevel="0" collapsed="false">
      <c r="A729" s="0" t="s">
        <v>1439</v>
      </c>
      <c r="B729" s="0" t="s">
        <v>1440</v>
      </c>
      <c r="C729" s="0" t="s">
        <v>38</v>
      </c>
    </row>
    <row r="730" customFormat="false" ht="15" hidden="false" customHeight="false" outlineLevel="0" collapsed="false">
      <c r="A730" s="0" t="s">
        <v>1441</v>
      </c>
      <c r="B730" s="0" t="s">
        <v>1442</v>
      </c>
      <c r="C730" s="0" t="s">
        <v>28</v>
      </c>
    </row>
    <row r="731" customFormat="false" ht="15" hidden="false" customHeight="false" outlineLevel="0" collapsed="false">
      <c r="A731" s="0" t="s">
        <v>1443</v>
      </c>
      <c r="B731" s="0" t="s">
        <v>1444</v>
      </c>
      <c r="C731" s="0" t="s">
        <v>28</v>
      </c>
    </row>
    <row r="732" customFormat="false" ht="15" hidden="false" customHeight="false" outlineLevel="0" collapsed="false">
      <c r="A732" s="0" t="s">
        <v>1445</v>
      </c>
      <c r="B732" s="0" t="s">
        <v>1446</v>
      </c>
      <c r="C732" s="0" t="s">
        <v>38</v>
      </c>
    </row>
    <row r="733" customFormat="false" ht="15" hidden="false" customHeight="false" outlineLevel="0" collapsed="false">
      <c r="A733" s="0" t="s">
        <v>1447</v>
      </c>
      <c r="B733" s="0" t="s">
        <v>1448</v>
      </c>
      <c r="C733" s="0" t="s">
        <v>28</v>
      </c>
    </row>
    <row r="734" customFormat="false" ht="15" hidden="false" customHeight="false" outlineLevel="0" collapsed="false">
      <c r="A734" s="0" t="s">
        <v>1449</v>
      </c>
      <c r="B734" s="0" t="s">
        <v>1450</v>
      </c>
      <c r="C734" s="0" t="s">
        <v>38</v>
      </c>
    </row>
    <row r="735" customFormat="false" ht="15" hidden="false" customHeight="false" outlineLevel="0" collapsed="false">
      <c r="A735" s="0" t="s">
        <v>1451</v>
      </c>
      <c r="B735" s="0" t="s">
        <v>1452</v>
      </c>
      <c r="C735" s="0" t="s">
        <v>41</v>
      </c>
    </row>
    <row r="736" customFormat="false" ht="15" hidden="false" customHeight="false" outlineLevel="0" collapsed="false">
      <c r="A736" s="0" t="s">
        <v>1453</v>
      </c>
      <c r="B736" s="0" t="s">
        <v>1454</v>
      </c>
      <c r="C736" s="0" t="s">
        <v>33</v>
      </c>
    </row>
    <row r="737" customFormat="false" ht="15" hidden="false" customHeight="false" outlineLevel="0" collapsed="false">
      <c r="A737" s="0" t="s">
        <v>1455</v>
      </c>
      <c r="B737" s="0" t="s">
        <v>1408</v>
      </c>
      <c r="C737" s="0" t="s">
        <v>41</v>
      </c>
    </row>
    <row r="738" customFormat="false" ht="15" hidden="false" customHeight="false" outlineLevel="0" collapsed="false">
      <c r="A738" s="0" t="s">
        <v>1456</v>
      </c>
      <c r="B738" s="0" t="s">
        <v>1457</v>
      </c>
      <c r="C738" s="0" t="s">
        <v>38</v>
      </c>
    </row>
    <row r="739" customFormat="false" ht="15" hidden="false" customHeight="false" outlineLevel="0" collapsed="false">
      <c r="A739" s="0" t="s">
        <v>1458</v>
      </c>
      <c r="B739" s="0" t="s">
        <v>1459</v>
      </c>
      <c r="C739" s="0" t="s">
        <v>33</v>
      </c>
    </row>
    <row r="740" customFormat="false" ht="15" hidden="false" customHeight="false" outlineLevel="0" collapsed="false">
      <c r="A740" s="0" t="s">
        <v>1460</v>
      </c>
      <c r="B740" s="0" t="s">
        <v>1461</v>
      </c>
      <c r="C740" s="0" t="s">
        <v>41</v>
      </c>
    </row>
    <row r="741" customFormat="false" ht="15" hidden="false" customHeight="false" outlineLevel="0" collapsed="false">
      <c r="A741" s="0" t="s">
        <v>1462</v>
      </c>
      <c r="B741" s="0" t="s">
        <v>1463</v>
      </c>
      <c r="C741" s="0" t="s">
        <v>41</v>
      </c>
    </row>
    <row r="742" customFormat="false" ht="15" hidden="false" customHeight="false" outlineLevel="0" collapsed="false">
      <c r="A742" s="0" t="s">
        <v>1464</v>
      </c>
      <c r="B742" s="0" t="s">
        <v>1465</v>
      </c>
      <c r="C742" s="0" t="s">
        <v>28</v>
      </c>
    </row>
    <row r="743" customFormat="false" ht="15" hidden="false" customHeight="false" outlineLevel="0" collapsed="false">
      <c r="A743" s="0" t="s">
        <v>1466</v>
      </c>
      <c r="B743" s="0" t="s">
        <v>1467</v>
      </c>
      <c r="C743" s="0" t="s">
        <v>33</v>
      </c>
    </row>
    <row r="744" customFormat="false" ht="15" hidden="false" customHeight="false" outlineLevel="0" collapsed="false">
      <c r="A744" s="0" t="s">
        <v>1468</v>
      </c>
      <c r="B744" s="0" t="s">
        <v>1469</v>
      </c>
      <c r="C744" s="0" t="s">
        <v>21</v>
      </c>
    </row>
    <row r="745" customFormat="false" ht="15" hidden="false" customHeight="false" outlineLevel="0" collapsed="false">
      <c r="A745" s="0" t="s">
        <v>1470</v>
      </c>
      <c r="B745" s="0" t="s">
        <v>1471</v>
      </c>
      <c r="C745" s="0" t="s">
        <v>41</v>
      </c>
    </row>
    <row r="746" customFormat="false" ht="15" hidden="false" customHeight="false" outlineLevel="0" collapsed="false">
      <c r="A746" s="0" t="s">
        <v>1472</v>
      </c>
      <c r="B746" s="0" t="s">
        <v>1473</v>
      </c>
      <c r="C746" s="0" t="s">
        <v>38</v>
      </c>
    </row>
    <row r="747" customFormat="false" ht="15" hidden="false" customHeight="false" outlineLevel="0" collapsed="false">
      <c r="A747" s="0" t="s">
        <v>1474</v>
      </c>
      <c r="B747" s="0" t="s">
        <v>1016</v>
      </c>
      <c r="C747" s="0" t="s">
        <v>21</v>
      </c>
    </row>
    <row r="748" customFormat="false" ht="15" hidden="false" customHeight="false" outlineLevel="0" collapsed="false">
      <c r="A748" s="0" t="s">
        <v>1475</v>
      </c>
      <c r="B748" s="0" t="s">
        <v>1476</v>
      </c>
      <c r="C748" s="0" t="s">
        <v>38</v>
      </c>
    </row>
    <row r="749" customFormat="false" ht="15" hidden="false" customHeight="false" outlineLevel="0" collapsed="false">
      <c r="A749" s="0" t="s">
        <v>1477</v>
      </c>
      <c r="B749" s="0" t="s">
        <v>68</v>
      </c>
      <c r="C749" s="0" t="s">
        <v>41</v>
      </c>
    </row>
    <row r="750" customFormat="false" ht="15" hidden="false" customHeight="false" outlineLevel="0" collapsed="false">
      <c r="A750" s="0" t="s">
        <v>1478</v>
      </c>
      <c r="B750" s="0" t="s">
        <v>1479</v>
      </c>
      <c r="C750" s="0" t="s">
        <v>41</v>
      </c>
    </row>
    <row r="751" customFormat="false" ht="15" hidden="false" customHeight="false" outlineLevel="0" collapsed="false">
      <c r="A751" s="0" t="s">
        <v>1480</v>
      </c>
      <c r="B751" s="0" t="s">
        <v>1481</v>
      </c>
      <c r="C751" s="0" t="s">
        <v>28</v>
      </c>
    </row>
    <row r="752" customFormat="false" ht="15" hidden="false" customHeight="false" outlineLevel="0" collapsed="false">
      <c r="A752" s="0" t="s">
        <v>1482</v>
      </c>
      <c r="B752" s="0" t="s">
        <v>1483</v>
      </c>
      <c r="C752" s="0" t="s">
        <v>41</v>
      </c>
    </row>
    <row r="753" customFormat="false" ht="15" hidden="false" customHeight="false" outlineLevel="0" collapsed="false">
      <c r="A753" s="0" t="s">
        <v>1484</v>
      </c>
      <c r="B753" s="0" t="s">
        <v>1485</v>
      </c>
      <c r="C753" s="0" t="s">
        <v>44</v>
      </c>
    </row>
    <row r="754" customFormat="false" ht="15" hidden="false" customHeight="false" outlineLevel="0" collapsed="false">
      <c r="A754" s="0" t="s">
        <v>1486</v>
      </c>
      <c r="B754" s="0" t="s">
        <v>1487</v>
      </c>
      <c r="C754" s="0" t="s">
        <v>21</v>
      </c>
    </row>
    <row r="755" customFormat="false" ht="15" hidden="false" customHeight="false" outlineLevel="0" collapsed="false">
      <c r="A755" s="0" t="s">
        <v>1488</v>
      </c>
      <c r="B755" s="0" t="s">
        <v>1489</v>
      </c>
      <c r="C755" s="0" t="s">
        <v>41</v>
      </c>
    </row>
    <row r="756" customFormat="false" ht="15" hidden="false" customHeight="false" outlineLevel="0" collapsed="false">
      <c r="A756" s="0" t="s">
        <v>1490</v>
      </c>
      <c r="B756" s="0" t="s">
        <v>1434</v>
      </c>
      <c r="C756" s="0" t="s">
        <v>41</v>
      </c>
    </row>
    <row r="757" customFormat="false" ht="15" hidden="false" customHeight="false" outlineLevel="0" collapsed="false">
      <c r="A757" s="0" t="s">
        <v>1491</v>
      </c>
      <c r="B757" s="0" t="s">
        <v>1492</v>
      </c>
      <c r="C757" s="0" t="s">
        <v>41</v>
      </c>
    </row>
    <row r="758" customFormat="false" ht="15" hidden="false" customHeight="false" outlineLevel="0" collapsed="false">
      <c r="A758" s="0" t="s">
        <v>1493</v>
      </c>
      <c r="B758" s="0" t="s">
        <v>1494</v>
      </c>
      <c r="C758" s="0" t="s">
        <v>33</v>
      </c>
    </row>
    <row r="759" customFormat="false" ht="15" hidden="false" customHeight="false" outlineLevel="0" collapsed="false">
      <c r="A759" s="0" t="s">
        <v>1495</v>
      </c>
      <c r="B759" s="0" t="s">
        <v>1496</v>
      </c>
      <c r="C759" s="0" t="s">
        <v>44</v>
      </c>
    </row>
    <row r="760" customFormat="false" ht="15" hidden="false" customHeight="false" outlineLevel="0" collapsed="false">
      <c r="A760" s="0" t="s">
        <v>1497</v>
      </c>
      <c r="B760" s="0" t="s">
        <v>1498</v>
      </c>
      <c r="C760" s="0" t="s">
        <v>41</v>
      </c>
    </row>
    <row r="761" customFormat="false" ht="15" hidden="false" customHeight="false" outlineLevel="0" collapsed="false">
      <c r="A761" s="0" t="s">
        <v>1499</v>
      </c>
      <c r="B761" s="0" t="s">
        <v>1500</v>
      </c>
      <c r="C761" s="0" t="s">
        <v>41</v>
      </c>
    </row>
    <row r="762" customFormat="false" ht="15" hidden="false" customHeight="false" outlineLevel="0" collapsed="false">
      <c r="A762" s="0" t="s">
        <v>1501</v>
      </c>
      <c r="B762" s="0" t="s">
        <v>973</v>
      </c>
      <c r="C762" s="0" t="s">
        <v>28</v>
      </c>
    </row>
    <row r="763" customFormat="false" ht="15" hidden="false" customHeight="false" outlineLevel="0" collapsed="false">
      <c r="A763" s="0" t="s">
        <v>1502</v>
      </c>
      <c r="B763" s="0" t="s">
        <v>1503</v>
      </c>
      <c r="C763" s="0" t="s">
        <v>41</v>
      </c>
    </row>
    <row r="764" customFormat="false" ht="15" hidden="false" customHeight="false" outlineLevel="0" collapsed="false">
      <c r="A764" s="0" t="s">
        <v>1504</v>
      </c>
      <c r="B764" s="0" t="s">
        <v>1505</v>
      </c>
      <c r="C764" s="0" t="s">
        <v>44</v>
      </c>
    </row>
    <row r="765" customFormat="false" ht="15" hidden="false" customHeight="false" outlineLevel="0" collapsed="false">
      <c r="A765" s="0" t="s">
        <v>1506</v>
      </c>
      <c r="B765" s="0" t="s">
        <v>1507</v>
      </c>
      <c r="C765" s="0" t="s">
        <v>28</v>
      </c>
    </row>
    <row r="766" customFormat="false" ht="15" hidden="false" customHeight="false" outlineLevel="0" collapsed="false">
      <c r="A766" s="0" t="s">
        <v>1508</v>
      </c>
      <c r="B766" s="0" t="s">
        <v>1509</v>
      </c>
      <c r="C766" s="0" t="s">
        <v>33</v>
      </c>
    </row>
    <row r="767" customFormat="false" ht="15" hidden="false" customHeight="false" outlineLevel="0" collapsed="false">
      <c r="A767" s="0" t="s">
        <v>1510</v>
      </c>
      <c r="B767" s="0" t="s">
        <v>1511</v>
      </c>
      <c r="C767" s="0" t="s">
        <v>41</v>
      </c>
    </row>
    <row r="768" customFormat="false" ht="15" hidden="false" customHeight="false" outlineLevel="0" collapsed="false">
      <c r="A768" s="0" t="s">
        <v>1512</v>
      </c>
      <c r="B768" s="0" t="s">
        <v>1513</v>
      </c>
      <c r="C768" s="0" t="s">
        <v>33</v>
      </c>
    </row>
    <row r="769" customFormat="false" ht="15" hidden="false" customHeight="false" outlineLevel="0" collapsed="false">
      <c r="A769" s="0" t="s">
        <v>1514</v>
      </c>
      <c r="B769" s="0" t="s">
        <v>676</v>
      </c>
      <c r="C769" s="0" t="s">
        <v>41</v>
      </c>
    </row>
    <row r="770" customFormat="false" ht="15" hidden="false" customHeight="false" outlineLevel="0" collapsed="false">
      <c r="A770" s="0" t="s">
        <v>1515</v>
      </c>
      <c r="B770" s="0" t="s">
        <v>1516</v>
      </c>
      <c r="C770" s="0" t="s">
        <v>28</v>
      </c>
    </row>
    <row r="771" customFormat="false" ht="15" hidden="false" customHeight="false" outlineLevel="0" collapsed="false">
      <c r="A771" s="0" t="s">
        <v>1517</v>
      </c>
      <c r="B771" s="0" t="s">
        <v>1518</v>
      </c>
      <c r="C771" s="0" t="s">
        <v>41</v>
      </c>
    </row>
    <row r="772" customFormat="false" ht="15" hidden="false" customHeight="false" outlineLevel="0" collapsed="false">
      <c r="A772" s="0" t="s">
        <v>1519</v>
      </c>
      <c r="B772" s="0" t="s">
        <v>1520</v>
      </c>
      <c r="C772" s="0" t="s">
        <v>33</v>
      </c>
    </row>
    <row r="773" customFormat="false" ht="15" hidden="false" customHeight="false" outlineLevel="0" collapsed="false">
      <c r="A773" s="0" t="s">
        <v>1521</v>
      </c>
      <c r="B773" s="0" t="s">
        <v>1522</v>
      </c>
      <c r="C773" s="0" t="s">
        <v>33</v>
      </c>
    </row>
    <row r="774" customFormat="false" ht="15" hidden="false" customHeight="false" outlineLevel="0" collapsed="false">
      <c r="A774" s="0" t="s">
        <v>1523</v>
      </c>
      <c r="B774" s="0" t="s">
        <v>1524</v>
      </c>
      <c r="C774" s="0" t="s">
        <v>44</v>
      </c>
    </row>
    <row r="775" customFormat="false" ht="15" hidden="false" customHeight="false" outlineLevel="0" collapsed="false">
      <c r="A775" s="0" t="s">
        <v>1525</v>
      </c>
      <c r="B775" s="0" t="s">
        <v>1526</v>
      </c>
      <c r="C775" s="0" t="s">
        <v>38</v>
      </c>
    </row>
    <row r="776" customFormat="false" ht="15" hidden="false" customHeight="false" outlineLevel="0" collapsed="false">
      <c r="A776" s="0" t="s">
        <v>1527</v>
      </c>
      <c r="B776" s="0" t="s">
        <v>1528</v>
      </c>
      <c r="C776" s="0" t="s">
        <v>28</v>
      </c>
    </row>
    <row r="777" customFormat="false" ht="15" hidden="false" customHeight="false" outlineLevel="0" collapsed="false">
      <c r="A777" s="0" t="s">
        <v>1529</v>
      </c>
      <c r="B777" s="0" t="s">
        <v>656</v>
      </c>
      <c r="C777" s="0" t="s">
        <v>44</v>
      </c>
    </row>
    <row r="778" customFormat="false" ht="15" hidden="false" customHeight="false" outlineLevel="0" collapsed="false">
      <c r="A778" s="0" t="s">
        <v>1530</v>
      </c>
      <c r="B778" s="0" t="s">
        <v>1531</v>
      </c>
      <c r="C778" s="0" t="s">
        <v>21</v>
      </c>
    </row>
    <row r="779" customFormat="false" ht="15" hidden="false" customHeight="false" outlineLevel="0" collapsed="false">
      <c r="A779" s="0" t="s">
        <v>1532</v>
      </c>
      <c r="B779" s="0" t="s">
        <v>1533</v>
      </c>
      <c r="C779" s="0" t="s">
        <v>38</v>
      </c>
    </row>
    <row r="780" customFormat="false" ht="15" hidden="false" customHeight="false" outlineLevel="0" collapsed="false">
      <c r="A780" s="0" t="s">
        <v>1534</v>
      </c>
      <c r="B780" s="0" t="s">
        <v>1535</v>
      </c>
      <c r="C780" s="0" t="s">
        <v>21</v>
      </c>
    </row>
    <row r="781" customFormat="false" ht="15" hidden="false" customHeight="false" outlineLevel="0" collapsed="false">
      <c r="A781" s="0" t="s">
        <v>1536</v>
      </c>
      <c r="B781" s="0" t="s">
        <v>1537</v>
      </c>
      <c r="C781" s="0" t="s">
        <v>41</v>
      </c>
    </row>
    <row r="782" customFormat="false" ht="15" hidden="false" customHeight="false" outlineLevel="0" collapsed="false">
      <c r="A782" s="0" t="s">
        <v>1538</v>
      </c>
      <c r="B782" s="0" t="s">
        <v>1539</v>
      </c>
      <c r="C782" s="0" t="s">
        <v>33</v>
      </c>
    </row>
    <row r="783" customFormat="false" ht="15" hidden="false" customHeight="false" outlineLevel="0" collapsed="false">
      <c r="A783" s="0" t="s">
        <v>1540</v>
      </c>
      <c r="B783" s="0" t="s">
        <v>1541</v>
      </c>
      <c r="C783" s="0" t="s">
        <v>38</v>
      </c>
    </row>
    <row r="784" customFormat="false" ht="15" hidden="false" customHeight="false" outlineLevel="0" collapsed="false">
      <c r="A784" s="0" t="s">
        <v>1542</v>
      </c>
      <c r="B784" s="0" t="s">
        <v>1543</v>
      </c>
      <c r="C784" s="0" t="s">
        <v>44</v>
      </c>
    </row>
    <row r="785" customFormat="false" ht="15" hidden="false" customHeight="false" outlineLevel="0" collapsed="false">
      <c r="A785" s="0" t="s">
        <v>1544</v>
      </c>
      <c r="B785" s="0" t="s">
        <v>1545</v>
      </c>
      <c r="C785" s="0" t="s">
        <v>44</v>
      </c>
    </row>
    <row r="786" customFormat="false" ht="15" hidden="false" customHeight="false" outlineLevel="0" collapsed="false">
      <c r="A786" s="0" t="s">
        <v>1546</v>
      </c>
      <c r="B786" s="0" t="s">
        <v>1547</v>
      </c>
      <c r="C786" s="0" t="s">
        <v>21</v>
      </c>
    </row>
    <row r="787" customFormat="false" ht="15" hidden="false" customHeight="false" outlineLevel="0" collapsed="false">
      <c r="A787" s="0" t="s">
        <v>1548</v>
      </c>
      <c r="B787" s="0" t="s">
        <v>1549</v>
      </c>
      <c r="C787" s="0" t="s">
        <v>33</v>
      </c>
    </row>
    <row r="788" customFormat="false" ht="15" hidden="false" customHeight="false" outlineLevel="0" collapsed="false">
      <c r="A788" s="0" t="s">
        <v>1550</v>
      </c>
      <c r="B788" s="0" t="s">
        <v>1551</v>
      </c>
      <c r="C788" s="0" t="s">
        <v>41</v>
      </c>
    </row>
    <row r="789" customFormat="false" ht="15" hidden="false" customHeight="false" outlineLevel="0" collapsed="false">
      <c r="A789" s="0" t="s">
        <v>1552</v>
      </c>
      <c r="B789" s="0" t="s">
        <v>1553</v>
      </c>
      <c r="C789" s="0" t="s">
        <v>41</v>
      </c>
    </row>
    <row r="790" customFormat="false" ht="15" hidden="false" customHeight="false" outlineLevel="0" collapsed="false">
      <c r="A790" s="0" t="s">
        <v>1554</v>
      </c>
      <c r="B790" s="0" t="s">
        <v>1555</v>
      </c>
      <c r="C790" s="0" t="s">
        <v>33</v>
      </c>
    </row>
    <row r="791" customFormat="false" ht="15" hidden="false" customHeight="false" outlineLevel="0" collapsed="false">
      <c r="A791" s="0" t="s">
        <v>1556</v>
      </c>
      <c r="B791" s="0" t="s">
        <v>1557</v>
      </c>
      <c r="C791" s="0" t="s">
        <v>21</v>
      </c>
    </row>
    <row r="792" customFormat="false" ht="15" hidden="false" customHeight="false" outlineLevel="0" collapsed="false">
      <c r="A792" s="0" t="s">
        <v>1558</v>
      </c>
      <c r="B792" s="0" t="s">
        <v>1559</v>
      </c>
      <c r="C792" s="0" t="s">
        <v>33</v>
      </c>
    </row>
    <row r="793" customFormat="false" ht="15" hidden="false" customHeight="false" outlineLevel="0" collapsed="false">
      <c r="A793" s="0" t="s">
        <v>1560</v>
      </c>
      <c r="B793" s="0" t="s">
        <v>1561</v>
      </c>
      <c r="C793" s="0" t="s">
        <v>41</v>
      </c>
    </row>
    <row r="794" customFormat="false" ht="15" hidden="false" customHeight="false" outlineLevel="0" collapsed="false">
      <c r="A794" s="0" t="s">
        <v>1562</v>
      </c>
      <c r="B794" s="0" t="s">
        <v>120</v>
      </c>
      <c r="C794" s="0" t="s">
        <v>33</v>
      </c>
    </row>
    <row r="795" customFormat="false" ht="15" hidden="false" customHeight="false" outlineLevel="0" collapsed="false">
      <c r="A795" s="0" t="s">
        <v>1563</v>
      </c>
      <c r="B795" s="0" t="s">
        <v>1564</v>
      </c>
      <c r="C795" s="0" t="s">
        <v>38</v>
      </c>
    </row>
    <row r="796" customFormat="false" ht="15" hidden="false" customHeight="false" outlineLevel="0" collapsed="false">
      <c r="A796" s="0" t="s">
        <v>1565</v>
      </c>
      <c r="B796" s="0" t="s">
        <v>648</v>
      </c>
      <c r="C796" s="0" t="s">
        <v>21</v>
      </c>
    </row>
    <row r="797" customFormat="false" ht="15" hidden="false" customHeight="false" outlineLevel="0" collapsed="false">
      <c r="A797" s="0" t="s">
        <v>1566</v>
      </c>
      <c r="B797" s="0" t="s">
        <v>1567</v>
      </c>
      <c r="C797" s="0" t="s">
        <v>38</v>
      </c>
    </row>
    <row r="798" customFormat="false" ht="15" hidden="false" customHeight="false" outlineLevel="0" collapsed="false">
      <c r="A798" s="0" t="s">
        <v>1568</v>
      </c>
      <c r="B798" s="0" t="s">
        <v>1569</v>
      </c>
      <c r="C798" s="0" t="s">
        <v>21</v>
      </c>
    </row>
    <row r="799" customFormat="false" ht="15" hidden="false" customHeight="false" outlineLevel="0" collapsed="false">
      <c r="A799" s="0" t="s">
        <v>1570</v>
      </c>
      <c r="B799" s="0" t="s">
        <v>1571</v>
      </c>
      <c r="C799" s="0" t="s">
        <v>21</v>
      </c>
    </row>
    <row r="800" customFormat="false" ht="15" hidden="false" customHeight="false" outlineLevel="0" collapsed="false">
      <c r="A800" s="0" t="s">
        <v>1572</v>
      </c>
      <c r="B800" s="0" t="s">
        <v>311</v>
      </c>
      <c r="C800" s="0" t="s">
        <v>38</v>
      </c>
    </row>
    <row r="801" customFormat="false" ht="15" hidden="false" customHeight="false" outlineLevel="0" collapsed="false">
      <c r="A801" s="0" t="s">
        <v>1573</v>
      </c>
      <c r="B801" s="0" t="s">
        <v>1574</v>
      </c>
      <c r="C801" s="0" t="s">
        <v>38</v>
      </c>
    </row>
    <row r="802" customFormat="false" ht="15" hidden="false" customHeight="false" outlineLevel="0" collapsed="false">
      <c r="A802" s="0" t="s">
        <v>1575</v>
      </c>
      <c r="B802" s="0" t="s">
        <v>1576</v>
      </c>
      <c r="C802" s="0" t="s">
        <v>21</v>
      </c>
    </row>
    <row r="803" customFormat="false" ht="15" hidden="false" customHeight="false" outlineLevel="0" collapsed="false">
      <c r="A803" s="0" t="s">
        <v>1577</v>
      </c>
      <c r="B803" s="0" t="s">
        <v>1312</v>
      </c>
      <c r="C803" s="0" t="s">
        <v>28</v>
      </c>
    </row>
    <row r="804" customFormat="false" ht="15" hidden="false" customHeight="false" outlineLevel="0" collapsed="false">
      <c r="A804" s="0" t="s">
        <v>1578</v>
      </c>
      <c r="B804" s="0" t="s">
        <v>1579</v>
      </c>
      <c r="C804" s="0" t="s">
        <v>28</v>
      </c>
    </row>
    <row r="805" customFormat="false" ht="15" hidden="false" customHeight="false" outlineLevel="0" collapsed="false">
      <c r="A805" s="0" t="s">
        <v>1580</v>
      </c>
      <c r="B805" s="0" t="s">
        <v>1581</v>
      </c>
      <c r="C805" s="0" t="s">
        <v>21</v>
      </c>
    </row>
    <row r="806" customFormat="false" ht="15" hidden="false" customHeight="false" outlineLevel="0" collapsed="false">
      <c r="A806" s="0" t="s">
        <v>1582</v>
      </c>
      <c r="B806" s="0" t="s">
        <v>1583</v>
      </c>
      <c r="C806" s="0" t="s">
        <v>28</v>
      </c>
    </row>
    <row r="807" customFormat="false" ht="15" hidden="false" customHeight="false" outlineLevel="0" collapsed="false">
      <c r="A807" s="0" t="s">
        <v>1584</v>
      </c>
      <c r="B807" s="0" t="s">
        <v>1585</v>
      </c>
      <c r="C807" s="0" t="s">
        <v>28</v>
      </c>
    </row>
    <row r="808" customFormat="false" ht="15" hidden="false" customHeight="false" outlineLevel="0" collapsed="false">
      <c r="A808" s="0" t="s">
        <v>1586</v>
      </c>
      <c r="B808" s="0" t="s">
        <v>1587</v>
      </c>
      <c r="C808" s="0" t="s">
        <v>41</v>
      </c>
    </row>
    <row r="809" customFormat="false" ht="15" hidden="false" customHeight="false" outlineLevel="0" collapsed="false">
      <c r="A809" s="0" t="s">
        <v>1588</v>
      </c>
      <c r="B809" s="0" t="s">
        <v>1589</v>
      </c>
      <c r="C809" s="0" t="s">
        <v>33</v>
      </c>
    </row>
    <row r="810" customFormat="false" ht="15" hidden="false" customHeight="false" outlineLevel="0" collapsed="false">
      <c r="A810" s="0" t="s">
        <v>1590</v>
      </c>
      <c r="B810" s="0" t="s">
        <v>1591</v>
      </c>
      <c r="C810" s="0" t="s">
        <v>44</v>
      </c>
    </row>
    <row r="811" customFormat="false" ht="15" hidden="false" customHeight="false" outlineLevel="0" collapsed="false">
      <c r="A811" s="0" t="s">
        <v>1592</v>
      </c>
      <c r="B811" s="0" t="s">
        <v>1593</v>
      </c>
      <c r="C811" s="0" t="s">
        <v>44</v>
      </c>
    </row>
    <row r="812" customFormat="false" ht="15" hidden="false" customHeight="false" outlineLevel="0" collapsed="false">
      <c r="A812" s="0" t="s">
        <v>1594</v>
      </c>
      <c r="B812" s="0" t="s">
        <v>1595</v>
      </c>
      <c r="C812" s="0" t="s">
        <v>21</v>
      </c>
    </row>
    <row r="813" customFormat="false" ht="15" hidden="false" customHeight="false" outlineLevel="0" collapsed="false">
      <c r="A813" s="0" t="s">
        <v>1596</v>
      </c>
      <c r="B813" s="0" t="s">
        <v>1597</v>
      </c>
      <c r="C813" s="0" t="s">
        <v>33</v>
      </c>
    </row>
    <row r="814" customFormat="false" ht="15" hidden="false" customHeight="false" outlineLevel="0" collapsed="false">
      <c r="A814" s="0" t="s">
        <v>1598</v>
      </c>
      <c r="B814" s="0" t="s">
        <v>1599</v>
      </c>
      <c r="C814" s="0" t="s">
        <v>44</v>
      </c>
    </row>
    <row r="815" customFormat="false" ht="15" hidden="false" customHeight="false" outlineLevel="0" collapsed="false">
      <c r="A815" s="0" t="s">
        <v>1600</v>
      </c>
      <c r="B815" s="0" t="s">
        <v>1601</v>
      </c>
      <c r="C815" s="0" t="s">
        <v>28</v>
      </c>
    </row>
    <row r="816" customFormat="false" ht="15" hidden="false" customHeight="false" outlineLevel="0" collapsed="false">
      <c r="A816" s="0" t="s">
        <v>1602</v>
      </c>
      <c r="B816" s="0" t="s">
        <v>1389</v>
      </c>
      <c r="C816" s="0" t="s">
        <v>21</v>
      </c>
    </row>
    <row r="817" customFormat="false" ht="15" hidden="false" customHeight="false" outlineLevel="0" collapsed="false">
      <c r="A817" s="0" t="s">
        <v>1603</v>
      </c>
      <c r="B817" s="0" t="s">
        <v>1604</v>
      </c>
      <c r="C817" s="0" t="s">
        <v>41</v>
      </c>
    </row>
    <row r="818" customFormat="false" ht="15" hidden="false" customHeight="false" outlineLevel="0" collapsed="false">
      <c r="A818" s="0" t="s">
        <v>1605</v>
      </c>
      <c r="B818" s="0" t="s">
        <v>1606</v>
      </c>
      <c r="C818" s="0" t="s">
        <v>41</v>
      </c>
    </row>
    <row r="819" customFormat="false" ht="15" hidden="false" customHeight="false" outlineLevel="0" collapsed="false">
      <c r="A819" s="0" t="s">
        <v>1607</v>
      </c>
      <c r="B819" s="0" t="s">
        <v>1608</v>
      </c>
      <c r="C819" s="0" t="s">
        <v>41</v>
      </c>
    </row>
    <row r="820" customFormat="false" ht="15" hidden="false" customHeight="false" outlineLevel="0" collapsed="false">
      <c r="A820" s="0" t="s">
        <v>1609</v>
      </c>
      <c r="B820" s="0" t="s">
        <v>1043</v>
      </c>
      <c r="C820" s="0" t="s">
        <v>44</v>
      </c>
    </row>
    <row r="821" customFormat="false" ht="15" hidden="false" customHeight="false" outlineLevel="0" collapsed="false">
      <c r="A821" s="0" t="s">
        <v>1610</v>
      </c>
      <c r="B821" s="0" t="s">
        <v>1611</v>
      </c>
      <c r="C821" s="0" t="s">
        <v>21</v>
      </c>
    </row>
    <row r="822" customFormat="false" ht="15" hidden="false" customHeight="false" outlineLevel="0" collapsed="false">
      <c r="A822" s="0" t="s">
        <v>1612</v>
      </c>
      <c r="B822" s="0" t="s">
        <v>1613</v>
      </c>
      <c r="C822" s="0" t="s">
        <v>21</v>
      </c>
    </row>
    <row r="823" customFormat="false" ht="15" hidden="false" customHeight="false" outlineLevel="0" collapsed="false">
      <c r="A823" s="0" t="s">
        <v>1614</v>
      </c>
      <c r="B823" s="0" t="s">
        <v>1615</v>
      </c>
      <c r="C823" s="0" t="s">
        <v>41</v>
      </c>
    </row>
    <row r="824" customFormat="false" ht="15" hidden="false" customHeight="false" outlineLevel="0" collapsed="false">
      <c r="A824" s="0" t="s">
        <v>1616</v>
      </c>
      <c r="B824" s="0" t="s">
        <v>1617</v>
      </c>
      <c r="C824" s="0" t="s">
        <v>44</v>
      </c>
    </row>
    <row r="825" customFormat="false" ht="15" hidden="false" customHeight="false" outlineLevel="0" collapsed="false">
      <c r="A825" s="0" t="s">
        <v>1618</v>
      </c>
      <c r="B825" s="0" t="s">
        <v>1619</v>
      </c>
      <c r="C825" s="0" t="s">
        <v>33</v>
      </c>
    </row>
    <row r="826" customFormat="false" ht="15" hidden="false" customHeight="false" outlineLevel="0" collapsed="false">
      <c r="A826" s="0" t="s">
        <v>1620</v>
      </c>
      <c r="B826" s="0" t="s">
        <v>1621</v>
      </c>
      <c r="C826" s="0" t="s">
        <v>38</v>
      </c>
    </row>
    <row r="827" customFormat="false" ht="15" hidden="false" customHeight="false" outlineLevel="0" collapsed="false">
      <c r="A827" s="0" t="s">
        <v>1622</v>
      </c>
      <c r="B827" s="0" t="s">
        <v>1623</v>
      </c>
      <c r="C827" s="0" t="s">
        <v>33</v>
      </c>
    </row>
    <row r="828" customFormat="false" ht="15" hidden="false" customHeight="false" outlineLevel="0" collapsed="false">
      <c r="A828" s="0" t="s">
        <v>1624</v>
      </c>
      <c r="B828" s="0" t="s">
        <v>1625</v>
      </c>
      <c r="C828" s="0" t="s">
        <v>28</v>
      </c>
    </row>
    <row r="829" customFormat="false" ht="15" hidden="false" customHeight="false" outlineLevel="0" collapsed="false">
      <c r="A829" s="0" t="s">
        <v>1626</v>
      </c>
      <c r="B829" s="0" t="s">
        <v>786</v>
      </c>
      <c r="C829" s="0" t="s">
        <v>44</v>
      </c>
    </row>
    <row r="830" customFormat="false" ht="15" hidden="false" customHeight="false" outlineLevel="0" collapsed="false">
      <c r="A830" s="0" t="s">
        <v>1627</v>
      </c>
      <c r="B830" s="0" t="s">
        <v>1628</v>
      </c>
      <c r="C830" s="0" t="s">
        <v>33</v>
      </c>
    </row>
    <row r="831" customFormat="false" ht="15" hidden="false" customHeight="false" outlineLevel="0" collapsed="false">
      <c r="A831" s="0" t="s">
        <v>1629</v>
      </c>
      <c r="B831" s="0" t="s">
        <v>1630</v>
      </c>
      <c r="C831" s="0" t="s">
        <v>38</v>
      </c>
    </row>
    <row r="832" customFormat="false" ht="15" hidden="false" customHeight="false" outlineLevel="0" collapsed="false">
      <c r="A832" s="0" t="s">
        <v>1631</v>
      </c>
      <c r="B832" s="0" t="s">
        <v>1632</v>
      </c>
      <c r="C832" s="0" t="s">
        <v>44</v>
      </c>
    </row>
    <row r="833" customFormat="false" ht="15" hidden="false" customHeight="false" outlineLevel="0" collapsed="false">
      <c r="A833" s="0" t="s">
        <v>1633</v>
      </c>
      <c r="B833" s="0" t="s">
        <v>1634</v>
      </c>
      <c r="C833" s="0" t="s">
        <v>44</v>
      </c>
    </row>
    <row r="834" customFormat="false" ht="15" hidden="false" customHeight="false" outlineLevel="0" collapsed="false">
      <c r="A834" s="0" t="s">
        <v>1635</v>
      </c>
      <c r="B834" s="0" t="s">
        <v>1636</v>
      </c>
      <c r="C834" s="0" t="s">
        <v>21</v>
      </c>
    </row>
    <row r="835" customFormat="false" ht="15" hidden="false" customHeight="false" outlineLevel="0" collapsed="false">
      <c r="A835" s="0" t="s">
        <v>1637</v>
      </c>
      <c r="B835" s="0" t="s">
        <v>1638</v>
      </c>
      <c r="C835" s="0" t="s">
        <v>28</v>
      </c>
    </row>
    <row r="836" customFormat="false" ht="15" hidden="false" customHeight="false" outlineLevel="0" collapsed="false">
      <c r="A836" s="0" t="s">
        <v>1639</v>
      </c>
      <c r="B836" s="0" t="s">
        <v>1640</v>
      </c>
      <c r="C836" s="0" t="s">
        <v>33</v>
      </c>
    </row>
    <row r="837" customFormat="false" ht="15" hidden="false" customHeight="false" outlineLevel="0" collapsed="false">
      <c r="A837" s="0" t="s">
        <v>1641</v>
      </c>
      <c r="B837" s="0" t="s">
        <v>1642</v>
      </c>
      <c r="C837" s="0" t="s">
        <v>33</v>
      </c>
    </row>
    <row r="838" customFormat="false" ht="15" hidden="false" customHeight="false" outlineLevel="0" collapsed="false">
      <c r="A838" s="0" t="s">
        <v>1643</v>
      </c>
      <c r="B838" s="0" t="s">
        <v>1644</v>
      </c>
      <c r="C838" s="0" t="s">
        <v>41</v>
      </c>
    </row>
    <row r="839" customFormat="false" ht="15" hidden="false" customHeight="false" outlineLevel="0" collapsed="false">
      <c r="A839" s="0" t="s">
        <v>1645</v>
      </c>
      <c r="B839" s="0" t="s">
        <v>1646</v>
      </c>
      <c r="C839" s="0" t="s">
        <v>33</v>
      </c>
    </row>
    <row r="840" customFormat="false" ht="15" hidden="false" customHeight="false" outlineLevel="0" collapsed="false">
      <c r="A840" s="0" t="s">
        <v>1647</v>
      </c>
      <c r="B840" s="0" t="s">
        <v>596</v>
      </c>
      <c r="C840" s="0" t="s">
        <v>28</v>
      </c>
    </row>
    <row r="841" customFormat="false" ht="15" hidden="false" customHeight="false" outlineLevel="0" collapsed="false">
      <c r="A841" s="0" t="s">
        <v>1648</v>
      </c>
      <c r="B841" s="0" t="s">
        <v>1649</v>
      </c>
      <c r="C841" s="0" t="s">
        <v>33</v>
      </c>
    </row>
    <row r="842" customFormat="false" ht="15" hidden="false" customHeight="false" outlineLevel="0" collapsed="false">
      <c r="A842" s="0" t="s">
        <v>1650</v>
      </c>
      <c r="B842" s="0" t="s">
        <v>1651</v>
      </c>
      <c r="C842" s="0" t="s">
        <v>33</v>
      </c>
    </row>
    <row r="843" customFormat="false" ht="15" hidden="false" customHeight="false" outlineLevel="0" collapsed="false">
      <c r="A843" s="0" t="s">
        <v>1652</v>
      </c>
      <c r="B843" s="0" t="s">
        <v>1653</v>
      </c>
      <c r="C843" s="0" t="s">
        <v>28</v>
      </c>
    </row>
    <row r="844" customFormat="false" ht="15" hidden="false" customHeight="false" outlineLevel="0" collapsed="false">
      <c r="A844" s="0" t="s">
        <v>1654</v>
      </c>
      <c r="B844" s="0" t="s">
        <v>648</v>
      </c>
      <c r="C844" s="0" t="s">
        <v>21</v>
      </c>
    </row>
    <row r="845" customFormat="false" ht="15" hidden="false" customHeight="false" outlineLevel="0" collapsed="false">
      <c r="A845" s="0" t="s">
        <v>1655</v>
      </c>
      <c r="B845" s="0" t="s">
        <v>1656</v>
      </c>
      <c r="C845" s="0" t="s">
        <v>41</v>
      </c>
    </row>
    <row r="846" customFormat="false" ht="15" hidden="false" customHeight="false" outlineLevel="0" collapsed="false">
      <c r="A846" s="0" t="s">
        <v>1657</v>
      </c>
      <c r="B846" s="0" t="s">
        <v>1658</v>
      </c>
      <c r="C846" s="0" t="s">
        <v>38</v>
      </c>
    </row>
    <row r="847" customFormat="false" ht="15" hidden="false" customHeight="false" outlineLevel="0" collapsed="false">
      <c r="A847" s="0" t="s">
        <v>1659</v>
      </c>
      <c r="B847" s="0" t="s">
        <v>1660</v>
      </c>
      <c r="C847" s="0" t="s">
        <v>21</v>
      </c>
    </row>
    <row r="848" customFormat="false" ht="15" hidden="false" customHeight="false" outlineLevel="0" collapsed="false">
      <c r="A848" s="0" t="s">
        <v>1661</v>
      </c>
      <c r="B848" s="0" t="s">
        <v>1662</v>
      </c>
      <c r="C848" s="0" t="s">
        <v>28</v>
      </c>
    </row>
    <row r="849" customFormat="false" ht="15" hidden="false" customHeight="false" outlineLevel="0" collapsed="false">
      <c r="A849" s="0" t="s">
        <v>1663</v>
      </c>
      <c r="B849" s="0" t="s">
        <v>1664</v>
      </c>
      <c r="C849" s="0" t="s">
        <v>28</v>
      </c>
    </row>
    <row r="850" customFormat="false" ht="15" hidden="false" customHeight="false" outlineLevel="0" collapsed="false">
      <c r="A850" s="0" t="s">
        <v>1665</v>
      </c>
      <c r="B850" s="0" t="s">
        <v>1666</v>
      </c>
      <c r="C850" s="0" t="s">
        <v>41</v>
      </c>
    </row>
    <row r="851" customFormat="false" ht="15" hidden="false" customHeight="false" outlineLevel="0" collapsed="false">
      <c r="A851" s="0" t="s">
        <v>1667</v>
      </c>
      <c r="B851" s="0" t="s">
        <v>1668</v>
      </c>
      <c r="C851" s="0" t="s">
        <v>44</v>
      </c>
    </row>
    <row r="852" customFormat="false" ht="15" hidden="false" customHeight="false" outlineLevel="0" collapsed="false">
      <c r="A852" s="0" t="s">
        <v>1669</v>
      </c>
      <c r="B852" s="0" t="s">
        <v>1670</v>
      </c>
      <c r="C852" s="0" t="s">
        <v>38</v>
      </c>
    </row>
    <row r="853" customFormat="false" ht="15" hidden="false" customHeight="false" outlineLevel="0" collapsed="false">
      <c r="A853" s="0" t="s">
        <v>1671</v>
      </c>
      <c r="B853" s="0" t="s">
        <v>1672</v>
      </c>
      <c r="C853" s="0" t="s">
        <v>44</v>
      </c>
    </row>
    <row r="854" customFormat="false" ht="15" hidden="false" customHeight="false" outlineLevel="0" collapsed="false">
      <c r="A854" s="0" t="s">
        <v>1673</v>
      </c>
      <c r="B854" s="0" t="s">
        <v>1674</v>
      </c>
      <c r="C854" s="0" t="s">
        <v>44</v>
      </c>
    </row>
    <row r="855" customFormat="false" ht="15" hidden="false" customHeight="false" outlineLevel="0" collapsed="false">
      <c r="A855" s="0" t="s">
        <v>1675</v>
      </c>
      <c r="B855" s="0" t="s">
        <v>490</v>
      </c>
      <c r="C855" s="0" t="s">
        <v>28</v>
      </c>
    </row>
    <row r="856" customFormat="false" ht="15" hidden="false" customHeight="false" outlineLevel="0" collapsed="false">
      <c r="A856" s="0" t="s">
        <v>1676</v>
      </c>
      <c r="B856" s="0" t="s">
        <v>566</v>
      </c>
      <c r="C856" s="0" t="s">
        <v>41</v>
      </c>
    </row>
    <row r="857" customFormat="false" ht="15" hidden="false" customHeight="false" outlineLevel="0" collapsed="false">
      <c r="A857" s="0" t="s">
        <v>1677</v>
      </c>
      <c r="B857" s="0" t="s">
        <v>1678</v>
      </c>
      <c r="C857" s="0" t="s">
        <v>28</v>
      </c>
    </row>
    <row r="858" customFormat="false" ht="15" hidden="false" customHeight="false" outlineLevel="0" collapsed="false">
      <c r="A858" s="0" t="s">
        <v>1679</v>
      </c>
      <c r="B858" s="0" t="s">
        <v>1680</v>
      </c>
      <c r="C858" s="0" t="s">
        <v>44</v>
      </c>
    </row>
    <row r="859" customFormat="false" ht="15" hidden="false" customHeight="false" outlineLevel="0" collapsed="false">
      <c r="A859" s="0" t="s">
        <v>1681</v>
      </c>
      <c r="B859" s="0" t="s">
        <v>76</v>
      </c>
      <c r="C859" s="0" t="s">
        <v>41</v>
      </c>
    </row>
    <row r="860" customFormat="false" ht="15" hidden="false" customHeight="false" outlineLevel="0" collapsed="false">
      <c r="A860" s="0" t="s">
        <v>1682</v>
      </c>
      <c r="B860" s="0" t="s">
        <v>1683</v>
      </c>
      <c r="C860" s="0" t="s">
        <v>38</v>
      </c>
    </row>
    <row r="861" customFormat="false" ht="15" hidden="false" customHeight="false" outlineLevel="0" collapsed="false">
      <c r="A861" s="0" t="s">
        <v>1684</v>
      </c>
      <c r="B861" s="0" t="s">
        <v>1685</v>
      </c>
      <c r="C861" s="0" t="s">
        <v>21</v>
      </c>
    </row>
    <row r="862" customFormat="false" ht="15" hidden="false" customHeight="false" outlineLevel="0" collapsed="false">
      <c r="A862" s="0" t="s">
        <v>1686</v>
      </c>
      <c r="B862" s="0" t="s">
        <v>1687</v>
      </c>
      <c r="C862" s="0" t="s">
        <v>44</v>
      </c>
    </row>
    <row r="863" customFormat="false" ht="15" hidden="false" customHeight="false" outlineLevel="0" collapsed="false">
      <c r="A863" s="0" t="s">
        <v>1688</v>
      </c>
      <c r="B863" s="0" t="s">
        <v>1689</v>
      </c>
      <c r="C863" s="0" t="s">
        <v>41</v>
      </c>
    </row>
    <row r="864" customFormat="false" ht="15" hidden="false" customHeight="false" outlineLevel="0" collapsed="false">
      <c r="A864" s="0" t="s">
        <v>1690</v>
      </c>
      <c r="B864" s="0" t="s">
        <v>210</v>
      </c>
      <c r="C864" s="0" t="s">
        <v>41</v>
      </c>
    </row>
    <row r="865" customFormat="false" ht="15" hidden="false" customHeight="false" outlineLevel="0" collapsed="false">
      <c r="A865" s="0" t="s">
        <v>1691</v>
      </c>
      <c r="B865" s="0" t="s">
        <v>1692</v>
      </c>
      <c r="C865" s="0" t="s">
        <v>33</v>
      </c>
    </row>
    <row r="866" customFormat="false" ht="15" hidden="false" customHeight="false" outlineLevel="0" collapsed="false">
      <c r="A866" s="0" t="s">
        <v>1693</v>
      </c>
      <c r="B866" s="0" t="s">
        <v>1694</v>
      </c>
      <c r="C866" s="0" t="s">
        <v>28</v>
      </c>
    </row>
    <row r="867" customFormat="false" ht="15" hidden="false" customHeight="false" outlineLevel="0" collapsed="false">
      <c r="A867" s="0" t="s">
        <v>1695</v>
      </c>
      <c r="B867" s="0" t="s">
        <v>1696</v>
      </c>
      <c r="C867" s="0" t="s">
        <v>28</v>
      </c>
    </row>
    <row r="868" customFormat="false" ht="15" hidden="false" customHeight="false" outlineLevel="0" collapsed="false">
      <c r="A868" s="0" t="s">
        <v>1697</v>
      </c>
      <c r="B868" s="0" t="s">
        <v>1698</v>
      </c>
      <c r="C868" s="0" t="s">
        <v>33</v>
      </c>
    </row>
    <row r="869" customFormat="false" ht="15" hidden="false" customHeight="false" outlineLevel="0" collapsed="false">
      <c r="A869" s="0" t="s">
        <v>1699</v>
      </c>
      <c r="B869" s="0" t="s">
        <v>1700</v>
      </c>
      <c r="C869" s="0" t="s">
        <v>41</v>
      </c>
    </row>
    <row r="870" customFormat="false" ht="15" hidden="false" customHeight="false" outlineLevel="0" collapsed="false">
      <c r="A870" s="0" t="s">
        <v>1701</v>
      </c>
      <c r="B870" s="0" t="s">
        <v>1702</v>
      </c>
      <c r="C870" s="0" t="s">
        <v>21</v>
      </c>
    </row>
    <row r="871" customFormat="false" ht="15" hidden="false" customHeight="false" outlineLevel="0" collapsed="false">
      <c r="A871" s="0" t="s">
        <v>1703</v>
      </c>
      <c r="B871" s="0" t="s">
        <v>1704</v>
      </c>
      <c r="C871" s="0" t="s">
        <v>33</v>
      </c>
    </row>
    <row r="872" customFormat="false" ht="15" hidden="false" customHeight="false" outlineLevel="0" collapsed="false">
      <c r="A872" s="0" t="s">
        <v>1705</v>
      </c>
      <c r="B872" s="0" t="s">
        <v>1706</v>
      </c>
      <c r="C872" s="0" t="s">
        <v>21</v>
      </c>
    </row>
    <row r="873" customFormat="false" ht="15" hidden="false" customHeight="false" outlineLevel="0" collapsed="false">
      <c r="A873" s="0" t="s">
        <v>1707</v>
      </c>
      <c r="B873" s="0" t="s">
        <v>1708</v>
      </c>
      <c r="C873" s="0" t="s">
        <v>44</v>
      </c>
    </row>
    <row r="874" customFormat="false" ht="15" hidden="false" customHeight="false" outlineLevel="0" collapsed="false">
      <c r="A874" s="0" t="s">
        <v>1709</v>
      </c>
      <c r="B874" s="0" t="s">
        <v>1710</v>
      </c>
      <c r="C874" s="0" t="s">
        <v>33</v>
      </c>
    </row>
    <row r="875" customFormat="false" ht="15" hidden="false" customHeight="false" outlineLevel="0" collapsed="false">
      <c r="A875" s="0" t="s">
        <v>1711</v>
      </c>
      <c r="B875" s="0" t="s">
        <v>1712</v>
      </c>
      <c r="C875" s="0" t="s">
        <v>33</v>
      </c>
    </row>
    <row r="876" customFormat="false" ht="15" hidden="false" customHeight="false" outlineLevel="0" collapsed="false">
      <c r="A876" s="0" t="s">
        <v>1713</v>
      </c>
      <c r="B876" s="0" t="s">
        <v>1714</v>
      </c>
      <c r="C876" s="0" t="s">
        <v>38</v>
      </c>
    </row>
    <row r="877" customFormat="false" ht="15" hidden="false" customHeight="false" outlineLevel="0" collapsed="false">
      <c r="A877" s="0" t="s">
        <v>1715</v>
      </c>
      <c r="B877" s="0" t="s">
        <v>1716</v>
      </c>
      <c r="C877" s="0" t="s">
        <v>21</v>
      </c>
    </row>
    <row r="878" customFormat="false" ht="15" hidden="false" customHeight="false" outlineLevel="0" collapsed="false">
      <c r="A878" s="0" t="s">
        <v>1717</v>
      </c>
      <c r="B878" s="0" t="s">
        <v>1718</v>
      </c>
      <c r="C878" s="0" t="s">
        <v>38</v>
      </c>
    </row>
    <row r="879" customFormat="false" ht="15" hidden="false" customHeight="false" outlineLevel="0" collapsed="false">
      <c r="A879" s="0" t="s">
        <v>1719</v>
      </c>
      <c r="B879" s="0" t="s">
        <v>1720</v>
      </c>
      <c r="C879" s="0" t="s">
        <v>38</v>
      </c>
    </row>
    <row r="880" customFormat="false" ht="15" hidden="false" customHeight="false" outlineLevel="0" collapsed="false">
      <c r="A880" s="0" t="s">
        <v>1721</v>
      </c>
      <c r="B880" s="0" t="s">
        <v>1722</v>
      </c>
      <c r="C880" s="0" t="s">
        <v>28</v>
      </c>
    </row>
    <row r="881" customFormat="false" ht="15" hidden="false" customHeight="false" outlineLevel="0" collapsed="false">
      <c r="A881" s="0" t="s">
        <v>1723</v>
      </c>
      <c r="B881" s="0" t="s">
        <v>1724</v>
      </c>
      <c r="C881" s="0" t="s">
        <v>44</v>
      </c>
    </row>
    <row r="882" customFormat="false" ht="15" hidden="false" customHeight="false" outlineLevel="0" collapsed="false">
      <c r="A882" s="0" t="s">
        <v>1725</v>
      </c>
      <c r="B882" s="0" t="s">
        <v>1726</v>
      </c>
      <c r="C882" s="0" t="s">
        <v>21</v>
      </c>
    </row>
    <row r="883" customFormat="false" ht="15" hidden="false" customHeight="false" outlineLevel="0" collapsed="false">
      <c r="A883" s="0" t="s">
        <v>1727</v>
      </c>
      <c r="B883" s="0" t="s">
        <v>1728</v>
      </c>
      <c r="C883" s="0" t="s">
        <v>21</v>
      </c>
    </row>
    <row r="884" customFormat="false" ht="15" hidden="false" customHeight="false" outlineLevel="0" collapsed="false">
      <c r="A884" s="0" t="s">
        <v>1729</v>
      </c>
      <c r="B884" s="0" t="s">
        <v>1730</v>
      </c>
      <c r="C884" s="0" t="s">
        <v>21</v>
      </c>
    </row>
    <row r="885" customFormat="false" ht="15" hidden="false" customHeight="false" outlineLevel="0" collapsed="false">
      <c r="A885" s="0" t="s">
        <v>1731</v>
      </c>
      <c r="B885" s="0" t="s">
        <v>1732</v>
      </c>
      <c r="C885" s="0" t="s">
        <v>44</v>
      </c>
    </row>
    <row r="886" customFormat="false" ht="15" hidden="false" customHeight="false" outlineLevel="0" collapsed="false">
      <c r="A886" s="0" t="s">
        <v>1733</v>
      </c>
      <c r="B886" s="0" t="s">
        <v>1734</v>
      </c>
      <c r="C886" s="0" t="s">
        <v>33</v>
      </c>
    </row>
    <row r="887" customFormat="false" ht="15" hidden="false" customHeight="false" outlineLevel="0" collapsed="false">
      <c r="A887" s="0" t="s">
        <v>1735</v>
      </c>
      <c r="B887" s="0" t="s">
        <v>855</v>
      </c>
      <c r="C887" s="0" t="s">
        <v>38</v>
      </c>
    </row>
    <row r="888" customFormat="false" ht="15" hidden="false" customHeight="false" outlineLevel="0" collapsed="false">
      <c r="A888" s="0" t="s">
        <v>1736</v>
      </c>
      <c r="B888" s="0" t="s">
        <v>1737</v>
      </c>
      <c r="C888" s="0" t="s">
        <v>41</v>
      </c>
    </row>
    <row r="889" customFormat="false" ht="15" hidden="false" customHeight="false" outlineLevel="0" collapsed="false">
      <c r="A889" s="0" t="s">
        <v>1738</v>
      </c>
      <c r="B889" s="0" t="s">
        <v>1739</v>
      </c>
      <c r="C889" s="0" t="s">
        <v>21</v>
      </c>
    </row>
    <row r="890" customFormat="false" ht="15" hidden="false" customHeight="false" outlineLevel="0" collapsed="false">
      <c r="A890" s="0" t="s">
        <v>1740</v>
      </c>
      <c r="B890" s="0" t="s">
        <v>1741</v>
      </c>
      <c r="C890" s="0" t="s">
        <v>28</v>
      </c>
    </row>
    <row r="891" customFormat="false" ht="15" hidden="false" customHeight="false" outlineLevel="0" collapsed="false">
      <c r="A891" s="0" t="s">
        <v>1742</v>
      </c>
      <c r="B891" s="0" t="s">
        <v>1743</v>
      </c>
      <c r="C891" s="0" t="s">
        <v>33</v>
      </c>
    </row>
    <row r="892" customFormat="false" ht="15" hidden="false" customHeight="false" outlineLevel="0" collapsed="false">
      <c r="A892" s="0" t="s">
        <v>1744</v>
      </c>
      <c r="B892" s="0" t="s">
        <v>1745</v>
      </c>
      <c r="C892" s="0" t="s">
        <v>41</v>
      </c>
    </row>
    <row r="893" customFormat="false" ht="15" hidden="false" customHeight="false" outlineLevel="0" collapsed="false">
      <c r="A893" s="0" t="s">
        <v>1746</v>
      </c>
      <c r="B893" s="0" t="s">
        <v>1747</v>
      </c>
      <c r="C893" s="0" t="s">
        <v>41</v>
      </c>
    </row>
    <row r="894" customFormat="false" ht="15" hidden="false" customHeight="false" outlineLevel="0" collapsed="false">
      <c r="A894" s="0" t="s">
        <v>1748</v>
      </c>
      <c r="B894" s="0" t="s">
        <v>1749</v>
      </c>
      <c r="C894" s="0" t="s">
        <v>28</v>
      </c>
    </row>
    <row r="895" customFormat="false" ht="15" hidden="false" customHeight="false" outlineLevel="0" collapsed="false">
      <c r="A895" s="0" t="s">
        <v>1750</v>
      </c>
      <c r="B895" s="0" t="s">
        <v>1751</v>
      </c>
      <c r="C895" s="0" t="s">
        <v>38</v>
      </c>
    </row>
    <row r="896" customFormat="false" ht="15" hidden="false" customHeight="false" outlineLevel="0" collapsed="false">
      <c r="A896" s="0" t="s">
        <v>1752</v>
      </c>
      <c r="B896" s="0" t="s">
        <v>1753</v>
      </c>
      <c r="C896" s="0" t="s">
        <v>38</v>
      </c>
    </row>
    <row r="897" customFormat="false" ht="15" hidden="false" customHeight="false" outlineLevel="0" collapsed="false">
      <c r="A897" s="0" t="s">
        <v>1754</v>
      </c>
      <c r="B897" s="0" t="s">
        <v>1755</v>
      </c>
      <c r="C897" s="0" t="s">
        <v>21</v>
      </c>
    </row>
    <row r="898" customFormat="false" ht="15" hidden="false" customHeight="false" outlineLevel="0" collapsed="false">
      <c r="A898" s="0" t="s">
        <v>1756</v>
      </c>
      <c r="B898" s="0" t="s">
        <v>520</v>
      </c>
      <c r="C898" s="0" t="s">
        <v>28</v>
      </c>
    </row>
    <row r="899" customFormat="false" ht="15" hidden="false" customHeight="false" outlineLevel="0" collapsed="false">
      <c r="A899" s="0" t="s">
        <v>1757</v>
      </c>
      <c r="B899" s="0" t="s">
        <v>1758</v>
      </c>
      <c r="C899" s="0" t="s">
        <v>44</v>
      </c>
    </row>
    <row r="900" customFormat="false" ht="15" hidden="false" customHeight="false" outlineLevel="0" collapsed="false">
      <c r="A900" s="0" t="s">
        <v>1759</v>
      </c>
      <c r="B900" s="0" t="s">
        <v>1338</v>
      </c>
      <c r="C900" s="0" t="s">
        <v>28</v>
      </c>
    </row>
    <row r="901" customFormat="false" ht="15" hidden="false" customHeight="false" outlineLevel="0" collapsed="false">
      <c r="A901" s="0" t="s">
        <v>1760</v>
      </c>
      <c r="B901" s="0" t="s">
        <v>1761</v>
      </c>
      <c r="C901" s="0"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8"/>
    <col collapsed="false" customWidth="true" hidden="false" outlineLevel="0" max="5" min="4" style="0" width="24"/>
    <col collapsed="false" customWidth="true" hidden="false" outlineLevel="0" max="7" min="7" style="0" width="12"/>
  </cols>
  <sheetData>
    <row r="1" customFormat="false" ht="15" hidden="false" customHeight="false" outlineLevel="0" collapsed="false">
      <c r="A1" s="2" t="s">
        <v>1762</v>
      </c>
      <c r="B1" s="2" t="s">
        <v>1763</v>
      </c>
      <c r="C1" s="2" t="s">
        <v>1764</v>
      </c>
      <c r="D1" s="2" t="s">
        <v>1765</v>
      </c>
      <c r="E1" s="2" t="s">
        <v>1766</v>
      </c>
      <c r="G1" s="3" t="s">
        <v>1767</v>
      </c>
      <c r="H1" s="0" t="n">
        <v>3</v>
      </c>
    </row>
    <row r="2" customFormat="false" ht="15" hidden="false" customHeight="false" outlineLevel="0" collapsed="false">
      <c r="A2" s="0" t="s">
        <v>41</v>
      </c>
      <c r="B2" s="0" t="s">
        <v>1768</v>
      </c>
      <c r="C2" s="0" t="n">
        <v>2</v>
      </c>
      <c r="D2" s="0" t="str">
        <f aca="false">" "&amp;B2&amp;" "</f>
        <v> fee </v>
      </c>
      <c r="E2" s="0" t="str">
        <f aca="false">IF(OR(ISNUMBER(SEARCH(" ",B2)),LEN(B2)&lt;6)," "&amp;B2&amp;" "," "&amp;LEFT(B2,LEN(B2)-2))</f>
        <v> fee </v>
      </c>
      <c r="G2" s="3" t="s">
        <v>1769</v>
      </c>
      <c r="H2" s="0" t="n">
        <v>2</v>
      </c>
    </row>
    <row r="3" customFormat="false" ht="15" hidden="false" customHeight="false" outlineLevel="0" collapsed="false">
      <c r="A3" s="0" t="s">
        <v>41</v>
      </c>
      <c r="B3" s="0" t="s">
        <v>1770</v>
      </c>
      <c r="C3" s="0" t="n">
        <v>2</v>
      </c>
      <c r="D3" s="0" t="str">
        <f aca="false">" "&amp;B3&amp;" "</f>
        <v> charge </v>
      </c>
      <c r="E3" s="0" t="str">
        <f aca="false">IF(OR(ISNUMBER(SEARCH(" ",B3)),LEN(B3)&lt;6)," "&amp;B3&amp;" "," "&amp;LEFT(B3,LEN(B3)-2))</f>
        <v> char</v>
      </c>
    </row>
    <row r="4" customFormat="false" ht="15" hidden="false" customHeight="false" outlineLevel="0" collapsed="false">
      <c r="A4" s="0" t="s">
        <v>41</v>
      </c>
      <c r="B4" s="0" t="s">
        <v>1771</v>
      </c>
      <c r="C4" s="0" t="n">
        <v>2</v>
      </c>
      <c r="D4" s="0" t="str">
        <f aca="false">" "&amp;B4&amp;" "</f>
        <v> charged </v>
      </c>
      <c r="E4" s="0" t="str">
        <f aca="false">IF(OR(ISNUMBER(SEARCH(" ",B4)),LEN(B4)&lt;6)," "&amp;B4&amp;" "," "&amp;LEFT(B4,LEN(B4)-2))</f>
        <v> charg</v>
      </c>
    </row>
    <row r="5" customFormat="false" ht="15" hidden="false" customHeight="false" outlineLevel="0" collapsed="false">
      <c r="A5" s="0" t="s">
        <v>41</v>
      </c>
      <c r="B5" s="0" t="s">
        <v>1772</v>
      </c>
      <c r="C5" s="0" t="n">
        <v>2</v>
      </c>
      <c r="D5" s="0" t="str">
        <f aca="false">" "&amp;B5&amp;" "</f>
        <v> billed </v>
      </c>
      <c r="E5" s="0" t="str">
        <f aca="false">IF(OR(ISNUMBER(SEARCH(" ",B5)),LEN(B5)&lt;6)," "&amp;B5&amp;" "," "&amp;LEFT(B5,LEN(B5)-2))</f>
        <v> bill</v>
      </c>
    </row>
    <row r="6" customFormat="false" ht="15" hidden="false" customHeight="false" outlineLevel="0" collapsed="false">
      <c r="A6" s="0" t="s">
        <v>41</v>
      </c>
      <c r="B6" s="0" t="s">
        <v>1773</v>
      </c>
      <c r="C6" s="0" t="n">
        <v>2</v>
      </c>
      <c r="D6" s="0" t="str">
        <f aca="false">" "&amp;B6&amp;" "</f>
        <v> penalty </v>
      </c>
      <c r="E6" s="0" t="str">
        <f aca="false">IF(OR(ISNUMBER(SEARCH(" ",B6)),LEN(B6)&lt;6)," "&amp;B6&amp;" "," "&amp;LEFT(B6,LEN(B6)-2))</f>
        <v> penal</v>
      </c>
    </row>
    <row r="7" customFormat="false" ht="15" hidden="false" customHeight="false" outlineLevel="0" collapsed="false">
      <c r="A7" s="0" t="s">
        <v>41</v>
      </c>
      <c r="B7" s="0" t="s">
        <v>1774</v>
      </c>
      <c r="C7" s="0" t="n">
        <v>2</v>
      </c>
      <c r="D7" s="0" t="str">
        <f aca="false">" "&amp;B7&amp;" "</f>
        <v> interest rate </v>
      </c>
      <c r="E7" s="0" t="str">
        <f aca="false">IF(OR(ISNUMBER(SEARCH(" ",B7)),LEN(B7)&lt;6)," "&amp;B7&amp;" "," "&amp;LEFT(B7,LEN(B7)-2))</f>
        <v> interest rate </v>
      </c>
    </row>
    <row r="8" customFormat="false" ht="15" hidden="false" customHeight="false" outlineLevel="0" collapsed="false">
      <c r="A8" s="0" t="s">
        <v>41</v>
      </c>
      <c r="B8" s="0" t="s">
        <v>1775</v>
      </c>
      <c r="C8" s="0" t="n">
        <v>1</v>
      </c>
      <c r="D8" s="0" t="str">
        <f aca="false">" "&amp;B8&amp;" "</f>
        <v> costs </v>
      </c>
      <c r="E8" s="0" t="str">
        <f aca="false">IF(OR(ISNUMBER(SEARCH(" ",B8)),LEN(B8)&lt;6)," "&amp;B8&amp;" "," "&amp;LEFT(B8,LEN(B8)-2))</f>
        <v> costs </v>
      </c>
    </row>
    <row r="9" customFormat="false" ht="15" hidden="false" customHeight="false" outlineLevel="0" collapsed="false">
      <c r="A9" s="0" t="s">
        <v>41</v>
      </c>
      <c r="B9" s="0" t="s">
        <v>1776</v>
      </c>
      <c r="C9" s="0" t="n">
        <v>1</v>
      </c>
      <c r="D9" s="0" t="str">
        <f aca="false">" "&amp;B9&amp;" "</f>
        <v> statement </v>
      </c>
      <c r="E9" s="0" t="str">
        <f aca="false">IF(OR(ISNUMBER(SEARCH(" ",B9)),LEN(B9)&lt;6)," "&amp;B9&amp;" "," "&amp;LEFT(B9,LEN(B9)-2))</f>
        <v> stateme</v>
      </c>
    </row>
    <row r="10" customFormat="false" ht="15" hidden="false" customHeight="false" outlineLevel="0" collapsed="false">
      <c r="A10" s="0" t="s">
        <v>28</v>
      </c>
      <c r="B10" s="0" t="s">
        <v>1777</v>
      </c>
      <c r="C10" s="0" t="n">
        <v>2</v>
      </c>
      <c r="D10" s="0" t="str">
        <f aca="false">" "&amp;B10&amp;" "</f>
        <v> pending </v>
      </c>
      <c r="E10" s="0" t="str">
        <f aca="false">IF(OR(ISNUMBER(SEARCH(" ",B10)),LEN(B10)&lt;6)," "&amp;B10&amp;" "," "&amp;LEFT(B10,LEN(B10)-2))</f>
        <v> pendi</v>
      </c>
    </row>
    <row r="11" customFormat="false" ht="15" hidden="false" customHeight="false" outlineLevel="0" collapsed="false">
      <c r="A11" s="0" t="s">
        <v>28</v>
      </c>
      <c r="B11" s="0" t="s">
        <v>1778</v>
      </c>
      <c r="C11" s="0" t="n">
        <v>2</v>
      </c>
      <c r="D11" s="0" t="str">
        <f aca="false">" "&amp;B11&amp;" "</f>
        <v> delayed </v>
      </c>
      <c r="E11" s="0" t="str">
        <f aca="false">IF(OR(ISNUMBER(SEARCH(" ",B11)),LEN(B11)&lt;6)," "&amp;B11&amp;" "," "&amp;LEFT(B11,LEN(B11)-2))</f>
        <v> delay</v>
      </c>
    </row>
    <row r="12" customFormat="false" ht="15" hidden="false" customHeight="false" outlineLevel="0" collapsed="false">
      <c r="A12" s="0" t="s">
        <v>28</v>
      </c>
      <c r="B12" s="0" t="s">
        <v>1779</v>
      </c>
      <c r="C12" s="0" t="n">
        <v>1</v>
      </c>
      <c r="D12" s="0" t="str">
        <f aca="false">" "&amp;B12&amp;" "</f>
        <v> weeks </v>
      </c>
      <c r="E12" s="0" t="str">
        <f aca="false">IF(OR(ISNUMBER(SEARCH(" ",B12)),LEN(B12)&lt;6)," "&amp;B12&amp;" "," "&amp;LEFT(B12,LEN(B12)-2))</f>
        <v> weeks </v>
      </c>
    </row>
    <row r="13" customFormat="false" ht="15" hidden="false" customHeight="false" outlineLevel="0" collapsed="false">
      <c r="A13" s="0" t="s">
        <v>28</v>
      </c>
      <c r="B13" s="0" t="s">
        <v>1780</v>
      </c>
      <c r="C13" s="0" t="n">
        <v>2</v>
      </c>
      <c r="D13" s="0" t="str">
        <f aca="false">" "&amp;B13&amp;" "</f>
        <v> waiting </v>
      </c>
      <c r="E13" s="0" t="str">
        <f aca="false">IF(OR(ISNUMBER(SEARCH(" ",B13)),LEN(B13)&lt;6)," "&amp;B13&amp;" "," "&amp;LEFT(B13,LEN(B13)-2))</f>
        <v> waiti</v>
      </c>
    </row>
    <row r="14" customFormat="false" ht="15" hidden="false" customHeight="false" outlineLevel="0" collapsed="false">
      <c r="A14" s="0" t="s">
        <v>28</v>
      </c>
      <c r="B14" s="0" t="s">
        <v>1781</v>
      </c>
      <c r="C14" s="0" t="n">
        <v>2</v>
      </c>
      <c r="D14" s="0" t="str">
        <f aca="false">" "&amp;B14&amp;" "</f>
        <v> outstanding </v>
      </c>
      <c r="E14" s="0" t="str">
        <f aca="false">IF(OR(ISNUMBER(SEARCH(" ",B14)),LEN(B14)&lt;6)," "&amp;B14&amp;" "," "&amp;LEFT(B14,LEN(B14)-2))</f>
        <v> outstandi</v>
      </c>
    </row>
    <row r="15" customFormat="false" ht="15" hidden="false" customHeight="false" outlineLevel="0" collapsed="false">
      <c r="A15" s="0" t="s">
        <v>28</v>
      </c>
      <c r="B15" s="0" t="s">
        <v>1782</v>
      </c>
      <c r="C15" s="0" t="n">
        <v>2</v>
      </c>
      <c r="D15" s="0" t="str">
        <f aca="false">" "&amp;B15&amp;" "</f>
        <v> not arrived </v>
      </c>
      <c r="E15" s="0" t="str">
        <f aca="false">IF(OR(ISNUMBER(SEARCH(" ",B15)),LEN(B15)&lt;6)," "&amp;B15&amp;" "," "&amp;LEFT(B15,LEN(B15)-2))</f>
        <v> not arrived </v>
      </c>
    </row>
    <row r="16" customFormat="false" ht="15" hidden="false" customHeight="false" outlineLevel="0" collapsed="false">
      <c r="A16" s="0" t="s">
        <v>28</v>
      </c>
      <c r="B16" s="0" t="s">
        <v>1783</v>
      </c>
      <c r="C16" s="0" t="n">
        <v>1</v>
      </c>
      <c r="D16" s="0" t="str">
        <f aca="false">" "&amp;B16&amp;" "</f>
        <v> process </v>
      </c>
      <c r="E16" s="0" t="str">
        <f aca="false">IF(OR(ISNUMBER(SEARCH(" ",B16)),LEN(B16)&lt;6)," "&amp;B16&amp;" "," "&amp;LEFT(B16,LEN(B16)-2))</f>
        <v> proce</v>
      </c>
    </row>
    <row r="17" customFormat="false" ht="15" hidden="false" customHeight="false" outlineLevel="0" collapsed="false">
      <c r="A17" s="0" t="s">
        <v>28</v>
      </c>
      <c r="B17" s="0" t="s">
        <v>1784</v>
      </c>
      <c r="C17" s="0" t="n">
        <v>2</v>
      </c>
      <c r="D17" s="0" t="str">
        <f aca="false">" "&amp;B17&amp;" "</f>
        <v> stuck </v>
      </c>
      <c r="E17" s="0" t="str">
        <f aca="false">IF(OR(ISNUMBER(SEARCH(" ",B17)),LEN(B17)&lt;6)," "&amp;B17&amp;" "," "&amp;LEFT(B17,LEN(B17)-2))</f>
        <v> stuck </v>
      </c>
    </row>
    <row r="18" customFormat="false" ht="15" hidden="false" customHeight="false" outlineLevel="0" collapsed="false">
      <c r="A18" s="0" t="s">
        <v>28</v>
      </c>
      <c r="B18" s="0" t="s">
        <v>1785</v>
      </c>
      <c r="C18" s="0" t="n">
        <v>2</v>
      </c>
      <c r="D18" s="0" t="str">
        <f aca="false">" "&amp;B18&amp;" "</f>
        <v> taking far longer </v>
      </c>
      <c r="E18" s="0" t="str">
        <f aca="false">IF(OR(ISNUMBER(SEARCH(" ",B18)),LEN(B18)&lt;6)," "&amp;B18&amp;" "," "&amp;LEFT(B18,LEN(B18)-2))</f>
        <v> taking far longer </v>
      </c>
    </row>
    <row r="19" customFormat="false" ht="15" hidden="false" customHeight="false" outlineLevel="0" collapsed="false">
      <c r="A19" s="0" t="s">
        <v>28</v>
      </c>
      <c r="B19" s="0" t="s">
        <v>1786</v>
      </c>
      <c r="C19" s="0" t="n">
        <v>2</v>
      </c>
      <c r="D19" s="0" t="str">
        <f aca="false">" "&amp;B19&amp;" "</f>
        <v> dragged on </v>
      </c>
      <c r="E19" s="0" t="str">
        <f aca="false">IF(OR(ISNUMBER(SEARCH(" ",B19)),LEN(B19)&lt;6)," "&amp;B19&amp;" "," "&amp;LEFT(B19,LEN(B19)-2))</f>
        <v> dragged on </v>
      </c>
    </row>
    <row r="20" customFormat="false" ht="15" hidden="false" customHeight="false" outlineLevel="0" collapsed="false">
      <c r="A20" s="0" t="s">
        <v>44</v>
      </c>
      <c r="B20" s="0" t="s">
        <v>1787</v>
      </c>
      <c r="C20" s="0" t="n">
        <v>3</v>
      </c>
      <c r="D20" s="0" t="str">
        <f aca="false">" "&amp;B20&amp;" "</f>
        <v> fraud </v>
      </c>
      <c r="E20" s="0" t="str">
        <f aca="false">IF(OR(ISNUMBER(SEARCH(" ",B20)),LEN(B20)&lt;6)," "&amp;B20&amp;" "," "&amp;LEFT(B20,LEN(B20)-2))</f>
        <v> fraud </v>
      </c>
    </row>
    <row r="21" customFormat="false" ht="15" hidden="false" customHeight="false" outlineLevel="0" collapsed="false">
      <c r="A21" s="0" t="s">
        <v>44</v>
      </c>
      <c r="B21" s="0" t="s">
        <v>1788</v>
      </c>
      <c r="C21" s="0" t="n">
        <v>3</v>
      </c>
      <c r="D21" s="0" t="str">
        <f aca="false">" "&amp;B21&amp;" "</f>
        <v> scam </v>
      </c>
      <c r="E21" s="0" t="str">
        <f aca="false">IF(OR(ISNUMBER(SEARCH(" ",B21)),LEN(B21)&lt;6)," "&amp;B21&amp;" "," "&amp;LEFT(B21,LEN(B21)-2))</f>
        <v> scam </v>
      </c>
    </row>
    <row r="22" customFormat="false" ht="15" hidden="false" customHeight="false" outlineLevel="0" collapsed="false">
      <c r="A22" s="0" t="s">
        <v>44</v>
      </c>
      <c r="B22" s="0" t="s">
        <v>1789</v>
      </c>
      <c r="C22" s="0" t="n">
        <v>3</v>
      </c>
      <c r="D22" s="0" t="str">
        <f aca="false">" "&amp;B22&amp;" "</f>
        <v> fraudster </v>
      </c>
      <c r="E22" s="0" t="str">
        <f aca="false">IF(OR(ISNUMBER(SEARCH(" ",B22)),LEN(B22)&lt;6)," "&amp;B22&amp;" "," "&amp;LEFT(B22,LEN(B22)-2))</f>
        <v> fraudst</v>
      </c>
    </row>
    <row r="23" customFormat="false" ht="15" hidden="false" customHeight="false" outlineLevel="0" collapsed="false">
      <c r="A23" s="0" t="s">
        <v>44</v>
      </c>
      <c r="B23" s="0" t="s">
        <v>1790</v>
      </c>
      <c r="C23" s="0" t="n">
        <v>3</v>
      </c>
      <c r="D23" s="0" t="str">
        <f aca="false">" "&amp;B23&amp;" "</f>
        <v> unauthorised </v>
      </c>
      <c r="E23" s="0" t="str">
        <f aca="false">IF(OR(ISNUMBER(SEARCH(" ",B23)),LEN(B23)&lt;6)," "&amp;B23&amp;" "," "&amp;LEFT(B23,LEN(B23)-2))</f>
        <v> unauthoris</v>
      </c>
    </row>
    <row r="24" customFormat="false" ht="15" hidden="false" customHeight="false" outlineLevel="0" collapsed="false">
      <c r="A24" s="0" t="s">
        <v>44</v>
      </c>
      <c r="B24" s="0" t="s">
        <v>1791</v>
      </c>
      <c r="C24" s="0" t="n">
        <v>3</v>
      </c>
      <c r="D24" s="0" t="str">
        <f aca="false">" "&amp;B24&amp;" "</f>
        <v> did not authorise </v>
      </c>
      <c r="E24" s="0" t="str">
        <f aca="false">IF(OR(ISNUMBER(SEARCH(" ",B24)),LEN(B24)&lt;6)," "&amp;B24&amp;" "," "&amp;LEFT(B24,LEN(B24)-2))</f>
        <v> did not authorise </v>
      </c>
    </row>
    <row r="25" customFormat="false" ht="15" hidden="false" customHeight="false" outlineLevel="0" collapsed="false">
      <c r="A25" s="0" t="s">
        <v>44</v>
      </c>
      <c r="B25" s="0" t="s">
        <v>1792</v>
      </c>
      <c r="C25" s="0" t="n">
        <v>3</v>
      </c>
      <c r="D25" s="0" t="str">
        <f aca="false">" "&amp;B25&amp;" "</f>
        <v> cloned </v>
      </c>
      <c r="E25" s="0" t="str">
        <f aca="false">IF(OR(ISNUMBER(SEARCH(" ",B25)),LEN(B25)&lt;6)," "&amp;B25&amp;" "," "&amp;LEFT(B25,LEN(B25)-2))</f>
        <v> clon</v>
      </c>
    </row>
    <row r="26" customFormat="false" ht="15" hidden="false" customHeight="false" outlineLevel="0" collapsed="false">
      <c r="A26" s="0" t="s">
        <v>44</v>
      </c>
      <c r="B26" s="0" t="s">
        <v>1793</v>
      </c>
      <c r="C26" s="0" t="n">
        <v>2</v>
      </c>
      <c r="D26" s="0" t="str">
        <f aca="false">" "&amp;B26&amp;" "</f>
        <v> stolen </v>
      </c>
      <c r="E26" s="0" t="str">
        <f aca="false">IF(OR(ISNUMBER(SEARCH(" ",B26)),LEN(B26)&lt;6)," "&amp;B26&amp;" "," "&amp;LEFT(B26,LEN(B26)-2))</f>
        <v> stol</v>
      </c>
    </row>
    <row r="27" customFormat="false" ht="15" hidden="false" customHeight="false" outlineLevel="0" collapsed="false">
      <c r="A27" s="0" t="s">
        <v>44</v>
      </c>
      <c r="B27" s="0" t="s">
        <v>1794</v>
      </c>
      <c r="C27" s="0" t="n">
        <v>2</v>
      </c>
      <c r="D27" s="0" t="str">
        <f aca="false">" "&amp;B27&amp;" "</f>
        <v> fake </v>
      </c>
      <c r="E27" s="0" t="str">
        <f aca="false">IF(OR(ISNUMBER(SEARCH(" ",B27)),LEN(B27)&lt;6)," "&amp;B27&amp;" "," "&amp;LEFT(B27,LEN(B27)-2))</f>
        <v> fake </v>
      </c>
    </row>
    <row r="28" customFormat="false" ht="15" hidden="false" customHeight="false" outlineLevel="0" collapsed="false">
      <c r="A28" s="0" t="s">
        <v>44</v>
      </c>
      <c r="B28" s="0" t="s">
        <v>1795</v>
      </c>
      <c r="C28" s="0" t="n">
        <v>2</v>
      </c>
      <c r="D28" s="0" t="str">
        <f aca="false">" "&amp;B28&amp;" "</f>
        <v> do not recognise </v>
      </c>
      <c r="E28" s="0" t="str">
        <f aca="false">IF(OR(ISNUMBER(SEARCH(" ",B28)),LEN(B28)&lt;6)," "&amp;B28&amp;" "," "&amp;LEFT(B28,LEN(B28)-2))</f>
        <v> do not recognise </v>
      </c>
    </row>
    <row r="29" customFormat="false" ht="15" hidden="false" customHeight="false" outlineLevel="0" collapsed="false">
      <c r="A29" s="0" t="s">
        <v>44</v>
      </c>
      <c r="B29" s="0" t="s">
        <v>1796</v>
      </c>
      <c r="C29" s="0" t="n">
        <v>2</v>
      </c>
      <c r="D29" s="0" t="str">
        <f aca="false">" "&amp;B29&amp;" "</f>
        <v> tricked </v>
      </c>
      <c r="E29" s="0" t="str">
        <f aca="false">IF(OR(ISNUMBER(SEARCH(" ",B29)),LEN(B29)&lt;6)," "&amp;B29&amp;" "," "&amp;LEFT(B29,LEN(B29)-2))</f>
        <v> trick</v>
      </c>
    </row>
    <row r="30" customFormat="false" ht="15" hidden="false" customHeight="false" outlineLevel="0" collapsed="false">
      <c r="A30" s="0" t="s">
        <v>21</v>
      </c>
      <c r="B30" s="0" t="s">
        <v>1797</v>
      </c>
      <c r="C30" s="0" t="n">
        <v>2</v>
      </c>
      <c r="D30" s="0" t="str">
        <f aca="false">" "&amp;B30&amp;" "</f>
        <v> sold </v>
      </c>
      <c r="E30" s="0" t="str">
        <f aca="false">IF(OR(ISNUMBER(SEARCH(" ",B30)),LEN(B30)&lt;6)," "&amp;B30&amp;" "," "&amp;LEFT(B30,LEN(B30)-2))</f>
        <v> sold </v>
      </c>
    </row>
    <row r="31" customFormat="false" ht="15" hidden="false" customHeight="false" outlineLevel="0" collapsed="false">
      <c r="A31" s="0" t="s">
        <v>21</v>
      </c>
      <c r="B31" s="0" t="s">
        <v>1798</v>
      </c>
      <c r="C31" s="0" t="n">
        <v>2</v>
      </c>
      <c r="D31" s="0" t="str">
        <f aca="false">" "&amp;B31&amp;" "</f>
        <v> advice </v>
      </c>
      <c r="E31" s="0" t="str">
        <f aca="false">IF(OR(ISNUMBER(SEARCH(" ",B31)),LEN(B31)&lt;6)," "&amp;B31&amp;" "," "&amp;LEFT(B31,LEN(B31)-2))</f>
        <v> advi</v>
      </c>
    </row>
    <row r="32" customFormat="false" ht="15" hidden="false" customHeight="false" outlineLevel="0" collapsed="false">
      <c r="A32" s="0" t="s">
        <v>21</v>
      </c>
      <c r="B32" s="0" t="s">
        <v>1799</v>
      </c>
      <c r="C32" s="0" t="n">
        <v>2</v>
      </c>
      <c r="D32" s="0" t="str">
        <f aca="false">" "&amp;B32&amp;" "</f>
        <v> adviser </v>
      </c>
      <c r="E32" s="0" t="str">
        <f aca="false">IF(OR(ISNUMBER(SEARCH(" ",B32)),LEN(B32)&lt;6)," "&amp;B32&amp;" "," "&amp;LEFT(B32,LEN(B32)-2))</f>
        <v> advis</v>
      </c>
    </row>
    <row r="33" customFormat="false" ht="15" hidden="false" customHeight="false" outlineLevel="0" collapsed="false">
      <c r="A33" s="0" t="s">
        <v>21</v>
      </c>
      <c r="B33" s="0" t="s">
        <v>1800</v>
      </c>
      <c r="C33" s="0" t="n">
        <v>3</v>
      </c>
      <c r="D33" s="0" t="str">
        <f aca="false">" "&amp;B33&amp;" "</f>
        <v> misled </v>
      </c>
      <c r="E33" s="0" t="str">
        <f aca="false">IF(OR(ISNUMBER(SEARCH(" ",B33)),LEN(B33)&lt;6)," "&amp;B33&amp;" "," "&amp;LEFT(B33,LEN(B33)-2))</f>
        <v> misl</v>
      </c>
    </row>
    <row r="34" customFormat="false" ht="15" hidden="false" customHeight="false" outlineLevel="0" collapsed="false">
      <c r="A34" s="0" t="s">
        <v>21</v>
      </c>
      <c r="B34" s="0" t="s">
        <v>1801</v>
      </c>
      <c r="C34" s="0" t="n">
        <v>3</v>
      </c>
      <c r="D34" s="0" t="str">
        <f aca="false">" "&amp;B34&amp;" "</f>
        <v> not suitable </v>
      </c>
      <c r="E34" s="0" t="str">
        <f aca="false">IF(OR(ISNUMBER(SEARCH(" ",B34)),LEN(B34)&lt;6)," "&amp;B34&amp;" "," "&amp;LEFT(B34,LEN(B34)-2))</f>
        <v> not suitable </v>
      </c>
    </row>
    <row r="35" customFormat="false" ht="15" hidden="false" customHeight="false" outlineLevel="0" collapsed="false">
      <c r="A35" s="0" t="s">
        <v>21</v>
      </c>
      <c r="B35" s="0" t="s">
        <v>1802</v>
      </c>
      <c r="C35" s="0" t="n">
        <v>2</v>
      </c>
      <c r="D35" s="0" t="str">
        <f aca="false">" "&amp;B35&amp;" "</f>
        <v> risks </v>
      </c>
      <c r="E35" s="0" t="str">
        <f aca="false">IF(OR(ISNUMBER(SEARCH(" ",B35)),LEN(B35)&lt;6)," "&amp;B35&amp;" "," "&amp;LEFT(B35,LEN(B35)-2))</f>
        <v> risks </v>
      </c>
    </row>
    <row r="36" customFormat="false" ht="15" hidden="false" customHeight="false" outlineLevel="0" collapsed="false">
      <c r="A36" s="0" t="s">
        <v>21</v>
      </c>
      <c r="B36" s="0" t="s">
        <v>1803</v>
      </c>
      <c r="C36" s="0" t="n">
        <v>1</v>
      </c>
      <c r="D36" s="0" t="str">
        <f aca="false">" "&amp;B36&amp;" "</f>
        <v> promised </v>
      </c>
      <c r="E36" s="0" t="str">
        <f aca="false">IF(OR(ISNUMBER(SEARCH(" ",B36)),LEN(B36)&lt;6)," "&amp;B36&amp;" "," "&amp;LEFT(B36,LEN(B36)-2))</f>
        <v> promis</v>
      </c>
    </row>
    <row r="37" customFormat="false" ht="15" hidden="false" customHeight="false" outlineLevel="0" collapsed="false">
      <c r="A37" s="0" t="s">
        <v>21</v>
      </c>
      <c r="B37" s="0" t="s">
        <v>1804</v>
      </c>
      <c r="C37" s="0" t="n">
        <v>2</v>
      </c>
      <c r="D37" s="0" t="str">
        <f aca="false">" "&amp;B37&amp;" "</f>
        <v> guaranteed </v>
      </c>
      <c r="E37" s="0" t="str">
        <f aca="false">IF(OR(ISNUMBER(SEARCH(" ",B37)),LEN(B37)&lt;6)," "&amp;B37&amp;" "," "&amp;LEFT(B37,LEN(B37)-2))</f>
        <v> guarante</v>
      </c>
    </row>
    <row r="38" customFormat="false" ht="15" hidden="false" customHeight="false" outlineLevel="0" collapsed="false">
      <c r="A38" s="0" t="s">
        <v>21</v>
      </c>
      <c r="B38" s="0" t="s">
        <v>1805</v>
      </c>
      <c r="C38" s="0" t="n">
        <v>2</v>
      </c>
      <c r="D38" s="0" t="str">
        <f aca="false">" "&amp;B38&amp;" "</f>
        <v> salesperson </v>
      </c>
      <c r="E38" s="0" t="str">
        <f aca="false">IF(OR(ISNUMBER(SEARCH(" ",B38)),LEN(B38)&lt;6)," "&amp;B38&amp;" "," "&amp;LEFT(B38,LEN(B38)-2))</f>
        <v> salespers</v>
      </c>
    </row>
    <row r="39" customFormat="false" ht="15" hidden="false" customHeight="false" outlineLevel="0" collapsed="false">
      <c r="A39" s="0" t="s">
        <v>21</v>
      </c>
      <c r="B39" s="0" t="s">
        <v>1806</v>
      </c>
      <c r="C39" s="0" t="n">
        <v>1</v>
      </c>
      <c r="D39" s="0" t="str">
        <f aca="false">" "&amp;B39&amp;" "</f>
        <v> insurance </v>
      </c>
      <c r="E39" s="0" t="str">
        <f aca="false">IF(OR(ISNUMBER(SEARCH(" ",B39)),LEN(B39)&lt;6)," "&amp;B39&amp;" "," "&amp;LEFT(B39,LEN(B39)-2))</f>
        <v> insuran</v>
      </c>
    </row>
    <row r="40" customFormat="false" ht="15" hidden="false" customHeight="false" outlineLevel="0" collapsed="false">
      <c r="A40" s="0" t="s">
        <v>21</v>
      </c>
      <c r="B40" s="0" t="s">
        <v>1807</v>
      </c>
      <c r="C40" s="0" t="n">
        <v>1</v>
      </c>
      <c r="D40" s="0" t="str">
        <f aca="false">" "&amp;B40&amp;" "</f>
        <v> policy </v>
      </c>
      <c r="E40" s="0" t="str">
        <f aca="false">IF(OR(ISNUMBER(SEARCH(" ",B40)),LEN(B40)&lt;6)," "&amp;B40&amp;" "," "&amp;LEFT(B40,LEN(B40)-2))</f>
        <v> poli</v>
      </c>
    </row>
    <row r="41" customFormat="false" ht="15" hidden="false" customHeight="false" outlineLevel="0" collapsed="false">
      <c r="A41" s="0" t="s">
        <v>38</v>
      </c>
      <c r="B41" s="0" t="s">
        <v>1808</v>
      </c>
      <c r="C41" s="0" t="n">
        <v>3</v>
      </c>
      <c r="D41" s="0" t="str">
        <f aca="false">" "&amp;B41&amp;" "</f>
        <v> rude </v>
      </c>
      <c r="E41" s="0" t="str">
        <f aca="false">IF(OR(ISNUMBER(SEARCH(" ",B41)),LEN(B41)&lt;6)," "&amp;B41&amp;" "," "&amp;LEFT(B41,LEN(B41)-2))</f>
        <v> rude </v>
      </c>
    </row>
    <row r="42" customFormat="false" ht="15" hidden="false" customHeight="false" outlineLevel="0" collapsed="false">
      <c r="A42" s="0" t="s">
        <v>38</v>
      </c>
      <c r="B42" s="0" t="s">
        <v>1809</v>
      </c>
      <c r="C42" s="0" t="n">
        <v>3</v>
      </c>
      <c r="D42" s="0" t="str">
        <f aca="false">" "&amp;B42&amp;" "</f>
        <v> on hold </v>
      </c>
      <c r="E42" s="0" t="str">
        <f aca="false">IF(OR(ISNUMBER(SEARCH(" ",B42)),LEN(B42)&lt;6)," "&amp;B42&amp;" "," "&amp;LEFT(B42,LEN(B42)-2))</f>
        <v> on hold </v>
      </c>
    </row>
    <row r="43" customFormat="false" ht="15" hidden="false" customHeight="false" outlineLevel="0" collapsed="false">
      <c r="A43" s="0" t="s">
        <v>38</v>
      </c>
      <c r="B43" s="0" t="s">
        <v>1810</v>
      </c>
      <c r="C43" s="0" t="n">
        <v>2</v>
      </c>
      <c r="D43" s="0" t="str">
        <f aca="false">" "&amp;B43&amp;" "</f>
        <v> no one took ownership </v>
      </c>
      <c r="E43" s="0" t="str">
        <f aca="false">IF(OR(ISNUMBER(SEARCH(" ",B43)),LEN(B43)&lt;6)," "&amp;B43&amp;" "," "&amp;LEFT(B43,LEN(B43)-2))</f>
        <v> no one took ownership </v>
      </c>
    </row>
    <row r="44" customFormat="false" ht="15" hidden="false" customHeight="false" outlineLevel="0" collapsed="false">
      <c r="A44" s="0" t="s">
        <v>38</v>
      </c>
      <c r="B44" s="0" t="s">
        <v>1811</v>
      </c>
      <c r="C44" s="0" t="n">
        <v>2</v>
      </c>
      <c r="D44" s="0" t="str">
        <f aca="false">" "&amp;B44&amp;" "</f>
        <v> callback </v>
      </c>
      <c r="E44" s="0" t="str">
        <f aca="false">IF(OR(ISNUMBER(SEARCH(" ",B44)),LEN(B44)&lt;6)," "&amp;B44&amp;" "," "&amp;LEFT(B44,LEN(B44)-2))</f>
        <v> callba</v>
      </c>
    </row>
    <row r="45" customFormat="false" ht="15" hidden="false" customHeight="false" outlineLevel="0" collapsed="false">
      <c r="A45" s="0" t="s">
        <v>38</v>
      </c>
      <c r="B45" s="0" t="s">
        <v>1812</v>
      </c>
      <c r="C45" s="0" t="n">
        <v>2</v>
      </c>
      <c r="D45" s="0" t="str">
        <f aca="false">" "&amp;B45&amp;" "</f>
        <v> unhelpful </v>
      </c>
      <c r="E45" s="0" t="str">
        <f aca="false">IF(OR(ISNUMBER(SEARCH(" ",B45)),LEN(B45)&lt;6)," "&amp;B45&amp;" "," "&amp;LEFT(B45,LEN(B45)-2))</f>
        <v> unhelpf</v>
      </c>
    </row>
    <row r="46" customFormat="false" ht="15" hidden="false" customHeight="false" outlineLevel="0" collapsed="false">
      <c r="A46" s="0" t="s">
        <v>38</v>
      </c>
      <c r="B46" s="0" t="s">
        <v>1813</v>
      </c>
      <c r="C46" s="0" t="n">
        <v>2</v>
      </c>
      <c r="D46" s="0" t="str">
        <f aca="false">" "&amp;B46&amp;" "</f>
        <v> responded </v>
      </c>
      <c r="E46" s="0" t="str">
        <f aca="false">IF(OR(ISNUMBER(SEARCH(" ",B46)),LEN(B46)&lt;6)," "&amp;B46&amp;" "," "&amp;LEFT(B46,LEN(B46)-2))</f>
        <v> respond</v>
      </c>
    </row>
    <row r="47" customFormat="false" ht="15" hidden="false" customHeight="false" outlineLevel="0" collapsed="false">
      <c r="A47" s="0" t="s">
        <v>38</v>
      </c>
      <c r="B47" s="0" t="s">
        <v>1814</v>
      </c>
      <c r="C47" s="0" t="n">
        <v>2</v>
      </c>
      <c r="D47" s="0" t="str">
        <f aca="false">" "&amp;B47&amp;" "</f>
        <v> webchat </v>
      </c>
      <c r="E47" s="0" t="str">
        <f aca="false">IF(OR(ISNUMBER(SEARCH(" ",B47)),LEN(B47)&lt;6)," "&amp;B47&amp;" "," "&amp;LEFT(B47,LEN(B47)-2))</f>
        <v> webch</v>
      </c>
    </row>
    <row r="48" customFormat="false" ht="15" hidden="false" customHeight="false" outlineLevel="0" collapsed="false">
      <c r="A48" s="0" t="s">
        <v>38</v>
      </c>
      <c r="B48" s="0" t="s">
        <v>1815</v>
      </c>
      <c r="C48" s="0" t="n">
        <v>1</v>
      </c>
      <c r="D48" s="0" t="str">
        <f aca="false">" "&amp;B48&amp;" "</f>
        <v> staff </v>
      </c>
      <c r="E48" s="0" t="str">
        <f aca="false">IF(OR(ISNUMBER(SEARCH(" ",B48)),LEN(B48)&lt;6)," "&amp;B48&amp;" "," "&amp;LEFT(B48,LEN(B48)-2))</f>
        <v> staff </v>
      </c>
    </row>
    <row r="49" customFormat="false" ht="15" hidden="false" customHeight="false" outlineLevel="0" collapsed="false">
      <c r="A49" s="0" t="s">
        <v>38</v>
      </c>
      <c r="B49" s="0" t="s">
        <v>1816</v>
      </c>
      <c r="C49" s="0" t="n">
        <v>1</v>
      </c>
      <c r="D49" s="0" t="str">
        <f aca="false">" "&amp;B49&amp;" "</f>
        <v> advisor </v>
      </c>
      <c r="E49" s="0" t="str">
        <f aca="false">IF(OR(ISNUMBER(SEARCH(" ",B49)),LEN(B49)&lt;6)," "&amp;B49&amp;" "," "&amp;LEFT(B49,LEN(B49)-2))</f>
        <v> advis</v>
      </c>
    </row>
    <row r="50" customFormat="false" ht="15" hidden="false" customHeight="false" outlineLevel="0" collapsed="false">
      <c r="A50" s="0" t="s">
        <v>38</v>
      </c>
      <c r="B50" s="0" t="s">
        <v>1817</v>
      </c>
      <c r="C50" s="0" t="n">
        <v>3</v>
      </c>
      <c r="D50" s="0" t="str">
        <f aca="false">" "&amp;B50&amp;" "</f>
        <v> treated badly </v>
      </c>
      <c r="E50" s="0" t="str">
        <f aca="false">IF(OR(ISNUMBER(SEARCH(" ",B50)),LEN(B50)&lt;6)," "&amp;B50&amp;" "," "&amp;LEFT(B50,LEN(B50)-2))</f>
        <v> treated badly </v>
      </c>
    </row>
    <row r="51" customFormat="false" ht="15" hidden="false" customHeight="false" outlineLevel="0" collapsed="false">
      <c r="A51" s="0" t="s">
        <v>33</v>
      </c>
      <c r="B51" s="0" t="s">
        <v>1818</v>
      </c>
      <c r="C51" s="0" t="n">
        <v>3</v>
      </c>
      <c r="D51" s="0" t="str">
        <f aca="false">" "&amp;B51&amp;" "</f>
        <v> log in </v>
      </c>
      <c r="E51" s="0" t="str">
        <f aca="false">IF(OR(ISNUMBER(SEARCH(" ",B51)),LEN(B51)&lt;6)," "&amp;B51&amp;" "," "&amp;LEFT(B51,LEN(B51)-2))</f>
        <v> log in </v>
      </c>
    </row>
    <row r="52" customFormat="false" ht="15" hidden="false" customHeight="false" outlineLevel="0" collapsed="false">
      <c r="A52" s="0" t="s">
        <v>33</v>
      </c>
      <c r="B52" s="0" t="s">
        <v>1819</v>
      </c>
      <c r="C52" s="0" t="n">
        <v>3</v>
      </c>
      <c r="D52" s="0" t="str">
        <f aca="false">" "&amp;B52&amp;" "</f>
        <v> login </v>
      </c>
      <c r="E52" s="0" t="str">
        <f aca="false">IF(OR(ISNUMBER(SEARCH(" ",B52)),LEN(B52)&lt;6)," "&amp;B52&amp;" "," "&amp;LEFT(B52,LEN(B52)-2))</f>
        <v> login </v>
      </c>
    </row>
    <row r="53" customFormat="false" ht="15" hidden="false" customHeight="false" outlineLevel="0" collapsed="false">
      <c r="A53" s="0" t="s">
        <v>33</v>
      </c>
      <c r="B53" s="0" t="s">
        <v>1820</v>
      </c>
      <c r="C53" s="0" t="n">
        <v>3</v>
      </c>
      <c r="D53" s="0" t="str">
        <f aca="false">" "&amp;B53&amp;" "</f>
        <v> locked </v>
      </c>
      <c r="E53" s="0" t="str">
        <f aca="false">IF(OR(ISNUMBER(SEARCH(" ",B53)),LEN(B53)&lt;6)," "&amp;B53&amp;" "," "&amp;LEFT(B53,LEN(B53)-2))</f>
        <v> lock</v>
      </c>
    </row>
    <row r="54" customFormat="false" ht="15" hidden="false" customHeight="false" outlineLevel="0" collapsed="false">
      <c r="A54" s="0" t="s">
        <v>33</v>
      </c>
      <c r="B54" s="0" t="s">
        <v>1821</v>
      </c>
      <c r="C54" s="0" t="n">
        <v>3</v>
      </c>
      <c r="D54" s="0" t="str">
        <f aca="false">" "&amp;B54&amp;" "</f>
        <v> password </v>
      </c>
      <c r="E54" s="0" t="str">
        <f aca="false">IF(OR(ISNUMBER(SEARCH(" ",B54)),LEN(B54)&lt;6)," "&amp;B54&amp;" "," "&amp;LEFT(B54,LEN(B54)-2))</f>
        <v> passwo</v>
      </c>
    </row>
    <row r="55" customFormat="false" ht="15" hidden="false" customHeight="false" outlineLevel="0" collapsed="false">
      <c r="A55" s="0" t="s">
        <v>33</v>
      </c>
      <c r="B55" s="0" t="s">
        <v>1822</v>
      </c>
      <c r="C55" s="0" t="n">
        <v>3</v>
      </c>
      <c r="D55" s="0" t="str">
        <f aca="false">" "&amp;B55&amp;" "</f>
        <v> sign in </v>
      </c>
      <c r="E55" s="0" t="str">
        <f aca="false">IF(OR(ISNUMBER(SEARCH(" ",B55)),LEN(B55)&lt;6)," "&amp;B55&amp;" "," "&amp;LEFT(B55,LEN(B55)-2))</f>
        <v> sign in </v>
      </c>
    </row>
    <row r="56" customFormat="false" ht="15" hidden="false" customHeight="false" outlineLevel="0" collapsed="false">
      <c r="A56" s="0" t="s">
        <v>33</v>
      </c>
      <c r="B56" s="0" t="s">
        <v>1823</v>
      </c>
      <c r="C56" s="0" t="n">
        <v>1</v>
      </c>
      <c r="D56" s="0" t="str">
        <f aca="false">" "&amp;B56&amp;" "</f>
        <v> app </v>
      </c>
      <c r="E56" s="0" t="str">
        <f aca="false">IF(OR(ISNUMBER(SEARCH(" ",B56)),LEN(B56)&lt;6)," "&amp;B56&amp;" "," "&amp;LEFT(B56,LEN(B56)-2))</f>
        <v> app </v>
      </c>
    </row>
    <row r="57" customFormat="false" ht="15" hidden="false" customHeight="false" outlineLevel="0" collapsed="false">
      <c r="A57" s="0" t="s">
        <v>33</v>
      </c>
      <c r="B57" s="0" t="s">
        <v>1824</v>
      </c>
      <c r="C57" s="0" t="n">
        <v>2</v>
      </c>
      <c r="D57" s="0" t="str">
        <f aca="false">" "&amp;B57&amp;" "</f>
        <v> reset </v>
      </c>
      <c r="E57" s="0" t="str">
        <f aca="false">IF(OR(ISNUMBER(SEARCH(" ",B57)),LEN(B57)&lt;6)," "&amp;B57&amp;" "," "&amp;LEFT(B57,LEN(B57)-2))</f>
        <v> reset </v>
      </c>
    </row>
    <row r="58" customFormat="false" ht="15" hidden="false" customHeight="false" outlineLevel="0" collapsed="false">
      <c r="A58" s="0" t="s">
        <v>33</v>
      </c>
      <c r="B58" s="0" t="s">
        <v>1825</v>
      </c>
      <c r="C58" s="0" t="n">
        <v>1</v>
      </c>
      <c r="D58" s="0" t="str">
        <f aca="false">" "&amp;B58&amp;" "</f>
        <v> access </v>
      </c>
      <c r="E58" s="0" t="str">
        <f aca="false">IF(OR(ISNUMBER(SEARCH(" ",B58)),LEN(B58)&lt;6)," "&amp;B58&amp;" "," "&amp;LEFT(B58,LEN(B58)-2))</f>
        <v> acce</v>
      </c>
    </row>
    <row r="59" customFormat="false" ht="15" hidden="false" customHeight="false" outlineLevel="0" collapsed="false">
      <c r="A59" s="0" t="s">
        <v>33</v>
      </c>
      <c r="B59" s="0" t="s">
        <v>1826</v>
      </c>
      <c r="C59" s="0" t="n">
        <v>3</v>
      </c>
      <c r="D59" s="0" t="str">
        <f aca="false">" "&amp;B59&amp;" "</f>
        <v> two factor </v>
      </c>
      <c r="E59" s="0" t="str">
        <f aca="false">IF(OR(ISNUMBER(SEARCH(" ",B59)),LEN(B59)&lt;6)," "&amp;B59&amp;" "," "&amp;LEFT(B59,LEN(B59)-2))</f>
        <v> two factor </v>
      </c>
    </row>
    <row r="60" customFormat="false" ht="15" hidden="false" customHeight="false" outlineLevel="0" collapsed="false">
      <c r="A60" s="0" t="s">
        <v>33</v>
      </c>
      <c r="B60" s="0" t="s">
        <v>1827</v>
      </c>
      <c r="C60" s="0" t="n">
        <v>2</v>
      </c>
      <c r="D60" s="0" t="str">
        <f aca="false">" "&amp;B60&amp;" "</f>
        <v> crashes </v>
      </c>
      <c r="E60" s="0" t="str">
        <f aca="false">IF(OR(ISNUMBER(SEARCH(" ",B60)),LEN(B60)&lt;6)," "&amp;B60&amp;" "," "&amp;LEFT(B60,LEN(B60)-2))</f>
        <v> crash</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7" min="2" style="0" width="16"/>
  </cols>
  <sheetData>
    <row r="1" customFormat="false" ht="28.35" hidden="false" customHeight="false" outlineLevel="0" collapsed="false">
      <c r="A1" s="2" t="s">
        <v>1828</v>
      </c>
      <c r="B1" s="2" t="s">
        <v>33</v>
      </c>
      <c r="C1" s="2" t="s">
        <v>38</v>
      </c>
      <c r="D1" s="2" t="s">
        <v>28</v>
      </c>
      <c r="E1" s="2" t="s">
        <v>41</v>
      </c>
      <c r="F1" s="2" t="s">
        <v>44</v>
      </c>
      <c r="G1" s="2" t="s">
        <v>21</v>
      </c>
    </row>
    <row r="2" customFormat="false" ht="15" hidden="false" customHeight="false" outlineLevel="0" collapsed="false">
      <c r="A2" s="0" t="s">
        <v>1829</v>
      </c>
      <c r="B2" s="0" t="n">
        <v>0.113133381208688</v>
      </c>
      <c r="C2" s="0" t="n">
        <v>0.12030433649813</v>
      </c>
      <c r="D2" s="0" t="n">
        <v>0.0675795532281383</v>
      </c>
      <c r="E2" s="0" t="n">
        <v>-0.111488948599374</v>
      </c>
      <c r="F2" s="0" t="n">
        <v>-0.232659515347466</v>
      </c>
      <c r="G2" s="0" t="n">
        <v>0.0431311930119807</v>
      </c>
    </row>
    <row r="3" customFormat="false" ht="15" hidden="false" customHeight="false" outlineLevel="0" collapsed="false">
      <c r="A3" s="0" t="s">
        <v>1830</v>
      </c>
      <c r="B3" s="0" t="n">
        <v>-0.118005266141761</v>
      </c>
      <c r="C3" s="0" t="n">
        <v>-0.202791546084752</v>
      </c>
      <c r="D3" s="0" t="n">
        <v>-0.132902282848935</v>
      </c>
      <c r="E3" s="0" t="n">
        <v>0.30368803591504</v>
      </c>
      <c r="F3" s="0" t="n">
        <v>0.290017877796406</v>
      </c>
      <c r="G3" s="0" t="n">
        <v>-0.140006818635998</v>
      </c>
    </row>
    <row r="4" customFormat="false" ht="15" hidden="false" customHeight="false" outlineLevel="0" collapsed="false">
      <c r="A4" s="0" t="s">
        <v>1831</v>
      </c>
      <c r="B4" s="0" t="n">
        <v>-0.0853876263413188</v>
      </c>
      <c r="C4" s="0" t="n">
        <v>-0.166286586465934</v>
      </c>
      <c r="D4" s="0" t="n">
        <v>-0.118107847065213</v>
      </c>
      <c r="E4" s="0" t="n">
        <v>-0.649312515441012</v>
      </c>
      <c r="F4" s="0" t="n">
        <v>1.10991996795206</v>
      </c>
      <c r="G4" s="0" t="n">
        <v>-0.090825392638576</v>
      </c>
    </row>
    <row r="5" customFormat="false" ht="15" hidden="false" customHeight="false" outlineLevel="0" collapsed="false">
      <c r="A5" s="0" t="s">
        <v>1832</v>
      </c>
      <c r="B5" s="0" t="n">
        <v>-0.498467142900989</v>
      </c>
      <c r="C5" s="0" t="n">
        <v>-0.231616411827723</v>
      </c>
      <c r="D5" s="0" t="n">
        <v>-0.229251721900382</v>
      </c>
      <c r="E5" s="0" t="n">
        <v>0.585045563503652</v>
      </c>
      <c r="F5" s="0" t="n">
        <v>-0.041432394872505</v>
      </c>
      <c r="G5" s="0" t="n">
        <v>0.415722107997948</v>
      </c>
    </row>
    <row r="6" customFormat="false" ht="15" hidden="false" customHeight="false" outlineLevel="0" collapsed="false">
      <c r="A6" s="0" t="s">
        <v>1833</v>
      </c>
      <c r="B6" s="0" t="n">
        <v>-0.0662134560862922</v>
      </c>
      <c r="C6" s="0" t="n">
        <v>-0.0910807061641642</v>
      </c>
      <c r="D6" s="0" t="n">
        <v>-0.0646427475299722</v>
      </c>
      <c r="E6" s="0" t="n">
        <v>0.956223298867259</v>
      </c>
      <c r="F6" s="0" t="n">
        <v>-0.0955252606851054</v>
      </c>
      <c r="G6" s="0" t="n">
        <v>-0.638761128401724</v>
      </c>
    </row>
    <row r="7" customFormat="false" ht="15" hidden="false" customHeight="false" outlineLevel="0" collapsed="false">
      <c r="A7" s="0" t="s">
        <v>1834</v>
      </c>
      <c r="B7" s="0" t="n">
        <v>-0.0722863158099914</v>
      </c>
      <c r="C7" s="0" t="n">
        <v>-0.122884282930279</v>
      </c>
      <c r="D7" s="0" t="n">
        <v>-0.132802905442713</v>
      </c>
      <c r="E7" s="0" t="n">
        <v>0.56884538416681</v>
      </c>
      <c r="F7" s="0" t="n">
        <v>-0.118698316480262</v>
      </c>
      <c r="G7" s="0" t="n">
        <v>-0.122173563503565</v>
      </c>
    </row>
    <row r="8" customFormat="false" ht="15" hidden="false" customHeight="false" outlineLevel="0" collapsed="false">
      <c r="A8" s="0" t="s">
        <v>1835</v>
      </c>
      <c r="B8" s="0" t="n">
        <v>-0.353794004153653</v>
      </c>
      <c r="C8" s="0" t="n">
        <v>-0.299436756219818</v>
      </c>
      <c r="D8" s="0" t="n">
        <v>-0.706530580576916</v>
      </c>
      <c r="E8" s="0" t="n">
        <v>-0.214796979388305</v>
      </c>
      <c r="F8" s="0" t="n">
        <v>1.8539888864074</v>
      </c>
      <c r="G8" s="0" t="n">
        <v>-0.279430566068709</v>
      </c>
    </row>
    <row r="9" customFormat="false" ht="15" hidden="false" customHeight="false" outlineLevel="0" collapsed="false">
      <c r="A9" s="0" t="s">
        <v>1836</v>
      </c>
      <c r="B9" s="0" t="n">
        <v>-0.124144220291942</v>
      </c>
      <c r="C9" s="0" t="n">
        <v>-0.116217124274503</v>
      </c>
      <c r="D9" s="0" t="n">
        <v>-0.0604221317598016</v>
      </c>
      <c r="E9" s="0" t="n">
        <v>-0.123087542304992</v>
      </c>
      <c r="F9" s="0" t="n">
        <v>0.569646810806347</v>
      </c>
      <c r="G9" s="0" t="n">
        <v>-0.145775792175111</v>
      </c>
    </row>
    <row r="10" customFormat="false" ht="15" hidden="false" customHeight="false" outlineLevel="0" collapsed="false">
      <c r="A10" s="0" t="s">
        <v>1837</v>
      </c>
      <c r="B10" s="0" t="n">
        <v>-0.0565484093688522</v>
      </c>
      <c r="C10" s="0" t="n">
        <v>-0.0389704563721294</v>
      </c>
      <c r="D10" s="0" t="n">
        <v>-0.0245207969564692</v>
      </c>
      <c r="E10" s="0" t="n">
        <v>-0.0643181345801834</v>
      </c>
      <c r="F10" s="0" t="n">
        <v>0.231095770438395</v>
      </c>
      <c r="G10" s="0" t="n">
        <v>-0.0467379731607608</v>
      </c>
    </row>
    <row r="11" customFormat="false" ht="15" hidden="false" customHeight="false" outlineLevel="0" collapsed="false">
      <c r="A11" s="0" t="s">
        <v>1838</v>
      </c>
      <c r="B11" s="0" t="n">
        <v>0.933894212297654</v>
      </c>
      <c r="C11" s="0" t="n">
        <v>-1.14710040062131</v>
      </c>
      <c r="D11" s="0" t="n">
        <v>0.551193920896703</v>
      </c>
      <c r="E11" s="0" t="n">
        <v>-0.791708657004817</v>
      </c>
      <c r="F11" s="0" t="n">
        <v>0.184547829264668</v>
      </c>
      <c r="G11" s="0" t="n">
        <v>0.269173095167101</v>
      </c>
    </row>
    <row r="12" customFormat="false" ht="15" hidden="false" customHeight="false" outlineLevel="0" collapsed="false">
      <c r="A12" s="0" t="s">
        <v>1825</v>
      </c>
      <c r="B12" s="0" t="n">
        <v>2.49623629317586</v>
      </c>
      <c r="C12" s="0" t="n">
        <v>-0.905544124445354</v>
      </c>
      <c r="D12" s="0" t="n">
        <v>-0.230253217652975</v>
      </c>
      <c r="E12" s="0" t="n">
        <v>-0.718840052305586</v>
      </c>
      <c r="F12" s="0" t="n">
        <v>-0.592059383456994</v>
      </c>
      <c r="G12" s="0" t="n">
        <v>-0.0495395153149515</v>
      </c>
    </row>
    <row r="13" customFormat="false" ht="15" hidden="false" customHeight="false" outlineLevel="0" collapsed="false">
      <c r="A13" s="0" t="s">
        <v>1839</v>
      </c>
      <c r="B13" s="0" t="n">
        <v>1.71404998252965</v>
      </c>
      <c r="C13" s="0" t="n">
        <v>-0.483899529804068</v>
      </c>
      <c r="D13" s="0" t="n">
        <v>-0.0270982328999103</v>
      </c>
      <c r="E13" s="0" t="n">
        <v>-0.534401062941949</v>
      </c>
      <c r="F13" s="0" t="n">
        <v>-0.386776832753819</v>
      </c>
      <c r="G13" s="0" t="n">
        <v>-0.281874324129906</v>
      </c>
    </row>
    <row r="14" customFormat="false" ht="15" hidden="false" customHeight="false" outlineLevel="0" collapsed="false">
      <c r="A14" s="0" t="s">
        <v>1840</v>
      </c>
      <c r="B14" s="0" t="n">
        <v>0.0944839866003912</v>
      </c>
      <c r="C14" s="0" t="n">
        <v>-0.0806898620234879</v>
      </c>
      <c r="D14" s="0" t="n">
        <v>-0.111584496486325</v>
      </c>
      <c r="E14" s="0" t="n">
        <v>0.551814745121205</v>
      </c>
      <c r="F14" s="0" t="n">
        <v>-0.206055080505569</v>
      </c>
      <c r="G14" s="0" t="n">
        <v>-0.247969292706215</v>
      </c>
    </row>
    <row r="15" customFormat="false" ht="15" hidden="false" customHeight="false" outlineLevel="0" collapsed="false">
      <c r="A15" s="0" t="s">
        <v>1841</v>
      </c>
      <c r="B15" s="0" t="n">
        <v>1.51122541699067</v>
      </c>
      <c r="C15" s="0" t="n">
        <v>-1.81306299635979</v>
      </c>
      <c r="D15" s="0" t="n">
        <v>2.08492901616898</v>
      </c>
      <c r="E15" s="0" t="n">
        <v>-0.648442792911341</v>
      </c>
      <c r="F15" s="0" t="n">
        <v>0.475910406818927</v>
      </c>
      <c r="G15" s="0" t="n">
        <v>-1.61055905070744</v>
      </c>
    </row>
    <row r="16" customFormat="false" ht="15" hidden="false" customHeight="false" outlineLevel="0" collapsed="false">
      <c r="A16" s="0" t="s">
        <v>1842</v>
      </c>
      <c r="B16" s="0" t="n">
        <v>-0.101102930775608</v>
      </c>
      <c r="C16" s="0" t="n">
        <v>-0.030756591821174</v>
      </c>
      <c r="D16" s="0" t="n">
        <v>0.256216857749352</v>
      </c>
      <c r="E16" s="0" t="n">
        <v>-0.0399206152014645</v>
      </c>
      <c r="F16" s="0" t="n">
        <v>-0.049847357292022</v>
      </c>
      <c r="G16" s="0" t="n">
        <v>-0.0345893626590823</v>
      </c>
    </row>
    <row r="17" customFormat="false" ht="15" hidden="false" customHeight="false" outlineLevel="0" collapsed="false">
      <c r="A17" s="0" t="s">
        <v>1843</v>
      </c>
      <c r="B17" s="0" t="n">
        <v>1.71404998252965</v>
      </c>
      <c r="C17" s="0" t="n">
        <v>-0.483899529804068</v>
      </c>
      <c r="D17" s="0" t="n">
        <v>-0.0270982328999103</v>
      </c>
      <c r="E17" s="0" t="n">
        <v>-0.534401062941949</v>
      </c>
      <c r="F17" s="0" t="n">
        <v>-0.386776832753819</v>
      </c>
      <c r="G17" s="0" t="n">
        <v>-0.281874324129906</v>
      </c>
    </row>
    <row r="18" customFormat="false" ht="15" hidden="false" customHeight="false" outlineLevel="0" collapsed="false">
      <c r="A18" s="0" t="s">
        <v>1844</v>
      </c>
      <c r="B18" s="0" t="n">
        <v>-0.529531496113755</v>
      </c>
      <c r="C18" s="0" t="n">
        <v>-0.119740800289931</v>
      </c>
      <c r="D18" s="0" t="n">
        <v>-0.377713543862034</v>
      </c>
      <c r="E18" s="0" t="n">
        <v>-0.369488263420966</v>
      </c>
      <c r="F18" s="0" t="n">
        <v>2.16625787874736</v>
      </c>
      <c r="G18" s="0" t="n">
        <v>-0.769783775060668</v>
      </c>
    </row>
    <row r="19" customFormat="false" ht="15" hidden="false" customHeight="false" outlineLevel="0" collapsed="false">
      <c r="A19" s="0" t="s">
        <v>1845</v>
      </c>
      <c r="B19" s="0" t="n">
        <v>-0.438469044126447</v>
      </c>
      <c r="C19" s="0" t="n">
        <v>-0.0186716397286626</v>
      </c>
      <c r="D19" s="0" t="n">
        <v>1.27502465664128</v>
      </c>
      <c r="E19" s="0" t="n">
        <v>-0.38073275983053</v>
      </c>
      <c r="F19" s="0" t="n">
        <v>-0.111522430785135</v>
      </c>
      <c r="G19" s="0" t="n">
        <v>-0.325628782170498</v>
      </c>
    </row>
    <row r="20" customFormat="false" ht="15" hidden="false" customHeight="false" outlineLevel="0" collapsed="false">
      <c r="A20" s="0" t="s">
        <v>1846</v>
      </c>
      <c r="B20" s="0" t="n">
        <v>2.01909605285231</v>
      </c>
      <c r="C20" s="0" t="n">
        <v>-0.183781783507412</v>
      </c>
      <c r="D20" s="0" t="n">
        <v>-0.393075816088705</v>
      </c>
      <c r="E20" s="0" t="n">
        <v>-0.677454588933164</v>
      </c>
      <c r="F20" s="0" t="n">
        <v>-0.368857936995804</v>
      </c>
      <c r="G20" s="0" t="n">
        <v>-0.395925927327222</v>
      </c>
    </row>
    <row r="21" customFormat="false" ht="15" hidden="false" customHeight="false" outlineLevel="0" collapsed="false">
      <c r="A21" s="0" t="s">
        <v>1847</v>
      </c>
      <c r="B21" s="0" t="n">
        <v>-1.37773677967835</v>
      </c>
      <c r="C21" s="0" t="n">
        <v>-0.232593751829042</v>
      </c>
      <c r="D21" s="0" t="n">
        <v>3.68739181016336</v>
      </c>
      <c r="E21" s="0" t="n">
        <v>-0.866649760968698</v>
      </c>
      <c r="F21" s="0" t="n">
        <v>-0.716069585849293</v>
      </c>
      <c r="G21" s="0" t="n">
        <v>-0.494341931837977</v>
      </c>
    </row>
    <row r="22" customFormat="false" ht="15" hidden="false" customHeight="false" outlineLevel="0" collapsed="false">
      <c r="A22" s="0" t="s">
        <v>1848</v>
      </c>
      <c r="B22" s="0" t="n">
        <v>2.12016336535445</v>
      </c>
      <c r="C22" s="0" t="n">
        <v>-0.458604577509296</v>
      </c>
      <c r="D22" s="0" t="n">
        <v>-1.18140888762655</v>
      </c>
      <c r="E22" s="0" t="n">
        <v>-0.0987042853981672</v>
      </c>
      <c r="F22" s="0" t="n">
        <v>-0.471354542314982</v>
      </c>
      <c r="G22" s="0" t="n">
        <v>0.0899089274945393</v>
      </c>
    </row>
    <row r="23" customFormat="false" ht="15" hidden="false" customHeight="false" outlineLevel="0" collapsed="false">
      <c r="A23" s="0" t="s">
        <v>1849</v>
      </c>
      <c r="B23" s="0" t="n">
        <v>-1.08803022847255</v>
      </c>
      <c r="C23" s="0" t="n">
        <v>-0.247188692696302</v>
      </c>
      <c r="D23" s="0" t="n">
        <v>-0.429790790977754</v>
      </c>
      <c r="E23" s="0" t="n">
        <v>-0.773410762697195</v>
      </c>
      <c r="F23" s="0" t="n">
        <v>-0.41616301347112</v>
      </c>
      <c r="G23" s="0" t="n">
        <v>2.95458348831492</v>
      </c>
    </row>
    <row r="24" customFormat="false" ht="15" hidden="false" customHeight="false" outlineLevel="0" collapsed="false">
      <c r="A24" s="0" t="s">
        <v>1850</v>
      </c>
      <c r="B24" s="0" t="n">
        <v>-0.156107411955554</v>
      </c>
      <c r="C24" s="0" t="n">
        <v>0.136117095053449</v>
      </c>
      <c r="D24" s="0" t="n">
        <v>-0.708630511935673</v>
      </c>
      <c r="E24" s="0" t="n">
        <v>1.30328912887465</v>
      </c>
      <c r="F24" s="0" t="n">
        <v>-0.334791274411603</v>
      </c>
      <c r="G24" s="0" t="n">
        <v>-0.239877025625274</v>
      </c>
    </row>
    <row r="25" customFormat="false" ht="15" hidden="false" customHeight="false" outlineLevel="0" collapsed="false">
      <c r="A25" s="0" t="s">
        <v>1851</v>
      </c>
      <c r="B25" s="0" t="n">
        <v>-0.417779508562042</v>
      </c>
      <c r="C25" s="0" t="n">
        <v>-0.556437271104375</v>
      </c>
      <c r="D25" s="0" t="n">
        <v>0.0300778310218265</v>
      </c>
      <c r="E25" s="0" t="n">
        <v>-0.0324070491459715</v>
      </c>
      <c r="F25" s="0" t="n">
        <v>1.32221640825065</v>
      </c>
      <c r="G25" s="0" t="n">
        <v>-0.345670410460088</v>
      </c>
    </row>
    <row r="26" customFormat="false" ht="15" hidden="false" customHeight="false" outlineLevel="0" collapsed="false">
      <c r="A26" s="0" t="s">
        <v>1852</v>
      </c>
      <c r="B26" s="0" t="n">
        <v>-0.581607390915912</v>
      </c>
      <c r="C26" s="0" t="n">
        <v>-0.22721038812844</v>
      </c>
      <c r="D26" s="0" t="n">
        <v>-1.56359296701761</v>
      </c>
      <c r="E26" s="0" t="n">
        <v>1.81481065404694</v>
      </c>
      <c r="F26" s="0" t="n">
        <v>0.00511207448322872</v>
      </c>
      <c r="G26" s="0" t="n">
        <v>0.552488017531797</v>
      </c>
    </row>
    <row r="27" customFormat="false" ht="15" hidden="false" customHeight="false" outlineLevel="0" collapsed="false">
      <c r="A27" s="0" t="s">
        <v>1853</v>
      </c>
      <c r="B27" s="0" t="n">
        <v>-0.381531857538657</v>
      </c>
      <c r="C27" s="0" t="n">
        <v>-0.64335280384658</v>
      </c>
      <c r="D27" s="0" t="n">
        <v>-0.177666062292628</v>
      </c>
      <c r="E27" s="0" t="n">
        <v>-0.0601591776793544</v>
      </c>
      <c r="F27" s="0" t="n">
        <v>-0.71591140447729</v>
      </c>
      <c r="G27" s="0" t="n">
        <v>1.97862130583451</v>
      </c>
    </row>
    <row r="28" customFormat="false" ht="15" hidden="false" customHeight="false" outlineLevel="0" collapsed="false">
      <c r="A28" s="0" t="s">
        <v>1854</v>
      </c>
      <c r="B28" s="0" t="n">
        <v>-0.381531857538657</v>
      </c>
      <c r="C28" s="0" t="n">
        <v>-0.64335280384658</v>
      </c>
      <c r="D28" s="0" t="n">
        <v>-0.177666062292628</v>
      </c>
      <c r="E28" s="0" t="n">
        <v>-0.0601591776793544</v>
      </c>
      <c r="F28" s="0" t="n">
        <v>-0.71591140447729</v>
      </c>
      <c r="G28" s="0" t="n">
        <v>1.97862130583451</v>
      </c>
    </row>
    <row r="29" customFormat="false" ht="15" hidden="false" customHeight="false" outlineLevel="0" collapsed="false">
      <c r="A29" s="0" t="s">
        <v>1798</v>
      </c>
      <c r="B29" s="0" t="n">
        <v>-0.221984019879896</v>
      </c>
      <c r="C29" s="0" t="n">
        <v>-0.346485978585165</v>
      </c>
      <c r="D29" s="0" t="n">
        <v>-0.21044840219479</v>
      </c>
      <c r="E29" s="0" t="n">
        <v>-0.206891675251617</v>
      </c>
      <c r="F29" s="0" t="n">
        <v>-0.27765121057097</v>
      </c>
      <c r="G29" s="0" t="n">
        <v>1.26346128648244</v>
      </c>
    </row>
    <row r="30" customFormat="false" ht="15" hidden="false" customHeight="false" outlineLevel="0" collapsed="false">
      <c r="A30" s="0" t="s">
        <v>1855</v>
      </c>
      <c r="B30" s="0" t="n">
        <v>-0.221984019879896</v>
      </c>
      <c r="C30" s="0" t="n">
        <v>-0.346485978585165</v>
      </c>
      <c r="D30" s="0" t="n">
        <v>-0.21044840219479</v>
      </c>
      <c r="E30" s="0" t="n">
        <v>-0.206891675251617</v>
      </c>
      <c r="F30" s="0" t="n">
        <v>-0.27765121057097</v>
      </c>
      <c r="G30" s="0" t="n">
        <v>1.26346128648244</v>
      </c>
    </row>
    <row r="31" customFormat="false" ht="15" hidden="false" customHeight="false" outlineLevel="0" collapsed="false">
      <c r="A31" s="0" t="s">
        <v>1856</v>
      </c>
      <c r="B31" s="0" t="n">
        <v>-0.34341635398296</v>
      </c>
      <c r="C31" s="0" t="n">
        <v>-0.241965836862799</v>
      </c>
      <c r="D31" s="0" t="n">
        <v>-0.546328635552279</v>
      </c>
      <c r="E31" s="0" t="n">
        <v>-0.415547404636149</v>
      </c>
      <c r="F31" s="0" t="n">
        <v>-0.380594342512899</v>
      </c>
      <c r="G31" s="0" t="n">
        <v>1.92785257354708</v>
      </c>
    </row>
    <row r="32" customFormat="false" ht="15" hidden="false" customHeight="false" outlineLevel="0" collapsed="false">
      <c r="A32" s="0" t="s">
        <v>1857</v>
      </c>
      <c r="B32" s="0" t="n">
        <v>-0.34341635398296</v>
      </c>
      <c r="C32" s="0" t="n">
        <v>-0.241965836862799</v>
      </c>
      <c r="D32" s="0" t="n">
        <v>-0.546328635552279</v>
      </c>
      <c r="E32" s="0" t="n">
        <v>-0.415547404636149</v>
      </c>
      <c r="F32" s="0" t="n">
        <v>-0.380594342512899</v>
      </c>
      <c r="G32" s="0" t="n">
        <v>1.92785257354708</v>
      </c>
    </row>
    <row r="33" customFormat="false" ht="15" hidden="false" customHeight="false" outlineLevel="0" collapsed="false">
      <c r="A33" s="0" t="s">
        <v>1799</v>
      </c>
      <c r="B33" s="0" t="n">
        <v>-0.434431775925902</v>
      </c>
      <c r="C33" s="0" t="n">
        <v>-0.109784041871958</v>
      </c>
      <c r="D33" s="0" t="n">
        <v>-0.595133328410633</v>
      </c>
      <c r="E33" s="0" t="n">
        <v>0.103509717331573</v>
      </c>
      <c r="F33" s="0" t="n">
        <v>-0.36252139470386</v>
      </c>
      <c r="G33" s="0" t="n">
        <v>1.39836082358078</v>
      </c>
    </row>
    <row r="34" customFormat="false" ht="15" hidden="false" customHeight="false" outlineLevel="0" collapsed="false">
      <c r="A34" s="0" t="s">
        <v>1858</v>
      </c>
      <c r="B34" s="0" t="n">
        <v>-0.434431775925902</v>
      </c>
      <c r="C34" s="0" t="n">
        <v>-0.109784041871958</v>
      </c>
      <c r="D34" s="0" t="n">
        <v>-0.595133328410633</v>
      </c>
      <c r="E34" s="0" t="n">
        <v>0.103509717331573</v>
      </c>
      <c r="F34" s="0" t="n">
        <v>-0.36252139470386</v>
      </c>
      <c r="G34" s="0" t="n">
        <v>1.39836082358078</v>
      </c>
    </row>
    <row r="35" customFormat="false" ht="15" hidden="false" customHeight="false" outlineLevel="0" collapsed="false">
      <c r="A35" s="0" t="s">
        <v>1816</v>
      </c>
      <c r="B35" s="0" t="n">
        <v>-0.0104589741451455</v>
      </c>
      <c r="C35" s="0" t="n">
        <v>1.50303305198554</v>
      </c>
      <c r="D35" s="0" t="n">
        <v>-0.361572698339992</v>
      </c>
      <c r="E35" s="0" t="n">
        <v>-0.465845446266803</v>
      </c>
      <c r="F35" s="0" t="n">
        <v>-0.225959940340045</v>
      </c>
      <c r="G35" s="0" t="n">
        <v>-0.439195992893549</v>
      </c>
    </row>
    <row r="36" customFormat="false" ht="15" hidden="false" customHeight="false" outlineLevel="0" collapsed="false">
      <c r="A36" s="0" t="s">
        <v>1859</v>
      </c>
      <c r="B36" s="0" t="n">
        <v>-0.0104589741451455</v>
      </c>
      <c r="C36" s="0" t="n">
        <v>1.50303305198554</v>
      </c>
      <c r="D36" s="0" t="n">
        <v>-0.361572698339992</v>
      </c>
      <c r="E36" s="0" t="n">
        <v>-0.465845446266803</v>
      </c>
      <c r="F36" s="0" t="n">
        <v>-0.225959940340045</v>
      </c>
      <c r="G36" s="0" t="n">
        <v>-0.439195992893549</v>
      </c>
    </row>
    <row r="37" customFormat="false" ht="15" hidden="false" customHeight="false" outlineLevel="0" collapsed="false">
      <c r="A37" s="0" t="s">
        <v>1860</v>
      </c>
      <c r="B37" s="0" t="n">
        <v>-0.445862157870809</v>
      </c>
      <c r="C37" s="0" t="n">
        <v>-0.546705523247767</v>
      </c>
      <c r="D37" s="0" t="n">
        <v>-0.266051900244507</v>
      </c>
      <c r="E37" s="0" t="n">
        <v>0.107606250046725</v>
      </c>
      <c r="F37" s="0" t="n">
        <v>-0.609402692421895</v>
      </c>
      <c r="G37" s="0" t="n">
        <v>1.76041602373826</v>
      </c>
    </row>
    <row r="38" customFormat="false" ht="15" hidden="false" customHeight="false" outlineLevel="0" collapsed="false">
      <c r="A38" s="0" t="s">
        <v>1861</v>
      </c>
      <c r="B38" s="0" t="n">
        <v>-0.445862157870809</v>
      </c>
      <c r="C38" s="0" t="n">
        <v>-0.546705523247767</v>
      </c>
      <c r="D38" s="0" t="n">
        <v>-0.266051900244507</v>
      </c>
      <c r="E38" s="0" t="n">
        <v>0.107606250046725</v>
      </c>
      <c r="F38" s="0" t="n">
        <v>-0.609402692421895</v>
      </c>
      <c r="G38" s="0" t="n">
        <v>1.76041602373826</v>
      </c>
    </row>
    <row r="39" customFormat="false" ht="15" hidden="false" customHeight="false" outlineLevel="0" collapsed="false">
      <c r="A39" s="0" t="s">
        <v>1862</v>
      </c>
      <c r="B39" s="0" t="n">
        <v>-0.0407673606478156</v>
      </c>
      <c r="C39" s="0" t="n">
        <v>1.74973406221641</v>
      </c>
      <c r="D39" s="0" t="n">
        <v>-0.660969097977017</v>
      </c>
      <c r="E39" s="0" t="n">
        <v>-0.621394172250979</v>
      </c>
      <c r="F39" s="0" t="n">
        <v>-0.33307526505725</v>
      </c>
      <c r="G39" s="0" t="n">
        <v>-0.0935281662833482</v>
      </c>
    </row>
    <row r="40" customFormat="false" ht="15" hidden="false" customHeight="false" outlineLevel="0" collapsed="false">
      <c r="A40" s="0" t="s">
        <v>1863</v>
      </c>
      <c r="B40" s="0" t="n">
        <v>-0.181544126786509</v>
      </c>
      <c r="C40" s="0" t="n">
        <v>0.41136382798055</v>
      </c>
      <c r="D40" s="0" t="n">
        <v>-0.0367125606545905</v>
      </c>
      <c r="E40" s="0" t="n">
        <v>-0.035287315425837</v>
      </c>
      <c r="F40" s="0" t="n">
        <v>-0.0672195795321708</v>
      </c>
      <c r="G40" s="0" t="n">
        <v>-0.0906002455814421</v>
      </c>
    </row>
    <row r="41" customFormat="false" ht="15" hidden="false" customHeight="false" outlineLevel="0" collapsed="false">
      <c r="A41" s="0" t="s">
        <v>1864</v>
      </c>
      <c r="B41" s="0" t="n">
        <v>0.633180466114759</v>
      </c>
      <c r="C41" s="0" t="n">
        <v>-0.394177300492887</v>
      </c>
      <c r="D41" s="0" t="n">
        <v>-0.0363586063635849</v>
      </c>
      <c r="E41" s="0" t="n">
        <v>-0.0344024762684731</v>
      </c>
      <c r="F41" s="0" t="n">
        <v>-0.0459185512693262</v>
      </c>
      <c r="G41" s="0" t="n">
        <v>-0.122323531720487</v>
      </c>
    </row>
    <row r="42" customFormat="false" ht="15" hidden="false" customHeight="false" outlineLevel="0" collapsed="false">
      <c r="A42" s="0" t="s">
        <v>1865</v>
      </c>
      <c r="B42" s="0" t="n">
        <v>-0.114127655829825</v>
      </c>
      <c r="C42" s="0" t="n">
        <v>-0.0694078930227264</v>
      </c>
      <c r="D42" s="0" t="n">
        <v>-0.0592400799697281</v>
      </c>
      <c r="E42" s="0" t="n">
        <v>0.497976608144554</v>
      </c>
      <c r="F42" s="0" t="n">
        <v>-0.106448267382378</v>
      </c>
      <c r="G42" s="0" t="n">
        <v>-0.148752711939896</v>
      </c>
    </row>
    <row r="43" customFormat="false" ht="15" hidden="false" customHeight="false" outlineLevel="0" collapsed="false">
      <c r="A43" s="0" t="s">
        <v>1866</v>
      </c>
      <c r="B43" s="0" t="n">
        <v>-0.218275027144731</v>
      </c>
      <c r="C43" s="0" t="n">
        <v>1.44981597081877</v>
      </c>
      <c r="D43" s="0" t="n">
        <v>-0.362784532318261</v>
      </c>
      <c r="E43" s="0" t="n">
        <v>-0.33195028555336</v>
      </c>
      <c r="F43" s="0" t="n">
        <v>-0.275555039161016</v>
      </c>
      <c r="G43" s="0" t="n">
        <v>-0.261251086641398</v>
      </c>
    </row>
    <row r="44" customFormat="false" ht="15" hidden="false" customHeight="false" outlineLevel="0" collapsed="false">
      <c r="A44" s="0" t="s">
        <v>1867</v>
      </c>
      <c r="B44" s="0" t="n">
        <v>-0.218275027144731</v>
      </c>
      <c r="C44" s="0" t="n">
        <v>1.44981597081877</v>
      </c>
      <c r="D44" s="0" t="n">
        <v>-0.362784532318261</v>
      </c>
      <c r="E44" s="0" t="n">
        <v>-0.33195028555336</v>
      </c>
      <c r="F44" s="0" t="n">
        <v>-0.275555039161016</v>
      </c>
      <c r="G44" s="0" t="n">
        <v>-0.261251086641398</v>
      </c>
    </row>
    <row r="45" customFormat="false" ht="15" hidden="false" customHeight="false" outlineLevel="0" collapsed="false">
      <c r="A45" s="0" t="s">
        <v>1868</v>
      </c>
      <c r="B45" s="0" t="n">
        <v>0.124689322010968</v>
      </c>
      <c r="C45" s="0" t="n">
        <v>-0.782646883233321</v>
      </c>
      <c r="D45" s="0" t="n">
        <v>0.0828212505098434</v>
      </c>
      <c r="E45" s="0" t="n">
        <v>0.206053159846879</v>
      </c>
      <c r="F45" s="0" t="n">
        <v>-0.027298263096414</v>
      </c>
      <c r="G45" s="0" t="n">
        <v>0.396381413962045</v>
      </c>
    </row>
    <row r="46" customFormat="false" ht="15" hidden="false" customHeight="false" outlineLevel="0" collapsed="false">
      <c r="A46" s="0" t="s">
        <v>1869</v>
      </c>
      <c r="B46" s="0" t="n">
        <v>0.124689322010968</v>
      </c>
      <c r="C46" s="0" t="n">
        <v>-0.782646883233321</v>
      </c>
      <c r="D46" s="0" t="n">
        <v>0.0828212505098434</v>
      </c>
      <c r="E46" s="0" t="n">
        <v>0.206053159846879</v>
      </c>
      <c r="F46" s="0" t="n">
        <v>-0.027298263096414</v>
      </c>
      <c r="G46" s="0" t="n">
        <v>0.396381413962045</v>
      </c>
    </row>
    <row r="47" customFormat="false" ht="15" hidden="false" customHeight="false" outlineLevel="0" collapsed="false">
      <c r="A47" s="0" t="s">
        <v>1870</v>
      </c>
      <c r="B47" s="0" t="n">
        <v>-0.0350856042031293</v>
      </c>
      <c r="C47" s="0" t="n">
        <v>-0.151774828018937</v>
      </c>
      <c r="D47" s="0" t="n">
        <v>1.24041197331634</v>
      </c>
      <c r="E47" s="0" t="n">
        <v>-0.381671832333795</v>
      </c>
      <c r="F47" s="0" t="n">
        <v>-0.500865651504358</v>
      </c>
      <c r="G47" s="0" t="n">
        <v>-0.171014057256124</v>
      </c>
    </row>
    <row r="48" customFormat="false" ht="15" hidden="false" customHeight="false" outlineLevel="0" collapsed="false">
      <c r="A48" s="0" t="s">
        <v>1871</v>
      </c>
      <c r="B48" s="0" t="n">
        <v>-0.0350856042031293</v>
      </c>
      <c r="C48" s="0" t="n">
        <v>-0.151774828018937</v>
      </c>
      <c r="D48" s="0" t="n">
        <v>1.24041197331634</v>
      </c>
      <c r="E48" s="0" t="n">
        <v>-0.381671832333795</v>
      </c>
      <c r="F48" s="0" t="n">
        <v>-0.500865651504358</v>
      </c>
      <c r="G48" s="0" t="n">
        <v>-0.171014057256124</v>
      </c>
    </row>
    <row r="49" customFormat="false" ht="15" hidden="false" customHeight="false" outlineLevel="0" collapsed="false">
      <c r="A49" s="0" t="s">
        <v>1872</v>
      </c>
      <c r="B49" s="0" t="n">
        <v>-0.0541706284937605</v>
      </c>
      <c r="C49" s="0" t="n">
        <v>-0.139592493349415</v>
      </c>
      <c r="D49" s="0" t="n">
        <v>-0.302480074500996</v>
      </c>
      <c r="E49" s="0" t="n">
        <v>1.78663876682388</v>
      </c>
      <c r="F49" s="0" t="n">
        <v>-1.00906375850096</v>
      </c>
      <c r="G49" s="0" t="n">
        <v>-0.281331811978754</v>
      </c>
    </row>
    <row r="50" customFormat="false" ht="15" hidden="false" customHeight="false" outlineLevel="0" collapsed="false">
      <c r="A50" s="0" t="s">
        <v>1873</v>
      </c>
      <c r="B50" s="0" t="n">
        <v>-0.0700351640571202</v>
      </c>
      <c r="C50" s="0" t="n">
        <v>0.184156799151687</v>
      </c>
      <c r="D50" s="0" t="n">
        <v>-0.110087151539658</v>
      </c>
      <c r="E50" s="0" t="n">
        <v>0.160993814970213</v>
      </c>
      <c r="F50" s="0" t="n">
        <v>-0.0649712328707157</v>
      </c>
      <c r="G50" s="0" t="n">
        <v>-0.100057065654407</v>
      </c>
    </row>
    <row r="51" customFormat="false" ht="15" hidden="false" customHeight="false" outlineLevel="0" collapsed="false">
      <c r="A51" s="0" t="s">
        <v>1874</v>
      </c>
      <c r="B51" s="0" t="n">
        <v>-0.0731553662500631</v>
      </c>
      <c r="C51" s="0" t="n">
        <v>-0.0830124278377304</v>
      </c>
      <c r="D51" s="0" t="n">
        <v>-0.0551709809162926</v>
      </c>
      <c r="E51" s="0" t="n">
        <v>0.2728348001005</v>
      </c>
      <c r="F51" s="0" t="n">
        <v>-0.0199603543081206</v>
      </c>
      <c r="G51" s="0" t="n">
        <v>-0.0415356707882927</v>
      </c>
    </row>
    <row r="52" customFormat="false" ht="15" hidden="false" customHeight="false" outlineLevel="0" collapsed="false">
      <c r="A52" s="0" t="s">
        <v>1875</v>
      </c>
      <c r="B52" s="0" t="n">
        <v>-0.137448211684631</v>
      </c>
      <c r="C52" s="0" t="n">
        <v>-0.0874124441314061</v>
      </c>
      <c r="D52" s="0" t="n">
        <v>-0.0564342394708829</v>
      </c>
      <c r="E52" s="0" t="n">
        <v>0.368041642183788</v>
      </c>
      <c r="F52" s="0" t="n">
        <v>-0.0297431996996406</v>
      </c>
      <c r="G52" s="0" t="n">
        <v>-0.0570035471972274</v>
      </c>
    </row>
    <row r="53" customFormat="false" ht="15" hidden="false" customHeight="false" outlineLevel="0" collapsed="false">
      <c r="A53" s="0" t="s">
        <v>1876</v>
      </c>
      <c r="B53" s="0" t="n">
        <v>-0.445862157870809</v>
      </c>
      <c r="C53" s="0" t="n">
        <v>-0.546705523247767</v>
      </c>
      <c r="D53" s="0" t="n">
        <v>-0.266051900244507</v>
      </c>
      <c r="E53" s="0" t="n">
        <v>0.107606250046725</v>
      </c>
      <c r="F53" s="0" t="n">
        <v>-0.609402692421895</v>
      </c>
      <c r="G53" s="0" t="n">
        <v>1.76041602373826</v>
      </c>
    </row>
    <row r="54" customFormat="false" ht="15" hidden="false" customHeight="false" outlineLevel="0" collapsed="false">
      <c r="A54" s="0" t="s">
        <v>1877</v>
      </c>
      <c r="B54" s="0" t="n">
        <v>-0.0541706284937605</v>
      </c>
      <c r="C54" s="0" t="n">
        <v>-0.139592493349415</v>
      </c>
      <c r="D54" s="0" t="n">
        <v>-0.302480074500996</v>
      </c>
      <c r="E54" s="0" t="n">
        <v>1.78663876682388</v>
      </c>
      <c r="F54" s="0" t="n">
        <v>-1.00906375850096</v>
      </c>
      <c r="G54" s="0" t="n">
        <v>-0.281331811978754</v>
      </c>
    </row>
    <row r="55" customFormat="false" ht="15" hidden="false" customHeight="false" outlineLevel="0" collapsed="false">
      <c r="A55" s="0" t="s">
        <v>1878</v>
      </c>
      <c r="B55" s="0" t="n">
        <v>-0.0541706284937605</v>
      </c>
      <c r="C55" s="0" t="n">
        <v>-0.139592493349415</v>
      </c>
      <c r="D55" s="0" t="n">
        <v>-0.302480074500996</v>
      </c>
      <c r="E55" s="0" t="n">
        <v>1.78663876682388</v>
      </c>
      <c r="F55" s="0" t="n">
        <v>-1.00906375850096</v>
      </c>
      <c r="G55" s="0" t="n">
        <v>-0.281331811978754</v>
      </c>
    </row>
    <row r="56" customFormat="false" ht="15" hidden="false" customHeight="false" outlineLevel="0" collapsed="false">
      <c r="A56" s="0" t="s">
        <v>1879</v>
      </c>
      <c r="B56" s="0" t="n">
        <v>0.292651394008116</v>
      </c>
      <c r="C56" s="0" t="n">
        <v>1.64809836961106</v>
      </c>
      <c r="D56" s="0" t="n">
        <v>-0.00678838717457973</v>
      </c>
      <c r="E56" s="0" t="n">
        <v>-0.73367046932783</v>
      </c>
      <c r="F56" s="0" t="n">
        <v>-0.492588381255338</v>
      </c>
      <c r="G56" s="0" t="n">
        <v>-0.707702525861428</v>
      </c>
    </row>
    <row r="57" customFormat="false" ht="15" hidden="false" customHeight="false" outlineLevel="0" collapsed="false">
      <c r="A57" s="0" t="s">
        <v>1880</v>
      </c>
      <c r="B57" s="0" t="n">
        <v>-0.0104589741451455</v>
      </c>
      <c r="C57" s="0" t="n">
        <v>1.50303305198554</v>
      </c>
      <c r="D57" s="0" t="n">
        <v>-0.361572698339992</v>
      </c>
      <c r="E57" s="0" t="n">
        <v>-0.465845446266803</v>
      </c>
      <c r="F57" s="0" t="n">
        <v>-0.225959940340045</v>
      </c>
      <c r="G57" s="0" t="n">
        <v>-0.439195992893549</v>
      </c>
    </row>
    <row r="58" customFormat="false" ht="15" hidden="false" customHeight="false" outlineLevel="0" collapsed="false">
      <c r="A58" s="0" t="s">
        <v>1823</v>
      </c>
      <c r="B58" s="0" t="n">
        <v>2.61655938896964</v>
      </c>
      <c r="C58" s="0" t="n">
        <v>-0.308233223269099</v>
      </c>
      <c r="D58" s="0" t="n">
        <v>-0.57187328696761</v>
      </c>
      <c r="E58" s="0" t="n">
        <v>-0.490765460072093</v>
      </c>
      <c r="F58" s="0" t="n">
        <v>-0.932256474267257</v>
      </c>
      <c r="G58" s="0" t="n">
        <v>-0.313430944393581</v>
      </c>
    </row>
    <row r="59" customFormat="false" ht="15" hidden="false" customHeight="false" outlineLevel="0" collapsed="false">
      <c r="A59" s="0" t="s">
        <v>1881</v>
      </c>
      <c r="B59" s="0" t="n">
        <v>1.27918359691913</v>
      </c>
      <c r="C59" s="0" t="n">
        <v>-0.0605017443938073</v>
      </c>
      <c r="D59" s="0" t="n">
        <v>-0.310225191732862</v>
      </c>
      <c r="E59" s="0" t="n">
        <v>-0.122016865058169</v>
      </c>
      <c r="F59" s="0" t="n">
        <v>-0.284150588144302</v>
      </c>
      <c r="G59" s="0" t="n">
        <v>-0.502289207589986</v>
      </c>
    </row>
    <row r="60" customFormat="false" ht="15" hidden="false" customHeight="false" outlineLevel="0" collapsed="false">
      <c r="A60" s="0" t="s">
        <v>1882</v>
      </c>
      <c r="B60" s="0" t="n">
        <v>1.77849168191391</v>
      </c>
      <c r="C60" s="0" t="n">
        <v>-0.309164994670726</v>
      </c>
      <c r="D60" s="0" t="n">
        <v>-0.354840052786652</v>
      </c>
      <c r="E60" s="0" t="n">
        <v>-0.463865253987753</v>
      </c>
      <c r="F60" s="0" t="n">
        <v>-0.823290586893941</v>
      </c>
      <c r="G60" s="0" t="n">
        <v>0.172669206425162</v>
      </c>
    </row>
    <row r="61" customFormat="false" ht="15" hidden="false" customHeight="false" outlineLevel="0" collapsed="false">
      <c r="A61" s="0" t="s">
        <v>1883</v>
      </c>
      <c r="B61" s="0" t="n">
        <v>-0.344001518996423</v>
      </c>
      <c r="C61" s="0" t="n">
        <v>-0.563458086368713</v>
      </c>
      <c r="D61" s="0" t="n">
        <v>0.00885393151946994</v>
      </c>
      <c r="E61" s="0" t="n">
        <v>1.42644090964744</v>
      </c>
      <c r="F61" s="0" t="n">
        <v>-0.00409919928881286</v>
      </c>
      <c r="G61" s="0" t="n">
        <v>-0.52373603651296</v>
      </c>
    </row>
    <row r="62" customFormat="false" ht="15" hidden="false" customHeight="false" outlineLevel="0" collapsed="false">
      <c r="A62" s="0" t="s">
        <v>1884</v>
      </c>
      <c r="B62" s="0" t="n">
        <v>-0.344001518996423</v>
      </c>
      <c r="C62" s="0" t="n">
        <v>-0.563458086368713</v>
      </c>
      <c r="D62" s="0" t="n">
        <v>0.00885393151946994</v>
      </c>
      <c r="E62" s="0" t="n">
        <v>1.42644090964744</v>
      </c>
      <c r="F62" s="0" t="n">
        <v>-0.00409919928881286</v>
      </c>
      <c r="G62" s="0" t="n">
        <v>-0.52373603651296</v>
      </c>
    </row>
    <row r="63" customFormat="false" ht="15" hidden="false" customHeight="false" outlineLevel="0" collapsed="false">
      <c r="A63" s="0" t="s">
        <v>1885</v>
      </c>
      <c r="B63" s="0" t="n">
        <v>-0.667697677573284</v>
      </c>
      <c r="C63" s="0" t="n">
        <v>0.134680541467082</v>
      </c>
      <c r="D63" s="0" t="n">
        <v>1.65785724101522</v>
      </c>
      <c r="E63" s="0" t="n">
        <v>-0.283700629204658</v>
      </c>
      <c r="F63" s="0" t="n">
        <v>-0.552247940925837</v>
      </c>
      <c r="G63" s="0" t="n">
        <v>-0.288891534778521</v>
      </c>
    </row>
    <row r="64" customFormat="false" ht="15" hidden="false" customHeight="false" outlineLevel="0" collapsed="false">
      <c r="A64" s="0" t="s">
        <v>1886</v>
      </c>
      <c r="B64" s="0" t="n">
        <v>-0.667697677573284</v>
      </c>
      <c r="C64" s="0" t="n">
        <v>0.134680541467082</v>
      </c>
      <c r="D64" s="0" t="n">
        <v>1.65785724101522</v>
      </c>
      <c r="E64" s="0" t="n">
        <v>-0.283700629204658</v>
      </c>
      <c r="F64" s="0" t="n">
        <v>-0.552247940925837</v>
      </c>
      <c r="G64" s="0" t="n">
        <v>-0.288891534778521</v>
      </c>
    </row>
    <row r="65" customFormat="false" ht="15" hidden="false" customHeight="false" outlineLevel="0" collapsed="false">
      <c r="A65" s="0" t="s">
        <v>1887</v>
      </c>
      <c r="B65" s="0" t="n">
        <v>1.72293704859801</v>
      </c>
      <c r="C65" s="0" t="n">
        <v>0.0601932662570054</v>
      </c>
      <c r="D65" s="0" t="n">
        <v>-0.309592445102867</v>
      </c>
      <c r="E65" s="0" t="n">
        <v>-0.414133308664815</v>
      </c>
      <c r="F65" s="0" t="n">
        <v>-0.389725892078558</v>
      </c>
      <c r="G65" s="0" t="n">
        <v>-0.669678669008779</v>
      </c>
    </row>
    <row r="66" customFormat="false" ht="15" hidden="false" customHeight="false" outlineLevel="0" collapsed="false">
      <c r="A66" s="0" t="s">
        <v>1888</v>
      </c>
      <c r="B66" s="0" t="n">
        <v>1.72293704859801</v>
      </c>
      <c r="C66" s="0" t="n">
        <v>0.0601932662570054</v>
      </c>
      <c r="D66" s="0" t="n">
        <v>-0.309592445102867</v>
      </c>
      <c r="E66" s="0" t="n">
        <v>-0.414133308664815</v>
      </c>
      <c r="F66" s="0" t="n">
        <v>-0.389725892078558</v>
      </c>
      <c r="G66" s="0" t="n">
        <v>-0.669678669008779</v>
      </c>
    </row>
    <row r="67" customFormat="false" ht="15" hidden="false" customHeight="false" outlineLevel="0" collapsed="false">
      <c r="A67" s="0" t="s">
        <v>1889</v>
      </c>
      <c r="B67" s="0" t="n">
        <v>-0.263464682765004</v>
      </c>
      <c r="C67" s="0" t="n">
        <v>-0.388144501917656</v>
      </c>
      <c r="D67" s="0" t="n">
        <v>3.07491537606234</v>
      </c>
      <c r="E67" s="0" t="n">
        <v>-1.02205556508459</v>
      </c>
      <c r="F67" s="0" t="n">
        <v>-0.771149478987109</v>
      </c>
      <c r="G67" s="0" t="n">
        <v>-0.630101147307983</v>
      </c>
    </row>
    <row r="68" customFormat="false" ht="15" hidden="false" customHeight="false" outlineLevel="0" collapsed="false">
      <c r="A68" s="0" t="s">
        <v>1890</v>
      </c>
      <c r="B68" s="0" t="n">
        <v>-0.263464682765004</v>
      </c>
      <c r="C68" s="0" t="n">
        <v>-0.388144501917656</v>
      </c>
      <c r="D68" s="0" t="n">
        <v>3.07491537606234</v>
      </c>
      <c r="E68" s="0" t="n">
        <v>-1.02205556508459</v>
      </c>
      <c r="F68" s="0" t="n">
        <v>-0.771149478987109</v>
      </c>
      <c r="G68" s="0" t="n">
        <v>-0.630101147307983</v>
      </c>
    </row>
    <row r="69" customFormat="false" ht="15" hidden="false" customHeight="false" outlineLevel="0" collapsed="false">
      <c r="A69" s="0" t="s">
        <v>1891</v>
      </c>
      <c r="B69" s="0" t="n">
        <v>0.244869024495172</v>
      </c>
      <c r="C69" s="0" t="n">
        <v>-0.146640718989491</v>
      </c>
      <c r="D69" s="0" t="n">
        <v>-0.245048402929563</v>
      </c>
      <c r="E69" s="0" t="n">
        <v>0.206860604652855</v>
      </c>
      <c r="F69" s="0" t="n">
        <v>-0.207995143840246</v>
      </c>
      <c r="G69" s="0" t="n">
        <v>0.147954636611271</v>
      </c>
    </row>
    <row r="70" customFormat="false" ht="15" hidden="false" customHeight="false" outlineLevel="0" collapsed="false">
      <c r="A70" s="0" t="s">
        <v>1892</v>
      </c>
      <c r="B70" s="0" t="n">
        <v>0.364529028968968</v>
      </c>
      <c r="C70" s="0" t="n">
        <v>-0.033962499683829</v>
      </c>
      <c r="D70" s="0" t="n">
        <v>-0.055684005260434</v>
      </c>
      <c r="E70" s="0" t="n">
        <v>-0.107423372891381</v>
      </c>
      <c r="F70" s="0" t="n">
        <v>-0.0528230788202591</v>
      </c>
      <c r="G70" s="0" t="n">
        <v>-0.114636072313066</v>
      </c>
    </row>
    <row r="71" customFormat="false" ht="15" hidden="false" customHeight="false" outlineLevel="0" collapsed="false">
      <c r="A71" s="0" t="s">
        <v>1893</v>
      </c>
      <c r="B71" s="0" t="n">
        <v>-0.661205266534845</v>
      </c>
      <c r="C71" s="0" t="n">
        <v>2.04952845026234</v>
      </c>
      <c r="D71" s="0" t="n">
        <v>-0.642401748844999</v>
      </c>
      <c r="E71" s="0" t="n">
        <v>-0.382616975225625</v>
      </c>
      <c r="F71" s="0" t="n">
        <v>-0.244678981262716</v>
      </c>
      <c r="G71" s="0" t="n">
        <v>-0.118625478394154</v>
      </c>
    </row>
    <row r="72" customFormat="false" ht="15" hidden="false" customHeight="false" outlineLevel="0" collapsed="false">
      <c r="A72" s="0" t="s">
        <v>1894</v>
      </c>
      <c r="B72" s="0" t="n">
        <v>-0.661205266534845</v>
      </c>
      <c r="C72" s="0" t="n">
        <v>2.04952845026234</v>
      </c>
      <c r="D72" s="0" t="n">
        <v>-0.642401748844999</v>
      </c>
      <c r="E72" s="0" t="n">
        <v>-0.382616975225625</v>
      </c>
      <c r="F72" s="0" t="n">
        <v>-0.244678981262716</v>
      </c>
      <c r="G72" s="0" t="n">
        <v>-0.118625478394154</v>
      </c>
    </row>
    <row r="73" customFormat="false" ht="15" hidden="false" customHeight="false" outlineLevel="0" collapsed="false">
      <c r="A73" s="0" t="s">
        <v>1895</v>
      </c>
      <c r="B73" s="0" t="n">
        <v>-0.529531496113755</v>
      </c>
      <c r="C73" s="0" t="n">
        <v>-0.119740800289931</v>
      </c>
      <c r="D73" s="0" t="n">
        <v>-0.377713543862034</v>
      </c>
      <c r="E73" s="0" t="n">
        <v>-0.369488263420966</v>
      </c>
      <c r="F73" s="0" t="n">
        <v>2.16625787874736</v>
      </c>
      <c r="G73" s="0" t="n">
        <v>-0.769783775060668</v>
      </c>
    </row>
    <row r="74" customFormat="false" ht="15" hidden="false" customHeight="false" outlineLevel="0" collapsed="false">
      <c r="A74" s="0" t="s">
        <v>1896</v>
      </c>
      <c r="B74" s="0" t="n">
        <v>-0.0997740021142777</v>
      </c>
      <c r="C74" s="0" t="n">
        <v>-0.132887661690817</v>
      </c>
      <c r="D74" s="0" t="n">
        <v>-0.183124093487812</v>
      </c>
      <c r="E74" s="0" t="n">
        <v>-0.144217866332143</v>
      </c>
      <c r="F74" s="0" t="n">
        <v>0.638285723289975</v>
      </c>
      <c r="G74" s="0" t="n">
        <v>-0.0782820996649247</v>
      </c>
    </row>
    <row r="75" customFormat="false" ht="15" hidden="false" customHeight="false" outlineLevel="0" collapsed="false">
      <c r="A75" s="0" t="s">
        <v>1897</v>
      </c>
      <c r="B75" s="0" t="n">
        <v>-0.0407673606478156</v>
      </c>
      <c r="C75" s="0" t="n">
        <v>1.74973406221641</v>
      </c>
      <c r="D75" s="0" t="n">
        <v>-0.660969097977017</v>
      </c>
      <c r="E75" s="0" t="n">
        <v>-0.621394172250979</v>
      </c>
      <c r="F75" s="0" t="n">
        <v>-0.33307526505725</v>
      </c>
      <c r="G75" s="0" t="n">
        <v>-0.0935281662833482</v>
      </c>
    </row>
    <row r="76" customFormat="false" ht="15" hidden="false" customHeight="false" outlineLevel="0" collapsed="false">
      <c r="A76" s="0" t="s">
        <v>1898</v>
      </c>
      <c r="B76" s="0" t="n">
        <v>-0.00320871669539917</v>
      </c>
      <c r="C76" s="0" t="n">
        <v>2.00659756831451</v>
      </c>
      <c r="D76" s="0" t="n">
        <v>-0.651298745950734</v>
      </c>
      <c r="E76" s="0" t="n">
        <v>-1.0243367840638</v>
      </c>
      <c r="F76" s="0" t="n">
        <v>-0.297743525736249</v>
      </c>
      <c r="G76" s="0" t="n">
        <v>-0.0300097958683311</v>
      </c>
    </row>
    <row r="77" customFormat="false" ht="15" hidden="false" customHeight="false" outlineLevel="0" collapsed="false">
      <c r="A77" s="0" t="s">
        <v>1899</v>
      </c>
      <c r="B77" s="0" t="n">
        <v>1.19999050802499</v>
      </c>
      <c r="C77" s="0" t="n">
        <v>-0.698831830467306</v>
      </c>
      <c r="D77" s="0" t="n">
        <v>-0.302326109384457</v>
      </c>
      <c r="E77" s="0" t="n">
        <v>0.830450244774363</v>
      </c>
      <c r="F77" s="0" t="n">
        <v>-0.219709510641439</v>
      </c>
      <c r="G77" s="0" t="n">
        <v>-0.809573302306152</v>
      </c>
    </row>
    <row r="78" customFormat="false" ht="15" hidden="false" customHeight="false" outlineLevel="0" collapsed="false">
      <c r="A78" s="0" t="s">
        <v>1900</v>
      </c>
      <c r="B78" s="0" t="n">
        <v>-0.21082559669909</v>
      </c>
      <c r="C78" s="0" t="n">
        <v>-0.0353929548114386</v>
      </c>
      <c r="D78" s="0" t="n">
        <v>0.394426432236655</v>
      </c>
      <c r="E78" s="0" t="n">
        <v>-0.0575206642219516</v>
      </c>
      <c r="F78" s="0" t="n">
        <v>-0.0449133378367201</v>
      </c>
      <c r="G78" s="0" t="n">
        <v>-0.0457738786674538</v>
      </c>
    </row>
    <row r="79" customFormat="false" ht="15" hidden="false" customHeight="false" outlineLevel="0" collapsed="false">
      <c r="A79" s="0" t="s">
        <v>1901</v>
      </c>
      <c r="B79" s="0" t="n">
        <v>-0.440158426354846</v>
      </c>
      <c r="C79" s="0" t="n">
        <v>-0.307752981638995</v>
      </c>
      <c r="D79" s="0" t="n">
        <v>-0.333024508142676</v>
      </c>
      <c r="E79" s="0" t="n">
        <v>1.58254511868199</v>
      </c>
      <c r="F79" s="0" t="n">
        <v>0.160597668251942</v>
      </c>
      <c r="G79" s="0" t="n">
        <v>-0.662206870797412</v>
      </c>
    </row>
    <row r="80" customFormat="false" ht="15" hidden="false" customHeight="false" outlineLevel="0" collapsed="false">
      <c r="A80" s="0" t="s">
        <v>1902</v>
      </c>
      <c r="B80" s="0" t="n">
        <v>-0.695398489188375</v>
      </c>
      <c r="C80" s="0" t="n">
        <v>0.762912979256431</v>
      </c>
      <c r="D80" s="0" t="n">
        <v>0.331306583104958</v>
      </c>
      <c r="E80" s="0" t="n">
        <v>-0.166500154246327</v>
      </c>
      <c r="F80" s="0" t="n">
        <v>-0.132092793781378</v>
      </c>
      <c r="G80" s="0" t="n">
        <v>-0.100228125145309</v>
      </c>
    </row>
    <row r="81" customFormat="false" ht="15" hidden="false" customHeight="false" outlineLevel="0" collapsed="false">
      <c r="A81" s="0" t="s">
        <v>1903</v>
      </c>
      <c r="B81" s="0" t="n">
        <v>-0.0794541295652734</v>
      </c>
      <c r="C81" s="0" t="n">
        <v>-0.514686726232587</v>
      </c>
      <c r="D81" s="0" t="n">
        <v>-0.561685138734549</v>
      </c>
      <c r="E81" s="0" t="n">
        <v>-0.248527365955918</v>
      </c>
      <c r="F81" s="0" t="n">
        <v>1.35583418203322</v>
      </c>
      <c r="G81" s="0" t="n">
        <v>0.0485191784551025</v>
      </c>
    </row>
    <row r="82" customFormat="false" ht="15" hidden="false" customHeight="false" outlineLevel="0" collapsed="false">
      <c r="A82" s="0" t="s">
        <v>1904</v>
      </c>
      <c r="B82" s="0" t="n">
        <v>-0.0794541295652734</v>
      </c>
      <c r="C82" s="0" t="n">
        <v>-0.514686726232587</v>
      </c>
      <c r="D82" s="0" t="n">
        <v>-0.561685138734549</v>
      </c>
      <c r="E82" s="0" t="n">
        <v>-0.248527365955918</v>
      </c>
      <c r="F82" s="0" t="n">
        <v>1.35583418203322</v>
      </c>
      <c r="G82" s="0" t="n">
        <v>0.0485191784551025</v>
      </c>
    </row>
    <row r="83" customFormat="false" ht="15" hidden="false" customHeight="false" outlineLevel="0" collapsed="false">
      <c r="A83" s="0" t="s">
        <v>1905</v>
      </c>
      <c r="B83" s="0" t="n">
        <v>0.949556509791378</v>
      </c>
      <c r="C83" s="0" t="n">
        <v>-0.568194380569405</v>
      </c>
      <c r="D83" s="0" t="n">
        <v>-0.267355338600481</v>
      </c>
      <c r="E83" s="0" t="n">
        <v>0.0964125929453259</v>
      </c>
      <c r="F83" s="0" t="n">
        <v>-0.235286073936407</v>
      </c>
      <c r="G83" s="0" t="n">
        <v>0.0248666903695883</v>
      </c>
    </row>
    <row r="84" customFormat="false" ht="15" hidden="false" customHeight="false" outlineLevel="0" collapsed="false">
      <c r="A84" s="0" t="s">
        <v>1906</v>
      </c>
      <c r="B84" s="0" t="n">
        <v>0.949556509791378</v>
      </c>
      <c r="C84" s="0" t="n">
        <v>-0.568194380569405</v>
      </c>
      <c r="D84" s="0" t="n">
        <v>-0.267355338600481</v>
      </c>
      <c r="E84" s="0" t="n">
        <v>0.0964125929453259</v>
      </c>
      <c r="F84" s="0" t="n">
        <v>-0.235286073936407</v>
      </c>
      <c r="G84" s="0" t="n">
        <v>0.0248666903695883</v>
      </c>
    </row>
    <row r="85" customFormat="false" ht="15" hidden="false" customHeight="false" outlineLevel="0" collapsed="false">
      <c r="A85" s="0" t="s">
        <v>1772</v>
      </c>
      <c r="B85" s="0" t="n">
        <v>-0.0541706284937605</v>
      </c>
      <c r="C85" s="0" t="n">
        <v>-0.139592493349415</v>
      </c>
      <c r="D85" s="0" t="n">
        <v>-0.302480074500996</v>
      </c>
      <c r="E85" s="0" t="n">
        <v>1.78663876682388</v>
      </c>
      <c r="F85" s="0" t="n">
        <v>-1.00906375850096</v>
      </c>
      <c r="G85" s="0" t="n">
        <v>-0.281331811978754</v>
      </c>
    </row>
    <row r="86" customFormat="false" ht="15" hidden="false" customHeight="false" outlineLevel="0" collapsed="false">
      <c r="A86" s="0" t="s">
        <v>1907</v>
      </c>
      <c r="B86" s="0" t="n">
        <v>-0.0541706284937605</v>
      </c>
      <c r="C86" s="0" t="n">
        <v>-0.139592493349415</v>
      </c>
      <c r="D86" s="0" t="n">
        <v>-0.302480074500996</v>
      </c>
      <c r="E86" s="0" t="n">
        <v>1.78663876682388</v>
      </c>
      <c r="F86" s="0" t="n">
        <v>-1.00906375850096</v>
      </c>
      <c r="G86" s="0" t="n">
        <v>-0.281331811978754</v>
      </c>
    </row>
    <row r="87" customFormat="false" ht="15" hidden="false" customHeight="false" outlineLevel="0" collapsed="false">
      <c r="A87" s="0" t="s">
        <v>1908</v>
      </c>
      <c r="B87" s="0" t="n">
        <v>0.16349657693974</v>
      </c>
      <c r="C87" s="0" t="n">
        <v>0.0797022395986505</v>
      </c>
      <c r="D87" s="0" t="n">
        <v>-0.0120335713045545</v>
      </c>
      <c r="E87" s="0" t="n">
        <v>0.280797969053443</v>
      </c>
      <c r="F87" s="0" t="n">
        <v>-0.0887693354376994</v>
      </c>
      <c r="G87" s="0" t="n">
        <v>-0.423193878849581</v>
      </c>
    </row>
    <row r="88" customFormat="false" ht="15" hidden="false" customHeight="false" outlineLevel="0" collapsed="false">
      <c r="A88" s="0" t="s">
        <v>1909</v>
      </c>
      <c r="B88" s="0" t="n">
        <v>-0.178713883084284</v>
      </c>
      <c r="C88" s="0" t="n">
        <v>-0.155512601591214</v>
      </c>
      <c r="D88" s="0" t="n">
        <v>0.0714793455385486</v>
      </c>
      <c r="E88" s="0" t="n">
        <v>0.544127105965152</v>
      </c>
      <c r="F88" s="0" t="n">
        <v>-0.210053236860572</v>
      </c>
      <c r="G88" s="0" t="n">
        <v>-0.0713267299676308</v>
      </c>
    </row>
    <row r="89" customFormat="false" ht="15" hidden="false" customHeight="false" outlineLevel="0" collapsed="false">
      <c r="A89" s="0" t="s">
        <v>1910</v>
      </c>
      <c r="B89" s="0" t="n">
        <v>-0.215526514621038</v>
      </c>
      <c r="C89" s="0" t="n">
        <v>0.0208090065903098</v>
      </c>
      <c r="D89" s="0" t="n">
        <v>-0.166297083847064</v>
      </c>
      <c r="E89" s="0" t="n">
        <v>0.635310250299695</v>
      </c>
      <c r="F89" s="0" t="n">
        <v>-0.209369039653913</v>
      </c>
      <c r="G89" s="0" t="n">
        <v>-0.0649266187679883</v>
      </c>
    </row>
    <row r="90" customFormat="false" ht="15" hidden="false" customHeight="false" outlineLevel="0" collapsed="false">
      <c r="A90" s="0" t="s">
        <v>1911</v>
      </c>
      <c r="B90" s="0" t="n">
        <v>-0.246217562755497</v>
      </c>
      <c r="C90" s="0" t="n">
        <v>0.235805716100826</v>
      </c>
      <c r="D90" s="0" t="n">
        <v>0.446160498549094</v>
      </c>
      <c r="E90" s="0" t="n">
        <v>-0.199800069888083</v>
      </c>
      <c r="F90" s="0" t="n">
        <v>-0.108168032499259</v>
      </c>
      <c r="G90" s="0" t="n">
        <v>-0.127780549507081</v>
      </c>
    </row>
    <row r="91" customFormat="false" ht="15" hidden="false" customHeight="false" outlineLevel="0" collapsed="false">
      <c r="A91" s="0" t="s">
        <v>1912</v>
      </c>
      <c r="B91" s="0" t="n">
        <v>-0.0824876187304501</v>
      </c>
      <c r="C91" s="0" t="n">
        <v>-0.0160263357236301</v>
      </c>
      <c r="D91" s="0" t="n">
        <v>-0.102055929414975</v>
      </c>
      <c r="E91" s="0" t="n">
        <v>0.154713358707904</v>
      </c>
      <c r="F91" s="0" t="n">
        <v>0.104166473761612</v>
      </c>
      <c r="G91" s="0" t="n">
        <v>-0.0583099486004606</v>
      </c>
    </row>
    <row r="92" customFormat="false" ht="15" hidden="false" customHeight="false" outlineLevel="0" collapsed="false">
      <c r="A92" s="0" t="s">
        <v>1913</v>
      </c>
      <c r="B92" s="0" t="n">
        <v>0.461372191853006</v>
      </c>
      <c r="C92" s="0" t="n">
        <v>-0.128491997466929</v>
      </c>
      <c r="D92" s="0" t="n">
        <v>-0.1511748416718</v>
      </c>
      <c r="E92" s="0" t="n">
        <v>-0.0140389357032257</v>
      </c>
      <c r="F92" s="0" t="n">
        <v>-0.0823948178589328</v>
      </c>
      <c r="G92" s="0" t="n">
        <v>-0.0852715991521185</v>
      </c>
    </row>
    <row r="93" customFormat="false" ht="15" hidden="false" customHeight="false" outlineLevel="0" collapsed="false">
      <c r="A93" s="0" t="s">
        <v>1914</v>
      </c>
      <c r="B93" s="0" t="n">
        <v>-0.296516098431539</v>
      </c>
      <c r="C93" s="0" t="n">
        <v>1.95514519134363</v>
      </c>
      <c r="D93" s="0" t="n">
        <v>-0.579637068723121</v>
      </c>
      <c r="E93" s="0" t="n">
        <v>-0.148493626369924</v>
      </c>
      <c r="F93" s="0" t="n">
        <v>-0.449141876319909</v>
      </c>
      <c r="G93" s="0" t="n">
        <v>-0.481356521499139</v>
      </c>
    </row>
    <row r="94" customFormat="false" ht="15" hidden="false" customHeight="false" outlineLevel="0" collapsed="false">
      <c r="A94" s="0" t="s">
        <v>1915</v>
      </c>
      <c r="B94" s="0" t="n">
        <v>-0.296516098431539</v>
      </c>
      <c r="C94" s="0" t="n">
        <v>1.95514519134363</v>
      </c>
      <c r="D94" s="0" t="n">
        <v>-0.579637068723121</v>
      </c>
      <c r="E94" s="0" t="n">
        <v>-0.148493626369924</v>
      </c>
      <c r="F94" s="0" t="n">
        <v>-0.449141876319909</v>
      </c>
      <c r="G94" s="0" t="n">
        <v>-0.481356521499139</v>
      </c>
    </row>
    <row r="95" customFormat="false" ht="15" hidden="false" customHeight="false" outlineLevel="0" collapsed="false">
      <c r="A95" s="0" t="s">
        <v>1916</v>
      </c>
      <c r="B95" s="0" t="n">
        <v>-0.445195342997202</v>
      </c>
      <c r="C95" s="0" t="n">
        <v>-0.28475897482936</v>
      </c>
      <c r="D95" s="0" t="n">
        <v>-0.356085213980781</v>
      </c>
      <c r="E95" s="0" t="n">
        <v>-0.305582859936992</v>
      </c>
      <c r="F95" s="0" t="n">
        <v>-0.139456604541534</v>
      </c>
      <c r="G95" s="0" t="n">
        <v>1.53107899628587</v>
      </c>
    </row>
    <row r="96" customFormat="false" ht="15" hidden="false" customHeight="false" outlineLevel="0" collapsed="false">
      <c r="A96" s="0" t="s">
        <v>1917</v>
      </c>
      <c r="B96" s="0" t="n">
        <v>-0.445195342997202</v>
      </c>
      <c r="C96" s="0" t="n">
        <v>-0.28475897482936</v>
      </c>
      <c r="D96" s="0" t="n">
        <v>-0.356085213980781</v>
      </c>
      <c r="E96" s="0" t="n">
        <v>-0.305582859936992</v>
      </c>
      <c r="F96" s="0" t="n">
        <v>-0.139456604541534</v>
      </c>
      <c r="G96" s="0" t="n">
        <v>1.53107899628587</v>
      </c>
    </row>
    <row r="97" customFormat="false" ht="15" hidden="false" customHeight="false" outlineLevel="0" collapsed="false">
      <c r="A97" s="0" t="s">
        <v>1811</v>
      </c>
      <c r="B97" s="0" t="n">
        <v>-0.661205266534845</v>
      </c>
      <c r="C97" s="0" t="n">
        <v>2.04952845026234</v>
      </c>
      <c r="D97" s="0" t="n">
        <v>-0.642401748844999</v>
      </c>
      <c r="E97" s="0" t="n">
        <v>-0.382616975225625</v>
      </c>
      <c r="F97" s="0" t="n">
        <v>-0.244678981262716</v>
      </c>
      <c r="G97" s="0" t="n">
        <v>-0.118625478394154</v>
      </c>
    </row>
    <row r="98" customFormat="false" ht="15" hidden="false" customHeight="false" outlineLevel="0" collapsed="false">
      <c r="A98" s="0" t="s">
        <v>1918</v>
      </c>
      <c r="B98" s="0" t="n">
        <v>-0.661205266534845</v>
      </c>
      <c r="C98" s="0" t="n">
        <v>2.04952845026234</v>
      </c>
      <c r="D98" s="0" t="n">
        <v>-0.642401748844999</v>
      </c>
      <c r="E98" s="0" t="n">
        <v>-0.382616975225625</v>
      </c>
      <c r="F98" s="0" t="n">
        <v>-0.244678981262716</v>
      </c>
      <c r="G98" s="0" t="n">
        <v>-0.118625478394154</v>
      </c>
    </row>
    <row r="99" customFormat="false" ht="15" hidden="false" customHeight="false" outlineLevel="0" collapsed="false">
      <c r="A99" s="0" t="s">
        <v>1919</v>
      </c>
      <c r="B99" s="0" t="n">
        <v>-0.122483221683959</v>
      </c>
      <c r="C99" s="0" t="n">
        <v>0.372864974116163</v>
      </c>
      <c r="D99" s="0" t="n">
        <v>-0.0274168115800928</v>
      </c>
      <c r="E99" s="0" t="n">
        <v>0.235975482595436</v>
      </c>
      <c r="F99" s="0" t="n">
        <v>-0.305119925126954</v>
      </c>
      <c r="G99" s="0" t="n">
        <v>-0.153820498320593</v>
      </c>
    </row>
    <row r="100" customFormat="false" ht="15" hidden="false" customHeight="false" outlineLevel="0" collapsed="false">
      <c r="A100" s="0" t="s">
        <v>1920</v>
      </c>
      <c r="B100" s="0" t="n">
        <v>-0.110575294274906</v>
      </c>
      <c r="C100" s="0" t="n">
        <v>0.153025897333312</v>
      </c>
      <c r="D100" s="0" t="n">
        <v>0.161819399746988</v>
      </c>
      <c r="E100" s="0" t="n">
        <v>0.0963432611272528</v>
      </c>
      <c r="F100" s="0" t="n">
        <v>-0.120396274989935</v>
      </c>
      <c r="G100" s="0" t="n">
        <v>-0.180216988942713</v>
      </c>
    </row>
    <row r="101" customFormat="false" ht="15" hidden="false" customHeight="false" outlineLevel="0" collapsed="false">
      <c r="A101" s="0" t="s">
        <v>1921</v>
      </c>
      <c r="B101" s="0" t="n">
        <v>-0.741878369935628</v>
      </c>
      <c r="C101" s="0" t="n">
        <v>0.897621647231063</v>
      </c>
      <c r="D101" s="0" t="n">
        <v>-0.0574381180618718</v>
      </c>
      <c r="E101" s="0" t="n">
        <v>-0.0401283235387106</v>
      </c>
      <c r="F101" s="0" t="n">
        <v>-0.0447012241705342</v>
      </c>
      <c r="G101" s="0" t="n">
        <v>-0.0134756115243188</v>
      </c>
    </row>
    <row r="102" customFormat="false" ht="15" hidden="false" customHeight="false" outlineLevel="0" collapsed="false">
      <c r="A102" s="0" t="s">
        <v>1922</v>
      </c>
      <c r="B102" s="0" t="n">
        <v>-0.0378300989834895</v>
      </c>
      <c r="C102" s="0" t="n">
        <v>-1.28656902366327</v>
      </c>
      <c r="D102" s="0" t="n">
        <v>1.03591712226544</v>
      </c>
      <c r="E102" s="0" t="n">
        <v>0.19368231364457</v>
      </c>
      <c r="F102" s="0" t="n">
        <v>-0.0795535230631321</v>
      </c>
      <c r="G102" s="0" t="n">
        <v>0.174353209799887</v>
      </c>
    </row>
    <row r="103" customFormat="false" ht="15" hidden="false" customHeight="false" outlineLevel="0" collapsed="false">
      <c r="A103" s="0" t="s">
        <v>1923</v>
      </c>
      <c r="B103" s="0" t="n">
        <v>-0.0443148647784212</v>
      </c>
      <c r="C103" s="0" t="n">
        <v>-0.509819168030118</v>
      </c>
      <c r="D103" s="0" t="n">
        <v>0.191592454545199</v>
      </c>
      <c r="E103" s="0" t="n">
        <v>0.346357258926381</v>
      </c>
      <c r="F103" s="0" t="n">
        <v>-0.155465056650277</v>
      </c>
      <c r="G103" s="0" t="n">
        <v>0.171649375987236</v>
      </c>
    </row>
    <row r="104" customFormat="false" ht="15" hidden="false" customHeight="false" outlineLevel="0" collapsed="false">
      <c r="A104" s="0" t="s">
        <v>1924</v>
      </c>
      <c r="B104" s="0" t="n">
        <v>-0.478966419418484</v>
      </c>
      <c r="C104" s="0" t="n">
        <v>0.633152580686228</v>
      </c>
      <c r="D104" s="0" t="n">
        <v>-0.044416316908438</v>
      </c>
      <c r="E104" s="0" t="n">
        <v>-0.0396682900507601</v>
      </c>
      <c r="F104" s="0" t="n">
        <v>-0.0503969204043558</v>
      </c>
      <c r="G104" s="0" t="n">
        <v>-0.01970463390419</v>
      </c>
    </row>
    <row r="105" customFormat="false" ht="15" hidden="false" customHeight="false" outlineLevel="0" collapsed="false">
      <c r="A105" s="0" t="s">
        <v>1925</v>
      </c>
      <c r="B105" s="0" t="n">
        <v>0.183144874025608</v>
      </c>
      <c r="C105" s="0" t="n">
        <v>-0.0926531731636808</v>
      </c>
      <c r="D105" s="0" t="n">
        <v>0.242298718584213</v>
      </c>
      <c r="E105" s="0" t="n">
        <v>-0.101042510190265</v>
      </c>
      <c r="F105" s="0" t="n">
        <v>-0.0520959552438183</v>
      </c>
      <c r="G105" s="0" t="n">
        <v>-0.179651954012058</v>
      </c>
    </row>
    <row r="106" customFormat="false" ht="15" hidden="false" customHeight="false" outlineLevel="0" collapsed="false">
      <c r="A106" s="0" t="s">
        <v>1926</v>
      </c>
      <c r="B106" s="0" t="n">
        <v>-0.100697541379167</v>
      </c>
      <c r="C106" s="0" t="n">
        <v>-0.256850571456356</v>
      </c>
      <c r="D106" s="0" t="n">
        <v>-0.0213182956303505</v>
      </c>
      <c r="E106" s="0" t="n">
        <v>0.233928710310356</v>
      </c>
      <c r="F106" s="0" t="n">
        <v>-0.150457855982482</v>
      </c>
      <c r="G106" s="0" t="n">
        <v>0.295395554138001</v>
      </c>
    </row>
    <row r="107" customFormat="false" ht="15" hidden="false" customHeight="false" outlineLevel="0" collapsed="false">
      <c r="A107" s="0" t="s">
        <v>1927</v>
      </c>
      <c r="B107" s="0" t="n">
        <v>1.58704822640007</v>
      </c>
      <c r="C107" s="0" t="n">
        <v>-0.86075140744456</v>
      </c>
      <c r="D107" s="0" t="n">
        <v>-0.489280526533866</v>
      </c>
      <c r="E107" s="0" t="n">
        <v>-0.239969323771765</v>
      </c>
      <c r="F107" s="0" t="n">
        <v>-0.325653602481475</v>
      </c>
      <c r="G107" s="0" t="n">
        <v>0.328606633831591</v>
      </c>
    </row>
    <row r="108" customFormat="false" ht="15" hidden="false" customHeight="false" outlineLevel="0" collapsed="false">
      <c r="A108" s="0" t="s">
        <v>1928</v>
      </c>
      <c r="B108" s="0" t="n">
        <v>-0.0104589741451455</v>
      </c>
      <c r="C108" s="0" t="n">
        <v>1.50303305198554</v>
      </c>
      <c r="D108" s="0" t="n">
        <v>-0.361572698339992</v>
      </c>
      <c r="E108" s="0" t="n">
        <v>-0.465845446266803</v>
      </c>
      <c r="F108" s="0" t="n">
        <v>-0.225959940340045</v>
      </c>
      <c r="G108" s="0" t="n">
        <v>-0.439195992893549</v>
      </c>
    </row>
    <row r="109" customFormat="false" ht="15" hidden="false" customHeight="false" outlineLevel="0" collapsed="false">
      <c r="A109" s="0" t="s">
        <v>1929</v>
      </c>
      <c r="B109" s="0" t="n">
        <v>-0.0903920065447586</v>
      </c>
      <c r="C109" s="0" t="n">
        <v>0.234963825967399</v>
      </c>
      <c r="D109" s="0" t="n">
        <v>-0.0372896662511614</v>
      </c>
      <c r="E109" s="0" t="n">
        <v>-0.0249872218928276</v>
      </c>
      <c r="F109" s="0" t="n">
        <v>-0.0387482636596194</v>
      </c>
      <c r="G109" s="0" t="n">
        <v>-0.0435466676190322</v>
      </c>
    </row>
    <row r="110" customFormat="false" ht="15" hidden="false" customHeight="false" outlineLevel="0" collapsed="false">
      <c r="A110" s="0" t="s">
        <v>1930</v>
      </c>
      <c r="B110" s="0" t="n">
        <v>-0.0630674737998165</v>
      </c>
      <c r="C110" s="0" t="n">
        <v>0.22584271221699</v>
      </c>
      <c r="D110" s="0" t="n">
        <v>-0.0441703264251279</v>
      </c>
      <c r="E110" s="0" t="n">
        <v>-0.0321977177518341</v>
      </c>
      <c r="F110" s="0" t="n">
        <v>-0.044486985567597</v>
      </c>
      <c r="G110" s="0" t="n">
        <v>-0.0419202086726146</v>
      </c>
    </row>
    <row r="111" customFormat="false" ht="15" hidden="false" customHeight="false" outlineLevel="0" collapsed="false">
      <c r="A111" s="0" t="s">
        <v>1931</v>
      </c>
      <c r="B111" s="0" t="n">
        <v>0.953989729644627</v>
      </c>
      <c r="C111" s="0" t="n">
        <v>-0.264173570506962</v>
      </c>
      <c r="D111" s="0" t="n">
        <v>-1.06679065833753</v>
      </c>
      <c r="E111" s="0" t="n">
        <v>-0.962874854064152</v>
      </c>
      <c r="F111" s="0" t="n">
        <v>2.39689081385325</v>
      </c>
      <c r="G111" s="0" t="n">
        <v>-1.05704146058923</v>
      </c>
    </row>
    <row r="112" customFormat="false" ht="15" hidden="false" customHeight="false" outlineLevel="0" collapsed="false">
      <c r="A112" s="0" t="s">
        <v>1932</v>
      </c>
      <c r="B112" s="0" t="n">
        <v>-0.333060142622207</v>
      </c>
      <c r="C112" s="0" t="n">
        <v>-0.27051211554439</v>
      </c>
      <c r="D112" s="0" t="n">
        <v>-0.703674617814709</v>
      </c>
      <c r="E112" s="0" t="n">
        <v>-0.186355185499858</v>
      </c>
      <c r="F112" s="0" t="n">
        <v>1.75536006153232</v>
      </c>
      <c r="G112" s="0" t="n">
        <v>-0.261758000051157</v>
      </c>
    </row>
    <row r="113" customFormat="false" ht="15" hidden="false" customHeight="false" outlineLevel="0" collapsed="false">
      <c r="A113" s="0" t="s">
        <v>1933</v>
      </c>
      <c r="B113" s="0" t="n">
        <v>1.72293704859801</v>
      </c>
      <c r="C113" s="0" t="n">
        <v>0.0601932662570054</v>
      </c>
      <c r="D113" s="0" t="n">
        <v>-0.309592445102867</v>
      </c>
      <c r="E113" s="0" t="n">
        <v>-0.414133308664815</v>
      </c>
      <c r="F113" s="0" t="n">
        <v>-0.389725892078558</v>
      </c>
      <c r="G113" s="0" t="n">
        <v>-0.669678669008779</v>
      </c>
    </row>
    <row r="114" customFormat="false" ht="15" hidden="false" customHeight="false" outlineLevel="0" collapsed="false">
      <c r="A114" s="0" t="s">
        <v>1934</v>
      </c>
      <c r="B114" s="0" t="n">
        <v>-0.321275309512518</v>
      </c>
      <c r="C114" s="0" t="n">
        <v>-0.123466507120173</v>
      </c>
      <c r="D114" s="0" t="n">
        <v>-0.3739644076999</v>
      </c>
      <c r="E114" s="0" t="n">
        <v>-0.60756362266389</v>
      </c>
      <c r="F114" s="0" t="n">
        <v>1.80554744923104</v>
      </c>
      <c r="G114" s="0" t="n">
        <v>-0.379277602234562</v>
      </c>
    </row>
    <row r="115" customFormat="false" ht="15" hidden="false" customHeight="false" outlineLevel="0" collapsed="false">
      <c r="A115" s="0" t="s">
        <v>1935</v>
      </c>
      <c r="B115" s="0" t="n">
        <v>-0.48577134820262</v>
      </c>
      <c r="C115" s="0" t="n">
        <v>-0.0358179416853186</v>
      </c>
      <c r="D115" s="0" t="n">
        <v>-0.304040714864746</v>
      </c>
      <c r="E115" s="0" t="n">
        <v>-0.402984099949762</v>
      </c>
      <c r="F115" s="0" t="n">
        <v>1.39506457857624</v>
      </c>
      <c r="G115" s="0" t="n">
        <v>-0.166450473873793</v>
      </c>
    </row>
    <row r="116" customFormat="false" ht="15" hidden="false" customHeight="false" outlineLevel="0" collapsed="false">
      <c r="A116" s="0" t="s">
        <v>1936</v>
      </c>
      <c r="B116" s="0" t="n">
        <v>-0.48577134820262</v>
      </c>
      <c r="C116" s="0" t="n">
        <v>-0.0358179416853186</v>
      </c>
      <c r="D116" s="0" t="n">
        <v>-0.304040714864746</v>
      </c>
      <c r="E116" s="0" t="n">
        <v>-0.402984099949762</v>
      </c>
      <c r="F116" s="0" t="n">
        <v>1.39506457857624</v>
      </c>
      <c r="G116" s="0" t="n">
        <v>-0.166450473873793</v>
      </c>
    </row>
    <row r="117" customFormat="false" ht="15" hidden="false" customHeight="false" outlineLevel="0" collapsed="false">
      <c r="A117" s="0" t="s">
        <v>1937</v>
      </c>
      <c r="B117" s="0" t="n">
        <v>0.389947678291985</v>
      </c>
      <c r="C117" s="0" t="n">
        <v>0.267054666009312</v>
      </c>
      <c r="D117" s="0" t="n">
        <v>0.437794300697245</v>
      </c>
      <c r="E117" s="0" t="n">
        <v>-0.369891880868891</v>
      </c>
      <c r="F117" s="0" t="n">
        <v>-0.355556201104015</v>
      </c>
      <c r="G117" s="0" t="n">
        <v>-0.369348563025634</v>
      </c>
    </row>
    <row r="118" customFormat="false" ht="15" hidden="false" customHeight="false" outlineLevel="0" collapsed="false">
      <c r="A118" s="0" t="s">
        <v>1938</v>
      </c>
      <c r="B118" s="0" t="n">
        <v>0.389947678291985</v>
      </c>
      <c r="C118" s="0" t="n">
        <v>0.267054666009312</v>
      </c>
      <c r="D118" s="0" t="n">
        <v>0.437794300697245</v>
      </c>
      <c r="E118" s="0" t="n">
        <v>-0.369891880868891</v>
      </c>
      <c r="F118" s="0" t="n">
        <v>-0.355556201104015</v>
      </c>
      <c r="G118" s="0" t="n">
        <v>-0.369348563025634</v>
      </c>
    </row>
    <row r="119" customFormat="false" ht="15" hidden="false" customHeight="false" outlineLevel="0" collapsed="false">
      <c r="A119" s="0" t="s">
        <v>1770</v>
      </c>
      <c r="B119" s="0" t="n">
        <v>-1.08305899364752</v>
      </c>
      <c r="C119" s="0" t="n">
        <v>-0.125026024434505</v>
      </c>
      <c r="D119" s="0" t="n">
        <v>-0.7617931959166</v>
      </c>
      <c r="E119" s="0" t="n">
        <v>2.86426542710666</v>
      </c>
      <c r="F119" s="0" t="n">
        <v>-0.284837543058094</v>
      </c>
      <c r="G119" s="0" t="n">
        <v>-0.609549670049944</v>
      </c>
    </row>
    <row r="120" customFormat="false" ht="15" hidden="false" customHeight="false" outlineLevel="0" collapsed="false">
      <c r="A120" s="0" t="s">
        <v>1939</v>
      </c>
      <c r="B120" s="0" t="n">
        <v>-0.606465925652463</v>
      </c>
      <c r="C120" s="0" t="n">
        <v>0.410533728028582</v>
      </c>
      <c r="D120" s="0" t="n">
        <v>-0.406348968772688</v>
      </c>
      <c r="E120" s="0" t="n">
        <v>1.1968268215013</v>
      </c>
      <c r="F120" s="0" t="n">
        <v>-0.326938128199557</v>
      </c>
      <c r="G120" s="0" t="n">
        <v>-0.267607526905179</v>
      </c>
    </row>
    <row r="121" customFormat="false" ht="15" hidden="false" customHeight="false" outlineLevel="0" collapsed="false">
      <c r="A121" s="0" t="s">
        <v>1940</v>
      </c>
      <c r="B121" s="0" t="n">
        <v>-0.644176835925454</v>
      </c>
      <c r="C121" s="0" t="n">
        <v>-0.548196071651014</v>
      </c>
      <c r="D121" s="0" t="n">
        <v>-0.473035595518455</v>
      </c>
      <c r="E121" s="0" t="n">
        <v>2.10494888542895</v>
      </c>
      <c r="F121" s="0" t="n">
        <v>-0.00431063451643548</v>
      </c>
      <c r="G121" s="0" t="n">
        <v>-0.435229747817588</v>
      </c>
    </row>
    <row r="122" customFormat="false" ht="15" hidden="false" customHeight="false" outlineLevel="0" collapsed="false">
      <c r="A122" s="0" t="s">
        <v>1771</v>
      </c>
      <c r="B122" s="0" t="n">
        <v>-0.333655396779787</v>
      </c>
      <c r="C122" s="0" t="n">
        <v>-0.714575018305486</v>
      </c>
      <c r="D122" s="0" t="n">
        <v>-0.279902909515337</v>
      </c>
      <c r="E122" s="0" t="n">
        <v>1.90572582406285</v>
      </c>
      <c r="F122" s="0" t="n">
        <v>-0.280286490684663</v>
      </c>
      <c r="G122" s="0" t="n">
        <v>-0.297306008777571</v>
      </c>
    </row>
    <row r="123" customFormat="false" ht="15" hidden="false" customHeight="false" outlineLevel="0" collapsed="false">
      <c r="A123" s="0" t="s">
        <v>1941</v>
      </c>
      <c r="B123" s="0" t="n">
        <v>-0.333655396779787</v>
      </c>
      <c r="C123" s="0" t="n">
        <v>-0.714575018305486</v>
      </c>
      <c r="D123" s="0" t="n">
        <v>-0.279902909515337</v>
      </c>
      <c r="E123" s="0" t="n">
        <v>1.90572582406285</v>
      </c>
      <c r="F123" s="0" t="n">
        <v>-0.280286490684663</v>
      </c>
      <c r="G123" s="0" t="n">
        <v>-0.297306008777571</v>
      </c>
    </row>
    <row r="124" customFormat="false" ht="15" hidden="false" customHeight="false" outlineLevel="0" collapsed="false">
      <c r="A124" s="0" t="s">
        <v>1942</v>
      </c>
      <c r="B124" s="0" t="n">
        <v>-0.231308825217797</v>
      </c>
      <c r="C124" s="0" t="n">
        <v>-0.215926136166461</v>
      </c>
      <c r="D124" s="0" t="n">
        <v>-0.41135256250995</v>
      </c>
      <c r="E124" s="0" t="n">
        <v>1.7122353598965</v>
      </c>
      <c r="F124" s="0" t="n">
        <v>-0.447409886367435</v>
      </c>
      <c r="G124" s="0" t="n">
        <v>-0.406237949634862</v>
      </c>
    </row>
    <row r="125" customFormat="false" ht="15" hidden="false" customHeight="false" outlineLevel="0" collapsed="false">
      <c r="A125" s="0" t="s">
        <v>1943</v>
      </c>
      <c r="B125" s="0" t="n">
        <v>-0.202539074952396</v>
      </c>
      <c r="C125" s="0" t="n">
        <v>-0.18760241172201</v>
      </c>
      <c r="D125" s="0" t="n">
        <v>-0.397987041667656</v>
      </c>
      <c r="E125" s="0" t="n">
        <v>1.62318523037946</v>
      </c>
      <c r="F125" s="0" t="n">
        <v>-0.440829795723375</v>
      </c>
      <c r="G125" s="0" t="n">
        <v>-0.394226906314023</v>
      </c>
    </row>
    <row r="126" customFormat="false" ht="15" hidden="false" customHeight="false" outlineLevel="0" collapsed="false">
      <c r="A126" s="0" t="s">
        <v>1944</v>
      </c>
      <c r="B126" s="0" t="n">
        <v>-0.865064268617857</v>
      </c>
      <c r="C126" s="0" t="n">
        <v>0.0287319458333727</v>
      </c>
      <c r="D126" s="0" t="n">
        <v>0.39248489638003</v>
      </c>
      <c r="E126" s="0" t="n">
        <v>0.353724380479317</v>
      </c>
      <c r="F126" s="0" t="n">
        <v>0.123485167424211</v>
      </c>
      <c r="G126" s="0" t="n">
        <v>-0.0333621214990741</v>
      </c>
    </row>
    <row r="127" customFormat="false" ht="15" hidden="false" customHeight="false" outlineLevel="0" collapsed="false">
      <c r="A127" s="0" t="s">
        <v>1945</v>
      </c>
      <c r="B127" s="0" t="n">
        <v>-0.437231522677639</v>
      </c>
      <c r="C127" s="0" t="n">
        <v>0.0790428428533097</v>
      </c>
      <c r="D127" s="0" t="n">
        <v>0.503542191751226</v>
      </c>
      <c r="E127" s="0" t="n">
        <v>-0.0108148251533572</v>
      </c>
      <c r="F127" s="0" t="n">
        <v>0.0353711766616093</v>
      </c>
      <c r="G127" s="0" t="n">
        <v>-0.169909863435148</v>
      </c>
    </row>
    <row r="128" customFormat="false" ht="15" hidden="false" customHeight="false" outlineLevel="0" collapsed="false">
      <c r="A128" s="0" t="s">
        <v>1946</v>
      </c>
      <c r="B128" s="0" t="n">
        <v>-0.216062433411917</v>
      </c>
      <c r="C128" s="0" t="n">
        <v>-0.241132352689829</v>
      </c>
      <c r="D128" s="0" t="n">
        <v>0.101034230669039</v>
      </c>
      <c r="E128" s="0" t="n">
        <v>0.305239273766146</v>
      </c>
      <c r="F128" s="0" t="n">
        <v>0.193310268327647</v>
      </c>
      <c r="G128" s="0" t="n">
        <v>-0.142388986661086</v>
      </c>
    </row>
    <row r="129" customFormat="false" ht="15" hidden="false" customHeight="false" outlineLevel="0" collapsed="false">
      <c r="A129" s="0" t="s">
        <v>1947</v>
      </c>
      <c r="B129" s="0" t="n">
        <v>-0.0771977438151345</v>
      </c>
      <c r="C129" s="0" t="n">
        <v>0.309217770316356</v>
      </c>
      <c r="D129" s="0" t="n">
        <v>-0.00883242435265623</v>
      </c>
      <c r="E129" s="0" t="n">
        <v>0.00233413081495004</v>
      </c>
      <c r="F129" s="0" t="n">
        <v>-0.140699622963178</v>
      </c>
      <c r="G129" s="0" t="n">
        <v>-0.0848221100003381</v>
      </c>
    </row>
    <row r="130" customFormat="false" ht="15" hidden="false" customHeight="false" outlineLevel="0" collapsed="false">
      <c r="A130" s="0" t="s">
        <v>1948</v>
      </c>
      <c r="B130" s="0" t="n">
        <v>-0.445862157870809</v>
      </c>
      <c r="C130" s="0" t="n">
        <v>-0.546705523247767</v>
      </c>
      <c r="D130" s="0" t="n">
        <v>-0.266051900244507</v>
      </c>
      <c r="E130" s="0" t="n">
        <v>0.107606250046725</v>
      </c>
      <c r="F130" s="0" t="n">
        <v>-0.609402692421895</v>
      </c>
      <c r="G130" s="0" t="n">
        <v>1.76041602373826</v>
      </c>
    </row>
    <row r="131" customFormat="false" ht="15" hidden="false" customHeight="false" outlineLevel="0" collapsed="false">
      <c r="A131" s="0" t="s">
        <v>1949</v>
      </c>
      <c r="B131" s="0" t="n">
        <v>-0.387764575027632</v>
      </c>
      <c r="C131" s="0" t="n">
        <v>-0.523667803286181</v>
      </c>
      <c r="D131" s="0" t="n">
        <v>-0.23015507251504</v>
      </c>
      <c r="E131" s="0" t="n">
        <v>0.222044457714846</v>
      </c>
      <c r="F131" s="0" t="n">
        <v>-0.593882250996421</v>
      </c>
      <c r="G131" s="0" t="n">
        <v>1.51342524411043</v>
      </c>
    </row>
    <row r="132" customFormat="false" ht="15" hidden="false" customHeight="false" outlineLevel="0" collapsed="false">
      <c r="A132" s="0" t="s">
        <v>1950</v>
      </c>
      <c r="B132" s="0" t="n">
        <v>-0.355442219000952</v>
      </c>
      <c r="C132" s="0" t="n">
        <v>-0.420740485366555</v>
      </c>
      <c r="D132" s="0" t="n">
        <v>-0.0876080886734318</v>
      </c>
      <c r="E132" s="0" t="n">
        <v>-0.398534351596879</v>
      </c>
      <c r="F132" s="0" t="n">
        <v>-0.386392836947862</v>
      </c>
      <c r="G132" s="0" t="n">
        <v>1.64871798158568</v>
      </c>
    </row>
    <row r="133" customFormat="false" ht="15" hidden="false" customHeight="false" outlineLevel="0" collapsed="false">
      <c r="A133" s="0" t="s">
        <v>1951</v>
      </c>
      <c r="B133" s="0" t="n">
        <v>-0.103210228266471</v>
      </c>
      <c r="C133" s="0" t="n">
        <v>-0.125585306522449</v>
      </c>
      <c r="D133" s="0" t="n">
        <v>-0.196058377946358</v>
      </c>
      <c r="E133" s="0" t="n">
        <v>-0.0905337666151703</v>
      </c>
      <c r="F133" s="0" t="n">
        <v>-0.10472506510156</v>
      </c>
      <c r="G133" s="0" t="n">
        <v>0.620112744452008</v>
      </c>
    </row>
    <row r="134" customFormat="false" ht="15" hidden="false" customHeight="false" outlineLevel="0" collapsed="false">
      <c r="A134" s="0" t="s">
        <v>1952</v>
      </c>
      <c r="B134" s="0" t="n">
        <v>-0.10011971318909</v>
      </c>
      <c r="C134" s="0" t="n">
        <v>-0.17330600601698</v>
      </c>
      <c r="D134" s="0" t="n">
        <v>-0.181320548963879</v>
      </c>
      <c r="E134" s="0" t="n">
        <v>-0.185106570689965</v>
      </c>
      <c r="F134" s="0" t="n">
        <v>-0.140424777325864</v>
      </c>
      <c r="G134" s="0" t="n">
        <v>0.780277616185777</v>
      </c>
    </row>
    <row r="135" customFormat="false" ht="15" hidden="false" customHeight="false" outlineLevel="0" collapsed="false">
      <c r="A135" s="0" t="s">
        <v>1953</v>
      </c>
      <c r="B135" s="0" t="n">
        <v>-0.0886633414910938</v>
      </c>
      <c r="C135" s="0" t="n">
        <v>-0.0505647081278994</v>
      </c>
      <c r="D135" s="0" t="n">
        <v>1.03834838195781</v>
      </c>
      <c r="E135" s="0" t="n">
        <v>-0.0912371582511693</v>
      </c>
      <c r="F135" s="0" t="n">
        <v>-0.115339648316086</v>
      </c>
      <c r="G135" s="0" t="n">
        <v>-0.692543525771565</v>
      </c>
    </row>
    <row r="136" customFormat="false" ht="15" hidden="false" customHeight="false" outlineLevel="0" collapsed="false">
      <c r="A136" s="0" t="s">
        <v>1954</v>
      </c>
      <c r="B136" s="0" t="n">
        <v>-0.500591192860254</v>
      </c>
      <c r="C136" s="0" t="n">
        <v>-1.10512650699182</v>
      </c>
      <c r="D136" s="0" t="n">
        <v>1.2331184491596</v>
      </c>
      <c r="E136" s="0" t="n">
        <v>-0.561676488168727</v>
      </c>
      <c r="F136" s="0" t="n">
        <v>-0.43353771534768</v>
      </c>
      <c r="G136" s="0" t="n">
        <v>1.36781345420888</v>
      </c>
    </row>
    <row r="137" customFormat="false" ht="15" hidden="false" customHeight="false" outlineLevel="0" collapsed="false">
      <c r="A137" s="0" t="s">
        <v>1955</v>
      </c>
      <c r="B137" s="0" t="n">
        <v>-0.331606621485316</v>
      </c>
      <c r="C137" s="0" t="n">
        <v>-0.744601674291347</v>
      </c>
      <c r="D137" s="0" t="n">
        <v>-0.132642277817409</v>
      </c>
      <c r="E137" s="0" t="n">
        <v>-0.396985028070119</v>
      </c>
      <c r="F137" s="0" t="n">
        <v>-0.260536084954705</v>
      </c>
      <c r="G137" s="0" t="n">
        <v>1.8663716866189</v>
      </c>
    </row>
    <row r="138" customFormat="false" ht="15" hidden="false" customHeight="false" outlineLevel="0" collapsed="false">
      <c r="A138" s="0" t="s">
        <v>1956</v>
      </c>
      <c r="B138" s="0" t="n">
        <v>-0.242761741736053</v>
      </c>
      <c r="C138" s="0" t="n">
        <v>-0.522421785513091</v>
      </c>
      <c r="D138" s="0" t="n">
        <v>1.62149252976225</v>
      </c>
      <c r="E138" s="0" t="n">
        <v>-0.245529852756117</v>
      </c>
      <c r="F138" s="0" t="n">
        <v>-0.238973479240654</v>
      </c>
      <c r="G138" s="0" t="n">
        <v>-0.371805670516335</v>
      </c>
    </row>
    <row r="139" customFormat="false" ht="15" hidden="false" customHeight="false" outlineLevel="0" collapsed="false">
      <c r="A139" s="0" t="s">
        <v>1792</v>
      </c>
      <c r="B139" s="0" t="n">
        <v>-0.353794004153653</v>
      </c>
      <c r="C139" s="0" t="n">
        <v>-0.299436756219818</v>
      </c>
      <c r="D139" s="0" t="n">
        <v>-0.706530580576916</v>
      </c>
      <c r="E139" s="0" t="n">
        <v>-0.214796979388305</v>
      </c>
      <c r="F139" s="0" t="n">
        <v>1.8539888864074</v>
      </c>
      <c r="G139" s="0" t="n">
        <v>-0.279430566068709</v>
      </c>
    </row>
    <row r="140" customFormat="false" ht="15" hidden="false" customHeight="false" outlineLevel="0" collapsed="false">
      <c r="A140" s="0" t="s">
        <v>1957</v>
      </c>
      <c r="B140" s="0" t="n">
        <v>-0.353794004153653</v>
      </c>
      <c r="C140" s="0" t="n">
        <v>-0.299436756219818</v>
      </c>
      <c r="D140" s="0" t="n">
        <v>-0.706530580576916</v>
      </c>
      <c r="E140" s="0" t="n">
        <v>-0.214796979388305</v>
      </c>
      <c r="F140" s="0" t="n">
        <v>1.8539888864074</v>
      </c>
      <c r="G140" s="0" t="n">
        <v>-0.279430566068709</v>
      </c>
    </row>
    <row r="141" customFormat="false" ht="15" hidden="false" customHeight="false" outlineLevel="0" collapsed="false">
      <c r="A141" s="0" t="s">
        <v>1958</v>
      </c>
      <c r="B141" s="0" t="n">
        <v>-0.48577134820262</v>
      </c>
      <c r="C141" s="0" t="n">
        <v>-0.0358179416853186</v>
      </c>
      <c r="D141" s="0" t="n">
        <v>-0.304040714864746</v>
      </c>
      <c r="E141" s="0" t="n">
        <v>-0.402984099949762</v>
      </c>
      <c r="F141" s="0" t="n">
        <v>1.39506457857624</v>
      </c>
      <c r="G141" s="0" t="n">
        <v>-0.166450473873793</v>
      </c>
    </row>
    <row r="142" customFormat="false" ht="15" hidden="false" customHeight="false" outlineLevel="0" collapsed="false">
      <c r="A142" s="0" t="s">
        <v>1959</v>
      </c>
      <c r="B142" s="0" t="n">
        <v>-0.48577134820262</v>
      </c>
      <c r="C142" s="0" t="n">
        <v>-0.0358179416853186</v>
      </c>
      <c r="D142" s="0" t="n">
        <v>-0.304040714864746</v>
      </c>
      <c r="E142" s="0" t="n">
        <v>-0.402984099949762</v>
      </c>
      <c r="F142" s="0" t="n">
        <v>1.39506457857624</v>
      </c>
      <c r="G142" s="0" t="n">
        <v>-0.166450473873793</v>
      </c>
    </row>
    <row r="143" customFormat="false" ht="15" hidden="false" customHeight="false" outlineLevel="0" collapsed="false">
      <c r="A143" s="0" t="s">
        <v>1960</v>
      </c>
      <c r="B143" s="0" t="n">
        <v>-0.484600005271711</v>
      </c>
      <c r="C143" s="0" t="n">
        <v>-0.0706531702163001</v>
      </c>
      <c r="D143" s="0" t="n">
        <v>1.47945777380777</v>
      </c>
      <c r="E143" s="0" t="n">
        <v>-0.40590263899347</v>
      </c>
      <c r="F143" s="0" t="n">
        <v>-0.166124405933378</v>
      </c>
      <c r="G143" s="0" t="n">
        <v>-0.352177553392911</v>
      </c>
    </row>
    <row r="144" customFormat="false" ht="15" hidden="false" customHeight="false" outlineLevel="0" collapsed="false">
      <c r="A144" s="0" t="s">
        <v>1961</v>
      </c>
      <c r="B144" s="0" t="n">
        <v>-0.484600005271711</v>
      </c>
      <c r="C144" s="0" t="n">
        <v>-0.0706531702163001</v>
      </c>
      <c r="D144" s="0" t="n">
        <v>1.47945777380777</v>
      </c>
      <c r="E144" s="0" t="n">
        <v>-0.40590263899347</v>
      </c>
      <c r="F144" s="0" t="n">
        <v>-0.166124405933378</v>
      </c>
      <c r="G144" s="0" t="n">
        <v>-0.352177553392911</v>
      </c>
    </row>
    <row r="145" customFormat="false" ht="15" hidden="false" customHeight="false" outlineLevel="0" collapsed="false">
      <c r="A145" s="0" t="s">
        <v>1962</v>
      </c>
      <c r="B145" s="0" t="n">
        <v>2.08299682404259</v>
      </c>
      <c r="C145" s="0" t="n">
        <v>-0.637020778150321</v>
      </c>
      <c r="D145" s="0" t="n">
        <v>0.234878331750607</v>
      </c>
      <c r="E145" s="0" t="n">
        <v>-0.320884588635004</v>
      </c>
      <c r="F145" s="0" t="n">
        <v>-1.04954482237119</v>
      </c>
      <c r="G145" s="0" t="n">
        <v>-0.310424966636689</v>
      </c>
    </row>
    <row r="146" customFormat="false" ht="15" hidden="false" customHeight="false" outlineLevel="0" collapsed="false">
      <c r="A146" s="0" t="s">
        <v>1963</v>
      </c>
      <c r="B146" s="0" t="n">
        <v>2.08299682404259</v>
      </c>
      <c r="C146" s="0" t="n">
        <v>-0.637020778150321</v>
      </c>
      <c r="D146" s="0" t="n">
        <v>0.234878331750607</v>
      </c>
      <c r="E146" s="0" t="n">
        <v>-0.320884588635004</v>
      </c>
      <c r="F146" s="0" t="n">
        <v>-1.04954482237119</v>
      </c>
      <c r="G146" s="0" t="n">
        <v>-0.310424966636689</v>
      </c>
    </row>
    <row r="147" customFormat="false" ht="15" hidden="false" customHeight="false" outlineLevel="0" collapsed="false">
      <c r="A147" s="0" t="s">
        <v>1964</v>
      </c>
      <c r="B147" s="0" t="n">
        <v>0.88743116919502</v>
      </c>
      <c r="C147" s="0" t="n">
        <v>-0.249705182091608</v>
      </c>
      <c r="D147" s="0" t="n">
        <v>-0.596969319845435</v>
      </c>
      <c r="E147" s="0" t="n">
        <v>-0.151793462275157</v>
      </c>
      <c r="F147" s="0" t="n">
        <v>0.522086348949266</v>
      </c>
      <c r="G147" s="0" t="n">
        <v>-0.411049553932086</v>
      </c>
    </row>
    <row r="148" customFormat="false" ht="15" hidden="false" customHeight="false" outlineLevel="0" collapsed="false">
      <c r="A148" s="0" t="s">
        <v>1965</v>
      </c>
      <c r="B148" s="0" t="n">
        <v>-0.131868051843229</v>
      </c>
      <c r="C148" s="0" t="n">
        <v>0.502102125174638</v>
      </c>
      <c r="D148" s="0" t="n">
        <v>1.04969684994015</v>
      </c>
      <c r="E148" s="0" t="n">
        <v>-0.622764171854765</v>
      </c>
      <c r="F148" s="0" t="n">
        <v>-0.199446188466964</v>
      </c>
      <c r="G148" s="0" t="n">
        <v>-0.597720562949834</v>
      </c>
    </row>
    <row r="149" customFormat="false" ht="15" hidden="false" customHeight="false" outlineLevel="0" collapsed="false">
      <c r="A149" s="0" t="s">
        <v>1966</v>
      </c>
      <c r="B149" s="0" t="n">
        <v>-0.159351540471527</v>
      </c>
      <c r="C149" s="0" t="n">
        <v>-0.891238481566895</v>
      </c>
      <c r="D149" s="0" t="n">
        <v>-0.201312517130293</v>
      </c>
      <c r="E149" s="0" t="n">
        <v>-0.106374417171708</v>
      </c>
      <c r="F149" s="0" t="n">
        <v>-0.110721856427035</v>
      </c>
      <c r="G149" s="0" t="n">
        <v>1.46899881276746</v>
      </c>
    </row>
    <row r="150" customFormat="false" ht="15" hidden="false" customHeight="false" outlineLevel="0" collapsed="false">
      <c r="A150" s="0" t="s">
        <v>1967</v>
      </c>
      <c r="B150" s="0" t="n">
        <v>-0.129784935664933</v>
      </c>
      <c r="C150" s="0" t="n">
        <v>0.662728404672465</v>
      </c>
      <c r="D150" s="0" t="n">
        <v>-0.136640020004671</v>
      </c>
      <c r="E150" s="0" t="n">
        <v>-0.119753681174714</v>
      </c>
      <c r="F150" s="0" t="n">
        <v>-0.125476892847672</v>
      </c>
      <c r="G150" s="0" t="n">
        <v>-0.151072874980472</v>
      </c>
    </row>
    <row r="151" customFormat="false" ht="15" hidden="false" customHeight="false" outlineLevel="0" collapsed="false">
      <c r="A151" s="0" t="s">
        <v>1968</v>
      </c>
      <c r="B151" s="0" t="n">
        <v>-0.0652626747319742</v>
      </c>
      <c r="C151" s="0" t="n">
        <v>-0.0843990345351285</v>
      </c>
      <c r="D151" s="0" t="n">
        <v>-0.12705896252506</v>
      </c>
      <c r="E151" s="0" t="n">
        <v>-0.160204278844128</v>
      </c>
      <c r="F151" s="0" t="n">
        <v>-0.890365524254368</v>
      </c>
      <c r="G151" s="0" t="n">
        <v>1.32729047489066</v>
      </c>
    </row>
    <row r="152" customFormat="false" ht="15" hidden="false" customHeight="false" outlineLevel="0" collapsed="false">
      <c r="A152" s="0" t="s">
        <v>1969</v>
      </c>
      <c r="B152" s="0" t="n">
        <v>0.205308959476261</v>
      </c>
      <c r="C152" s="0" t="n">
        <v>-0.091317103532784</v>
      </c>
      <c r="D152" s="0" t="n">
        <v>-0.0444051783979024</v>
      </c>
      <c r="E152" s="0" t="n">
        <v>-0.0172602885939938</v>
      </c>
      <c r="F152" s="0" t="n">
        <v>-0.0382483187109445</v>
      </c>
      <c r="G152" s="0" t="n">
        <v>-0.0140780702406359</v>
      </c>
    </row>
    <row r="153" customFormat="false" ht="15" hidden="false" customHeight="false" outlineLevel="0" collapsed="false">
      <c r="A153" s="0" t="s">
        <v>1970</v>
      </c>
      <c r="B153" s="0" t="n">
        <v>-0.0859864575975402</v>
      </c>
      <c r="C153" s="0" t="n">
        <v>-0.096473767037627</v>
      </c>
      <c r="D153" s="0" t="n">
        <v>-0.0828917791428504</v>
      </c>
      <c r="E153" s="0" t="n">
        <v>1.26443882002512</v>
      </c>
      <c r="F153" s="0" t="n">
        <v>-0.0872810273592616</v>
      </c>
      <c r="G153" s="0" t="n">
        <v>-0.911805788887843</v>
      </c>
    </row>
    <row r="154" customFormat="false" ht="15" hidden="false" customHeight="false" outlineLevel="0" collapsed="false">
      <c r="A154" s="0" t="s">
        <v>1971</v>
      </c>
      <c r="B154" s="0" t="n">
        <v>-0.0937432988636061</v>
      </c>
      <c r="C154" s="0" t="n">
        <v>1.48240972071195</v>
      </c>
      <c r="D154" s="0" t="n">
        <v>-0.0933635287130611</v>
      </c>
      <c r="E154" s="0" t="n">
        <v>-0.0759714408539951</v>
      </c>
      <c r="F154" s="0" t="n">
        <v>-1.10029583977937</v>
      </c>
      <c r="G154" s="0" t="n">
        <v>-0.119035612501927</v>
      </c>
    </row>
    <row r="155" customFormat="false" ht="15" hidden="false" customHeight="false" outlineLevel="0" collapsed="false">
      <c r="A155" s="0" t="s">
        <v>1972</v>
      </c>
      <c r="B155" s="0" t="n">
        <v>-0.0386440795677525</v>
      </c>
      <c r="C155" s="0" t="n">
        <v>-0.114455114052695</v>
      </c>
      <c r="D155" s="0" t="n">
        <v>0.65571135595604</v>
      </c>
      <c r="E155" s="0" t="n">
        <v>-0.367151331796778</v>
      </c>
      <c r="F155" s="0" t="n">
        <v>-0.0925573300225516</v>
      </c>
      <c r="G155" s="0" t="n">
        <v>-0.0429035005162623</v>
      </c>
    </row>
    <row r="156" customFormat="false" ht="15" hidden="false" customHeight="false" outlineLevel="0" collapsed="false">
      <c r="A156" s="0" t="s">
        <v>1973</v>
      </c>
      <c r="B156" s="0" t="n">
        <v>-0.357233440199915</v>
      </c>
      <c r="C156" s="0" t="n">
        <v>-0.103581963609437</v>
      </c>
      <c r="D156" s="0" t="n">
        <v>-0.0860281801706654</v>
      </c>
      <c r="E156" s="0" t="n">
        <v>0.674682886260774</v>
      </c>
      <c r="F156" s="0" t="n">
        <v>-0.0678769115238948</v>
      </c>
      <c r="G156" s="0" t="n">
        <v>-0.0599623907568612</v>
      </c>
    </row>
    <row r="157" customFormat="false" ht="15" hidden="false" customHeight="false" outlineLevel="0" collapsed="false">
      <c r="A157" s="0" t="s">
        <v>1974</v>
      </c>
      <c r="B157" s="0" t="n">
        <v>-0.0674417827950434</v>
      </c>
      <c r="C157" s="0" t="n">
        <v>-0.206352707743886</v>
      </c>
      <c r="D157" s="0" t="n">
        <v>-0.142598077029736</v>
      </c>
      <c r="E157" s="0" t="n">
        <v>-0.045209396328566</v>
      </c>
      <c r="F157" s="0" t="n">
        <v>0.554408785417777</v>
      </c>
      <c r="G157" s="0" t="n">
        <v>-0.0928068215205451</v>
      </c>
    </row>
    <row r="158" customFormat="false" ht="15" hidden="false" customHeight="false" outlineLevel="0" collapsed="false">
      <c r="A158" s="0" t="s">
        <v>1975</v>
      </c>
      <c r="B158" s="0" t="n">
        <v>0.600849430140467</v>
      </c>
      <c r="C158" s="0" t="n">
        <v>-0.155674412795316</v>
      </c>
      <c r="D158" s="0" t="n">
        <v>-0.0572597195405937</v>
      </c>
      <c r="E158" s="0" t="n">
        <v>-0.307173936519028</v>
      </c>
      <c r="F158" s="0" t="n">
        <v>-0.0379396767046203</v>
      </c>
      <c r="G158" s="0" t="n">
        <v>-0.0428016845809086</v>
      </c>
    </row>
    <row r="159" customFormat="false" ht="15" hidden="false" customHeight="false" outlineLevel="0" collapsed="false">
      <c r="A159" s="0" t="s">
        <v>1976</v>
      </c>
      <c r="B159" s="0" t="n">
        <v>-0.0519727563893265</v>
      </c>
      <c r="C159" s="0" t="n">
        <v>-0.217355647222244</v>
      </c>
      <c r="D159" s="0" t="n">
        <v>-0.152356769651495</v>
      </c>
      <c r="E159" s="0" t="n">
        <v>0.572086169114181</v>
      </c>
      <c r="F159" s="0" t="n">
        <v>-0.0796637722504388</v>
      </c>
      <c r="G159" s="0" t="n">
        <v>-0.0707372236006764</v>
      </c>
    </row>
    <row r="160" customFormat="false" ht="15" hidden="false" customHeight="false" outlineLevel="0" collapsed="false">
      <c r="A160" s="0" t="s">
        <v>1977</v>
      </c>
      <c r="B160" s="0" t="n">
        <v>-0.126196159503307</v>
      </c>
      <c r="C160" s="0" t="n">
        <v>-0.113730828526364</v>
      </c>
      <c r="D160" s="0" t="n">
        <v>-0.0692601934789751</v>
      </c>
      <c r="E160" s="0" t="n">
        <v>-0.616401444898758</v>
      </c>
      <c r="F160" s="0" t="n">
        <v>0.968564255323364</v>
      </c>
      <c r="G160" s="0" t="n">
        <v>-0.0429756289159603</v>
      </c>
    </row>
    <row r="161" customFormat="false" ht="15" hidden="false" customHeight="false" outlineLevel="0" collapsed="false">
      <c r="A161" s="0" t="s">
        <v>1978</v>
      </c>
      <c r="B161" s="0" t="n">
        <v>1.14352722250476</v>
      </c>
      <c r="C161" s="0" t="n">
        <v>-0.130779246185354</v>
      </c>
      <c r="D161" s="0" t="n">
        <v>-0.195079178595095</v>
      </c>
      <c r="E161" s="0" t="n">
        <v>-0.379308020947344</v>
      </c>
      <c r="F161" s="0" t="n">
        <v>-0.262408936000617</v>
      </c>
      <c r="G161" s="0" t="n">
        <v>-0.175951840776349</v>
      </c>
    </row>
    <row r="162" customFormat="false" ht="15" hidden="false" customHeight="false" outlineLevel="0" collapsed="false">
      <c r="A162" s="0" t="s">
        <v>1979</v>
      </c>
      <c r="B162" s="0" t="n">
        <v>-0.878363267197261</v>
      </c>
      <c r="C162" s="0" t="n">
        <v>-0.0414627189973344</v>
      </c>
      <c r="D162" s="0" t="n">
        <v>-0.113430997347813</v>
      </c>
      <c r="E162" s="0" t="n">
        <v>-0.0654294027121862</v>
      </c>
      <c r="F162" s="0" t="n">
        <v>-0.0328587487540536</v>
      </c>
      <c r="G162" s="0" t="n">
        <v>1.13154513500865</v>
      </c>
    </row>
    <row r="163" customFormat="false" ht="15" hidden="false" customHeight="false" outlineLevel="0" collapsed="false">
      <c r="A163" s="0" t="s">
        <v>1980</v>
      </c>
      <c r="B163" s="0" t="n">
        <v>0.741537596832762</v>
      </c>
      <c r="C163" s="0" t="n">
        <v>-0.0632719147656455</v>
      </c>
      <c r="D163" s="0" t="n">
        <v>-0.132745188438551</v>
      </c>
      <c r="E163" s="0" t="n">
        <v>-0.205473394987675</v>
      </c>
      <c r="F163" s="0" t="n">
        <v>-0.0882441208602987</v>
      </c>
      <c r="G163" s="0" t="n">
        <v>-0.251802977780593</v>
      </c>
    </row>
    <row r="164" customFormat="false" ht="15" hidden="false" customHeight="false" outlineLevel="0" collapsed="false">
      <c r="A164" s="0" t="s">
        <v>1981</v>
      </c>
      <c r="B164" s="0" t="n">
        <v>-0.180767410415411</v>
      </c>
      <c r="C164" s="0" t="n">
        <v>-0.0773274023196063</v>
      </c>
      <c r="D164" s="0" t="n">
        <v>0.520104191112416</v>
      </c>
      <c r="E164" s="0" t="n">
        <v>-0.0483849794326781</v>
      </c>
      <c r="F164" s="0" t="n">
        <v>-0.0521776366818142</v>
      </c>
      <c r="G164" s="0" t="n">
        <v>-0.161446762262905</v>
      </c>
    </row>
    <row r="165" customFormat="false" ht="15" hidden="false" customHeight="false" outlineLevel="0" collapsed="false">
      <c r="A165" s="0" t="s">
        <v>1982</v>
      </c>
      <c r="B165" s="0" t="n">
        <v>-0.108894034503512</v>
      </c>
      <c r="C165" s="0" t="n">
        <v>-0.0561223553884428</v>
      </c>
      <c r="D165" s="0" t="n">
        <v>-0.0491758572307747</v>
      </c>
      <c r="E165" s="0" t="n">
        <v>-0.045930916199398</v>
      </c>
      <c r="F165" s="0" t="n">
        <v>0.380131975543236</v>
      </c>
      <c r="G165" s="0" t="n">
        <v>-0.120008812221108</v>
      </c>
    </row>
    <row r="166" customFormat="false" ht="15" hidden="false" customHeight="false" outlineLevel="0" collapsed="false">
      <c r="A166" s="0" t="s">
        <v>1983</v>
      </c>
      <c r="B166" s="0" t="n">
        <v>-0.0320012716683501</v>
      </c>
      <c r="C166" s="0" t="n">
        <v>0.286985544264379</v>
      </c>
      <c r="D166" s="0" t="n">
        <v>-0.0792130306810446</v>
      </c>
      <c r="E166" s="0" t="n">
        <v>-0.0609132288151735</v>
      </c>
      <c r="F166" s="0" t="n">
        <v>-0.0608793930015367</v>
      </c>
      <c r="G166" s="0" t="n">
        <v>-0.0539786200982739</v>
      </c>
    </row>
    <row r="167" customFormat="false" ht="15" hidden="false" customHeight="false" outlineLevel="0" collapsed="false">
      <c r="A167" s="0" t="s">
        <v>1984</v>
      </c>
      <c r="B167" s="0" t="n">
        <v>-0.144890069445487</v>
      </c>
      <c r="C167" s="0" t="n">
        <v>1.94771912515228</v>
      </c>
      <c r="D167" s="0" t="n">
        <v>-0.153594191483101</v>
      </c>
      <c r="E167" s="0" t="n">
        <v>-0.397535870212489</v>
      </c>
      <c r="F167" s="0" t="n">
        <v>-0.127455586936804</v>
      </c>
      <c r="G167" s="0" t="n">
        <v>-1.1242434070744</v>
      </c>
    </row>
    <row r="168" customFormat="false" ht="15" hidden="false" customHeight="false" outlineLevel="0" collapsed="false">
      <c r="A168" s="0" t="s">
        <v>1985</v>
      </c>
      <c r="B168" s="0" t="n">
        <v>-0.443452363081707</v>
      </c>
      <c r="C168" s="0" t="n">
        <v>0.789366747020225</v>
      </c>
      <c r="D168" s="0" t="n">
        <v>-0.163983198643724</v>
      </c>
      <c r="E168" s="0" t="n">
        <v>-0.0967566248645022</v>
      </c>
      <c r="F168" s="0" t="n">
        <v>-0.0505505729772616</v>
      </c>
      <c r="G168" s="0" t="n">
        <v>-0.0346239874530292</v>
      </c>
    </row>
    <row r="169" customFormat="false" ht="15" hidden="false" customHeight="false" outlineLevel="0" collapsed="false">
      <c r="A169" s="0" t="s">
        <v>1986</v>
      </c>
      <c r="B169" s="0" t="n">
        <v>-0.0541501848750121</v>
      </c>
      <c r="C169" s="0" t="n">
        <v>-0.0334015029506813</v>
      </c>
      <c r="D169" s="0" t="n">
        <v>-0.0821320426309154</v>
      </c>
      <c r="E169" s="0" t="n">
        <v>-0.0396171351310996</v>
      </c>
      <c r="F169" s="0" t="n">
        <v>0.247482122252165</v>
      </c>
      <c r="G169" s="0" t="n">
        <v>-0.0381812566644564</v>
      </c>
    </row>
    <row r="170" customFormat="false" ht="15" hidden="false" customHeight="false" outlineLevel="0" collapsed="false">
      <c r="A170" s="0" t="s">
        <v>1987</v>
      </c>
      <c r="B170" s="0" t="n">
        <v>-0.0994540843606371</v>
      </c>
      <c r="C170" s="0" t="n">
        <v>-0.302812494307484</v>
      </c>
      <c r="D170" s="0" t="n">
        <v>-0.315632247946357</v>
      </c>
      <c r="E170" s="0" t="n">
        <v>-0.104758491270838</v>
      </c>
      <c r="F170" s="0" t="n">
        <v>0.882766346772943</v>
      </c>
      <c r="G170" s="0" t="n">
        <v>-0.0601090288876287</v>
      </c>
    </row>
    <row r="171" customFormat="false" ht="15" hidden="false" customHeight="false" outlineLevel="0" collapsed="false">
      <c r="A171" s="0" t="s">
        <v>1988</v>
      </c>
      <c r="B171" s="0" t="n">
        <v>-0.490632445525063</v>
      </c>
      <c r="C171" s="0" t="n">
        <v>-0.174405038851016</v>
      </c>
      <c r="D171" s="0" t="n">
        <v>-0.15188165926279</v>
      </c>
      <c r="E171" s="0" t="n">
        <v>1.03841343767571</v>
      </c>
      <c r="F171" s="0" t="n">
        <v>-0.103040585509663</v>
      </c>
      <c r="G171" s="0" t="n">
        <v>-0.118453708527173</v>
      </c>
    </row>
    <row r="172" customFormat="false" ht="15" hidden="false" customHeight="false" outlineLevel="0" collapsed="false">
      <c r="A172" s="0" t="s">
        <v>1989</v>
      </c>
      <c r="B172" s="0" t="n">
        <v>-0.23448824723021</v>
      </c>
      <c r="C172" s="0" t="n">
        <v>1.96959306590463</v>
      </c>
      <c r="D172" s="0" t="n">
        <v>-0.708172021572727</v>
      </c>
      <c r="E172" s="0" t="n">
        <v>-0.176478959254455</v>
      </c>
      <c r="F172" s="0" t="n">
        <v>-0.744437895576988</v>
      </c>
      <c r="G172" s="0" t="n">
        <v>-0.106015942270252</v>
      </c>
    </row>
    <row r="173" customFormat="false" ht="15" hidden="false" customHeight="false" outlineLevel="0" collapsed="false">
      <c r="A173" s="0" t="s">
        <v>1990</v>
      </c>
      <c r="B173" s="0" t="n">
        <v>-0.206766932428388</v>
      </c>
      <c r="C173" s="0" t="n">
        <v>1.07930864250237</v>
      </c>
      <c r="D173" s="0" t="n">
        <v>-0.674434860993034</v>
      </c>
      <c r="E173" s="0" t="n">
        <v>-0.155986556475688</v>
      </c>
      <c r="F173" s="0" t="n">
        <v>0.0170844028463245</v>
      </c>
      <c r="G173" s="0" t="n">
        <v>-0.0592046954515878</v>
      </c>
    </row>
    <row r="174" customFormat="false" ht="15" hidden="false" customHeight="false" outlineLevel="0" collapsed="false">
      <c r="A174" s="0" t="s">
        <v>1991</v>
      </c>
      <c r="B174" s="0" t="n">
        <v>-0.0693447675380258</v>
      </c>
      <c r="C174" s="0" t="n">
        <v>0.188039867488711</v>
      </c>
      <c r="D174" s="0" t="n">
        <v>-0.321134873284545</v>
      </c>
      <c r="E174" s="0" t="n">
        <v>1.14645250418461</v>
      </c>
      <c r="F174" s="0" t="n">
        <v>-0.456969325450925</v>
      </c>
      <c r="G174" s="0" t="n">
        <v>-0.487043405399824</v>
      </c>
    </row>
    <row r="175" customFormat="false" ht="15" hidden="false" customHeight="false" outlineLevel="0" collapsed="false">
      <c r="A175" s="0" t="s">
        <v>1992</v>
      </c>
      <c r="B175" s="0" t="n">
        <v>0.538346172935378</v>
      </c>
      <c r="C175" s="0" t="n">
        <v>-0.223982433622038</v>
      </c>
      <c r="D175" s="0" t="n">
        <v>-0.572316233130449</v>
      </c>
      <c r="E175" s="0" t="n">
        <v>0.70725867675088</v>
      </c>
      <c r="F175" s="0" t="n">
        <v>-0.18238766122416</v>
      </c>
      <c r="G175" s="0" t="n">
        <v>-0.266918521709612</v>
      </c>
    </row>
    <row r="176" customFormat="false" ht="15" hidden="false" customHeight="false" outlineLevel="0" collapsed="false">
      <c r="A176" s="0" t="s">
        <v>1993</v>
      </c>
      <c r="B176" s="0" t="n">
        <v>-0.0921097481527449</v>
      </c>
      <c r="C176" s="0" t="n">
        <v>-0.117652933323259</v>
      </c>
      <c r="D176" s="0" t="n">
        <v>-0.0428675792274455</v>
      </c>
      <c r="E176" s="0" t="n">
        <v>-0.205759349363951</v>
      </c>
      <c r="F176" s="0" t="n">
        <v>-0.0715035795357467</v>
      </c>
      <c r="G176" s="0" t="n">
        <v>0.529893189603148</v>
      </c>
    </row>
    <row r="177" customFormat="false" ht="15" hidden="false" customHeight="false" outlineLevel="0" collapsed="false">
      <c r="A177" s="0" t="s">
        <v>1994</v>
      </c>
      <c r="B177" s="0" t="n">
        <v>0.824272257282244</v>
      </c>
      <c r="C177" s="0" t="n">
        <v>-0.132721207240031</v>
      </c>
      <c r="D177" s="0" t="n">
        <v>-0.392608290174114</v>
      </c>
      <c r="E177" s="0" t="n">
        <v>-0.149392431719797</v>
      </c>
      <c r="F177" s="0" t="n">
        <v>-0.0490959389966558</v>
      </c>
      <c r="G177" s="0" t="n">
        <v>-0.100454389151646</v>
      </c>
    </row>
    <row r="178" customFormat="false" ht="15" hidden="false" customHeight="false" outlineLevel="0" collapsed="false">
      <c r="A178" s="0" t="s">
        <v>1995</v>
      </c>
      <c r="B178" s="0" t="n">
        <v>-0.141029683217233</v>
      </c>
      <c r="C178" s="0" t="n">
        <v>0.930444763577438</v>
      </c>
      <c r="D178" s="0" t="n">
        <v>-0.0596893810389783</v>
      </c>
      <c r="E178" s="0" t="n">
        <v>-0.0885775634814942</v>
      </c>
      <c r="F178" s="0" t="n">
        <v>-0.553269691916102</v>
      </c>
      <c r="G178" s="0" t="n">
        <v>-0.0878784439236302</v>
      </c>
    </row>
    <row r="179" customFormat="false" ht="15" hidden="false" customHeight="false" outlineLevel="0" collapsed="false">
      <c r="A179" s="0" t="s">
        <v>1996</v>
      </c>
      <c r="B179" s="0" t="n">
        <v>-0.0380069260066312</v>
      </c>
      <c r="C179" s="0" t="n">
        <v>-0.0416807533121904</v>
      </c>
      <c r="D179" s="0" t="n">
        <v>-0.0699825608213603</v>
      </c>
      <c r="E179" s="0" t="n">
        <v>-0.039186204473795</v>
      </c>
      <c r="F179" s="0" t="n">
        <v>-0.0734486315151097</v>
      </c>
      <c r="G179" s="0" t="n">
        <v>0.262305076129086</v>
      </c>
    </row>
    <row r="180" customFormat="false" ht="15" hidden="false" customHeight="false" outlineLevel="0" collapsed="false">
      <c r="A180" s="0" t="s">
        <v>1997</v>
      </c>
      <c r="B180" s="0" t="n">
        <v>-0.100164322542591</v>
      </c>
      <c r="C180" s="0" t="n">
        <v>-0.0885948697564979</v>
      </c>
      <c r="D180" s="0" t="n">
        <v>-0.330709113817773</v>
      </c>
      <c r="E180" s="0" t="n">
        <v>-0.138750881134389</v>
      </c>
      <c r="F180" s="0" t="n">
        <v>0.722730494622094</v>
      </c>
      <c r="G180" s="0" t="n">
        <v>-0.0645113073708431</v>
      </c>
    </row>
    <row r="181" customFormat="false" ht="15" hidden="false" customHeight="false" outlineLevel="0" collapsed="false">
      <c r="A181" s="0" t="s">
        <v>1998</v>
      </c>
      <c r="B181" s="0" t="n">
        <v>-0.0650140251929944</v>
      </c>
      <c r="C181" s="0" t="n">
        <v>-0.390037468582008</v>
      </c>
      <c r="D181" s="0" t="n">
        <v>-0.0638369706637363</v>
      </c>
      <c r="E181" s="0" t="n">
        <v>0.669522350589323</v>
      </c>
      <c r="F181" s="0" t="n">
        <v>-0.0443330010714509</v>
      </c>
      <c r="G181" s="0" t="n">
        <v>-0.106300885079134</v>
      </c>
    </row>
    <row r="182" customFormat="false" ht="15" hidden="false" customHeight="false" outlineLevel="0" collapsed="false">
      <c r="A182" s="0" t="s">
        <v>1999</v>
      </c>
      <c r="B182" s="0" t="n">
        <v>-0.07437409811533</v>
      </c>
      <c r="C182" s="0" t="n">
        <v>-0.101722645988408</v>
      </c>
      <c r="D182" s="0" t="n">
        <v>0.364887536703251</v>
      </c>
      <c r="E182" s="0" t="n">
        <v>-0.0603779110830359</v>
      </c>
      <c r="F182" s="0" t="n">
        <v>-0.0779195689877475</v>
      </c>
      <c r="G182" s="0" t="n">
        <v>-0.0504933125287297</v>
      </c>
    </row>
    <row r="183" customFormat="false" ht="15" hidden="false" customHeight="false" outlineLevel="0" collapsed="false">
      <c r="A183" s="0" t="s">
        <v>2000</v>
      </c>
      <c r="B183" s="0" t="n">
        <v>-0.11836849099696</v>
      </c>
      <c r="C183" s="0" t="n">
        <v>0.488541376906212</v>
      </c>
      <c r="D183" s="0" t="n">
        <v>-0.0485827197594086</v>
      </c>
      <c r="E183" s="0" t="n">
        <v>-0.137623535038141</v>
      </c>
      <c r="F183" s="0" t="n">
        <v>-0.0576072741893901</v>
      </c>
      <c r="G183" s="0" t="n">
        <v>-0.126359356922312</v>
      </c>
    </row>
    <row r="184" customFormat="false" ht="15" hidden="false" customHeight="false" outlineLevel="0" collapsed="false">
      <c r="A184" s="0" t="s">
        <v>2001</v>
      </c>
      <c r="B184" s="0" t="n">
        <v>-0.175589981241584</v>
      </c>
      <c r="C184" s="0" t="n">
        <v>-0.0703010219771186</v>
      </c>
      <c r="D184" s="0" t="n">
        <v>-0.0572231359571137</v>
      </c>
      <c r="E184" s="0" t="n">
        <v>1.18695507094535</v>
      </c>
      <c r="F184" s="0" t="n">
        <v>-0.835967218641142</v>
      </c>
      <c r="G184" s="0" t="n">
        <v>-0.047873713128389</v>
      </c>
    </row>
    <row r="185" customFormat="false" ht="15" hidden="false" customHeight="false" outlineLevel="0" collapsed="false">
      <c r="A185" s="0" t="s">
        <v>2002</v>
      </c>
      <c r="B185" s="0" t="n">
        <v>0.359128704047471</v>
      </c>
      <c r="C185" s="0" t="n">
        <v>-0.0340763818208361</v>
      </c>
      <c r="D185" s="0" t="n">
        <v>-0.171409707972008</v>
      </c>
      <c r="E185" s="0" t="n">
        <v>-0.0598696432290208</v>
      </c>
      <c r="F185" s="0" t="n">
        <v>-0.0225774240272479</v>
      </c>
      <c r="G185" s="0" t="n">
        <v>-0.0711955469983589</v>
      </c>
    </row>
    <row r="186" customFormat="false" ht="15" hidden="false" customHeight="false" outlineLevel="0" collapsed="false">
      <c r="A186" s="0" t="s">
        <v>2003</v>
      </c>
      <c r="B186" s="0" t="n">
        <v>-0.112832241742223</v>
      </c>
      <c r="C186" s="0" t="n">
        <v>0.902235995866196</v>
      </c>
      <c r="D186" s="0" t="n">
        <v>-0.564629580421254</v>
      </c>
      <c r="E186" s="0" t="n">
        <v>-0.0555944641767898</v>
      </c>
      <c r="F186" s="0" t="n">
        <v>-0.0574348041257428</v>
      </c>
      <c r="G186" s="0" t="n">
        <v>-0.111744905400185</v>
      </c>
    </row>
    <row r="187" customFormat="false" ht="15" hidden="false" customHeight="false" outlineLevel="0" collapsed="false">
      <c r="A187" s="0" t="s">
        <v>2004</v>
      </c>
      <c r="B187" s="0" t="n">
        <v>0.463970274142173</v>
      </c>
      <c r="C187" s="0" t="n">
        <v>-0.131983415055134</v>
      </c>
      <c r="D187" s="0" t="n">
        <v>-0.036812864546578</v>
      </c>
      <c r="E187" s="0" t="n">
        <v>-0.221992743477696</v>
      </c>
      <c r="F187" s="0" t="n">
        <v>-0.043176037604347</v>
      </c>
      <c r="G187" s="0" t="n">
        <v>-0.0300052134584169</v>
      </c>
    </row>
    <row r="188" customFormat="false" ht="15" hidden="false" customHeight="false" outlineLevel="0" collapsed="false">
      <c r="A188" s="0" t="s">
        <v>2005</v>
      </c>
      <c r="B188" s="0" t="n">
        <v>-0.0733727514740644</v>
      </c>
      <c r="C188" s="0" t="n">
        <v>-0.0488458045067475</v>
      </c>
      <c r="D188" s="0" t="n">
        <v>-0.807341570770452</v>
      </c>
      <c r="E188" s="0" t="n">
        <v>1.10632869874766</v>
      </c>
      <c r="F188" s="0" t="n">
        <v>-0.126770506745156</v>
      </c>
      <c r="G188" s="0" t="n">
        <v>-0.0499980652512396</v>
      </c>
    </row>
    <row r="189" customFormat="false" ht="15" hidden="false" customHeight="false" outlineLevel="0" collapsed="false">
      <c r="A189" s="0" t="s">
        <v>2006</v>
      </c>
      <c r="B189" s="0" t="n">
        <v>-0.131878419848077</v>
      </c>
      <c r="C189" s="0" t="n">
        <v>-1.21598481942072</v>
      </c>
      <c r="D189" s="0" t="n">
        <v>-0.0535411082531409</v>
      </c>
      <c r="E189" s="0" t="n">
        <v>-0.0803805315684228</v>
      </c>
      <c r="F189" s="0" t="n">
        <v>2.12614332460815</v>
      </c>
      <c r="G189" s="0" t="n">
        <v>-0.644358445517786</v>
      </c>
    </row>
    <row r="190" customFormat="false" ht="15" hidden="false" customHeight="false" outlineLevel="0" collapsed="false">
      <c r="A190" s="0" t="s">
        <v>2007</v>
      </c>
      <c r="B190" s="0" t="n">
        <v>-0.0790647641325852</v>
      </c>
      <c r="C190" s="0" t="n">
        <v>-0.218589919314542</v>
      </c>
      <c r="D190" s="0" t="n">
        <v>-0.0516441887478555</v>
      </c>
      <c r="E190" s="0" t="n">
        <v>-0.985276173343174</v>
      </c>
      <c r="F190" s="0" t="n">
        <v>-0.154608932904188</v>
      </c>
      <c r="G190" s="0" t="n">
        <v>1.48918397844235</v>
      </c>
    </row>
    <row r="191" customFormat="false" ht="15" hidden="false" customHeight="false" outlineLevel="0" collapsed="false">
      <c r="A191" s="0" t="s">
        <v>2008</v>
      </c>
      <c r="B191" s="0" t="n">
        <v>-0.06231141519477</v>
      </c>
      <c r="C191" s="0" t="n">
        <v>-0.039445367660917</v>
      </c>
      <c r="D191" s="0" t="n">
        <v>0.367744947674843</v>
      </c>
      <c r="E191" s="0" t="n">
        <v>-0.0899302278830797</v>
      </c>
      <c r="F191" s="0" t="n">
        <v>-0.0737959390450272</v>
      </c>
      <c r="G191" s="0" t="n">
        <v>-0.102261997891049</v>
      </c>
    </row>
    <row r="192" customFormat="false" ht="15" hidden="false" customHeight="false" outlineLevel="0" collapsed="false">
      <c r="A192" s="0" t="s">
        <v>2009</v>
      </c>
      <c r="B192" s="0" t="n">
        <v>-0.322502205997623</v>
      </c>
      <c r="C192" s="0" t="n">
        <v>-0.0266412669163193</v>
      </c>
      <c r="D192" s="0" t="n">
        <v>-0.0902797232131932</v>
      </c>
      <c r="E192" s="0" t="n">
        <v>-0.0685127945532778</v>
      </c>
      <c r="F192" s="0" t="n">
        <v>-0.0445967410062031</v>
      </c>
      <c r="G192" s="0" t="n">
        <v>0.552532731686616</v>
      </c>
    </row>
    <row r="193" customFormat="false" ht="15" hidden="false" customHeight="false" outlineLevel="0" collapsed="false">
      <c r="A193" s="0" t="s">
        <v>2010</v>
      </c>
      <c r="B193" s="0" t="n">
        <v>0.664328952740839</v>
      </c>
      <c r="C193" s="0" t="n">
        <v>-0.0678280569065036</v>
      </c>
      <c r="D193" s="0" t="n">
        <v>-0.237058859843347</v>
      </c>
      <c r="E193" s="0" t="n">
        <v>-0.142677974636023</v>
      </c>
      <c r="F193" s="0" t="n">
        <v>-0.112848811030005</v>
      </c>
      <c r="G193" s="0" t="n">
        <v>-0.103915250324961</v>
      </c>
    </row>
    <row r="194" customFormat="false" ht="15" hidden="false" customHeight="false" outlineLevel="0" collapsed="false">
      <c r="A194" s="0" t="s">
        <v>2011</v>
      </c>
      <c r="B194" s="0" t="n">
        <v>-0.0779748861733149</v>
      </c>
      <c r="C194" s="0" t="n">
        <v>-0.100137978683182</v>
      </c>
      <c r="D194" s="0" t="n">
        <v>-0.0521937023050595</v>
      </c>
      <c r="E194" s="0" t="n">
        <v>1.62696836099139</v>
      </c>
      <c r="F194" s="0" t="n">
        <v>-1.2965183262755</v>
      </c>
      <c r="G194" s="0" t="n">
        <v>-0.100143467554337</v>
      </c>
    </row>
    <row r="195" customFormat="false" ht="15" hidden="false" customHeight="false" outlineLevel="0" collapsed="false">
      <c r="A195" s="0" t="s">
        <v>2012</v>
      </c>
      <c r="B195" s="0" t="n">
        <v>1.12954571373499</v>
      </c>
      <c r="C195" s="0" t="n">
        <v>-0.0472692399409689</v>
      </c>
      <c r="D195" s="0" t="n">
        <v>-0.0620143391228932</v>
      </c>
      <c r="E195" s="0" t="n">
        <v>-0.806587414926176</v>
      </c>
      <c r="F195" s="0" t="n">
        <v>-0.048403008132182</v>
      </c>
      <c r="G195" s="0" t="n">
        <v>-0.165271711612768</v>
      </c>
    </row>
    <row r="196" customFormat="false" ht="15" hidden="false" customHeight="false" outlineLevel="0" collapsed="false">
      <c r="A196" s="0" t="s">
        <v>2013</v>
      </c>
      <c r="B196" s="0" t="n">
        <v>-0.296516098431539</v>
      </c>
      <c r="C196" s="0" t="n">
        <v>1.95514519134363</v>
      </c>
      <c r="D196" s="0" t="n">
        <v>-0.579637068723121</v>
      </c>
      <c r="E196" s="0" t="n">
        <v>-0.148493626369924</v>
      </c>
      <c r="F196" s="0" t="n">
        <v>-0.449141876319909</v>
      </c>
      <c r="G196" s="0" t="n">
        <v>-0.481356521499139</v>
      </c>
    </row>
    <row r="197" customFormat="false" ht="15" hidden="false" customHeight="false" outlineLevel="0" collapsed="false">
      <c r="A197" s="0" t="s">
        <v>2014</v>
      </c>
      <c r="B197" s="0" t="n">
        <v>-0.10033954481346</v>
      </c>
      <c r="C197" s="0" t="n">
        <v>-0.490816270520652</v>
      </c>
      <c r="D197" s="0" t="n">
        <v>-0.0471054178261982</v>
      </c>
      <c r="E197" s="0" t="n">
        <v>-0.0711903538847299</v>
      </c>
      <c r="F197" s="0" t="n">
        <v>0.760290982133018</v>
      </c>
      <c r="G197" s="0" t="n">
        <v>-0.0508393950879774</v>
      </c>
    </row>
    <row r="198" customFormat="false" ht="15" hidden="false" customHeight="false" outlineLevel="0" collapsed="false">
      <c r="A198" s="0" t="s">
        <v>2015</v>
      </c>
      <c r="B198" s="0" t="n">
        <v>-0.218275027144731</v>
      </c>
      <c r="C198" s="0" t="n">
        <v>1.44981597081877</v>
      </c>
      <c r="D198" s="0" t="n">
        <v>-0.362784532318261</v>
      </c>
      <c r="E198" s="0" t="n">
        <v>-0.33195028555336</v>
      </c>
      <c r="F198" s="0" t="n">
        <v>-0.275555039161016</v>
      </c>
      <c r="G198" s="0" t="n">
        <v>-0.261251086641398</v>
      </c>
    </row>
    <row r="199" customFormat="false" ht="15" hidden="false" customHeight="false" outlineLevel="0" collapsed="false">
      <c r="A199" s="0" t="s">
        <v>2016</v>
      </c>
      <c r="B199" s="0" t="n">
        <v>-0.186729606654099</v>
      </c>
      <c r="C199" s="0" t="n">
        <v>1.26837130957544</v>
      </c>
      <c r="D199" s="0" t="n">
        <v>-0.329608471995697</v>
      </c>
      <c r="E199" s="0" t="n">
        <v>-0.288259355703611</v>
      </c>
      <c r="F199" s="0" t="n">
        <v>-0.242370463619473</v>
      </c>
      <c r="G199" s="0" t="n">
        <v>-0.221403411602561</v>
      </c>
    </row>
    <row r="200" customFormat="false" ht="15" hidden="false" customHeight="false" outlineLevel="0" collapsed="false">
      <c r="A200" s="0" t="s">
        <v>2017</v>
      </c>
      <c r="B200" s="0" t="n">
        <v>-0.232394846241537</v>
      </c>
      <c r="C200" s="0" t="n">
        <v>-0.392347806726735</v>
      </c>
      <c r="D200" s="0" t="n">
        <v>-0.0894106071550739</v>
      </c>
      <c r="E200" s="0" t="n">
        <v>1.0059877259489</v>
      </c>
      <c r="F200" s="0" t="n">
        <v>0.0352494273390032</v>
      </c>
      <c r="G200" s="0" t="n">
        <v>-0.32708389316456</v>
      </c>
    </row>
    <row r="201" customFormat="false" ht="15" hidden="false" customHeight="false" outlineLevel="0" collapsed="false">
      <c r="A201" s="0" t="s">
        <v>2018</v>
      </c>
      <c r="B201" s="0" t="n">
        <v>-0.232394846241537</v>
      </c>
      <c r="C201" s="0" t="n">
        <v>-0.392347806726735</v>
      </c>
      <c r="D201" s="0" t="n">
        <v>-0.0894106071550739</v>
      </c>
      <c r="E201" s="0" t="n">
        <v>1.0059877259489</v>
      </c>
      <c r="F201" s="0" t="n">
        <v>0.0352494273390032</v>
      </c>
      <c r="G201" s="0" t="n">
        <v>-0.32708389316456</v>
      </c>
    </row>
    <row r="202" customFormat="false" ht="15" hidden="false" customHeight="false" outlineLevel="0" collapsed="false">
      <c r="A202" s="0" t="s">
        <v>1775</v>
      </c>
      <c r="B202" s="0" t="n">
        <v>-0.440158426354846</v>
      </c>
      <c r="C202" s="0" t="n">
        <v>-0.307752981638995</v>
      </c>
      <c r="D202" s="0" t="n">
        <v>-0.333024508142676</v>
      </c>
      <c r="E202" s="0" t="n">
        <v>1.58254511868199</v>
      </c>
      <c r="F202" s="0" t="n">
        <v>0.160597668251942</v>
      </c>
      <c r="G202" s="0" t="n">
        <v>-0.662206870797412</v>
      </c>
    </row>
    <row r="203" customFormat="false" ht="15" hidden="false" customHeight="false" outlineLevel="0" collapsed="false">
      <c r="A203" s="0" t="s">
        <v>2019</v>
      </c>
      <c r="B203" s="0" t="n">
        <v>-0.440158426354846</v>
      </c>
      <c r="C203" s="0" t="n">
        <v>-0.307752981638995</v>
      </c>
      <c r="D203" s="0" t="n">
        <v>-0.333024508142676</v>
      </c>
      <c r="E203" s="0" t="n">
        <v>1.58254511868199</v>
      </c>
      <c r="F203" s="0" t="n">
        <v>0.160597668251942</v>
      </c>
      <c r="G203" s="0" t="n">
        <v>-0.662206870797412</v>
      </c>
    </row>
    <row r="204" customFormat="false" ht="15" hidden="false" customHeight="false" outlineLevel="0" collapsed="false">
      <c r="A204" s="0" t="s">
        <v>2020</v>
      </c>
      <c r="B204" s="0" t="n">
        <v>-0.34341635398296</v>
      </c>
      <c r="C204" s="0" t="n">
        <v>-0.241965836862799</v>
      </c>
      <c r="D204" s="0" t="n">
        <v>-0.546328635552279</v>
      </c>
      <c r="E204" s="0" t="n">
        <v>-0.415547404636149</v>
      </c>
      <c r="F204" s="0" t="n">
        <v>-0.380594342512899</v>
      </c>
      <c r="G204" s="0" t="n">
        <v>1.92785257354708</v>
      </c>
    </row>
    <row r="205" customFormat="false" ht="15" hidden="false" customHeight="false" outlineLevel="0" collapsed="false">
      <c r="A205" s="0" t="s">
        <v>2021</v>
      </c>
      <c r="B205" s="0" t="n">
        <v>-0.34341635398296</v>
      </c>
      <c r="C205" s="0" t="n">
        <v>-0.241965836862799</v>
      </c>
      <c r="D205" s="0" t="n">
        <v>-0.546328635552279</v>
      </c>
      <c r="E205" s="0" t="n">
        <v>-0.415547404636149</v>
      </c>
      <c r="F205" s="0" t="n">
        <v>-0.380594342512899</v>
      </c>
      <c r="G205" s="0" t="n">
        <v>1.92785257354708</v>
      </c>
    </row>
    <row r="206" customFormat="false" ht="15" hidden="false" customHeight="false" outlineLevel="0" collapsed="false">
      <c r="A206" s="0" t="s">
        <v>2022</v>
      </c>
      <c r="B206" s="0" t="n">
        <v>-0.279086910699556</v>
      </c>
      <c r="C206" s="0" t="n">
        <v>-0.190823910027218</v>
      </c>
      <c r="D206" s="0" t="n">
        <v>-0.0863052371623135</v>
      </c>
      <c r="E206" s="0" t="n">
        <v>-0.353369726929324</v>
      </c>
      <c r="F206" s="0" t="n">
        <v>-0.236242712802477</v>
      </c>
      <c r="G206" s="0" t="n">
        <v>1.14582849762089</v>
      </c>
    </row>
    <row r="207" customFormat="false" ht="15" hidden="false" customHeight="false" outlineLevel="0" collapsed="false">
      <c r="A207" s="0" t="s">
        <v>2023</v>
      </c>
      <c r="B207" s="0" t="n">
        <v>-0.279086910699556</v>
      </c>
      <c r="C207" s="0" t="n">
        <v>-0.190823910027218</v>
      </c>
      <c r="D207" s="0" t="n">
        <v>-0.0863052371623135</v>
      </c>
      <c r="E207" s="0" t="n">
        <v>-0.353369726929324</v>
      </c>
      <c r="F207" s="0" t="n">
        <v>-0.236242712802477</v>
      </c>
      <c r="G207" s="0" t="n">
        <v>1.14582849762089</v>
      </c>
    </row>
    <row r="208" customFormat="false" ht="15" hidden="false" customHeight="false" outlineLevel="0" collapsed="false">
      <c r="A208" s="0" t="s">
        <v>1827</v>
      </c>
      <c r="B208" s="0" t="n">
        <v>1.27918359691913</v>
      </c>
      <c r="C208" s="0" t="n">
        <v>-0.0605017443938073</v>
      </c>
      <c r="D208" s="0" t="n">
        <v>-0.310225191732862</v>
      </c>
      <c r="E208" s="0" t="n">
        <v>-0.122016865058169</v>
      </c>
      <c r="F208" s="0" t="n">
        <v>-0.284150588144302</v>
      </c>
      <c r="G208" s="0" t="n">
        <v>-0.502289207589986</v>
      </c>
    </row>
    <row r="209" customFormat="false" ht="15" hidden="false" customHeight="false" outlineLevel="0" collapsed="false">
      <c r="A209" s="0" t="s">
        <v>2024</v>
      </c>
      <c r="B209" s="0" t="n">
        <v>1.27918359691913</v>
      </c>
      <c r="C209" s="0" t="n">
        <v>-0.0605017443938073</v>
      </c>
      <c r="D209" s="0" t="n">
        <v>-0.310225191732862</v>
      </c>
      <c r="E209" s="0" t="n">
        <v>-0.122016865058169</v>
      </c>
      <c r="F209" s="0" t="n">
        <v>-0.284150588144302</v>
      </c>
      <c r="G209" s="0" t="n">
        <v>-0.502289207589986</v>
      </c>
    </row>
    <row r="210" customFormat="false" ht="15" hidden="false" customHeight="false" outlineLevel="0" collapsed="false">
      <c r="A210" s="0" t="s">
        <v>2025</v>
      </c>
      <c r="B210" s="0" t="n">
        <v>-0.445862157870809</v>
      </c>
      <c r="C210" s="0" t="n">
        <v>-0.546705523247767</v>
      </c>
      <c r="D210" s="0" t="n">
        <v>-0.266051900244507</v>
      </c>
      <c r="E210" s="0" t="n">
        <v>0.107606250046725</v>
      </c>
      <c r="F210" s="0" t="n">
        <v>-0.609402692421895</v>
      </c>
      <c r="G210" s="0" t="n">
        <v>1.76041602373826</v>
      </c>
    </row>
    <row r="211" customFormat="false" ht="15" hidden="false" customHeight="false" outlineLevel="0" collapsed="false">
      <c r="A211" s="0" t="s">
        <v>2026</v>
      </c>
      <c r="B211" s="0" t="n">
        <v>-0.445862157870809</v>
      </c>
      <c r="C211" s="0" t="n">
        <v>-0.546705523247767</v>
      </c>
      <c r="D211" s="0" t="n">
        <v>-0.266051900244507</v>
      </c>
      <c r="E211" s="0" t="n">
        <v>0.107606250046725</v>
      </c>
      <c r="F211" s="0" t="n">
        <v>-0.609402692421895</v>
      </c>
      <c r="G211" s="0" t="n">
        <v>1.76041602373826</v>
      </c>
    </row>
    <row r="212" customFormat="false" ht="15" hidden="false" customHeight="false" outlineLevel="0" collapsed="false">
      <c r="A212" s="0" t="s">
        <v>2027</v>
      </c>
      <c r="B212" s="0" t="n">
        <v>-0.440158426354846</v>
      </c>
      <c r="C212" s="0" t="n">
        <v>-0.307752981638995</v>
      </c>
      <c r="D212" s="0" t="n">
        <v>-0.333024508142676</v>
      </c>
      <c r="E212" s="0" t="n">
        <v>1.58254511868199</v>
      </c>
      <c r="F212" s="0" t="n">
        <v>0.160597668251942</v>
      </c>
      <c r="G212" s="0" t="n">
        <v>-0.662206870797412</v>
      </c>
    </row>
    <row r="213" customFormat="false" ht="15" hidden="false" customHeight="false" outlineLevel="0" collapsed="false">
      <c r="A213" s="0" t="s">
        <v>2028</v>
      </c>
      <c r="B213" s="0" t="n">
        <v>-0.440158426354846</v>
      </c>
      <c r="C213" s="0" t="n">
        <v>-0.307752981638995</v>
      </c>
      <c r="D213" s="0" t="n">
        <v>-0.333024508142676</v>
      </c>
      <c r="E213" s="0" t="n">
        <v>1.58254511868199</v>
      </c>
      <c r="F213" s="0" t="n">
        <v>0.160597668251942</v>
      </c>
      <c r="G213" s="0" t="n">
        <v>-0.662206870797412</v>
      </c>
    </row>
    <row r="214" customFormat="false" ht="15" hidden="false" customHeight="false" outlineLevel="0" collapsed="false">
      <c r="A214" s="0" t="s">
        <v>2029</v>
      </c>
      <c r="B214" s="0" t="n">
        <v>0.387374308318594</v>
      </c>
      <c r="C214" s="0" t="n">
        <v>0.433747545123614</v>
      </c>
      <c r="D214" s="0" t="n">
        <v>0.381569287838611</v>
      </c>
      <c r="E214" s="0" t="n">
        <v>-0.385056667720684</v>
      </c>
      <c r="F214" s="0" t="n">
        <v>-0.419553936821687</v>
      </c>
      <c r="G214" s="0" t="n">
        <v>-0.398080536738448</v>
      </c>
    </row>
    <row r="215" customFormat="false" ht="15" hidden="false" customHeight="false" outlineLevel="0" collapsed="false">
      <c r="A215" s="0" t="s">
        <v>2030</v>
      </c>
      <c r="B215" s="0" t="n">
        <v>0.387374308318594</v>
      </c>
      <c r="C215" s="0" t="n">
        <v>0.433747545123614</v>
      </c>
      <c r="D215" s="0" t="n">
        <v>0.381569287838611</v>
      </c>
      <c r="E215" s="0" t="n">
        <v>-0.385056667720684</v>
      </c>
      <c r="F215" s="0" t="n">
        <v>-0.419553936821687</v>
      </c>
      <c r="G215" s="0" t="n">
        <v>-0.398080536738448</v>
      </c>
    </row>
    <row r="216" customFormat="false" ht="15" hidden="false" customHeight="false" outlineLevel="0" collapsed="false">
      <c r="A216" s="0" t="s">
        <v>2031</v>
      </c>
      <c r="B216" s="0" t="n">
        <v>-0.385606234776184</v>
      </c>
      <c r="C216" s="0" t="n">
        <v>2.48714802404714</v>
      </c>
      <c r="D216" s="0" t="n">
        <v>-0.482562851467318</v>
      </c>
      <c r="E216" s="0" t="n">
        <v>-0.992448422631716</v>
      </c>
      <c r="F216" s="0" t="n">
        <v>-0.135611603554749</v>
      </c>
      <c r="G216" s="0" t="n">
        <v>-0.49091891161716</v>
      </c>
    </row>
    <row r="217" customFormat="false" ht="15" hidden="false" customHeight="false" outlineLevel="0" collapsed="false">
      <c r="A217" s="0" t="s">
        <v>2032</v>
      </c>
      <c r="B217" s="0" t="n">
        <v>-0.137547915836948</v>
      </c>
      <c r="C217" s="0" t="n">
        <v>0.152144922768953</v>
      </c>
      <c r="D217" s="0" t="n">
        <v>-0.124829239739589</v>
      </c>
      <c r="E217" s="0" t="n">
        <v>-0.0520233877844679</v>
      </c>
      <c r="F217" s="0" t="n">
        <v>-0.145787460924727</v>
      </c>
      <c r="G217" s="0" t="n">
        <v>0.308043081516779</v>
      </c>
    </row>
    <row r="218" customFormat="false" ht="15" hidden="false" customHeight="false" outlineLevel="0" collapsed="false">
      <c r="A218" s="0" t="s">
        <v>2033</v>
      </c>
      <c r="B218" s="0" t="n">
        <v>-0.0463489038354724</v>
      </c>
      <c r="C218" s="0" t="n">
        <v>-0.148421383171452</v>
      </c>
      <c r="D218" s="0" t="n">
        <v>-0.0866128617431556</v>
      </c>
      <c r="E218" s="0" t="n">
        <v>-0.0324090593194462</v>
      </c>
      <c r="F218" s="0" t="n">
        <v>0.37020588251264</v>
      </c>
      <c r="G218" s="0" t="n">
        <v>-0.056413674443114</v>
      </c>
    </row>
    <row r="219" customFormat="false" ht="15" hidden="false" customHeight="false" outlineLevel="0" collapsed="false">
      <c r="A219" s="0" t="s">
        <v>2034</v>
      </c>
      <c r="B219" s="0" t="n">
        <v>-0.26448693269013</v>
      </c>
      <c r="C219" s="0" t="n">
        <v>-0.474391878407848</v>
      </c>
      <c r="D219" s="0" t="n">
        <v>1.73642273660518</v>
      </c>
      <c r="E219" s="0" t="n">
        <v>-0.0708010264572839</v>
      </c>
      <c r="F219" s="0" t="n">
        <v>-0.386122712147377</v>
      </c>
      <c r="G219" s="0" t="n">
        <v>-0.540620186902537</v>
      </c>
    </row>
    <row r="220" customFormat="false" ht="15" hidden="false" customHeight="false" outlineLevel="0" collapsed="false">
      <c r="A220" s="0" t="s">
        <v>2035</v>
      </c>
      <c r="B220" s="0" t="n">
        <v>-0.26448693269013</v>
      </c>
      <c r="C220" s="0" t="n">
        <v>-0.474391878407848</v>
      </c>
      <c r="D220" s="0" t="n">
        <v>1.73642273660518</v>
      </c>
      <c r="E220" s="0" t="n">
        <v>-0.0708010264572839</v>
      </c>
      <c r="F220" s="0" t="n">
        <v>-0.386122712147377</v>
      </c>
      <c r="G220" s="0" t="n">
        <v>-0.540620186902537</v>
      </c>
    </row>
    <row r="221" customFormat="false" ht="15" hidden="false" customHeight="false" outlineLevel="0" collapsed="false">
      <c r="A221" s="0" t="s">
        <v>2036</v>
      </c>
      <c r="B221" s="0" t="n">
        <v>-0.483289916561187</v>
      </c>
      <c r="C221" s="0" t="n">
        <v>-0.360175540876812</v>
      </c>
      <c r="D221" s="0" t="n">
        <v>1.59377577126579</v>
      </c>
      <c r="E221" s="0" t="n">
        <v>-0.449109062374783</v>
      </c>
      <c r="F221" s="0" t="n">
        <v>0.0141175484436702</v>
      </c>
      <c r="G221" s="0" t="n">
        <v>-0.31531879989668</v>
      </c>
    </row>
    <row r="222" customFormat="false" ht="15" hidden="false" customHeight="false" outlineLevel="0" collapsed="false">
      <c r="A222" s="0" t="s">
        <v>2037</v>
      </c>
      <c r="B222" s="0" t="n">
        <v>-0.483289916561187</v>
      </c>
      <c r="C222" s="0" t="n">
        <v>-0.360175540876812</v>
      </c>
      <c r="D222" s="0" t="n">
        <v>1.59377577126579</v>
      </c>
      <c r="E222" s="0" t="n">
        <v>-0.449109062374783</v>
      </c>
      <c r="F222" s="0" t="n">
        <v>0.0141175484436702</v>
      </c>
      <c r="G222" s="0" t="n">
        <v>-0.31531879989668</v>
      </c>
    </row>
    <row r="223" customFormat="false" ht="15" hidden="false" customHeight="false" outlineLevel="0" collapsed="false">
      <c r="A223" s="0" t="s">
        <v>1778</v>
      </c>
      <c r="B223" s="0" t="n">
        <v>-0.483289916561187</v>
      </c>
      <c r="C223" s="0" t="n">
        <v>-0.360175540876812</v>
      </c>
      <c r="D223" s="0" t="n">
        <v>1.59377577126579</v>
      </c>
      <c r="E223" s="0" t="n">
        <v>-0.449109062374783</v>
      </c>
      <c r="F223" s="0" t="n">
        <v>0.0141175484436702</v>
      </c>
      <c r="G223" s="0" t="n">
        <v>-0.31531879989668</v>
      </c>
    </row>
    <row r="224" customFormat="false" ht="15" hidden="false" customHeight="false" outlineLevel="0" collapsed="false">
      <c r="A224" s="0" t="s">
        <v>2038</v>
      </c>
      <c r="B224" s="0" t="n">
        <v>-0.483289916561187</v>
      </c>
      <c r="C224" s="0" t="n">
        <v>-0.360175540876812</v>
      </c>
      <c r="D224" s="0" t="n">
        <v>1.59377577126579</v>
      </c>
      <c r="E224" s="0" t="n">
        <v>-0.449109062374783</v>
      </c>
      <c r="F224" s="0" t="n">
        <v>0.0141175484436702</v>
      </c>
      <c r="G224" s="0" t="n">
        <v>-0.31531879989668</v>
      </c>
    </row>
    <row r="225" customFormat="false" ht="15" hidden="false" customHeight="false" outlineLevel="0" collapsed="false">
      <c r="A225" s="0" t="s">
        <v>2039</v>
      </c>
      <c r="B225" s="0" t="n">
        <v>-0.204071964441941</v>
      </c>
      <c r="C225" s="0" t="n">
        <v>1.51597091419492</v>
      </c>
      <c r="D225" s="0" t="n">
        <v>-0.191119516074128</v>
      </c>
      <c r="E225" s="0" t="n">
        <v>-0.287190618807706</v>
      </c>
      <c r="F225" s="0" t="n">
        <v>-0.411400428003102</v>
      </c>
      <c r="G225" s="0" t="n">
        <v>-0.422188386868045</v>
      </c>
    </row>
    <row r="226" customFormat="false" ht="15" hidden="false" customHeight="false" outlineLevel="0" collapsed="false">
      <c r="A226" s="0" t="s">
        <v>2040</v>
      </c>
      <c r="B226" s="0" t="n">
        <v>-0.204071964441941</v>
      </c>
      <c r="C226" s="0" t="n">
        <v>1.51597091419492</v>
      </c>
      <c r="D226" s="0" t="n">
        <v>-0.191119516074128</v>
      </c>
      <c r="E226" s="0" t="n">
        <v>-0.287190618807706</v>
      </c>
      <c r="F226" s="0" t="n">
        <v>-0.411400428003102</v>
      </c>
      <c r="G226" s="0" t="n">
        <v>-0.422188386868045</v>
      </c>
    </row>
    <row r="227" customFormat="false" ht="15" hidden="false" customHeight="false" outlineLevel="0" collapsed="false">
      <c r="A227" s="0" t="s">
        <v>2041</v>
      </c>
      <c r="B227" s="0" t="n">
        <v>-0.687539665581351</v>
      </c>
      <c r="C227" s="0" t="n">
        <v>1.89524692647354</v>
      </c>
      <c r="D227" s="0" t="n">
        <v>-0.355249274107105</v>
      </c>
      <c r="E227" s="0" t="n">
        <v>-0.257561601005952</v>
      </c>
      <c r="F227" s="0" t="n">
        <v>-0.315080884481162</v>
      </c>
      <c r="G227" s="0" t="n">
        <v>-0.279815501297964</v>
      </c>
    </row>
    <row r="228" customFormat="false" ht="15" hidden="false" customHeight="false" outlineLevel="0" collapsed="false">
      <c r="A228" s="0" t="s">
        <v>2042</v>
      </c>
      <c r="B228" s="0" t="n">
        <v>-0.645897961802616</v>
      </c>
      <c r="C228" s="0" t="n">
        <v>1.675270156809</v>
      </c>
      <c r="D228" s="0" t="n">
        <v>-0.319942658961277</v>
      </c>
      <c r="E228" s="0" t="n">
        <v>-0.206542287066918</v>
      </c>
      <c r="F228" s="0" t="n">
        <v>-0.263944628922216</v>
      </c>
      <c r="G228" s="0" t="n">
        <v>-0.238942620055972</v>
      </c>
    </row>
    <row r="229" customFormat="false" ht="15" hidden="false" customHeight="false" outlineLevel="0" collapsed="false">
      <c r="A229" s="0" t="s">
        <v>2043</v>
      </c>
      <c r="B229" s="0" t="n">
        <v>-0.0794541295652734</v>
      </c>
      <c r="C229" s="0" t="n">
        <v>-0.514686726232587</v>
      </c>
      <c r="D229" s="0" t="n">
        <v>-0.561685138734549</v>
      </c>
      <c r="E229" s="0" t="n">
        <v>-0.248527365955918</v>
      </c>
      <c r="F229" s="0" t="n">
        <v>1.35583418203322</v>
      </c>
      <c r="G229" s="0" t="n">
        <v>0.0485191784551025</v>
      </c>
    </row>
    <row r="230" customFormat="false" ht="15" hidden="false" customHeight="false" outlineLevel="0" collapsed="false">
      <c r="A230" s="0" t="s">
        <v>2044</v>
      </c>
      <c r="B230" s="0" t="n">
        <v>-0.131466316258866</v>
      </c>
      <c r="C230" s="0" t="n">
        <v>-0.0563299401298276</v>
      </c>
      <c r="D230" s="0" t="n">
        <v>-0.0491228578076582</v>
      </c>
      <c r="E230" s="0" t="n">
        <v>-0.0448826213767103</v>
      </c>
      <c r="F230" s="0" t="n">
        <v>0.420952650601223</v>
      </c>
      <c r="G230" s="0" t="n">
        <v>-0.139150915028161</v>
      </c>
    </row>
    <row r="231" customFormat="false" ht="15" hidden="false" customHeight="false" outlineLevel="0" collapsed="false">
      <c r="A231" s="0" t="s">
        <v>2045</v>
      </c>
      <c r="B231" s="0" t="n">
        <v>-1.08078844989095</v>
      </c>
      <c r="C231" s="0" t="n">
        <v>-0.104815435408432</v>
      </c>
      <c r="D231" s="0" t="n">
        <v>-1.23104171631599</v>
      </c>
      <c r="E231" s="0" t="n">
        <v>-0.465319832444522</v>
      </c>
      <c r="F231" s="0" t="n">
        <v>1.18584716816287</v>
      </c>
      <c r="G231" s="0" t="n">
        <v>1.69611826589703</v>
      </c>
    </row>
    <row r="232" customFormat="false" ht="15" hidden="false" customHeight="false" outlineLevel="0" collapsed="false">
      <c r="A232" s="0" t="s">
        <v>2046</v>
      </c>
      <c r="B232" s="0" t="n">
        <v>-0.529531496113755</v>
      </c>
      <c r="C232" s="0" t="n">
        <v>-0.119740800289931</v>
      </c>
      <c r="D232" s="0" t="n">
        <v>-0.377713543862034</v>
      </c>
      <c r="E232" s="0" t="n">
        <v>-0.369488263420966</v>
      </c>
      <c r="F232" s="0" t="n">
        <v>2.16625787874736</v>
      </c>
      <c r="G232" s="0" t="n">
        <v>-0.769783775060668</v>
      </c>
    </row>
    <row r="233" customFormat="false" ht="15" hidden="false" customHeight="false" outlineLevel="0" collapsed="false">
      <c r="A233" s="0" t="s">
        <v>2047</v>
      </c>
      <c r="B233" s="0" t="n">
        <v>-0.426303637246746</v>
      </c>
      <c r="C233" s="0" t="n">
        <v>-0.0951737960826508</v>
      </c>
      <c r="D233" s="0" t="n">
        <v>-0.557144130801903</v>
      </c>
      <c r="E233" s="0" t="n">
        <v>0.168460030864274</v>
      </c>
      <c r="F233" s="0" t="n">
        <v>-0.628788245350049</v>
      </c>
      <c r="G233" s="0" t="n">
        <v>1.53894977861708</v>
      </c>
    </row>
    <row r="234" customFormat="false" ht="15" hidden="false" customHeight="false" outlineLevel="0" collapsed="false">
      <c r="A234" s="0" t="s">
        <v>2048</v>
      </c>
      <c r="B234" s="0" t="n">
        <v>-0.419318794428625</v>
      </c>
      <c r="C234" s="0" t="n">
        <v>0.0869430675336644</v>
      </c>
      <c r="D234" s="0" t="n">
        <v>-0.578844028850984</v>
      </c>
      <c r="E234" s="0" t="n">
        <v>-0.341836544551639</v>
      </c>
      <c r="F234" s="0" t="n">
        <v>-0.119554723533002</v>
      </c>
      <c r="G234" s="0" t="n">
        <v>1.37261102383059</v>
      </c>
    </row>
    <row r="235" customFormat="false" ht="15" hidden="false" customHeight="false" outlineLevel="0" collapsed="false">
      <c r="A235" s="0" t="s">
        <v>2049</v>
      </c>
      <c r="B235" s="0" t="n">
        <v>-0.25153224942483</v>
      </c>
      <c r="C235" s="0" t="n">
        <v>0.555885096250118</v>
      </c>
      <c r="D235" s="0" t="n">
        <v>-0.00437530229895405</v>
      </c>
      <c r="E235" s="0" t="n">
        <v>-0.916821169766054</v>
      </c>
      <c r="F235" s="0" t="n">
        <v>-0.757093797147701</v>
      </c>
      <c r="G235" s="0" t="n">
        <v>1.37393742238742</v>
      </c>
    </row>
    <row r="236" customFormat="false" ht="15" hidden="false" customHeight="false" outlineLevel="0" collapsed="false">
      <c r="A236" s="0" t="s">
        <v>2050</v>
      </c>
      <c r="B236" s="0" t="n">
        <v>-0.0104589741451455</v>
      </c>
      <c r="C236" s="0" t="n">
        <v>1.50303305198554</v>
      </c>
      <c r="D236" s="0" t="n">
        <v>-0.361572698339992</v>
      </c>
      <c r="E236" s="0" t="n">
        <v>-0.465845446266803</v>
      </c>
      <c r="F236" s="0" t="n">
        <v>-0.225959940340045</v>
      </c>
      <c r="G236" s="0" t="n">
        <v>-0.439195992893549</v>
      </c>
    </row>
    <row r="237" customFormat="false" ht="15" hidden="false" customHeight="false" outlineLevel="0" collapsed="false">
      <c r="A237" s="0" t="s">
        <v>2051</v>
      </c>
      <c r="B237" s="0" t="n">
        <v>-0.27463879266876</v>
      </c>
      <c r="C237" s="0" t="n">
        <v>-0.811702689366479</v>
      </c>
      <c r="D237" s="0" t="n">
        <v>0.341652693906306</v>
      </c>
      <c r="E237" s="0" t="n">
        <v>-0.591027047899142</v>
      </c>
      <c r="F237" s="0" t="n">
        <v>-0.640214668832957</v>
      </c>
      <c r="G237" s="0" t="n">
        <v>1.97593050486103</v>
      </c>
    </row>
    <row r="238" customFormat="false" ht="15" hidden="false" customHeight="false" outlineLevel="0" collapsed="false">
      <c r="A238" s="0" t="s">
        <v>2052</v>
      </c>
      <c r="B238" s="0" t="n">
        <v>-0.483289916561187</v>
      </c>
      <c r="C238" s="0" t="n">
        <v>-0.360175540876812</v>
      </c>
      <c r="D238" s="0" t="n">
        <v>1.59377577126579</v>
      </c>
      <c r="E238" s="0" t="n">
        <v>-0.449109062374783</v>
      </c>
      <c r="F238" s="0" t="n">
        <v>0.0141175484436702</v>
      </c>
      <c r="G238" s="0" t="n">
        <v>-0.31531879989668</v>
      </c>
    </row>
    <row r="239" customFormat="false" ht="15" hidden="false" customHeight="false" outlineLevel="0" collapsed="false">
      <c r="A239" s="0" t="s">
        <v>2053</v>
      </c>
      <c r="B239" s="0" t="n">
        <v>-0.483289916561187</v>
      </c>
      <c r="C239" s="0" t="n">
        <v>-0.360175540876812</v>
      </c>
      <c r="D239" s="0" t="n">
        <v>1.59377577126579</v>
      </c>
      <c r="E239" s="0" t="n">
        <v>-0.449109062374783</v>
      </c>
      <c r="F239" s="0" t="n">
        <v>0.0141175484436702</v>
      </c>
      <c r="G239" s="0" t="n">
        <v>-0.31531879989668</v>
      </c>
    </row>
    <row r="240" customFormat="false" ht="15" hidden="false" customHeight="false" outlineLevel="0" collapsed="false">
      <c r="A240" s="0" t="s">
        <v>2054</v>
      </c>
      <c r="B240" s="0" t="n">
        <v>-0.385370170477344</v>
      </c>
      <c r="C240" s="0" t="n">
        <v>-0.1492774872605</v>
      </c>
      <c r="D240" s="0" t="n">
        <v>-0.0622350857281997</v>
      </c>
      <c r="E240" s="0" t="n">
        <v>-0.445529580746176</v>
      </c>
      <c r="F240" s="0" t="n">
        <v>1.05110369351205</v>
      </c>
      <c r="G240" s="0" t="n">
        <v>-0.00869136929983087</v>
      </c>
    </row>
    <row r="241" customFormat="false" ht="15" hidden="false" customHeight="false" outlineLevel="0" collapsed="false">
      <c r="A241" s="0" t="s">
        <v>2055</v>
      </c>
      <c r="B241" s="0" t="n">
        <v>-0.0181331144234582</v>
      </c>
      <c r="C241" s="0" t="n">
        <v>0.479711818970483</v>
      </c>
      <c r="D241" s="0" t="n">
        <v>-0.228305899270458</v>
      </c>
      <c r="E241" s="0" t="n">
        <v>-0.0682832337118301</v>
      </c>
      <c r="F241" s="0" t="n">
        <v>0.0947147796112738</v>
      </c>
      <c r="G241" s="0" t="n">
        <v>-0.25970435117601</v>
      </c>
    </row>
    <row r="242" customFormat="false" ht="15" hidden="false" customHeight="false" outlineLevel="0" collapsed="false">
      <c r="A242" s="0" t="s">
        <v>2056</v>
      </c>
      <c r="B242" s="0" t="n">
        <v>-0.292423989252176</v>
      </c>
      <c r="C242" s="0" t="n">
        <v>-0.177870935387507</v>
      </c>
      <c r="D242" s="0" t="n">
        <v>-0.197441772250858</v>
      </c>
      <c r="E242" s="0" t="n">
        <v>-0.0704426050174483</v>
      </c>
      <c r="F242" s="0" t="n">
        <v>0.788261683058224</v>
      </c>
      <c r="G242" s="0" t="n">
        <v>-0.0500823811502358</v>
      </c>
    </row>
    <row r="243" customFormat="false" ht="15" hidden="false" customHeight="false" outlineLevel="0" collapsed="false">
      <c r="A243" s="0" t="s">
        <v>2057</v>
      </c>
      <c r="B243" s="0" t="n">
        <v>-0.0731653946927492</v>
      </c>
      <c r="C243" s="0" t="n">
        <v>-0.066610047131263</v>
      </c>
      <c r="D243" s="0" t="n">
        <v>-0.142383852264027</v>
      </c>
      <c r="E243" s="0" t="n">
        <v>-0.0366081849878395</v>
      </c>
      <c r="F243" s="0" t="n">
        <v>-0.0394879886474215</v>
      </c>
      <c r="G243" s="0" t="n">
        <v>0.3582554677233</v>
      </c>
    </row>
    <row r="244" customFormat="false" ht="15" hidden="false" customHeight="false" outlineLevel="0" collapsed="false">
      <c r="A244" s="0" t="s">
        <v>2058</v>
      </c>
      <c r="B244" s="0" t="n">
        <v>0.10524496866799</v>
      </c>
      <c r="C244" s="0" t="n">
        <v>0.269356679361396</v>
      </c>
      <c r="D244" s="0" t="n">
        <v>-0.481633009199321</v>
      </c>
      <c r="E244" s="0" t="n">
        <v>-0.536407511366648</v>
      </c>
      <c r="F244" s="0" t="n">
        <v>0.320471691054264</v>
      </c>
      <c r="G244" s="0" t="n">
        <v>0.322967181482318</v>
      </c>
    </row>
    <row r="245" customFormat="false" ht="15" hidden="false" customHeight="false" outlineLevel="0" collapsed="false">
      <c r="A245" s="0" t="s">
        <v>2059</v>
      </c>
      <c r="B245" s="0" t="n">
        <v>0.10524496866799</v>
      </c>
      <c r="C245" s="0" t="n">
        <v>0.269356679361396</v>
      </c>
      <c r="D245" s="0" t="n">
        <v>-0.481633009199321</v>
      </c>
      <c r="E245" s="0" t="n">
        <v>-0.536407511366648</v>
      </c>
      <c r="F245" s="0" t="n">
        <v>0.320471691054264</v>
      </c>
      <c r="G245" s="0" t="n">
        <v>0.322967181482318</v>
      </c>
    </row>
    <row r="246" customFormat="false" ht="15" hidden="false" customHeight="false" outlineLevel="0" collapsed="false">
      <c r="A246" s="0" t="s">
        <v>2060</v>
      </c>
      <c r="B246" s="0" t="n">
        <v>-0.739643350515931</v>
      </c>
      <c r="C246" s="0" t="n">
        <v>1.78488379915499</v>
      </c>
      <c r="D246" s="0" t="n">
        <v>-0.138723626876353</v>
      </c>
      <c r="E246" s="0" t="n">
        <v>0.0543624995473707</v>
      </c>
      <c r="F246" s="0" t="n">
        <v>-0.350949857866757</v>
      </c>
      <c r="G246" s="0" t="n">
        <v>-0.609929463443318</v>
      </c>
    </row>
    <row r="247" customFormat="false" ht="15" hidden="false" customHeight="false" outlineLevel="0" collapsed="false">
      <c r="A247" s="0" t="s">
        <v>2061</v>
      </c>
      <c r="B247" s="0" t="n">
        <v>-0.28139379500568</v>
      </c>
      <c r="C247" s="0" t="n">
        <v>1.28602653087121</v>
      </c>
      <c r="D247" s="0" t="n">
        <v>-0.121486267660109</v>
      </c>
      <c r="E247" s="0" t="n">
        <v>0.0666911902855083</v>
      </c>
      <c r="F247" s="0" t="n">
        <v>-0.340990165494294</v>
      </c>
      <c r="G247" s="0" t="n">
        <v>-0.608847492996631</v>
      </c>
    </row>
    <row r="248" customFormat="false" ht="15" hidden="false" customHeight="false" outlineLevel="0" collapsed="false">
      <c r="A248" s="0" t="s">
        <v>2062</v>
      </c>
      <c r="B248" s="0" t="n">
        <v>-0.438469044126447</v>
      </c>
      <c r="C248" s="0" t="n">
        <v>-0.0186716397286626</v>
      </c>
      <c r="D248" s="0" t="n">
        <v>1.27502465664128</v>
      </c>
      <c r="E248" s="0" t="n">
        <v>-0.38073275983053</v>
      </c>
      <c r="F248" s="0" t="n">
        <v>-0.111522430785135</v>
      </c>
      <c r="G248" s="0" t="n">
        <v>-0.325628782170498</v>
      </c>
    </row>
    <row r="249" customFormat="false" ht="15" hidden="false" customHeight="false" outlineLevel="0" collapsed="false">
      <c r="A249" s="0" t="s">
        <v>2063</v>
      </c>
      <c r="B249" s="0" t="n">
        <v>-0.438469044126447</v>
      </c>
      <c r="C249" s="0" t="n">
        <v>-0.0186716397286626</v>
      </c>
      <c r="D249" s="0" t="n">
        <v>1.27502465664128</v>
      </c>
      <c r="E249" s="0" t="n">
        <v>-0.38073275983053</v>
      </c>
      <c r="F249" s="0" t="n">
        <v>-0.111522430785135</v>
      </c>
      <c r="G249" s="0" t="n">
        <v>-0.325628782170498</v>
      </c>
    </row>
    <row r="250" customFormat="false" ht="15" hidden="false" customHeight="false" outlineLevel="0" collapsed="false">
      <c r="A250" s="0" t="s">
        <v>2064</v>
      </c>
      <c r="B250" s="0" t="n">
        <v>-0.34341635398296</v>
      </c>
      <c r="C250" s="0" t="n">
        <v>-0.241965836862799</v>
      </c>
      <c r="D250" s="0" t="n">
        <v>-0.546328635552279</v>
      </c>
      <c r="E250" s="0" t="n">
        <v>-0.415547404636149</v>
      </c>
      <c r="F250" s="0" t="n">
        <v>-0.380594342512899</v>
      </c>
      <c r="G250" s="0" t="n">
        <v>1.92785257354708</v>
      </c>
    </row>
    <row r="251" customFormat="false" ht="15" hidden="false" customHeight="false" outlineLevel="0" collapsed="false">
      <c r="A251" s="0" t="s">
        <v>2065</v>
      </c>
      <c r="B251" s="0" t="n">
        <v>-0.0852436618050316</v>
      </c>
      <c r="C251" s="0" t="n">
        <v>-0.0891684830650531</v>
      </c>
      <c r="D251" s="0" t="n">
        <v>-0.067042280387933</v>
      </c>
      <c r="E251" s="0" t="n">
        <v>-0.0529721050897093</v>
      </c>
      <c r="F251" s="0" t="n">
        <v>-0.0423379573526887</v>
      </c>
      <c r="G251" s="0" t="n">
        <v>0.336764487700416</v>
      </c>
    </row>
    <row r="252" customFormat="false" ht="15" hidden="false" customHeight="false" outlineLevel="0" collapsed="false">
      <c r="A252" s="0" t="s">
        <v>2066</v>
      </c>
      <c r="B252" s="0" t="n">
        <v>-0.0800034102793291</v>
      </c>
      <c r="C252" s="0" t="n">
        <v>-0.162469695012116</v>
      </c>
      <c r="D252" s="0" t="n">
        <v>-0.0859501925953554</v>
      </c>
      <c r="E252" s="0" t="n">
        <v>-0.107521132908922</v>
      </c>
      <c r="F252" s="0" t="n">
        <v>-0.0809667270014125</v>
      </c>
      <c r="G252" s="0" t="n">
        <v>0.516911157797135</v>
      </c>
    </row>
    <row r="253" customFormat="false" ht="15" hidden="false" customHeight="false" outlineLevel="0" collapsed="false">
      <c r="A253" s="0" t="s">
        <v>2067</v>
      </c>
      <c r="B253" s="0" t="n">
        <v>-0.687539665581351</v>
      </c>
      <c r="C253" s="0" t="n">
        <v>1.89524692647354</v>
      </c>
      <c r="D253" s="0" t="n">
        <v>-0.355249274107105</v>
      </c>
      <c r="E253" s="0" t="n">
        <v>-0.257561601005952</v>
      </c>
      <c r="F253" s="0" t="n">
        <v>-0.315080884481162</v>
      </c>
      <c r="G253" s="0" t="n">
        <v>-0.279815501297964</v>
      </c>
    </row>
    <row r="254" customFormat="false" ht="15" hidden="false" customHeight="false" outlineLevel="0" collapsed="false">
      <c r="A254" s="0" t="s">
        <v>2068</v>
      </c>
      <c r="B254" s="0" t="n">
        <v>-0.687539665581351</v>
      </c>
      <c r="C254" s="0" t="n">
        <v>1.89524692647354</v>
      </c>
      <c r="D254" s="0" t="n">
        <v>-0.355249274107105</v>
      </c>
      <c r="E254" s="0" t="n">
        <v>-0.257561601005952</v>
      </c>
      <c r="F254" s="0" t="n">
        <v>-0.315080884481162</v>
      </c>
      <c r="G254" s="0" t="n">
        <v>-0.279815501297964</v>
      </c>
    </row>
    <row r="255" customFormat="false" ht="15" hidden="false" customHeight="false" outlineLevel="0" collapsed="false">
      <c r="A255" s="0" t="s">
        <v>2069</v>
      </c>
      <c r="B255" s="0" t="n">
        <v>-0.218275027144731</v>
      </c>
      <c r="C255" s="0" t="n">
        <v>1.44981597081877</v>
      </c>
      <c r="D255" s="0" t="n">
        <v>-0.362784532318261</v>
      </c>
      <c r="E255" s="0" t="n">
        <v>-0.33195028555336</v>
      </c>
      <c r="F255" s="0" t="n">
        <v>-0.275555039161016</v>
      </c>
      <c r="G255" s="0" t="n">
        <v>-0.261251086641398</v>
      </c>
    </row>
    <row r="256" customFormat="false" ht="15" hidden="false" customHeight="false" outlineLevel="0" collapsed="false">
      <c r="A256" s="0" t="s">
        <v>2070</v>
      </c>
      <c r="B256" s="0" t="n">
        <v>-0.218275027144731</v>
      </c>
      <c r="C256" s="0" t="n">
        <v>1.44981597081877</v>
      </c>
      <c r="D256" s="0" t="n">
        <v>-0.362784532318261</v>
      </c>
      <c r="E256" s="0" t="n">
        <v>-0.33195028555336</v>
      </c>
      <c r="F256" s="0" t="n">
        <v>-0.275555039161016</v>
      </c>
      <c r="G256" s="0" t="n">
        <v>-0.261251086641398</v>
      </c>
    </row>
    <row r="257" customFormat="false" ht="15" hidden="false" customHeight="false" outlineLevel="0" collapsed="false">
      <c r="A257" s="0" t="s">
        <v>2071</v>
      </c>
      <c r="B257" s="0" t="n">
        <v>2.13994689971615</v>
      </c>
      <c r="C257" s="0" t="n">
        <v>0.224548472514436</v>
      </c>
      <c r="D257" s="0" t="n">
        <v>-0.448717041043254</v>
      </c>
      <c r="E257" s="0" t="n">
        <v>-0.934748664800088</v>
      </c>
      <c r="F257" s="0" t="n">
        <v>-0.269449554550695</v>
      </c>
      <c r="G257" s="0" t="n">
        <v>-0.711580111836545</v>
      </c>
    </row>
    <row r="258" customFormat="false" ht="15" hidden="false" customHeight="false" outlineLevel="0" collapsed="false">
      <c r="A258" s="0" t="s">
        <v>2072</v>
      </c>
      <c r="B258" s="0" t="n">
        <v>2.13994689971615</v>
      </c>
      <c r="C258" s="0" t="n">
        <v>0.224548472514436</v>
      </c>
      <c r="D258" s="0" t="n">
        <v>-0.448717041043254</v>
      </c>
      <c r="E258" s="0" t="n">
        <v>-0.934748664800088</v>
      </c>
      <c r="F258" s="0" t="n">
        <v>-0.269449554550695</v>
      </c>
      <c r="G258" s="0" t="n">
        <v>-0.711580111836545</v>
      </c>
    </row>
    <row r="259" customFormat="false" ht="15" hidden="false" customHeight="false" outlineLevel="0" collapsed="false">
      <c r="A259" s="0" t="s">
        <v>2073</v>
      </c>
      <c r="B259" s="0" t="n">
        <v>0.0355913229646566</v>
      </c>
      <c r="C259" s="0" t="n">
        <v>0.108375480866287</v>
      </c>
      <c r="D259" s="0" t="n">
        <v>-0.221382557230012</v>
      </c>
      <c r="E259" s="0" t="n">
        <v>0.36737282720715</v>
      </c>
      <c r="F259" s="0" t="n">
        <v>-0.527639061199427</v>
      </c>
      <c r="G259" s="0" t="n">
        <v>0.237681987391345</v>
      </c>
    </row>
    <row r="260" customFormat="false" ht="15" hidden="false" customHeight="false" outlineLevel="0" collapsed="false">
      <c r="A260" s="0" t="s">
        <v>2074</v>
      </c>
      <c r="B260" s="0" t="n">
        <v>0.638170933659055</v>
      </c>
      <c r="C260" s="0" t="n">
        <v>-0.296122167931934</v>
      </c>
      <c r="D260" s="0" t="n">
        <v>0.210498223776518</v>
      </c>
      <c r="E260" s="0" t="n">
        <v>-0.352141057383754</v>
      </c>
      <c r="F260" s="0" t="n">
        <v>0.378375900623027</v>
      </c>
      <c r="G260" s="0" t="n">
        <v>-0.578781832742916</v>
      </c>
    </row>
    <row r="261" customFormat="false" ht="15" hidden="false" customHeight="false" outlineLevel="0" collapsed="false">
      <c r="A261" s="0" t="s">
        <v>2075</v>
      </c>
      <c r="B261" s="0" t="n">
        <v>0.90084236897744</v>
      </c>
      <c r="C261" s="0" t="n">
        <v>-0.244961727916736</v>
      </c>
      <c r="D261" s="0" t="n">
        <v>-0.588977520758065</v>
      </c>
      <c r="E261" s="0" t="n">
        <v>-0.139203815718226</v>
      </c>
      <c r="F261" s="0" t="n">
        <v>0.528897777657064</v>
      </c>
      <c r="G261" s="0" t="n">
        <v>-0.456597082241477</v>
      </c>
    </row>
    <row r="262" customFormat="false" ht="15" hidden="false" customHeight="false" outlineLevel="0" collapsed="false">
      <c r="A262" s="0" t="s">
        <v>2076</v>
      </c>
      <c r="B262" s="0" t="n">
        <v>-0.426303637246746</v>
      </c>
      <c r="C262" s="0" t="n">
        <v>-0.0951737960826508</v>
      </c>
      <c r="D262" s="0" t="n">
        <v>-0.557144130801903</v>
      </c>
      <c r="E262" s="0" t="n">
        <v>0.168460030864274</v>
      </c>
      <c r="F262" s="0" t="n">
        <v>-0.628788245350049</v>
      </c>
      <c r="G262" s="0" t="n">
        <v>1.53894977861708</v>
      </c>
    </row>
    <row r="263" customFormat="false" ht="15" hidden="false" customHeight="false" outlineLevel="0" collapsed="false">
      <c r="A263" s="0" t="s">
        <v>2077</v>
      </c>
      <c r="B263" s="0" t="n">
        <v>-0.426303637246746</v>
      </c>
      <c r="C263" s="0" t="n">
        <v>-0.0951737960826508</v>
      </c>
      <c r="D263" s="0" t="n">
        <v>-0.557144130801903</v>
      </c>
      <c r="E263" s="0" t="n">
        <v>0.168460030864274</v>
      </c>
      <c r="F263" s="0" t="n">
        <v>-0.628788245350049</v>
      </c>
      <c r="G263" s="0" t="n">
        <v>1.53894977861708</v>
      </c>
    </row>
    <row r="264" customFormat="false" ht="15" hidden="false" customHeight="false" outlineLevel="0" collapsed="false">
      <c r="A264" s="0" t="s">
        <v>2078</v>
      </c>
      <c r="B264" s="0" t="n">
        <v>-0.0546153770496424</v>
      </c>
      <c r="C264" s="0" t="n">
        <v>-0.114026136132564</v>
      </c>
      <c r="D264" s="0" t="n">
        <v>-0.358898708123068</v>
      </c>
      <c r="E264" s="0" t="n">
        <v>1.69335381819875</v>
      </c>
      <c r="F264" s="0" t="n">
        <v>-0.455786760792831</v>
      </c>
      <c r="G264" s="0" t="n">
        <v>-0.710026836100647</v>
      </c>
    </row>
    <row r="265" customFormat="false" ht="15" hidden="false" customHeight="false" outlineLevel="0" collapsed="false">
      <c r="A265" s="0" t="s">
        <v>2079</v>
      </c>
      <c r="B265" s="0" t="n">
        <v>-0.182496299029568</v>
      </c>
      <c r="C265" s="0" t="n">
        <v>-0.17008852882126</v>
      </c>
      <c r="D265" s="0" t="n">
        <v>-0.385705330379917</v>
      </c>
      <c r="E265" s="0" t="n">
        <v>1.5531293532808</v>
      </c>
      <c r="F265" s="0" t="n">
        <v>-0.430949620916437</v>
      </c>
      <c r="G265" s="0" t="n">
        <v>-0.383889574133617</v>
      </c>
    </row>
    <row r="266" customFormat="false" ht="15" hidden="false" customHeight="false" outlineLevel="0" collapsed="false">
      <c r="A266" s="0" t="s">
        <v>2080</v>
      </c>
      <c r="B266" s="0" t="n">
        <v>0.16349657693974</v>
      </c>
      <c r="C266" s="0" t="n">
        <v>0.0797022395986505</v>
      </c>
      <c r="D266" s="0" t="n">
        <v>-0.0120335713045545</v>
      </c>
      <c r="E266" s="0" t="n">
        <v>0.280797969053443</v>
      </c>
      <c r="F266" s="0" t="n">
        <v>-0.0887693354376994</v>
      </c>
      <c r="G266" s="0" t="n">
        <v>-0.423193878849581</v>
      </c>
    </row>
    <row r="267" customFormat="false" ht="15" hidden="false" customHeight="false" outlineLevel="0" collapsed="false">
      <c r="A267" s="0" t="s">
        <v>2081</v>
      </c>
      <c r="B267" s="0" t="n">
        <v>0.10524496866799</v>
      </c>
      <c r="C267" s="0" t="n">
        <v>0.269356679361396</v>
      </c>
      <c r="D267" s="0" t="n">
        <v>-0.481633009199321</v>
      </c>
      <c r="E267" s="0" t="n">
        <v>-0.536407511366648</v>
      </c>
      <c r="F267" s="0" t="n">
        <v>0.320471691054264</v>
      </c>
      <c r="G267" s="0" t="n">
        <v>0.322967181482318</v>
      </c>
    </row>
    <row r="268" customFormat="false" ht="15" hidden="false" customHeight="false" outlineLevel="0" collapsed="false">
      <c r="A268" s="0" t="s">
        <v>2082</v>
      </c>
      <c r="B268" s="0" t="n">
        <v>0.10524496866799</v>
      </c>
      <c r="C268" s="0" t="n">
        <v>0.269356679361396</v>
      </c>
      <c r="D268" s="0" t="n">
        <v>-0.481633009199321</v>
      </c>
      <c r="E268" s="0" t="n">
        <v>-0.536407511366648</v>
      </c>
      <c r="F268" s="0" t="n">
        <v>0.320471691054264</v>
      </c>
      <c r="G268" s="0" t="n">
        <v>0.322967181482318</v>
      </c>
    </row>
    <row r="269" customFormat="false" ht="15" hidden="false" customHeight="false" outlineLevel="0" collapsed="false">
      <c r="A269" s="0" t="s">
        <v>2083</v>
      </c>
      <c r="B269" s="0" t="n">
        <v>2.08299682404259</v>
      </c>
      <c r="C269" s="0" t="n">
        <v>-0.637020778150321</v>
      </c>
      <c r="D269" s="0" t="n">
        <v>0.234878331750607</v>
      </c>
      <c r="E269" s="0" t="n">
        <v>-0.320884588635004</v>
      </c>
      <c r="F269" s="0" t="n">
        <v>-1.04954482237119</v>
      </c>
      <c r="G269" s="0" t="n">
        <v>-0.310424966636689</v>
      </c>
    </row>
    <row r="270" customFormat="false" ht="15" hidden="false" customHeight="false" outlineLevel="0" collapsed="false">
      <c r="A270" s="0" t="s">
        <v>2084</v>
      </c>
      <c r="B270" s="0" t="n">
        <v>2.08299682404259</v>
      </c>
      <c r="C270" s="0" t="n">
        <v>-0.637020778150321</v>
      </c>
      <c r="D270" s="0" t="n">
        <v>0.234878331750607</v>
      </c>
      <c r="E270" s="0" t="n">
        <v>-0.320884588635004</v>
      </c>
      <c r="F270" s="0" t="n">
        <v>-1.04954482237119</v>
      </c>
      <c r="G270" s="0" t="n">
        <v>-0.310424966636689</v>
      </c>
    </row>
    <row r="271" customFormat="false" ht="15" hidden="false" customHeight="false" outlineLevel="0" collapsed="false">
      <c r="A271" s="0" t="s">
        <v>2085</v>
      </c>
      <c r="B271" s="0" t="n">
        <v>1.26527619534933</v>
      </c>
      <c r="C271" s="0" t="n">
        <v>-0.52578734843386</v>
      </c>
      <c r="D271" s="0" t="n">
        <v>-0.239142614668176</v>
      </c>
      <c r="E271" s="0" t="n">
        <v>-0.240822357486135</v>
      </c>
      <c r="F271" s="0" t="n">
        <v>-0.203182222648353</v>
      </c>
      <c r="G271" s="0" t="n">
        <v>-0.0563416521128023</v>
      </c>
    </row>
    <row r="272" customFormat="false" ht="15" hidden="false" customHeight="false" outlineLevel="0" collapsed="false">
      <c r="A272" s="0" t="s">
        <v>2086</v>
      </c>
      <c r="B272" s="0" t="n">
        <v>1.26527619534933</v>
      </c>
      <c r="C272" s="0" t="n">
        <v>-0.52578734843386</v>
      </c>
      <c r="D272" s="0" t="n">
        <v>-0.239142614668176</v>
      </c>
      <c r="E272" s="0" t="n">
        <v>-0.240822357486135</v>
      </c>
      <c r="F272" s="0" t="n">
        <v>-0.203182222648353</v>
      </c>
      <c r="G272" s="0" t="n">
        <v>-0.0563416521128023</v>
      </c>
    </row>
    <row r="273" customFormat="false" ht="15" hidden="false" customHeight="false" outlineLevel="0" collapsed="false">
      <c r="A273" s="0" t="s">
        <v>1794</v>
      </c>
      <c r="B273" s="0" t="n">
        <v>-0.385370170477344</v>
      </c>
      <c r="C273" s="0" t="n">
        <v>-0.1492774872605</v>
      </c>
      <c r="D273" s="0" t="n">
        <v>-0.0622350857281997</v>
      </c>
      <c r="E273" s="0" t="n">
        <v>-0.445529580746176</v>
      </c>
      <c r="F273" s="0" t="n">
        <v>1.05110369351205</v>
      </c>
      <c r="G273" s="0" t="n">
        <v>-0.00869136929983087</v>
      </c>
    </row>
    <row r="274" customFormat="false" ht="15" hidden="false" customHeight="false" outlineLevel="0" collapsed="false">
      <c r="A274" s="0" t="s">
        <v>2087</v>
      </c>
      <c r="B274" s="0" t="n">
        <v>-0.385370170477344</v>
      </c>
      <c r="C274" s="0" t="n">
        <v>-0.1492774872605</v>
      </c>
      <c r="D274" s="0" t="n">
        <v>-0.0622350857281997</v>
      </c>
      <c r="E274" s="0" t="n">
        <v>-0.445529580746176</v>
      </c>
      <c r="F274" s="0" t="n">
        <v>1.05110369351205</v>
      </c>
      <c r="G274" s="0" t="n">
        <v>-0.00869136929983087</v>
      </c>
    </row>
    <row r="275" customFormat="false" ht="15" hidden="false" customHeight="false" outlineLevel="0" collapsed="false">
      <c r="A275" s="0" t="s">
        <v>2088</v>
      </c>
      <c r="B275" s="0" t="n">
        <v>-0.285661055489428</v>
      </c>
      <c r="C275" s="0" t="n">
        <v>0.0306935981745871</v>
      </c>
      <c r="D275" s="0" t="n">
        <v>0.446329669136803</v>
      </c>
      <c r="E275" s="0" t="n">
        <v>0.106347458586765</v>
      </c>
      <c r="F275" s="0" t="n">
        <v>-0.0720436799599277</v>
      </c>
      <c r="G275" s="0" t="n">
        <v>-0.2256659904488</v>
      </c>
    </row>
    <row r="276" customFormat="false" ht="15" hidden="false" customHeight="false" outlineLevel="0" collapsed="false">
      <c r="A276" s="0" t="s">
        <v>2089</v>
      </c>
      <c r="B276" s="0" t="n">
        <v>0.102881058385481</v>
      </c>
      <c r="C276" s="0" t="n">
        <v>0.0668106595304631</v>
      </c>
      <c r="D276" s="0" t="n">
        <v>-0.794108355490163</v>
      </c>
      <c r="E276" s="0" t="n">
        <v>0.374584401022381</v>
      </c>
      <c r="F276" s="0" t="n">
        <v>0.127457058066766</v>
      </c>
      <c r="G276" s="0" t="n">
        <v>0.122375178485071</v>
      </c>
    </row>
    <row r="277" customFormat="false" ht="15" hidden="false" customHeight="false" outlineLevel="0" collapsed="false">
      <c r="A277" s="0" t="s">
        <v>2090</v>
      </c>
      <c r="B277" s="0" t="n">
        <v>-0.499572719089293</v>
      </c>
      <c r="C277" s="0" t="n">
        <v>-0.0405057032937161</v>
      </c>
      <c r="D277" s="0" t="n">
        <v>1.54665464856343</v>
      </c>
      <c r="E277" s="0" t="n">
        <v>-0.313432671078449</v>
      </c>
      <c r="F277" s="0" t="n">
        <v>-0.248776778329101</v>
      </c>
      <c r="G277" s="0" t="n">
        <v>-0.444366776772876</v>
      </c>
    </row>
    <row r="278" customFormat="false" ht="15" hidden="false" customHeight="false" outlineLevel="0" collapsed="false">
      <c r="A278" s="0" t="s">
        <v>1768</v>
      </c>
      <c r="B278" s="0" t="n">
        <v>-0.464250914261641</v>
      </c>
      <c r="C278" s="0" t="n">
        <v>-1.14294637454043</v>
      </c>
      <c r="D278" s="0" t="n">
        <v>-0.87573774461338</v>
      </c>
      <c r="E278" s="0" t="n">
        <v>4.13502868454059</v>
      </c>
      <c r="F278" s="0" t="n">
        <v>-0.860339224921099</v>
      </c>
      <c r="G278" s="0" t="n">
        <v>-0.791754426204037</v>
      </c>
    </row>
    <row r="279" customFormat="false" ht="15" hidden="false" customHeight="false" outlineLevel="0" collapsed="false">
      <c r="A279" s="0" t="s">
        <v>2091</v>
      </c>
      <c r="B279" s="0" t="n">
        <v>-0.0541706284937605</v>
      </c>
      <c r="C279" s="0" t="n">
        <v>-0.139592493349415</v>
      </c>
      <c r="D279" s="0" t="n">
        <v>-0.302480074500996</v>
      </c>
      <c r="E279" s="0" t="n">
        <v>1.78663876682388</v>
      </c>
      <c r="F279" s="0" t="n">
        <v>-1.00906375850096</v>
      </c>
      <c r="G279" s="0" t="n">
        <v>-0.281331811978754</v>
      </c>
    </row>
    <row r="280" customFormat="false" ht="15" hidden="false" customHeight="false" outlineLevel="0" collapsed="false">
      <c r="A280" s="0" t="s">
        <v>2092</v>
      </c>
      <c r="B280" s="0" t="n">
        <v>-0.344001518996423</v>
      </c>
      <c r="C280" s="0" t="n">
        <v>-0.563458086368713</v>
      </c>
      <c r="D280" s="0" t="n">
        <v>0.00885393151946994</v>
      </c>
      <c r="E280" s="0" t="n">
        <v>1.42644090964744</v>
      </c>
      <c r="F280" s="0" t="n">
        <v>-0.00409919928881286</v>
      </c>
      <c r="G280" s="0" t="n">
        <v>-0.52373603651296</v>
      </c>
    </row>
    <row r="281" customFormat="false" ht="15" hidden="false" customHeight="false" outlineLevel="0" collapsed="false">
      <c r="A281" s="0" t="s">
        <v>2093</v>
      </c>
      <c r="B281" s="0" t="n">
        <v>0.523473783724844</v>
      </c>
      <c r="C281" s="0" t="n">
        <v>-0.179731922929117</v>
      </c>
      <c r="D281" s="0" t="n">
        <v>0.335969545628901</v>
      </c>
      <c r="E281" s="0" t="n">
        <v>-1.124155240787</v>
      </c>
      <c r="F281" s="0" t="n">
        <v>0.200029278337295</v>
      </c>
      <c r="G281" s="0" t="n">
        <v>0.244414556025077</v>
      </c>
    </row>
    <row r="282" customFormat="false" ht="15" hidden="false" customHeight="false" outlineLevel="0" collapsed="false">
      <c r="A282" s="0" t="s">
        <v>2094</v>
      </c>
      <c r="B282" s="0" t="n">
        <v>-0.49815013899857</v>
      </c>
      <c r="C282" s="0" t="n">
        <v>-0.363066725338844</v>
      </c>
      <c r="D282" s="0" t="n">
        <v>-0.64646255282402</v>
      </c>
      <c r="E282" s="0" t="n">
        <v>1.78415110614208</v>
      </c>
      <c r="F282" s="0" t="n">
        <v>-0.0572130604728744</v>
      </c>
      <c r="G282" s="0" t="n">
        <v>-0.219258628507774</v>
      </c>
    </row>
    <row r="283" customFormat="false" ht="15" hidden="false" customHeight="false" outlineLevel="0" collapsed="false">
      <c r="A283" s="0" t="s">
        <v>2095</v>
      </c>
      <c r="B283" s="0" t="n">
        <v>-0.156107411955554</v>
      </c>
      <c r="C283" s="0" t="n">
        <v>0.136117095053449</v>
      </c>
      <c r="D283" s="0" t="n">
        <v>-0.708630511935673</v>
      </c>
      <c r="E283" s="0" t="n">
        <v>1.30328912887465</v>
      </c>
      <c r="F283" s="0" t="n">
        <v>-0.334791274411603</v>
      </c>
      <c r="G283" s="0" t="n">
        <v>-0.239877025625274</v>
      </c>
    </row>
    <row r="284" customFormat="false" ht="15" hidden="false" customHeight="false" outlineLevel="0" collapsed="false">
      <c r="A284" s="0" t="s">
        <v>2096</v>
      </c>
      <c r="B284" s="0" t="n">
        <v>-0.333655396779787</v>
      </c>
      <c r="C284" s="0" t="n">
        <v>-0.714575018305486</v>
      </c>
      <c r="D284" s="0" t="n">
        <v>-0.279902909515337</v>
      </c>
      <c r="E284" s="0" t="n">
        <v>1.90572582406285</v>
      </c>
      <c r="F284" s="0" t="n">
        <v>-0.280286490684663</v>
      </c>
      <c r="G284" s="0" t="n">
        <v>-0.297306008777571</v>
      </c>
    </row>
    <row r="285" customFormat="false" ht="15" hidden="false" customHeight="false" outlineLevel="0" collapsed="false">
      <c r="A285" s="0" t="s">
        <v>2097</v>
      </c>
      <c r="B285" s="0" t="n">
        <v>-0.0407673606478156</v>
      </c>
      <c r="C285" s="0" t="n">
        <v>1.74973406221641</v>
      </c>
      <c r="D285" s="0" t="n">
        <v>-0.660969097977017</v>
      </c>
      <c r="E285" s="0" t="n">
        <v>-0.621394172250979</v>
      </c>
      <c r="F285" s="0" t="n">
        <v>-0.33307526505725</v>
      </c>
      <c r="G285" s="0" t="n">
        <v>-0.0935281662833482</v>
      </c>
    </row>
    <row r="286" customFormat="false" ht="15" hidden="false" customHeight="false" outlineLevel="0" collapsed="false">
      <c r="A286" s="0" t="s">
        <v>2098</v>
      </c>
      <c r="B286" s="0" t="n">
        <v>-0.0407673606478156</v>
      </c>
      <c r="C286" s="0" t="n">
        <v>1.74973406221641</v>
      </c>
      <c r="D286" s="0" t="n">
        <v>-0.660969097977017</v>
      </c>
      <c r="E286" s="0" t="n">
        <v>-0.621394172250979</v>
      </c>
      <c r="F286" s="0" t="n">
        <v>-0.33307526505725</v>
      </c>
      <c r="G286" s="0" t="n">
        <v>-0.0935281662833482</v>
      </c>
    </row>
    <row r="287" customFormat="false" ht="15" hidden="false" customHeight="false" outlineLevel="0" collapsed="false">
      <c r="A287" s="0" t="s">
        <v>2099</v>
      </c>
      <c r="B287" s="0" t="n">
        <v>-0.182496299029568</v>
      </c>
      <c r="C287" s="0" t="n">
        <v>-0.17008852882126</v>
      </c>
      <c r="D287" s="0" t="n">
        <v>-0.385705330379917</v>
      </c>
      <c r="E287" s="0" t="n">
        <v>1.5531293532808</v>
      </c>
      <c r="F287" s="0" t="n">
        <v>-0.430949620916437</v>
      </c>
      <c r="G287" s="0" t="n">
        <v>-0.383889574133617</v>
      </c>
    </row>
    <row r="288" customFormat="false" ht="15" hidden="false" customHeight="false" outlineLevel="0" collapsed="false">
      <c r="A288" s="0" t="s">
        <v>2100</v>
      </c>
      <c r="B288" s="0" t="n">
        <v>-0.182496299029568</v>
      </c>
      <c r="C288" s="0" t="n">
        <v>-0.17008852882126</v>
      </c>
      <c r="D288" s="0" t="n">
        <v>-0.385705330379917</v>
      </c>
      <c r="E288" s="0" t="n">
        <v>1.5531293532808</v>
      </c>
      <c r="F288" s="0" t="n">
        <v>-0.430949620916437</v>
      </c>
      <c r="G288" s="0" t="n">
        <v>-0.383889574133617</v>
      </c>
    </row>
    <row r="289" customFormat="false" ht="15" hidden="false" customHeight="false" outlineLevel="0" collapsed="false">
      <c r="A289" s="0" t="s">
        <v>2101</v>
      </c>
      <c r="B289" s="0" t="n">
        <v>-0.87841074892774</v>
      </c>
      <c r="C289" s="0" t="n">
        <v>0.0312349076740337</v>
      </c>
      <c r="D289" s="0" t="n">
        <v>2.24394913527475</v>
      </c>
      <c r="E289" s="0" t="n">
        <v>0.00676716844233363</v>
      </c>
      <c r="F289" s="0" t="n">
        <v>-0.666223463124496</v>
      </c>
      <c r="G289" s="0" t="n">
        <v>-0.737316999338887</v>
      </c>
    </row>
    <row r="290" customFormat="false" ht="15" hidden="false" customHeight="false" outlineLevel="0" collapsed="false">
      <c r="A290" s="0" t="s">
        <v>2102</v>
      </c>
      <c r="B290" s="0" t="n">
        <v>-0.87841074892774</v>
      </c>
      <c r="C290" s="0" t="n">
        <v>0.0312349076740337</v>
      </c>
      <c r="D290" s="0" t="n">
        <v>2.24394913527475</v>
      </c>
      <c r="E290" s="0" t="n">
        <v>0.00676716844233363</v>
      </c>
      <c r="F290" s="0" t="n">
        <v>-0.666223463124496</v>
      </c>
      <c r="G290" s="0" t="n">
        <v>-0.737316999338887</v>
      </c>
    </row>
    <row r="291" customFormat="false" ht="15" hidden="false" customHeight="false" outlineLevel="0" collapsed="false">
      <c r="A291" s="0" t="s">
        <v>2103</v>
      </c>
      <c r="B291" s="0" t="n">
        <v>-0.405395027678254</v>
      </c>
      <c r="C291" s="0" t="n">
        <v>-0.0474092715936891</v>
      </c>
      <c r="D291" s="0" t="n">
        <v>-0.407514924263783</v>
      </c>
      <c r="E291" s="0" t="n">
        <v>0.604077946036972</v>
      </c>
      <c r="F291" s="0" t="n">
        <v>0.237067148841596</v>
      </c>
      <c r="G291" s="0" t="n">
        <v>0.019174128657159</v>
      </c>
    </row>
    <row r="292" customFormat="false" ht="15" hidden="false" customHeight="false" outlineLevel="0" collapsed="false">
      <c r="A292" s="0" t="s">
        <v>2104</v>
      </c>
      <c r="B292" s="0" t="n">
        <v>1.0774859658955</v>
      </c>
      <c r="C292" s="0" t="n">
        <v>-0.179427727836979</v>
      </c>
      <c r="D292" s="0" t="n">
        <v>-0.435029732067498</v>
      </c>
      <c r="E292" s="0" t="n">
        <v>0.0305837343996406</v>
      </c>
      <c r="F292" s="0" t="n">
        <v>-0.281719166385477</v>
      </c>
      <c r="G292" s="0" t="n">
        <v>-0.211893074005187</v>
      </c>
    </row>
    <row r="293" customFormat="false" ht="15" hidden="false" customHeight="false" outlineLevel="0" collapsed="false">
      <c r="A293" s="0" t="s">
        <v>2105</v>
      </c>
      <c r="B293" s="0" t="n">
        <v>-0.0928478688796953</v>
      </c>
      <c r="C293" s="0" t="n">
        <v>-0.10766563234084</v>
      </c>
      <c r="D293" s="0" t="n">
        <v>-0.0640338749288094</v>
      </c>
      <c r="E293" s="0" t="n">
        <v>-0.0735760638969697</v>
      </c>
      <c r="F293" s="0" t="n">
        <v>-0.0618032747107881</v>
      </c>
      <c r="G293" s="0" t="n">
        <v>0.399926714757102</v>
      </c>
    </row>
    <row r="294" customFormat="false" ht="15" hidden="false" customHeight="false" outlineLevel="0" collapsed="false">
      <c r="A294" s="0" t="s">
        <v>2106</v>
      </c>
      <c r="B294" s="0" t="n">
        <v>-0.052728420756031</v>
      </c>
      <c r="C294" s="0" t="n">
        <v>-0.144134160585286</v>
      </c>
      <c r="D294" s="0" t="n">
        <v>0.463008989674033</v>
      </c>
      <c r="E294" s="0" t="n">
        <v>-0.116557624644919</v>
      </c>
      <c r="F294" s="0" t="n">
        <v>-0.0630613137146842</v>
      </c>
      <c r="G294" s="0" t="n">
        <v>-0.0865274699731127</v>
      </c>
    </row>
    <row r="295" customFormat="false" ht="15" hidden="false" customHeight="false" outlineLevel="0" collapsed="false">
      <c r="A295" s="0" t="s">
        <v>2107</v>
      </c>
      <c r="B295" s="0" t="n">
        <v>-0.379415596665727</v>
      </c>
      <c r="C295" s="0" t="n">
        <v>-0.0790343689747589</v>
      </c>
      <c r="D295" s="0" t="n">
        <v>-0.093408848052864</v>
      </c>
      <c r="E295" s="0" t="n">
        <v>-0.076226029744027</v>
      </c>
      <c r="F295" s="0" t="n">
        <v>-0.0901305234385267</v>
      </c>
      <c r="G295" s="0" t="n">
        <v>0.718215366875903</v>
      </c>
    </row>
    <row r="296" customFormat="false" ht="15" hidden="false" customHeight="false" outlineLevel="0" collapsed="false">
      <c r="A296" s="0" t="s">
        <v>2108</v>
      </c>
      <c r="B296" s="0" t="n">
        <v>0.227369083519078</v>
      </c>
      <c r="C296" s="0" t="n">
        <v>-0.0831203096242771</v>
      </c>
      <c r="D296" s="0" t="n">
        <v>-0.0469330252108262</v>
      </c>
      <c r="E296" s="0" t="n">
        <v>-0.0680626517022587</v>
      </c>
      <c r="F296" s="0" t="n">
        <v>0.01328600271937</v>
      </c>
      <c r="G296" s="0" t="n">
        <v>-0.0425390997010862</v>
      </c>
    </row>
    <row r="297" customFormat="false" ht="15" hidden="false" customHeight="false" outlineLevel="0" collapsed="false">
      <c r="A297" s="0" t="s">
        <v>2109</v>
      </c>
      <c r="B297" s="0" t="n">
        <v>-0.135063837529938</v>
      </c>
      <c r="C297" s="0" t="n">
        <v>-0.327864361430982</v>
      </c>
      <c r="D297" s="0" t="n">
        <v>-0.105275879489138</v>
      </c>
      <c r="E297" s="0" t="n">
        <v>0.933303320979103</v>
      </c>
      <c r="F297" s="0" t="n">
        <v>-0.107688832454561</v>
      </c>
      <c r="G297" s="0" t="n">
        <v>-0.257410410074484</v>
      </c>
    </row>
    <row r="298" customFormat="false" ht="15" hidden="false" customHeight="false" outlineLevel="0" collapsed="false">
      <c r="A298" s="0" t="s">
        <v>2110</v>
      </c>
      <c r="B298" s="0" t="n">
        <v>-0.0462419642454319</v>
      </c>
      <c r="C298" s="0" t="n">
        <v>-0.464677687925317</v>
      </c>
      <c r="D298" s="0" t="n">
        <v>-0.0558842365477924</v>
      </c>
      <c r="E298" s="0" t="n">
        <v>-0.0836745909962048</v>
      </c>
      <c r="F298" s="0" t="n">
        <v>-0.0369857582965533</v>
      </c>
      <c r="G298" s="0" t="n">
        <v>0.6874642380113</v>
      </c>
    </row>
    <row r="299" customFormat="false" ht="15" hidden="false" customHeight="false" outlineLevel="0" collapsed="false">
      <c r="A299" s="0" t="s">
        <v>2111</v>
      </c>
      <c r="B299" s="0" t="n">
        <v>-0.151131176034647</v>
      </c>
      <c r="C299" s="0" t="n">
        <v>0.605763915201011</v>
      </c>
      <c r="D299" s="0" t="n">
        <v>-0.0580583559106449</v>
      </c>
      <c r="E299" s="0" t="n">
        <v>-0.146672902228079</v>
      </c>
      <c r="F299" s="0" t="n">
        <v>-0.0723198257291239</v>
      </c>
      <c r="G299" s="0" t="n">
        <v>-0.177581655298517</v>
      </c>
    </row>
    <row r="300" customFormat="false" ht="15" hidden="false" customHeight="false" outlineLevel="0" collapsed="false">
      <c r="A300" s="0" t="s">
        <v>2112</v>
      </c>
      <c r="B300" s="0" t="n">
        <v>0.527944789954682</v>
      </c>
      <c r="C300" s="0" t="n">
        <v>-0.0410870031280492</v>
      </c>
      <c r="D300" s="0" t="n">
        <v>-0.197411272355282</v>
      </c>
      <c r="E300" s="0" t="n">
        <v>-0.0626676062989127</v>
      </c>
      <c r="F300" s="0" t="n">
        <v>-0.173017652753277</v>
      </c>
      <c r="G300" s="0" t="n">
        <v>-0.0537612554191611</v>
      </c>
    </row>
    <row r="301" customFormat="false" ht="15" hidden="false" customHeight="false" outlineLevel="0" collapsed="false">
      <c r="A301" s="0" t="s">
        <v>2113</v>
      </c>
      <c r="B301" s="0" t="n">
        <v>-0.23888690384129</v>
      </c>
      <c r="C301" s="0" t="n">
        <v>-0.131796161332016</v>
      </c>
      <c r="D301" s="0" t="n">
        <v>-0.182895013440697</v>
      </c>
      <c r="E301" s="0" t="n">
        <v>-0.304456846767118</v>
      </c>
      <c r="F301" s="0" t="n">
        <v>1.08139957749958</v>
      </c>
      <c r="G301" s="0" t="n">
        <v>-0.223364652118453</v>
      </c>
    </row>
    <row r="302" customFormat="false" ht="15" hidden="false" customHeight="false" outlineLevel="0" collapsed="false">
      <c r="A302" s="0" t="s">
        <v>2114</v>
      </c>
      <c r="B302" s="0" t="n">
        <v>-0.144936063123156</v>
      </c>
      <c r="C302" s="0" t="n">
        <v>0.402312489916575</v>
      </c>
      <c r="D302" s="0" t="n">
        <v>-0.0412411484621072</v>
      </c>
      <c r="E302" s="0" t="n">
        <v>-0.0460601373209092</v>
      </c>
      <c r="F302" s="0" t="n">
        <v>-0.0665659592920928</v>
      </c>
      <c r="G302" s="0" t="n">
        <v>-0.103509181718309</v>
      </c>
    </row>
    <row r="303" customFormat="false" ht="15" hidden="false" customHeight="false" outlineLevel="0" collapsed="false">
      <c r="A303" s="0" t="s">
        <v>2115</v>
      </c>
      <c r="B303" s="0" t="n">
        <v>-0.534565735017246</v>
      </c>
      <c r="C303" s="0" t="n">
        <v>-0.0563102866047672</v>
      </c>
      <c r="D303" s="0" t="n">
        <v>-0.0547961655673889</v>
      </c>
      <c r="E303" s="0" t="n">
        <v>1.26490580700164</v>
      </c>
      <c r="F303" s="0" t="n">
        <v>-0.0687026197798567</v>
      </c>
      <c r="G303" s="0" t="n">
        <v>-0.550531000032387</v>
      </c>
    </row>
    <row r="304" customFormat="false" ht="15" hidden="false" customHeight="false" outlineLevel="0" collapsed="false">
      <c r="A304" s="0" t="s">
        <v>2116</v>
      </c>
      <c r="B304" s="0" t="n">
        <v>-0.117197151486375</v>
      </c>
      <c r="C304" s="0" t="n">
        <v>-0.109396711888521</v>
      </c>
      <c r="D304" s="0" t="n">
        <v>-0.0516992781978478</v>
      </c>
      <c r="E304" s="0" t="n">
        <v>-0.170639307078309</v>
      </c>
      <c r="F304" s="0" t="n">
        <v>0.509033369517608</v>
      </c>
      <c r="G304" s="0" t="n">
        <v>-0.0601009208665549</v>
      </c>
    </row>
    <row r="305" customFormat="false" ht="15" hidden="false" customHeight="false" outlineLevel="0" collapsed="false">
      <c r="A305" s="0" t="s">
        <v>2117</v>
      </c>
      <c r="B305" s="0" t="n">
        <v>-0.0514700227540991</v>
      </c>
      <c r="C305" s="0" t="n">
        <v>-0.386447558119212</v>
      </c>
      <c r="D305" s="0" t="n">
        <v>-0.147137899692955</v>
      </c>
      <c r="E305" s="0" t="n">
        <v>0.751527845240411</v>
      </c>
      <c r="F305" s="0" t="n">
        <v>-0.113672042809641</v>
      </c>
      <c r="G305" s="0" t="n">
        <v>-0.0528003218645035</v>
      </c>
    </row>
    <row r="306" customFormat="false" ht="15" hidden="false" customHeight="false" outlineLevel="0" collapsed="false">
      <c r="A306" s="0" t="s">
        <v>2118</v>
      </c>
      <c r="B306" s="0" t="n">
        <v>0.688412061482308</v>
      </c>
      <c r="C306" s="0" t="n">
        <v>-0.0791516256082811</v>
      </c>
      <c r="D306" s="0" t="n">
        <v>-0.0805795075616982</v>
      </c>
      <c r="E306" s="0" t="n">
        <v>-0.0434616473051353</v>
      </c>
      <c r="F306" s="0" t="n">
        <v>-0.297737480211913</v>
      </c>
      <c r="G306" s="0" t="n">
        <v>-0.187481800795279</v>
      </c>
    </row>
    <row r="307" customFormat="false" ht="15" hidden="false" customHeight="false" outlineLevel="0" collapsed="false">
      <c r="A307" s="0" t="s">
        <v>2119</v>
      </c>
      <c r="B307" s="0" t="n">
        <v>-0.176127919681904</v>
      </c>
      <c r="C307" s="0" t="n">
        <v>-0.137846527632128</v>
      </c>
      <c r="D307" s="0" t="n">
        <v>0.688304752249322</v>
      </c>
      <c r="E307" s="0" t="n">
        <v>-0.15271166029745</v>
      </c>
      <c r="F307" s="0" t="n">
        <v>-0.0792718176904797</v>
      </c>
      <c r="G307" s="0" t="n">
        <v>-0.142346826947362</v>
      </c>
    </row>
    <row r="308" customFormat="false" ht="15" hidden="false" customHeight="false" outlineLevel="0" collapsed="false">
      <c r="A308" s="0" t="s">
        <v>2120</v>
      </c>
      <c r="B308" s="0" t="n">
        <v>-0.069547338895752</v>
      </c>
      <c r="C308" s="0" t="n">
        <v>-0.0480536121975127</v>
      </c>
      <c r="D308" s="0" t="n">
        <v>-0.176368568248878</v>
      </c>
      <c r="E308" s="0" t="n">
        <v>-0.102484121053629</v>
      </c>
      <c r="F308" s="0" t="n">
        <v>-0.0876535118343386</v>
      </c>
      <c r="G308" s="0" t="n">
        <v>0.484107152230111</v>
      </c>
    </row>
    <row r="309" customFormat="false" ht="15" hidden="false" customHeight="false" outlineLevel="0" collapsed="false">
      <c r="A309" s="0" t="s">
        <v>2121</v>
      </c>
      <c r="B309" s="0" t="n">
        <v>-0.231059508620986</v>
      </c>
      <c r="C309" s="0" t="n">
        <v>-0.0847051183566816</v>
      </c>
      <c r="D309" s="0" t="n">
        <v>0.805336145747227</v>
      </c>
      <c r="E309" s="0" t="n">
        <v>-0.226053828743729</v>
      </c>
      <c r="F309" s="0" t="n">
        <v>-0.131016429578945</v>
      </c>
      <c r="G309" s="0" t="n">
        <v>-0.132501260446885</v>
      </c>
    </row>
    <row r="310" customFormat="false" ht="15" hidden="false" customHeight="false" outlineLevel="0" collapsed="false">
      <c r="A310" s="0" t="s">
        <v>2122</v>
      </c>
      <c r="B310" s="0" t="n">
        <v>-0.125728734455159</v>
      </c>
      <c r="C310" s="0" t="n">
        <v>-0.613996562656588</v>
      </c>
      <c r="D310" s="0" t="n">
        <v>-0.0714856292610347</v>
      </c>
      <c r="E310" s="0" t="n">
        <v>-0.523965867282979</v>
      </c>
      <c r="F310" s="0" t="n">
        <v>1.40469528408339</v>
      </c>
      <c r="G310" s="0" t="n">
        <v>-0.0695184904276322</v>
      </c>
    </row>
    <row r="311" customFormat="false" ht="15" hidden="false" customHeight="false" outlineLevel="0" collapsed="false">
      <c r="A311" s="0" t="s">
        <v>2123</v>
      </c>
      <c r="B311" s="0" t="n">
        <v>-0.0828244443813598</v>
      </c>
      <c r="C311" s="0" t="n">
        <v>0.440583317442938</v>
      </c>
      <c r="D311" s="0" t="n">
        <v>-0.0758291536105849</v>
      </c>
      <c r="E311" s="0" t="n">
        <v>-0.103345572616194</v>
      </c>
      <c r="F311" s="0" t="n">
        <v>-0.0925411058321006</v>
      </c>
      <c r="G311" s="0" t="n">
        <v>-0.0860430410026984</v>
      </c>
    </row>
    <row r="312" customFormat="false" ht="15" hidden="false" customHeight="false" outlineLevel="0" collapsed="false">
      <c r="A312" s="0" t="s">
        <v>2124</v>
      </c>
      <c r="B312" s="0" t="n">
        <v>-0.0495213401182515</v>
      </c>
      <c r="C312" s="0" t="n">
        <v>-0.221269492749276</v>
      </c>
      <c r="D312" s="0" t="n">
        <v>-0.0447840035937101</v>
      </c>
      <c r="E312" s="0" t="n">
        <v>-0.114679097731796</v>
      </c>
      <c r="F312" s="0" t="n">
        <v>-0.201147572392358</v>
      </c>
      <c r="G312" s="0" t="n">
        <v>0.631401506585392</v>
      </c>
    </row>
    <row r="313" customFormat="false" ht="15" hidden="false" customHeight="false" outlineLevel="0" collapsed="false">
      <c r="A313" s="0" t="s">
        <v>2125</v>
      </c>
      <c r="B313" s="0" t="n">
        <v>-0.0565462515696208</v>
      </c>
      <c r="C313" s="0" t="n">
        <v>-0.140379418772138</v>
      </c>
      <c r="D313" s="0" t="n">
        <v>0.512799955768869</v>
      </c>
      <c r="E313" s="0" t="n">
        <v>-0.163546075337885</v>
      </c>
      <c r="F313" s="0" t="n">
        <v>-0.0449893846906477</v>
      </c>
      <c r="G313" s="0" t="n">
        <v>-0.107338825398579</v>
      </c>
    </row>
    <row r="314" customFormat="false" ht="15" hidden="false" customHeight="false" outlineLevel="0" collapsed="false">
      <c r="A314" s="0" t="s">
        <v>2126</v>
      </c>
      <c r="B314" s="0" t="n">
        <v>-0.0526708609713029</v>
      </c>
      <c r="C314" s="0" t="n">
        <v>1.22260698526021</v>
      </c>
      <c r="D314" s="0" t="n">
        <v>-0.851264423868953</v>
      </c>
      <c r="E314" s="0" t="n">
        <v>-0.0450039934095192</v>
      </c>
      <c r="F314" s="0" t="n">
        <v>-0.133630859277328</v>
      </c>
      <c r="G314" s="0" t="n">
        <v>-0.140036847733107</v>
      </c>
    </row>
    <row r="315" customFormat="false" ht="15" hidden="false" customHeight="false" outlineLevel="0" collapsed="false">
      <c r="A315" s="0" t="s">
        <v>2127</v>
      </c>
      <c r="B315" s="0" t="n">
        <v>-0.332024130800962</v>
      </c>
      <c r="C315" s="0" t="n">
        <v>1.07435325086745</v>
      </c>
      <c r="D315" s="0" t="n">
        <v>-0.0444282451506135</v>
      </c>
      <c r="E315" s="0" t="n">
        <v>-0.0631138407391974</v>
      </c>
      <c r="F315" s="0" t="n">
        <v>-0.0586176700576535</v>
      </c>
      <c r="G315" s="0" t="n">
        <v>-0.576169364119029</v>
      </c>
    </row>
    <row r="316" customFormat="false" ht="15" hidden="false" customHeight="false" outlineLevel="0" collapsed="false">
      <c r="A316" s="0" t="s">
        <v>2128</v>
      </c>
      <c r="B316" s="0" t="n">
        <v>-0.0653258997162533</v>
      </c>
      <c r="C316" s="0" t="n">
        <v>-0.0532742544303797</v>
      </c>
      <c r="D316" s="0" t="n">
        <v>-0.259605289467735</v>
      </c>
      <c r="E316" s="0" t="n">
        <v>-0.0383570413906784</v>
      </c>
      <c r="F316" s="0" t="n">
        <v>-0.649673695175528</v>
      </c>
      <c r="G316" s="0" t="n">
        <v>1.06623618018057</v>
      </c>
    </row>
    <row r="317" customFormat="false" ht="15" hidden="false" customHeight="false" outlineLevel="0" collapsed="false">
      <c r="A317" s="0" t="s">
        <v>2129</v>
      </c>
      <c r="B317" s="0" t="n">
        <v>-0.0519713752979574</v>
      </c>
      <c r="C317" s="0" t="n">
        <v>-0.0328590197514666</v>
      </c>
      <c r="D317" s="0" t="n">
        <v>-0.0981708848534979</v>
      </c>
      <c r="E317" s="0" t="n">
        <v>-0.072409022728573</v>
      </c>
      <c r="F317" s="0" t="n">
        <v>-0.0388084961193739</v>
      </c>
      <c r="G317" s="0" t="n">
        <v>0.294218798750868</v>
      </c>
    </row>
    <row r="318" customFormat="false" ht="15" hidden="false" customHeight="false" outlineLevel="0" collapsed="false">
      <c r="A318" s="0" t="s">
        <v>2130</v>
      </c>
      <c r="B318" s="0" t="n">
        <v>-0.0453639481206033</v>
      </c>
      <c r="C318" s="0" t="n">
        <v>-0.0942993174828694</v>
      </c>
      <c r="D318" s="0" t="n">
        <v>-0.630702024412229</v>
      </c>
      <c r="E318" s="0" t="n">
        <v>1.50592942946254</v>
      </c>
      <c r="F318" s="0" t="n">
        <v>-0.686736532879933</v>
      </c>
      <c r="G318" s="0" t="n">
        <v>-0.0488276065669051</v>
      </c>
    </row>
    <row r="319" customFormat="false" ht="15" hidden="false" customHeight="false" outlineLevel="0" collapsed="false">
      <c r="A319" s="0" t="s">
        <v>2131</v>
      </c>
      <c r="B319" s="0" t="n">
        <v>-0.308301801391356</v>
      </c>
      <c r="C319" s="0" t="n">
        <v>-0.272466769355579</v>
      </c>
      <c r="D319" s="0" t="n">
        <v>-0.171444075560159</v>
      </c>
      <c r="E319" s="0" t="n">
        <v>-0.181622849108551</v>
      </c>
      <c r="F319" s="0" t="n">
        <v>1.1588263211089</v>
      </c>
      <c r="G319" s="0" t="n">
        <v>-0.224990825693254</v>
      </c>
    </row>
    <row r="320" customFormat="false" ht="15" hidden="false" customHeight="false" outlineLevel="0" collapsed="false">
      <c r="A320" s="0" t="s">
        <v>2132</v>
      </c>
      <c r="B320" s="0" t="n">
        <v>-0.133766809100824</v>
      </c>
      <c r="C320" s="0" t="n">
        <v>0.600872608441946</v>
      </c>
      <c r="D320" s="0" t="n">
        <v>-0.093949376305966</v>
      </c>
      <c r="E320" s="0" t="n">
        <v>-0.110232594365492</v>
      </c>
      <c r="F320" s="0" t="n">
        <v>-0.0863705537759529</v>
      </c>
      <c r="G320" s="0" t="n">
        <v>-0.176553274893709</v>
      </c>
    </row>
    <row r="321" customFormat="false" ht="15" hidden="false" customHeight="false" outlineLevel="0" collapsed="false">
      <c r="A321" s="0" t="s">
        <v>1787</v>
      </c>
      <c r="B321" s="0" t="n">
        <v>0.0225898364405841</v>
      </c>
      <c r="C321" s="0" t="n">
        <v>-0.120312084028145</v>
      </c>
      <c r="D321" s="0" t="n">
        <v>-0.0981508831779824</v>
      </c>
      <c r="E321" s="0" t="n">
        <v>-0.172724303980947</v>
      </c>
      <c r="F321" s="0" t="n">
        <v>0.664047447043664</v>
      </c>
      <c r="G321" s="0" t="n">
        <v>-0.295450012297175</v>
      </c>
    </row>
    <row r="322" customFormat="false" ht="15" hidden="false" customHeight="false" outlineLevel="0" collapsed="false">
      <c r="A322" s="0" t="s">
        <v>2133</v>
      </c>
      <c r="B322" s="0" t="n">
        <v>-0.0484563854431632</v>
      </c>
      <c r="C322" s="0" t="n">
        <v>-0.23847097218202</v>
      </c>
      <c r="D322" s="0" t="n">
        <v>-0.0787442350551647</v>
      </c>
      <c r="E322" s="0" t="n">
        <v>0.0915351385257015</v>
      </c>
      <c r="F322" s="0" t="n">
        <v>-0.0963445824193068</v>
      </c>
      <c r="G322" s="0" t="n">
        <v>0.370481036573952</v>
      </c>
    </row>
    <row r="323" customFormat="false" ht="15" hidden="false" customHeight="false" outlineLevel="0" collapsed="false">
      <c r="A323" s="0" t="s">
        <v>2134</v>
      </c>
      <c r="B323" s="0" t="n">
        <v>-0.0954470072231859</v>
      </c>
      <c r="C323" s="0" t="n">
        <v>0.395866694532583</v>
      </c>
      <c r="D323" s="0" t="n">
        <v>-0.11922586174779</v>
      </c>
      <c r="E323" s="0" t="n">
        <v>0.134257158221565</v>
      </c>
      <c r="F323" s="0" t="n">
        <v>-0.147394240164948</v>
      </c>
      <c r="G323" s="0" t="n">
        <v>-0.168056743618224</v>
      </c>
    </row>
    <row r="324" customFormat="false" ht="15" hidden="false" customHeight="false" outlineLevel="0" collapsed="false">
      <c r="A324" s="0" t="s">
        <v>2135</v>
      </c>
      <c r="B324" s="0" t="n">
        <v>0.140121219357531</v>
      </c>
      <c r="C324" s="0" t="n">
        <v>-0.205670191479174</v>
      </c>
      <c r="D324" s="0" t="n">
        <v>0.203634310186948</v>
      </c>
      <c r="E324" s="0" t="n">
        <v>0.239819848756383</v>
      </c>
      <c r="F324" s="0" t="n">
        <v>-0.140892209744949</v>
      </c>
      <c r="G324" s="0" t="n">
        <v>-0.23701297707674</v>
      </c>
    </row>
    <row r="325" customFormat="false" ht="15" hidden="false" customHeight="false" outlineLevel="0" collapsed="false">
      <c r="A325" s="0" t="s">
        <v>2136</v>
      </c>
      <c r="B325" s="0" t="n">
        <v>-0.0987080644277676</v>
      </c>
      <c r="C325" s="0" t="n">
        <v>0.162359457377013</v>
      </c>
      <c r="D325" s="0" t="n">
        <v>-0.102700283321393</v>
      </c>
      <c r="E325" s="0" t="n">
        <v>-0.115411111686202</v>
      </c>
      <c r="F325" s="0" t="n">
        <v>-0.0407887005197764</v>
      </c>
      <c r="G325" s="0" t="n">
        <v>0.195248702578126</v>
      </c>
    </row>
    <row r="326" customFormat="false" ht="15" hidden="false" customHeight="false" outlineLevel="0" collapsed="false">
      <c r="A326" s="0" t="s">
        <v>2137</v>
      </c>
      <c r="B326" s="0" t="n">
        <v>-0.48577134820262</v>
      </c>
      <c r="C326" s="0" t="n">
        <v>-0.0358179416853186</v>
      </c>
      <c r="D326" s="0" t="n">
        <v>-0.304040714864746</v>
      </c>
      <c r="E326" s="0" t="n">
        <v>-0.402984099949762</v>
      </c>
      <c r="F326" s="0" t="n">
        <v>1.39506457857624</v>
      </c>
      <c r="G326" s="0" t="n">
        <v>-0.166450473873793</v>
      </c>
    </row>
    <row r="327" customFormat="false" ht="15" hidden="false" customHeight="false" outlineLevel="0" collapsed="false">
      <c r="A327" s="0" t="s">
        <v>2138</v>
      </c>
      <c r="B327" s="0" t="n">
        <v>-0.203925004542807</v>
      </c>
      <c r="C327" s="0" t="n">
        <v>-0.174860005782865</v>
      </c>
      <c r="D327" s="0" t="n">
        <v>0.537857224997909</v>
      </c>
      <c r="E327" s="0" t="n">
        <v>0.0719444781865543</v>
      </c>
      <c r="F327" s="0" t="n">
        <v>-0.105999176460903</v>
      </c>
      <c r="G327" s="0" t="n">
        <v>-0.125017516397889</v>
      </c>
    </row>
    <row r="328" customFormat="false" ht="15" hidden="false" customHeight="false" outlineLevel="0" collapsed="false">
      <c r="A328" s="0" t="s">
        <v>1789</v>
      </c>
      <c r="B328" s="0" t="n">
        <v>-0.407181196017297</v>
      </c>
      <c r="C328" s="0" t="n">
        <v>-0.445691357938634</v>
      </c>
      <c r="D328" s="0" t="n">
        <v>-0.364649695283311</v>
      </c>
      <c r="E328" s="0" t="n">
        <v>-0.260776034715845</v>
      </c>
      <c r="F328" s="0" t="n">
        <v>1.72817576525129</v>
      </c>
      <c r="G328" s="0" t="n">
        <v>-0.249877481296198</v>
      </c>
    </row>
    <row r="329" customFormat="false" ht="15" hidden="false" customHeight="false" outlineLevel="0" collapsed="false">
      <c r="A329" s="0" t="s">
        <v>2139</v>
      </c>
      <c r="B329" s="0" t="n">
        <v>-0.0842049303722226</v>
      </c>
      <c r="C329" s="0" t="n">
        <v>-0.0318989208633581</v>
      </c>
      <c r="D329" s="0" t="n">
        <v>-0.0823046178280397</v>
      </c>
      <c r="E329" s="0" t="n">
        <v>-0.0503288037566646</v>
      </c>
      <c r="F329" s="0" t="n">
        <v>0.305588307920016</v>
      </c>
      <c r="G329" s="0" t="n">
        <v>-0.0568510350997307</v>
      </c>
    </row>
    <row r="330" customFormat="false" ht="15" hidden="false" customHeight="false" outlineLevel="0" collapsed="false">
      <c r="A330" s="0" t="s">
        <v>2140</v>
      </c>
      <c r="B330" s="0" t="n">
        <v>-0.0628948885258246</v>
      </c>
      <c r="C330" s="0" t="n">
        <v>-0.0299279070352122</v>
      </c>
      <c r="D330" s="0" t="n">
        <v>-0.0575242948698256</v>
      </c>
      <c r="E330" s="0" t="n">
        <v>-0.0458766512265782</v>
      </c>
      <c r="F330" s="0" t="n">
        <v>0.240817826290784</v>
      </c>
      <c r="G330" s="0" t="n">
        <v>-0.0445940846333436</v>
      </c>
    </row>
    <row r="331" customFormat="false" ht="15" hidden="false" customHeight="false" outlineLevel="0" collapsed="false">
      <c r="A331" s="0" t="s">
        <v>2141</v>
      </c>
      <c r="B331" s="0" t="n">
        <v>-0.119656358567287</v>
      </c>
      <c r="C331" s="0" t="n">
        <v>-0.0474808528697235</v>
      </c>
      <c r="D331" s="0" t="n">
        <v>-0.0727518609944989</v>
      </c>
      <c r="E331" s="0" t="n">
        <v>-0.0532316055595435</v>
      </c>
      <c r="F331" s="0" t="n">
        <v>0.339102017393985</v>
      </c>
      <c r="G331" s="0" t="n">
        <v>-0.0459813394029325</v>
      </c>
    </row>
    <row r="332" customFormat="false" ht="15" hidden="false" customHeight="false" outlineLevel="0" collapsed="false">
      <c r="A332" s="0" t="s">
        <v>2142</v>
      </c>
      <c r="B332" s="0" t="n">
        <v>2.12016336535445</v>
      </c>
      <c r="C332" s="0" t="n">
        <v>-0.458604577509296</v>
      </c>
      <c r="D332" s="0" t="n">
        <v>-1.18140888762655</v>
      </c>
      <c r="E332" s="0" t="n">
        <v>-0.0987042853981672</v>
      </c>
      <c r="F332" s="0" t="n">
        <v>-0.471354542314982</v>
      </c>
      <c r="G332" s="0" t="n">
        <v>0.0899089274945393</v>
      </c>
    </row>
    <row r="333" customFormat="false" ht="15" hidden="false" customHeight="false" outlineLevel="0" collapsed="false">
      <c r="A333" s="0" t="s">
        <v>2143</v>
      </c>
      <c r="B333" s="0" t="n">
        <v>2.12016336535445</v>
      </c>
      <c r="C333" s="0" t="n">
        <v>-0.458604577509296</v>
      </c>
      <c r="D333" s="0" t="n">
        <v>-1.18140888762655</v>
      </c>
      <c r="E333" s="0" t="n">
        <v>-0.0987042853981672</v>
      </c>
      <c r="F333" s="0" t="n">
        <v>-0.471354542314982</v>
      </c>
      <c r="G333" s="0" t="n">
        <v>0.0899089274945393</v>
      </c>
    </row>
    <row r="334" customFormat="false" ht="15" hidden="false" customHeight="false" outlineLevel="0" collapsed="false">
      <c r="A334" s="0" t="s">
        <v>2144</v>
      </c>
      <c r="B334" s="0" t="n">
        <v>-0.078514382113126</v>
      </c>
      <c r="C334" s="0" t="n">
        <v>0.845109056886315</v>
      </c>
      <c r="D334" s="0" t="n">
        <v>-0.802926892606638</v>
      </c>
      <c r="E334" s="0" t="n">
        <v>-0.618861547605588</v>
      </c>
      <c r="F334" s="0" t="n">
        <v>0.991253614107713</v>
      </c>
      <c r="G334" s="0" t="n">
        <v>-0.336059848668675</v>
      </c>
    </row>
    <row r="335" customFormat="false" ht="15" hidden="false" customHeight="false" outlineLevel="0" collapsed="false">
      <c r="A335" s="0" t="s">
        <v>2145</v>
      </c>
      <c r="B335" s="0" t="n">
        <v>-0.0794541295652734</v>
      </c>
      <c r="C335" s="0" t="n">
        <v>-0.514686726232587</v>
      </c>
      <c r="D335" s="0" t="n">
        <v>-0.561685138734549</v>
      </c>
      <c r="E335" s="0" t="n">
        <v>-0.248527365955918</v>
      </c>
      <c r="F335" s="0" t="n">
        <v>1.35583418203322</v>
      </c>
      <c r="G335" s="0" t="n">
        <v>0.0485191784551025</v>
      </c>
    </row>
    <row r="336" customFormat="false" ht="15" hidden="false" customHeight="false" outlineLevel="0" collapsed="false">
      <c r="A336" s="0" t="s">
        <v>2146</v>
      </c>
      <c r="B336" s="0" t="n">
        <v>-0.0104589741451455</v>
      </c>
      <c r="C336" s="0" t="n">
        <v>1.50303305198554</v>
      </c>
      <c r="D336" s="0" t="n">
        <v>-0.361572698339992</v>
      </c>
      <c r="E336" s="0" t="n">
        <v>-0.465845446266803</v>
      </c>
      <c r="F336" s="0" t="n">
        <v>-0.225959940340045</v>
      </c>
      <c r="G336" s="0" t="n">
        <v>-0.439195992893549</v>
      </c>
    </row>
    <row r="337" customFormat="false" ht="15" hidden="false" customHeight="false" outlineLevel="0" collapsed="false">
      <c r="A337" s="0" t="s">
        <v>2147</v>
      </c>
      <c r="B337" s="0" t="n">
        <v>2.13994689971615</v>
      </c>
      <c r="C337" s="0" t="n">
        <v>0.224548472514436</v>
      </c>
      <c r="D337" s="0" t="n">
        <v>-0.448717041043254</v>
      </c>
      <c r="E337" s="0" t="n">
        <v>-0.934748664800088</v>
      </c>
      <c r="F337" s="0" t="n">
        <v>-0.269449554550695</v>
      </c>
      <c r="G337" s="0" t="n">
        <v>-0.711580111836545</v>
      </c>
    </row>
    <row r="338" customFormat="false" ht="15" hidden="false" customHeight="false" outlineLevel="0" collapsed="false">
      <c r="A338" s="0" t="s">
        <v>2148</v>
      </c>
      <c r="B338" s="0" t="n">
        <v>2.13994689971615</v>
      </c>
      <c r="C338" s="0" t="n">
        <v>0.224548472514436</v>
      </c>
      <c r="D338" s="0" t="n">
        <v>-0.448717041043254</v>
      </c>
      <c r="E338" s="0" t="n">
        <v>-0.934748664800088</v>
      </c>
      <c r="F338" s="0" t="n">
        <v>-0.269449554550695</v>
      </c>
      <c r="G338" s="0" t="n">
        <v>-0.711580111836545</v>
      </c>
    </row>
    <row r="339" customFormat="false" ht="15" hidden="false" customHeight="false" outlineLevel="0" collapsed="false">
      <c r="A339" s="0" t="s">
        <v>2149</v>
      </c>
      <c r="B339" s="0" t="n">
        <v>0.167461517357188</v>
      </c>
      <c r="C339" s="0" t="n">
        <v>-0.271924781981213</v>
      </c>
      <c r="D339" s="0" t="n">
        <v>-0.0507071073479776</v>
      </c>
      <c r="E339" s="0" t="n">
        <v>1.32535294749774</v>
      </c>
      <c r="F339" s="0" t="n">
        <v>-0.76170375823355</v>
      </c>
      <c r="G339" s="0" t="n">
        <v>-0.408478817292189</v>
      </c>
    </row>
    <row r="340" customFormat="false" ht="15" hidden="false" customHeight="false" outlineLevel="0" collapsed="false">
      <c r="A340" s="0" t="s">
        <v>2150</v>
      </c>
      <c r="B340" s="0" t="n">
        <v>-0.232394846241537</v>
      </c>
      <c r="C340" s="0" t="n">
        <v>-0.392347806726735</v>
      </c>
      <c r="D340" s="0" t="n">
        <v>-0.0894106071550739</v>
      </c>
      <c r="E340" s="0" t="n">
        <v>1.0059877259489</v>
      </c>
      <c r="F340" s="0" t="n">
        <v>0.0352494273390032</v>
      </c>
      <c r="G340" s="0" t="n">
        <v>-0.32708389316456</v>
      </c>
    </row>
    <row r="341" customFormat="false" ht="15" hidden="false" customHeight="false" outlineLevel="0" collapsed="false">
      <c r="A341" s="0" t="s">
        <v>1804</v>
      </c>
      <c r="B341" s="0" t="n">
        <v>-0.42345927543817</v>
      </c>
      <c r="C341" s="0" t="n">
        <v>-0.24367681099294</v>
      </c>
      <c r="D341" s="0" t="n">
        <v>-0.314916040917734</v>
      </c>
      <c r="E341" s="0" t="n">
        <v>-0.287091009814373</v>
      </c>
      <c r="F341" s="0" t="n">
        <v>0.541216878614367</v>
      </c>
      <c r="G341" s="0" t="n">
        <v>0.727926258548852</v>
      </c>
    </row>
    <row r="342" customFormat="false" ht="15" hidden="false" customHeight="false" outlineLevel="0" collapsed="false">
      <c r="A342" s="0" t="s">
        <v>2151</v>
      </c>
      <c r="B342" s="0" t="n">
        <v>-0.42345927543817</v>
      </c>
      <c r="C342" s="0" t="n">
        <v>-0.24367681099294</v>
      </c>
      <c r="D342" s="0" t="n">
        <v>-0.314916040917734</v>
      </c>
      <c r="E342" s="0" t="n">
        <v>-0.287091009814373</v>
      </c>
      <c r="F342" s="0" t="n">
        <v>0.541216878614367</v>
      </c>
      <c r="G342" s="0" t="n">
        <v>0.727926258548852</v>
      </c>
    </row>
    <row r="343" customFormat="false" ht="15" hidden="false" customHeight="false" outlineLevel="0" collapsed="false">
      <c r="A343" s="0" t="s">
        <v>2152</v>
      </c>
      <c r="B343" s="0" t="n">
        <v>2.48208872446634</v>
      </c>
      <c r="C343" s="0" t="n">
        <v>-0.902480257811555</v>
      </c>
      <c r="D343" s="0" t="n">
        <v>0.32201015933211</v>
      </c>
      <c r="E343" s="0" t="n">
        <v>-0.0854156907665392</v>
      </c>
      <c r="F343" s="0" t="n">
        <v>-0.904128986296035</v>
      </c>
      <c r="G343" s="0" t="n">
        <v>-0.912073948924314</v>
      </c>
    </row>
    <row r="344" customFormat="false" ht="15" hidden="false" customHeight="false" outlineLevel="0" collapsed="false">
      <c r="A344" s="0" t="s">
        <v>2153</v>
      </c>
      <c r="B344" s="0" t="n">
        <v>-1.44831770621111</v>
      </c>
      <c r="C344" s="0" t="n">
        <v>-0.149163714866005</v>
      </c>
      <c r="D344" s="0" t="n">
        <v>2.37966178594941</v>
      </c>
      <c r="E344" s="0" t="n">
        <v>-0.456026594436246</v>
      </c>
      <c r="F344" s="0" t="n">
        <v>-0.139079947198692</v>
      </c>
      <c r="G344" s="0" t="n">
        <v>-0.18707382323735</v>
      </c>
    </row>
    <row r="345" customFormat="false" ht="15" hidden="false" customHeight="false" outlineLevel="0" collapsed="false">
      <c r="A345" s="0" t="s">
        <v>2154</v>
      </c>
      <c r="B345" s="0" t="n">
        <v>1.69971934059602</v>
      </c>
      <c r="C345" s="0" t="n">
        <v>-0.155123131514643</v>
      </c>
      <c r="D345" s="0" t="n">
        <v>-0.832008004067729</v>
      </c>
      <c r="E345" s="0" t="n">
        <v>-0.420490396718866</v>
      </c>
      <c r="F345" s="0" t="n">
        <v>-0.162576335596604</v>
      </c>
      <c r="G345" s="0" t="n">
        <v>-0.129521472698178</v>
      </c>
    </row>
    <row r="346" customFormat="false" ht="15" hidden="false" customHeight="false" outlineLevel="0" collapsed="false">
      <c r="A346" s="0" t="s">
        <v>2155</v>
      </c>
      <c r="B346" s="0" t="n">
        <v>-1.24569351571505</v>
      </c>
      <c r="C346" s="0" t="n">
        <v>-0.162395321911727</v>
      </c>
      <c r="D346" s="0" t="n">
        <v>-1.14548786361193</v>
      </c>
      <c r="E346" s="0" t="n">
        <v>3.17254180853588</v>
      </c>
      <c r="F346" s="0" t="n">
        <v>-0.369341811826843</v>
      </c>
      <c r="G346" s="0" t="n">
        <v>-0.249623295470336</v>
      </c>
    </row>
    <row r="347" customFormat="false" ht="15" hidden="false" customHeight="false" outlineLevel="0" collapsed="false">
      <c r="A347" s="0" t="s">
        <v>2156</v>
      </c>
      <c r="B347" s="0" t="n">
        <v>-0.206766932428388</v>
      </c>
      <c r="C347" s="0" t="n">
        <v>1.07930864250237</v>
      </c>
      <c r="D347" s="0" t="n">
        <v>-0.674434860993034</v>
      </c>
      <c r="E347" s="0" t="n">
        <v>-0.155986556475688</v>
      </c>
      <c r="F347" s="0" t="n">
        <v>0.0170844028463245</v>
      </c>
      <c r="G347" s="0" t="n">
        <v>-0.0592046954515878</v>
      </c>
    </row>
    <row r="348" customFormat="false" ht="15" hidden="false" customHeight="false" outlineLevel="0" collapsed="false">
      <c r="A348" s="0" t="s">
        <v>2157</v>
      </c>
      <c r="B348" s="0" t="n">
        <v>-0.206766932428388</v>
      </c>
      <c r="C348" s="0" t="n">
        <v>1.07930864250237</v>
      </c>
      <c r="D348" s="0" t="n">
        <v>-0.674434860993034</v>
      </c>
      <c r="E348" s="0" t="n">
        <v>-0.155986556475688</v>
      </c>
      <c r="F348" s="0" t="n">
        <v>0.0170844028463245</v>
      </c>
      <c r="G348" s="0" t="n">
        <v>-0.0592046954515878</v>
      </c>
    </row>
    <row r="349" customFormat="false" ht="15" hidden="false" customHeight="false" outlineLevel="0" collapsed="false">
      <c r="A349" s="0" t="s">
        <v>2158</v>
      </c>
      <c r="B349" s="0" t="n">
        <v>-0.141894735702086</v>
      </c>
      <c r="C349" s="0" t="n">
        <v>1.03567942357018</v>
      </c>
      <c r="D349" s="0" t="n">
        <v>-1.11197879803466</v>
      </c>
      <c r="E349" s="0" t="n">
        <v>0.256537426035686</v>
      </c>
      <c r="F349" s="0" t="n">
        <v>-0.0450704700578241</v>
      </c>
      <c r="G349" s="0" t="n">
        <v>0.00672715418870415</v>
      </c>
    </row>
    <row r="350" customFormat="false" ht="15" hidden="false" customHeight="false" outlineLevel="0" collapsed="false">
      <c r="A350" s="0" t="s">
        <v>2159</v>
      </c>
      <c r="B350" s="0" t="n">
        <v>0.546115485267849</v>
      </c>
      <c r="C350" s="0" t="n">
        <v>-0.978449132908938</v>
      </c>
      <c r="D350" s="0" t="n">
        <v>-0.637241244630656</v>
      </c>
      <c r="E350" s="0" t="n">
        <v>0.722006614092295</v>
      </c>
      <c r="F350" s="0" t="n">
        <v>0.211006689092658</v>
      </c>
      <c r="G350" s="0" t="n">
        <v>0.136561589086793</v>
      </c>
    </row>
    <row r="351" customFormat="false" ht="15" hidden="false" customHeight="false" outlineLevel="0" collapsed="false">
      <c r="A351" s="0" t="s">
        <v>2160</v>
      </c>
      <c r="B351" s="0" t="n">
        <v>-0.0726429293186262</v>
      </c>
      <c r="C351" s="0" t="n">
        <v>0.615644806097043</v>
      </c>
      <c r="D351" s="0" t="n">
        <v>-0.0657944533900442</v>
      </c>
      <c r="E351" s="0" t="n">
        <v>-0.110010009795445</v>
      </c>
      <c r="F351" s="0" t="n">
        <v>-0.108399977065566</v>
      </c>
      <c r="G351" s="0" t="n">
        <v>-0.258797436527363</v>
      </c>
    </row>
    <row r="352" customFormat="false" ht="15" hidden="false" customHeight="false" outlineLevel="0" collapsed="false">
      <c r="A352" s="0" t="s">
        <v>2161</v>
      </c>
      <c r="B352" s="0" t="n">
        <v>-0.067785372406593</v>
      </c>
      <c r="C352" s="0" t="n">
        <v>-1.57622471882417</v>
      </c>
      <c r="D352" s="0" t="n">
        <v>0.921637328343274</v>
      </c>
      <c r="E352" s="0" t="n">
        <v>-0.0742689055268768</v>
      </c>
      <c r="F352" s="0" t="n">
        <v>-0.0905776433830483</v>
      </c>
      <c r="G352" s="0" t="n">
        <v>0.887219311797416</v>
      </c>
    </row>
    <row r="353" customFormat="false" ht="15" hidden="false" customHeight="false" outlineLevel="0" collapsed="false">
      <c r="A353" s="0" t="s">
        <v>2162</v>
      </c>
      <c r="B353" s="0" t="n">
        <v>-0.107054375519084</v>
      </c>
      <c r="C353" s="0" t="n">
        <v>0.70012518542284</v>
      </c>
      <c r="D353" s="0" t="n">
        <v>-0.0831677288886941</v>
      </c>
      <c r="E353" s="0" t="n">
        <v>-0.175632365742229</v>
      </c>
      <c r="F353" s="0" t="n">
        <v>-0.149577466392348</v>
      </c>
      <c r="G353" s="0" t="n">
        <v>-0.184693248880486</v>
      </c>
    </row>
    <row r="354" customFormat="false" ht="15" hidden="false" customHeight="false" outlineLevel="0" collapsed="false">
      <c r="A354" s="0" t="s">
        <v>2163</v>
      </c>
      <c r="B354" s="0" t="n">
        <v>0.446835327176575</v>
      </c>
      <c r="C354" s="0" t="n">
        <v>0.447825064600111</v>
      </c>
      <c r="D354" s="0" t="n">
        <v>-1.25062370500042</v>
      </c>
      <c r="E354" s="0" t="n">
        <v>0.462341700977997</v>
      </c>
      <c r="F354" s="0" t="n">
        <v>-0.196396055030009</v>
      </c>
      <c r="G354" s="0" t="n">
        <v>0.0900176672757445</v>
      </c>
    </row>
    <row r="355" customFormat="false" ht="15" hidden="false" customHeight="false" outlineLevel="0" collapsed="false">
      <c r="A355" s="0" t="s">
        <v>2164</v>
      </c>
      <c r="B355" s="0" t="n">
        <v>1.48253228715572</v>
      </c>
      <c r="C355" s="0" t="n">
        <v>-0.102797703897513</v>
      </c>
      <c r="D355" s="0" t="n">
        <v>-0.881274908488176</v>
      </c>
      <c r="E355" s="0" t="n">
        <v>-0.152160777166021</v>
      </c>
      <c r="F355" s="0" t="n">
        <v>-0.133242808519416</v>
      </c>
      <c r="G355" s="0" t="n">
        <v>-0.213056089084599</v>
      </c>
    </row>
    <row r="356" customFormat="false" ht="15" hidden="false" customHeight="false" outlineLevel="0" collapsed="false">
      <c r="A356" s="0" t="s">
        <v>2165</v>
      </c>
      <c r="B356" s="0" t="n">
        <v>-0.114108520994852</v>
      </c>
      <c r="C356" s="0" t="n">
        <v>-0.106564294882943</v>
      </c>
      <c r="D356" s="0" t="n">
        <v>-0.511250637295714</v>
      </c>
      <c r="E356" s="0" t="n">
        <v>-0.178776494690266</v>
      </c>
      <c r="F356" s="0" t="n">
        <v>-0.0716650453887275</v>
      </c>
      <c r="G356" s="0" t="n">
        <v>0.982364993252501</v>
      </c>
    </row>
    <row r="357" customFormat="false" ht="15" hidden="false" customHeight="false" outlineLevel="0" collapsed="false">
      <c r="A357" s="0" t="s">
        <v>2166</v>
      </c>
      <c r="B357" s="0" t="n">
        <v>-0.138099150207036</v>
      </c>
      <c r="C357" s="0" t="n">
        <v>0.507067341588984</v>
      </c>
      <c r="D357" s="0" t="n">
        <v>-0.233662799928897</v>
      </c>
      <c r="E357" s="0" t="n">
        <v>-0.0384307416842913</v>
      </c>
      <c r="F357" s="0" t="n">
        <v>-0.0390006200345604</v>
      </c>
      <c r="G357" s="0" t="n">
        <v>-0.0578740297341982</v>
      </c>
    </row>
    <row r="358" customFormat="false" ht="15" hidden="false" customHeight="false" outlineLevel="0" collapsed="false">
      <c r="A358" s="0" t="s">
        <v>2167</v>
      </c>
      <c r="B358" s="0" t="n">
        <v>0.307888538691909</v>
      </c>
      <c r="C358" s="0" t="n">
        <v>-0.0884045508581655</v>
      </c>
      <c r="D358" s="0" t="n">
        <v>-0.0422776721513186</v>
      </c>
      <c r="E358" s="0" t="n">
        <v>-0.0912165352291296</v>
      </c>
      <c r="F358" s="0" t="n">
        <v>-0.0458586614383659</v>
      </c>
      <c r="G358" s="0" t="n">
        <v>-0.0401311190149288</v>
      </c>
    </row>
    <row r="359" customFormat="false" ht="15" hidden="false" customHeight="false" outlineLevel="0" collapsed="false">
      <c r="A359" s="0" t="s">
        <v>2168</v>
      </c>
      <c r="B359" s="0" t="n">
        <v>-0.159535305078492</v>
      </c>
      <c r="C359" s="0" t="n">
        <v>-0.0924085175877896</v>
      </c>
      <c r="D359" s="0" t="n">
        <v>-0.05305536207312</v>
      </c>
      <c r="E359" s="0" t="n">
        <v>0.401479625090299</v>
      </c>
      <c r="F359" s="0" t="n">
        <v>-0.0314274226153575</v>
      </c>
      <c r="G359" s="0" t="n">
        <v>-0.0650530177355401</v>
      </c>
    </row>
    <row r="360" customFormat="false" ht="15" hidden="false" customHeight="false" outlineLevel="0" collapsed="false">
      <c r="A360" s="0" t="s">
        <v>2169</v>
      </c>
      <c r="B360" s="0" t="n">
        <v>0.0191622126630393</v>
      </c>
      <c r="C360" s="0" t="n">
        <v>-0.16094630346581</v>
      </c>
      <c r="D360" s="0" t="n">
        <v>-0.0782584654535734</v>
      </c>
      <c r="E360" s="0" t="n">
        <v>-0.135502392955767</v>
      </c>
      <c r="F360" s="0" t="n">
        <v>0.5108024871951</v>
      </c>
      <c r="G360" s="0" t="n">
        <v>-0.155257537982991</v>
      </c>
    </row>
    <row r="361" customFormat="false" ht="15" hidden="false" customHeight="false" outlineLevel="0" collapsed="false">
      <c r="A361" s="0" t="s">
        <v>2170</v>
      </c>
      <c r="B361" s="0" t="n">
        <v>-0.11630091245799</v>
      </c>
      <c r="C361" s="0" t="n">
        <v>-0.151309543965952</v>
      </c>
      <c r="D361" s="0" t="n">
        <v>0.586175190444348</v>
      </c>
      <c r="E361" s="0" t="n">
        <v>-0.114896271755337</v>
      </c>
      <c r="F361" s="0" t="n">
        <v>-0.148765767274339</v>
      </c>
      <c r="G361" s="0" t="n">
        <v>-0.0549026949907312</v>
      </c>
    </row>
    <row r="362" customFormat="false" ht="15" hidden="false" customHeight="false" outlineLevel="0" collapsed="false">
      <c r="A362" s="0" t="s">
        <v>2171</v>
      </c>
      <c r="B362" s="0" t="n">
        <v>-0.0978053815546258</v>
      </c>
      <c r="C362" s="0" t="n">
        <v>-0.840547830132638</v>
      </c>
      <c r="D362" s="0" t="n">
        <v>-0.0420116619467029</v>
      </c>
      <c r="E362" s="0" t="n">
        <v>1.06329271863743</v>
      </c>
      <c r="F362" s="0" t="n">
        <v>-0.0360230988043789</v>
      </c>
      <c r="G362" s="0" t="n">
        <v>-0.0469047461990842</v>
      </c>
    </row>
    <row r="363" customFormat="false" ht="15" hidden="false" customHeight="false" outlineLevel="0" collapsed="false">
      <c r="A363" s="0" t="s">
        <v>2172</v>
      </c>
      <c r="B363" s="0" t="n">
        <v>-0.143182666121271</v>
      </c>
      <c r="C363" s="0" t="n">
        <v>1.52677800031584</v>
      </c>
      <c r="D363" s="0" t="n">
        <v>-0.0706149322230541</v>
      </c>
      <c r="E363" s="0" t="n">
        <v>-1.10564643745641</v>
      </c>
      <c r="F363" s="0" t="n">
        <v>-0.10294197334825</v>
      </c>
      <c r="G363" s="0" t="n">
        <v>-0.104391991166846</v>
      </c>
    </row>
    <row r="364" customFormat="false" ht="15" hidden="false" customHeight="false" outlineLevel="0" collapsed="false">
      <c r="A364" s="0" t="s">
        <v>2173</v>
      </c>
      <c r="B364" s="0" t="n">
        <v>-0.190649182197203</v>
      </c>
      <c r="C364" s="0" t="n">
        <v>-0.191646335661977</v>
      </c>
      <c r="D364" s="0" t="n">
        <v>-0.0934839107411021</v>
      </c>
      <c r="E364" s="0" t="n">
        <v>-0.111027496293919</v>
      </c>
      <c r="F364" s="0" t="n">
        <v>0.728373131700097</v>
      </c>
      <c r="G364" s="0" t="n">
        <v>-0.141566206805898</v>
      </c>
    </row>
    <row r="365" customFormat="false" ht="15" hidden="false" customHeight="false" outlineLevel="0" collapsed="false">
      <c r="A365" s="0" t="s">
        <v>2174</v>
      </c>
      <c r="B365" s="0" t="n">
        <v>-0.0352319917638236</v>
      </c>
      <c r="C365" s="0" t="n">
        <v>-0.128278703116105</v>
      </c>
      <c r="D365" s="0" t="n">
        <v>-0.0972363898957878</v>
      </c>
      <c r="E365" s="0" t="n">
        <v>1.29128547130478</v>
      </c>
      <c r="F365" s="0" t="n">
        <v>-0.0457970837640065</v>
      </c>
      <c r="G365" s="0" t="n">
        <v>-0.984741302765056</v>
      </c>
    </row>
    <row r="366" customFormat="false" ht="15" hidden="false" customHeight="false" outlineLevel="0" collapsed="false">
      <c r="A366" s="0" t="s">
        <v>2175</v>
      </c>
      <c r="B366" s="0" t="n">
        <v>-0.0658629202372431</v>
      </c>
      <c r="C366" s="0" t="n">
        <v>-0.0432348468464601</v>
      </c>
      <c r="D366" s="0" t="n">
        <v>-0.134847837104988</v>
      </c>
      <c r="E366" s="0" t="n">
        <v>0.424231972589165</v>
      </c>
      <c r="F366" s="0" t="n">
        <v>-0.136201731401993</v>
      </c>
      <c r="G366" s="0" t="n">
        <v>-0.0440846369984828</v>
      </c>
    </row>
    <row r="367" customFormat="false" ht="15" hidden="false" customHeight="false" outlineLevel="0" collapsed="false">
      <c r="A367" s="0" t="s">
        <v>2176</v>
      </c>
      <c r="B367" s="0" t="n">
        <v>0.740156763356934</v>
      </c>
      <c r="C367" s="0" t="n">
        <v>-0.083290256922129</v>
      </c>
      <c r="D367" s="0" t="n">
        <v>-0.0488605892832112</v>
      </c>
      <c r="E367" s="0" t="n">
        <v>-0.0699069886352694</v>
      </c>
      <c r="F367" s="0" t="n">
        <v>-0.415499243313337</v>
      </c>
      <c r="G367" s="0" t="n">
        <v>-0.122599685202989</v>
      </c>
    </row>
    <row r="368" customFormat="false" ht="15" hidden="false" customHeight="false" outlineLevel="0" collapsed="false">
      <c r="A368" s="0" t="s">
        <v>2177</v>
      </c>
      <c r="B368" s="0" t="n">
        <v>-0.413688165901604</v>
      </c>
      <c r="C368" s="0" t="n">
        <v>-0.100703587159455</v>
      </c>
      <c r="D368" s="0" t="n">
        <v>0.667471678520255</v>
      </c>
      <c r="E368" s="0" t="n">
        <v>-0.0557664176168696</v>
      </c>
      <c r="F368" s="0" t="n">
        <v>-0.0399846254864041</v>
      </c>
      <c r="G368" s="0" t="n">
        <v>-0.0573288823559212</v>
      </c>
    </row>
    <row r="369" customFormat="false" ht="15" hidden="false" customHeight="false" outlineLevel="0" collapsed="false">
      <c r="A369" s="0" t="s">
        <v>2178</v>
      </c>
      <c r="B369" s="0" t="n">
        <v>-0.105254388231502</v>
      </c>
      <c r="C369" s="0" t="n">
        <v>0.66787404127061</v>
      </c>
      <c r="D369" s="0" t="n">
        <v>-0.0594425175335855</v>
      </c>
      <c r="E369" s="0" t="n">
        <v>-0.0755166139629096</v>
      </c>
      <c r="F369" s="0" t="n">
        <v>-0.373780011461735</v>
      </c>
      <c r="G369" s="0" t="n">
        <v>-0.0538805100808782</v>
      </c>
    </row>
    <row r="370" customFormat="false" ht="15" hidden="false" customHeight="false" outlineLevel="0" collapsed="false">
      <c r="A370" s="0" t="s">
        <v>2179</v>
      </c>
      <c r="B370" s="0" t="n">
        <v>-0.19798002627132</v>
      </c>
      <c r="C370" s="0" t="n">
        <v>-0.131250745564878</v>
      </c>
      <c r="D370" s="0" t="n">
        <v>-0.212112942589525</v>
      </c>
      <c r="E370" s="0" t="n">
        <v>0.873159011488389</v>
      </c>
      <c r="F370" s="0" t="n">
        <v>-0.166037689353901</v>
      </c>
      <c r="G370" s="0" t="n">
        <v>-0.165777607708764</v>
      </c>
    </row>
    <row r="371" customFormat="false" ht="15" hidden="false" customHeight="false" outlineLevel="0" collapsed="false">
      <c r="A371" s="0" t="s">
        <v>2180</v>
      </c>
      <c r="B371" s="0" t="n">
        <v>-0.0549949852078637</v>
      </c>
      <c r="C371" s="0" t="n">
        <v>-0.169602395821134</v>
      </c>
      <c r="D371" s="0" t="n">
        <v>-0.0315205595302789</v>
      </c>
      <c r="E371" s="0" t="n">
        <v>-0.066826139535856</v>
      </c>
      <c r="F371" s="0" t="n">
        <v>-0.0988351667831546</v>
      </c>
      <c r="G371" s="0" t="n">
        <v>0.421779246878287</v>
      </c>
    </row>
    <row r="372" customFormat="false" ht="15" hidden="false" customHeight="false" outlineLevel="0" collapsed="false">
      <c r="A372" s="0" t="s">
        <v>2181</v>
      </c>
      <c r="B372" s="0" t="n">
        <v>-0.0561139800225882</v>
      </c>
      <c r="C372" s="0" t="n">
        <v>-0.0853631375767627</v>
      </c>
      <c r="D372" s="0" t="n">
        <v>-1.28010983604834</v>
      </c>
      <c r="E372" s="0" t="n">
        <v>-0.0551275084136191</v>
      </c>
      <c r="F372" s="0" t="n">
        <v>-0.0475357585959075</v>
      </c>
      <c r="G372" s="0" t="n">
        <v>1.52425022065722</v>
      </c>
    </row>
    <row r="373" customFormat="false" ht="15" hidden="false" customHeight="false" outlineLevel="0" collapsed="false">
      <c r="A373" s="0" t="s">
        <v>2182</v>
      </c>
      <c r="B373" s="0" t="n">
        <v>-0.0971467261306092</v>
      </c>
      <c r="C373" s="0" t="n">
        <v>-0.506715560994662</v>
      </c>
      <c r="D373" s="0" t="n">
        <v>0.922457467794657</v>
      </c>
      <c r="E373" s="0" t="n">
        <v>-0.0634451166096936</v>
      </c>
      <c r="F373" s="0" t="n">
        <v>-0.0771473328142464</v>
      </c>
      <c r="G373" s="0" t="n">
        <v>-0.178002731245445</v>
      </c>
    </row>
    <row r="374" customFormat="false" ht="15" hidden="false" customHeight="false" outlineLevel="0" collapsed="false">
      <c r="A374" s="0" t="s">
        <v>2183</v>
      </c>
      <c r="B374" s="0" t="n">
        <v>-0.0705371637346155</v>
      </c>
      <c r="C374" s="0" t="n">
        <v>-0.03465481235421</v>
      </c>
      <c r="D374" s="0" t="n">
        <v>-0.109392652187494</v>
      </c>
      <c r="E374" s="0" t="n">
        <v>-0.0745105723064543</v>
      </c>
      <c r="F374" s="0" t="n">
        <v>-0.04334923630728</v>
      </c>
      <c r="G374" s="0" t="n">
        <v>0.332444436890055</v>
      </c>
    </row>
    <row r="375" customFormat="false" ht="15" hidden="false" customHeight="false" outlineLevel="0" collapsed="false">
      <c r="A375" s="0" t="s">
        <v>2184</v>
      </c>
      <c r="B375" s="0" t="n">
        <v>-0.0885410956825899</v>
      </c>
      <c r="C375" s="0" t="n">
        <v>-0.0322438543098264</v>
      </c>
      <c r="D375" s="0" t="n">
        <v>-0.167843528924718</v>
      </c>
      <c r="E375" s="0" t="n">
        <v>-0.110488738526732</v>
      </c>
      <c r="F375" s="0" t="n">
        <v>0.444334391573401</v>
      </c>
      <c r="G375" s="0" t="n">
        <v>-0.0452171741295357</v>
      </c>
    </row>
    <row r="376" customFormat="false" ht="15" hidden="false" customHeight="false" outlineLevel="0" collapsed="false">
      <c r="A376" s="0" t="s">
        <v>2185</v>
      </c>
      <c r="B376" s="0" t="n">
        <v>0.515134975483334</v>
      </c>
      <c r="C376" s="0" t="n">
        <v>-0.0444857506284461</v>
      </c>
      <c r="D376" s="0" t="n">
        <v>-0.0605941959612823</v>
      </c>
      <c r="E376" s="0" t="n">
        <v>-0.0705628588696591</v>
      </c>
      <c r="F376" s="0" t="n">
        <v>-0.0559927847091692</v>
      </c>
      <c r="G376" s="0" t="n">
        <v>-0.283499385314778</v>
      </c>
    </row>
    <row r="377" customFormat="false" ht="15" hidden="false" customHeight="false" outlineLevel="0" collapsed="false">
      <c r="A377" s="0" t="s">
        <v>2186</v>
      </c>
      <c r="B377" s="0" t="n">
        <v>-0.722494490869323</v>
      </c>
      <c r="C377" s="0" t="n">
        <v>0.194667225607297</v>
      </c>
      <c r="D377" s="0" t="n">
        <v>-0.496764255061249</v>
      </c>
      <c r="E377" s="0" t="n">
        <v>1.7456645671713</v>
      </c>
      <c r="F377" s="0" t="n">
        <v>-0.426575240638812</v>
      </c>
      <c r="G377" s="0" t="n">
        <v>-0.294497806209215</v>
      </c>
    </row>
    <row r="378" customFormat="false" ht="15" hidden="false" customHeight="false" outlineLevel="0" collapsed="false">
      <c r="A378" s="0" t="s">
        <v>2187</v>
      </c>
      <c r="B378" s="0" t="n">
        <v>-0.722494490869323</v>
      </c>
      <c r="C378" s="0" t="n">
        <v>0.194667225607297</v>
      </c>
      <c r="D378" s="0" t="n">
        <v>-0.496764255061249</v>
      </c>
      <c r="E378" s="0" t="n">
        <v>1.7456645671713</v>
      </c>
      <c r="F378" s="0" t="n">
        <v>-0.426575240638812</v>
      </c>
      <c r="G378" s="0" t="n">
        <v>-0.294497806209215</v>
      </c>
    </row>
    <row r="379" customFormat="false" ht="15" hidden="false" customHeight="false" outlineLevel="0" collapsed="false">
      <c r="A379" s="0" t="s">
        <v>2188</v>
      </c>
      <c r="B379" s="0" t="n">
        <v>-0.203211249929746</v>
      </c>
      <c r="C379" s="0" t="n">
        <v>1.32991995547136</v>
      </c>
      <c r="D379" s="0" t="n">
        <v>-0.319451924034369</v>
      </c>
      <c r="E379" s="0" t="n">
        <v>-0.625209177120638</v>
      </c>
      <c r="F379" s="0" t="n">
        <v>-0.134769480130047</v>
      </c>
      <c r="G379" s="0" t="n">
        <v>-0.0472781242565529</v>
      </c>
    </row>
    <row r="380" customFormat="false" ht="15" hidden="false" customHeight="false" outlineLevel="0" collapsed="false">
      <c r="A380" s="0" t="s">
        <v>2189</v>
      </c>
      <c r="B380" s="0" t="n">
        <v>0.124689322010968</v>
      </c>
      <c r="C380" s="0" t="n">
        <v>-0.782646883233321</v>
      </c>
      <c r="D380" s="0" t="n">
        <v>0.0828212505098434</v>
      </c>
      <c r="E380" s="0" t="n">
        <v>0.206053159846879</v>
      </c>
      <c r="F380" s="0" t="n">
        <v>-0.027298263096414</v>
      </c>
      <c r="G380" s="0" t="n">
        <v>0.396381413962045</v>
      </c>
    </row>
    <row r="381" customFormat="false" ht="15" hidden="false" customHeight="false" outlineLevel="0" collapsed="false">
      <c r="A381" s="0" t="s">
        <v>2190</v>
      </c>
      <c r="B381" s="0" t="n">
        <v>-0.385606234776184</v>
      </c>
      <c r="C381" s="0" t="n">
        <v>2.48714802404714</v>
      </c>
      <c r="D381" s="0" t="n">
        <v>-0.482562851467318</v>
      </c>
      <c r="E381" s="0" t="n">
        <v>-0.992448422631716</v>
      </c>
      <c r="F381" s="0" t="n">
        <v>-0.135611603554749</v>
      </c>
      <c r="G381" s="0" t="n">
        <v>-0.49091891161716</v>
      </c>
    </row>
    <row r="382" customFormat="false" ht="15" hidden="false" customHeight="false" outlineLevel="0" collapsed="false">
      <c r="A382" s="0" t="s">
        <v>2191</v>
      </c>
      <c r="B382" s="0" t="n">
        <v>-0.202539074952396</v>
      </c>
      <c r="C382" s="0" t="n">
        <v>-0.18760241172201</v>
      </c>
      <c r="D382" s="0" t="n">
        <v>-0.397987041667656</v>
      </c>
      <c r="E382" s="0" t="n">
        <v>1.62318523037946</v>
      </c>
      <c r="F382" s="0" t="n">
        <v>-0.440829795723375</v>
      </c>
      <c r="G382" s="0" t="n">
        <v>-0.394226906314023</v>
      </c>
    </row>
    <row r="383" customFormat="false" ht="15" hidden="false" customHeight="false" outlineLevel="0" collapsed="false">
      <c r="A383" s="0" t="s">
        <v>2192</v>
      </c>
      <c r="B383" s="0" t="n">
        <v>-0.167608934970339</v>
      </c>
      <c r="C383" s="0" t="n">
        <v>-0.172292843109777</v>
      </c>
      <c r="D383" s="0" t="n">
        <v>-0.0878997471829369</v>
      </c>
      <c r="E383" s="0" t="n">
        <v>0.629700155284009</v>
      </c>
      <c r="F383" s="0" t="n">
        <v>-0.0534528096637845</v>
      </c>
      <c r="G383" s="0" t="n">
        <v>-0.148445820357171</v>
      </c>
    </row>
    <row r="384" customFormat="false" ht="15" hidden="false" customHeight="false" outlineLevel="0" collapsed="false">
      <c r="A384" s="0" t="s">
        <v>2193</v>
      </c>
      <c r="B384" s="0" t="n">
        <v>-0.0974390940625568</v>
      </c>
      <c r="C384" s="0" t="n">
        <v>-0.108502233038628</v>
      </c>
      <c r="D384" s="0" t="n">
        <v>-0.0908805687024125</v>
      </c>
      <c r="E384" s="0" t="n">
        <v>0.39024062065793</v>
      </c>
      <c r="F384" s="0" t="n">
        <v>-0.0390729281379743</v>
      </c>
      <c r="G384" s="0" t="n">
        <v>-0.0543457967163585</v>
      </c>
    </row>
    <row r="385" customFormat="false" ht="15" hidden="false" customHeight="false" outlineLevel="0" collapsed="false">
      <c r="A385" s="0" t="s">
        <v>2194</v>
      </c>
      <c r="B385" s="0" t="n">
        <v>0.799595620881647</v>
      </c>
      <c r="C385" s="0" t="n">
        <v>-0.161689589769966</v>
      </c>
      <c r="D385" s="0" t="n">
        <v>-0.0959311489951873</v>
      </c>
      <c r="E385" s="0" t="n">
        <v>-0.399637378795483</v>
      </c>
      <c r="F385" s="0" t="n">
        <v>-0.0620256267207357</v>
      </c>
      <c r="G385" s="0" t="n">
        <v>-0.080311876600275</v>
      </c>
    </row>
    <row r="386" customFormat="false" ht="15" hidden="false" customHeight="false" outlineLevel="0" collapsed="false">
      <c r="A386" s="0" t="s">
        <v>2195</v>
      </c>
      <c r="B386" s="0" t="n">
        <v>-0.344733957425782</v>
      </c>
      <c r="C386" s="0" t="n">
        <v>1.5159217599824</v>
      </c>
      <c r="D386" s="0" t="n">
        <v>-0.438270162007679</v>
      </c>
      <c r="E386" s="0" t="n">
        <v>-0.990424864666484</v>
      </c>
      <c r="F386" s="0" t="n">
        <v>-0.104264132845077</v>
      </c>
      <c r="G386" s="0" t="n">
        <v>0.36177135696262</v>
      </c>
    </row>
    <row r="387" customFormat="false" ht="15" hidden="false" customHeight="false" outlineLevel="0" collapsed="false">
      <c r="A387" s="0" t="s">
        <v>2196</v>
      </c>
      <c r="B387" s="0" t="n">
        <v>-0.344733957425782</v>
      </c>
      <c r="C387" s="0" t="n">
        <v>1.5159217599824</v>
      </c>
      <c r="D387" s="0" t="n">
        <v>-0.438270162007679</v>
      </c>
      <c r="E387" s="0" t="n">
        <v>-0.990424864666484</v>
      </c>
      <c r="F387" s="0" t="n">
        <v>-0.104264132845077</v>
      </c>
      <c r="G387" s="0" t="n">
        <v>0.36177135696262</v>
      </c>
    </row>
    <row r="388" customFormat="false" ht="15" hidden="false" customHeight="false" outlineLevel="0" collapsed="false">
      <c r="A388" s="0" t="s">
        <v>2197</v>
      </c>
      <c r="B388" s="0" t="n">
        <v>-0.224614048825322</v>
      </c>
      <c r="C388" s="0" t="n">
        <v>-0.160576036262606</v>
      </c>
      <c r="D388" s="0" t="n">
        <v>-0.80381215599675</v>
      </c>
      <c r="E388" s="0" t="n">
        <v>-0.295926959084719</v>
      </c>
      <c r="F388" s="0" t="n">
        <v>1.88744962063015</v>
      </c>
      <c r="G388" s="0" t="n">
        <v>-0.402520420460752</v>
      </c>
    </row>
    <row r="389" customFormat="false" ht="15" hidden="false" customHeight="false" outlineLevel="0" collapsed="false">
      <c r="A389" s="0" t="s">
        <v>2198</v>
      </c>
      <c r="B389" s="0" t="n">
        <v>-0.224614048825322</v>
      </c>
      <c r="C389" s="0" t="n">
        <v>-0.160576036262606</v>
      </c>
      <c r="D389" s="0" t="n">
        <v>-0.80381215599675</v>
      </c>
      <c r="E389" s="0" t="n">
        <v>-0.295926959084719</v>
      </c>
      <c r="F389" s="0" t="n">
        <v>1.88744962063015</v>
      </c>
      <c r="G389" s="0" t="n">
        <v>-0.402520420460752</v>
      </c>
    </row>
    <row r="390" customFormat="false" ht="15" hidden="false" customHeight="false" outlineLevel="0" collapsed="false">
      <c r="A390" s="0" t="s">
        <v>2199</v>
      </c>
      <c r="B390" s="0" t="n">
        <v>-0.381531857538657</v>
      </c>
      <c r="C390" s="0" t="n">
        <v>-0.64335280384658</v>
      </c>
      <c r="D390" s="0" t="n">
        <v>-0.177666062292628</v>
      </c>
      <c r="E390" s="0" t="n">
        <v>-0.0601591776793544</v>
      </c>
      <c r="F390" s="0" t="n">
        <v>-0.71591140447729</v>
      </c>
      <c r="G390" s="0" t="n">
        <v>1.97862130583451</v>
      </c>
    </row>
    <row r="391" customFormat="false" ht="15" hidden="false" customHeight="false" outlineLevel="0" collapsed="false">
      <c r="A391" s="0" t="s">
        <v>2200</v>
      </c>
      <c r="B391" s="0" t="n">
        <v>0.812640196790363</v>
      </c>
      <c r="C391" s="0" t="n">
        <v>-0.0629867220059226</v>
      </c>
      <c r="D391" s="0" t="n">
        <v>-0.0474188702009201</v>
      </c>
      <c r="E391" s="0" t="n">
        <v>-0.0431334763141172</v>
      </c>
      <c r="F391" s="0" t="n">
        <v>-0.0201049899041654</v>
      </c>
      <c r="G391" s="0" t="n">
        <v>-0.638996138365239</v>
      </c>
    </row>
    <row r="392" customFormat="false" ht="15" hidden="false" customHeight="false" outlineLevel="0" collapsed="false">
      <c r="A392" s="0" t="s">
        <v>2201</v>
      </c>
      <c r="B392" s="0" t="n">
        <v>-0.0804715422802096</v>
      </c>
      <c r="C392" s="0" t="n">
        <v>-0.0716383303848863</v>
      </c>
      <c r="D392" s="0" t="n">
        <v>-0.112148734719768</v>
      </c>
      <c r="E392" s="0" t="n">
        <v>0.541147967465594</v>
      </c>
      <c r="F392" s="0" t="n">
        <v>-0.0548696007766975</v>
      </c>
      <c r="G392" s="0" t="n">
        <v>-0.222019759304033</v>
      </c>
    </row>
    <row r="393" customFormat="false" ht="15" hidden="false" customHeight="false" outlineLevel="0" collapsed="false">
      <c r="A393" s="0" t="s">
        <v>1806</v>
      </c>
      <c r="B393" s="0" t="n">
        <v>-0.381531857538657</v>
      </c>
      <c r="C393" s="0" t="n">
        <v>-0.64335280384658</v>
      </c>
      <c r="D393" s="0" t="n">
        <v>-0.177666062292628</v>
      </c>
      <c r="E393" s="0" t="n">
        <v>-0.0601591776793544</v>
      </c>
      <c r="F393" s="0" t="n">
        <v>-0.71591140447729</v>
      </c>
      <c r="G393" s="0" t="n">
        <v>1.97862130583451</v>
      </c>
    </row>
    <row r="394" customFormat="false" ht="15" hidden="false" customHeight="false" outlineLevel="0" collapsed="false">
      <c r="A394" s="0" t="s">
        <v>2202</v>
      </c>
      <c r="B394" s="0" t="n">
        <v>-0.381531857538657</v>
      </c>
      <c r="C394" s="0" t="n">
        <v>-0.64335280384658</v>
      </c>
      <c r="D394" s="0" t="n">
        <v>-0.177666062292628</v>
      </c>
      <c r="E394" s="0" t="n">
        <v>-0.0601591776793544</v>
      </c>
      <c r="F394" s="0" t="n">
        <v>-0.71591140447729</v>
      </c>
      <c r="G394" s="0" t="n">
        <v>1.97862130583451</v>
      </c>
    </row>
    <row r="395" customFormat="false" ht="15" hidden="false" customHeight="false" outlineLevel="0" collapsed="false">
      <c r="A395" s="0" t="s">
        <v>2203</v>
      </c>
      <c r="B395" s="0" t="n">
        <v>-0.48577134820262</v>
      </c>
      <c r="C395" s="0" t="n">
        <v>-0.0358179416853186</v>
      </c>
      <c r="D395" s="0" t="n">
        <v>-0.304040714864746</v>
      </c>
      <c r="E395" s="0" t="n">
        <v>-0.402984099949762</v>
      </c>
      <c r="F395" s="0" t="n">
        <v>1.39506457857624</v>
      </c>
      <c r="G395" s="0" t="n">
        <v>-0.166450473873793</v>
      </c>
    </row>
    <row r="396" customFormat="false" ht="15" hidden="false" customHeight="false" outlineLevel="0" collapsed="false">
      <c r="A396" s="0" t="s">
        <v>2204</v>
      </c>
      <c r="B396" s="0" t="n">
        <v>-0.48577134820262</v>
      </c>
      <c r="C396" s="0" t="n">
        <v>-0.0358179416853186</v>
      </c>
      <c r="D396" s="0" t="n">
        <v>-0.304040714864746</v>
      </c>
      <c r="E396" s="0" t="n">
        <v>-0.402984099949762</v>
      </c>
      <c r="F396" s="0" t="n">
        <v>1.39506457857624</v>
      </c>
      <c r="G396" s="0" t="n">
        <v>-0.166450473873793</v>
      </c>
    </row>
    <row r="397" customFormat="false" ht="15" hidden="false" customHeight="false" outlineLevel="0" collapsed="false">
      <c r="A397" s="0" t="s">
        <v>2205</v>
      </c>
      <c r="B397" s="0" t="n">
        <v>-0.434431775925902</v>
      </c>
      <c r="C397" s="0" t="n">
        <v>-0.109784041871958</v>
      </c>
      <c r="D397" s="0" t="n">
        <v>-0.595133328410633</v>
      </c>
      <c r="E397" s="0" t="n">
        <v>0.103509717331573</v>
      </c>
      <c r="F397" s="0" t="n">
        <v>-0.36252139470386</v>
      </c>
      <c r="G397" s="0" t="n">
        <v>1.39836082358078</v>
      </c>
    </row>
    <row r="398" customFormat="false" ht="15" hidden="false" customHeight="false" outlineLevel="0" collapsed="false">
      <c r="A398" s="0" t="s">
        <v>2206</v>
      </c>
      <c r="B398" s="0" t="n">
        <v>-0.0611313278122303</v>
      </c>
      <c r="C398" s="0" t="n">
        <v>-0.0966629213939115</v>
      </c>
      <c r="D398" s="0" t="n">
        <v>-0.0648517987711499</v>
      </c>
      <c r="E398" s="0" t="n">
        <v>1.0367260756543</v>
      </c>
      <c r="F398" s="0" t="n">
        <v>-0.0958967873105944</v>
      </c>
      <c r="G398" s="0" t="n">
        <v>-0.718183240366416</v>
      </c>
    </row>
    <row r="399" customFormat="false" ht="15" hidden="false" customHeight="false" outlineLevel="0" collapsed="false">
      <c r="A399" s="0" t="s">
        <v>2207</v>
      </c>
      <c r="B399" s="0" t="n">
        <v>0.347817232718311</v>
      </c>
      <c r="C399" s="0" t="n">
        <v>-0.193796894250818</v>
      </c>
      <c r="D399" s="0" t="n">
        <v>-0.0496465215418242</v>
      </c>
      <c r="E399" s="0" t="n">
        <v>-0.191517183578628</v>
      </c>
      <c r="F399" s="0" t="n">
        <v>-0.118291117066501</v>
      </c>
      <c r="G399" s="0" t="n">
        <v>0.20543448371946</v>
      </c>
    </row>
    <row r="400" customFormat="false" ht="15" hidden="false" customHeight="false" outlineLevel="0" collapsed="false">
      <c r="A400" s="0" t="s">
        <v>2208</v>
      </c>
      <c r="B400" s="0" t="n">
        <v>-0.0648151038783074</v>
      </c>
      <c r="C400" s="0" t="n">
        <v>-0.0792775390808415</v>
      </c>
      <c r="D400" s="0" t="n">
        <v>-0.0362148956840487</v>
      </c>
      <c r="E400" s="0" t="n">
        <v>-0.160474917401155</v>
      </c>
      <c r="F400" s="0" t="n">
        <v>-0.0493889727655839</v>
      </c>
      <c r="G400" s="0" t="n">
        <v>0.390171428809936</v>
      </c>
    </row>
    <row r="401" customFormat="false" ht="15" hidden="false" customHeight="false" outlineLevel="0" collapsed="false">
      <c r="A401" s="0" t="s">
        <v>2209</v>
      </c>
      <c r="B401" s="0" t="n">
        <v>-0.0334430782854378</v>
      </c>
      <c r="C401" s="0" t="n">
        <v>0.471982275301912</v>
      </c>
      <c r="D401" s="0" t="n">
        <v>-0.0795638858153302</v>
      </c>
      <c r="E401" s="0" t="n">
        <v>-0.161731832866386</v>
      </c>
      <c r="F401" s="0" t="n">
        <v>0.324577633029046</v>
      </c>
      <c r="G401" s="0" t="n">
        <v>-0.521821111363805</v>
      </c>
    </row>
    <row r="402" customFormat="false" ht="15" hidden="false" customHeight="false" outlineLevel="0" collapsed="false">
      <c r="A402" s="0" t="s">
        <v>2210</v>
      </c>
      <c r="B402" s="0" t="n">
        <v>0.523473783724844</v>
      </c>
      <c r="C402" s="0" t="n">
        <v>-0.179731922929117</v>
      </c>
      <c r="D402" s="0" t="n">
        <v>0.335969545628901</v>
      </c>
      <c r="E402" s="0" t="n">
        <v>-1.124155240787</v>
      </c>
      <c r="F402" s="0" t="n">
        <v>0.200029278337295</v>
      </c>
      <c r="G402" s="0" t="n">
        <v>0.244414556025077</v>
      </c>
    </row>
    <row r="403" customFormat="false" ht="15" hidden="false" customHeight="false" outlineLevel="0" collapsed="false">
      <c r="A403" s="0" t="s">
        <v>2211</v>
      </c>
      <c r="B403" s="0" t="n">
        <v>-0.16933538219864</v>
      </c>
      <c r="C403" s="0" t="n">
        <v>-0.0668543552062342</v>
      </c>
      <c r="D403" s="0" t="n">
        <v>0.218551310606647</v>
      </c>
      <c r="E403" s="0" t="n">
        <v>-0.0841046887394767</v>
      </c>
      <c r="F403" s="0" t="n">
        <v>-0.0411501003230809</v>
      </c>
      <c r="G403" s="0" t="n">
        <v>0.142893215860785</v>
      </c>
    </row>
    <row r="404" customFormat="false" ht="15" hidden="false" customHeight="false" outlineLevel="0" collapsed="false">
      <c r="A404" s="0" t="s">
        <v>2212</v>
      </c>
      <c r="B404" s="0" t="n">
        <v>-0.0370197619829654</v>
      </c>
      <c r="C404" s="0" t="n">
        <v>-0.118999863743715</v>
      </c>
      <c r="D404" s="0" t="n">
        <v>0.193736945128358</v>
      </c>
      <c r="E404" s="0" t="n">
        <v>-0.168085903394711</v>
      </c>
      <c r="F404" s="0" t="n">
        <v>-0.122905154721809</v>
      </c>
      <c r="G404" s="0" t="n">
        <v>0.253273738714843</v>
      </c>
    </row>
    <row r="405" customFormat="false" ht="15" hidden="false" customHeight="false" outlineLevel="0" collapsed="false">
      <c r="A405" s="0" t="s">
        <v>2213</v>
      </c>
      <c r="B405" s="0" t="n">
        <v>0.0598966187736337</v>
      </c>
      <c r="C405" s="0" t="n">
        <v>-0.178100692804684</v>
      </c>
      <c r="D405" s="0" t="n">
        <v>-0.272277990575795</v>
      </c>
      <c r="E405" s="0" t="n">
        <v>-0.230396391007616</v>
      </c>
      <c r="F405" s="0" t="n">
        <v>0.64036533178732</v>
      </c>
      <c r="G405" s="0" t="n">
        <v>-0.0194868761728591</v>
      </c>
    </row>
    <row r="406" customFormat="false" ht="15" hidden="false" customHeight="false" outlineLevel="0" collapsed="false">
      <c r="A406" s="0" t="s">
        <v>2214</v>
      </c>
      <c r="B406" s="0" t="n">
        <v>-0.082791945744178</v>
      </c>
      <c r="C406" s="0" t="n">
        <v>0.306480666885939</v>
      </c>
      <c r="D406" s="0" t="n">
        <v>0.192204681035485</v>
      </c>
      <c r="E406" s="0" t="n">
        <v>-0.210419280668616</v>
      </c>
      <c r="F406" s="0" t="n">
        <v>-0.0811468545574381</v>
      </c>
      <c r="G406" s="0" t="n">
        <v>-0.124327266951192</v>
      </c>
    </row>
    <row r="407" customFormat="false" ht="15" hidden="false" customHeight="false" outlineLevel="0" collapsed="false">
      <c r="A407" s="0" t="s">
        <v>2215</v>
      </c>
      <c r="B407" s="0" t="n">
        <v>0.724434543159511</v>
      </c>
      <c r="C407" s="0" t="n">
        <v>-0.122090818077685</v>
      </c>
      <c r="D407" s="0" t="n">
        <v>0.0298700854694394</v>
      </c>
      <c r="E407" s="0" t="n">
        <v>-0.341697299539081</v>
      </c>
      <c r="F407" s="0" t="n">
        <v>-0.313236240631328</v>
      </c>
      <c r="G407" s="0" t="n">
        <v>0.0227197296191438</v>
      </c>
    </row>
    <row r="408" customFormat="false" ht="15" hidden="false" customHeight="false" outlineLevel="0" collapsed="false">
      <c r="A408" s="0" t="s">
        <v>2216</v>
      </c>
      <c r="B408" s="0" t="n">
        <v>1.26527619534933</v>
      </c>
      <c r="C408" s="0" t="n">
        <v>-0.52578734843386</v>
      </c>
      <c r="D408" s="0" t="n">
        <v>-0.239142614668176</v>
      </c>
      <c r="E408" s="0" t="n">
        <v>-0.240822357486135</v>
      </c>
      <c r="F408" s="0" t="n">
        <v>-0.203182222648353</v>
      </c>
      <c r="G408" s="0" t="n">
        <v>-0.0563416521128023</v>
      </c>
    </row>
    <row r="409" customFormat="false" ht="15" hidden="false" customHeight="false" outlineLevel="0" collapsed="false">
      <c r="A409" s="0" t="s">
        <v>2217</v>
      </c>
      <c r="B409" s="0" t="n">
        <v>1.26527619534933</v>
      </c>
      <c r="C409" s="0" t="n">
        <v>-0.52578734843386</v>
      </c>
      <c r="D409" s="0" t="n">
        <v>-0.239142614668176</v>
      </c>
      <c r="E409" s="0" t="n">
        <v>-0.240822357486135</v>
      </c>
      <c r="F409" s="0" t="n">
        <v>-0.203182222648353</v>
      </c>
      <c r="G409" s="0" t="n">
        <v>-0.0563416521128023</v>
      </c>
    </row>
    <row r="410" customFormat="false" ht="15" hidden="false" customHeight="false" outlineLevel="0" collapsed="false">
      <c r="A410" s="0" t="s">
        <v>2218</v>
      </c>
      <c r="B410" s="0" t="n">
        <v>-0.344001518996423</v>
      </c>
      <c r="C410" s="0" t="n">
        <v>-0.563458086368713</v>
      </c>
      <c r="D410" s="0" t="n">
        <v>0.00885393151946994</v>
      </c>
      <c r="E410" s="0" t="n">
        <v>1.42644090964744</v>
      </c>
      <c r="F410" s="0" t="n">
        <v>-0.00409919928881286</v>
      </c>
      <c r="G410" s="0" t="n">
        <v>-0.52373603651296</v>
      </c>
    </row>
    <row r="411" customFormat="false" ht="15" hidden="false" customHeight="false" outlineLevel="0" collapsed="false">
      <c r="A411" s="0" t="s">
        <v>2219</v>
      </c>
      <c r="B411" s="0" t="n">
        <v>-0.344001518996423</v>
      </c>
      <c r="C411" s="0" t="n">
        <v>-0.563458086368713</v>
      </c>
      <c r="D411" s="0" t="n">
        <v>0.00885393151946994</v>
      </c>
      <c r="E411" s="0" t="n">
        <v>1.42644090964744</v>
      </c>
      <c r="F411" s="0" t="n">
        <v>-0.00409919928881286</v>
      </c>
      <c r="G411" s="0" t="n">
        <v>-0.52373603651296</v>
      </c>
    </row>
    <row r="412" customFormat="false" ht="15" hidden="false" customHeight="false" outlineLevel="0" collapsed="false">
      <c r="A412" s="0" t="s">
        <v>2220</v>
      </c>
      <c r="B412" s="0" t="n">
        <v>-0.385370170477344</v>
      </c>
      <c r="C412" s="0" t="n">
        <v>-0.1492774872605</v>
      </c>
      <c r="D412" s="0" t="n">
        <v>-0.0622350857281997</v>
      </c>
      <c r="E412" s="0" t="n">
        <v>-0.445529580746176</v>
      </c>
      <c r="F412" s="0" t="n">
        <v>1.05110369351205</v>
      </c>
      <c r="G412" s="0" t="n">
        <v>-0.00869136929983087</v>
      </c>
    </row>
    <row r="413" customFormat="false" ht="15" hidden="false" customHeight="false" outlineLevel="0" collapsed="false">
      <c r="A413" s="0" t="s">
        <v>2221</v>
      </c>
      <c r="B413" s="0" t="n">
        <v>-0.385370170477344</v>
      </c>
      <c r="C413" s="0" t="n">
        <v>-0.1492774872605</v>
      </c>
      <c r="D413" s="0" t="n">
        <v>-0.0622350857281997</v>
      </c>
      <c r="E413" s="0" t="n">
        <v>-0.445529580746176</v>
      </c>
      <c r="F413" s="0" t="n">
        <v>1.05110369351205</v>
      </c>
      <c r="G413" s="0" t="n">
        <v>-0.00869136929983087</v>
      </c>
    </row>
    <row r="414" customFormat="false" ht="15" hidden="false" customHeight="false" outlineLevel="0" collapsed="false">
      <c r="A414" s="0" t="s">
        <v>2222</v>
      </c>
      <c r="B414" s="0" t="n">
        <v>1.42343550921402</v>
      </c>
      <c r="C414" s="0" t="n">
        <v>-0.571972355915645</v>
      </c>
      <c r="D414" s="0" t="n">
        <v>-0.267317648670718</v>
      </c>
      <c r="E414" s="0" t="n">
        <v>-0.31699181606131</v>
      </c>
      <c r="F414" s="0" t="n">
        <v>-0.31435743412322</v>
      </c>
      <c r="G414" s="0" t="n">
        <v>0.0472037455568697</v>
      </c>
    </row>
    <row r="415" customFormat="false" ht="15" hidden="false" customHeight="false" outlineLevel="0" collapsed="false">
      <c r="A415" s="0" t="s">
        <v>2223</v>
      </c>
      <c r="B415" s="0" t="n">
        <v>1.42343550921402</v>
      </c>
      <c r="C415" s="0" t="n">
        <v>-0.571972355915645</v>
      </c>
      <c r="D415" s="0" t="n">
        <v>-0.267317648670718</v>
      </c>
      <c r="E415" s="0" t="n">
        <v>-0.31699181606131</v>
      </c>
      <c r="F415" s="0" t="n">
        <v>-0.31435743412322</v>
      </c>
      <c r="G415" s="0" t="n">
        <v>0.0472037455568697</v>
      </c>
    </row>
    <row r="416" customFormat="false" ht="15" hidden="false" customHeight="false" outlineLevel="0" collapsed="false">
      <c r="A416" s="0" t="s">
        <v>2224</v>
      </c>
      <c r="B416" s="0" t="n">
        <v>0.0967195568874466</v>
      </c>
      <c r="C416" s="0" t="n">
        <v>-0.252812058441956</v>
      </c>
      <c r="D416" s="0" t="n">
        <v>-0.345449997588121</v>
      </c>
      <c r="E416" s="0" t="n">
        <v>-0.0724591951410359</v>
      </c>
      <c r="F416" s="0" t="n">
        <v>-0.350297331089051</v>
      </c>
      <c r="G416" s="0" t="n">
        <v>0.924299025372716</v>
      </c>
    </row>
    <row r="417" customFormat="false" ht="15" hidden="false" customHeight="false" outlineLevel="0" collapsed="false">
      <c r="A417" s="0" t="s">
        <v>2225</v>
      </c>
      <c r="B417" s="0" t="n">
        <v>0.0967195568874466</v>
      </c>
      <c r="C417" s="0" t="n">
        <v>-0.252812058441956</v>
      </c>
      <c r="D417" s="0" t="n">
        <v>-0.345449997588121</v>
      </c>
      <c r="E417" s="0" t="n">
        <v>-0.0724591951410359</v>
      </c>
      <c r="F417" s="0" t="n">
        <v>-0.350297331089051</v>
      </c>
      <c r="G417" s="0" t="n">
        <v>0.924299025372716</v>
      </c>
    </row>
    <row r="418" customFormat="false" ht="15" hidden="false" customHeight="false" outlineLevel="0" collapsed="false">
      <c r="A418" s="0" t="s">
        <v>2226</v>
      </c>
      <c r="B418" s="0" t="n">
        <v>-0.49815013899857</v>
      </c>
      <c r="C418" s="0" t="n">
        <v>-0.363066725338844</v>
      </c>
      <c r="D418" s="0" t="n">
        <v>-0.64646255282402</v>
      </c>
      <c r="E418" s="0" t="n">
        <v>1.78415110614208</v>
      </c>
      <c r="F418" s="0" t="n">
        <v>-0.0572130604728744</v>
      </c>
      <c r="G418" s="0" t="n">
        <v>-0.219258628507774</v>
      </c>
    </row>
    <row r="419" customFormat="false" ht="15" hidden="false" customHeight="false" outlineLevel="0" collapsed="false">
      <c r="A419" s="0" t="s">
        <v>2227</v>
      </c>
      <c r="B419" s="0" t="n">
        <v>-0.0708713228411283</v>
      </c>
      <c r="C419" s="0" t="n">
        <v>-0.125674555465151</v>
      </c>
      <c r="D419" s="0" t="n">
        <v>-0.061743333691913</v>
      </c>
      <c r="E419" s="0" t="n">
        <v>0.38703626608854</v>
      </c>
      <c r="F419" s="0" t="n">
        <v>-0.0903464461703266</v>
      </c>
      <c r="G419" s="0" t="n">
        <v>-0.0384006079200217</v>
      </c>
    </row>
    <row r="420" customFormat="false" ht="15" hidden="false" customHeight="false" outlineLevel="0" collapsed="false">
      <c r="A420" s="0" t="s">
        <v>2228</v>
      </c>
      <c r="B420" s="0" t="n">
        <v>0.949556509791378</v>
      </c>
      <c r="C420" s="0" t="n">
        <v>-0.568194380569405</v>
      </c>
      <c r="D420" s="0" t="n">
        <v>-0.267355338600481</v>
      </c>
      <c r="E420" s="0" t="n">
        <v>0.0964125929453259</v>
      </c>
      <c r="F420" s="0" t="n">
        <v>-0.235286073936407</v>
      </c>
      <c r="G420" s="0" t="n">
        <v>0.0248666903695883</v>
      </c>
    </row>
    <row r="421" customFormat="false" ht="15" hidden="false" customHeight="false" outlineLevel="0" collapsed="false">
      <c r="A421" s="0" t="s">
        <v>2229</v>
      </c>
      <c r="B421" s="0" t="n">
        <v>0.244869024495172</v>
      </c>
      <c r="C421" s="0" t="n">
        <v>-0.146640718989491</v>
      </c>
      <c r="D421" s="0" t="n">
        <v>-0.245048402929563</v>
      </c>
      <c r="E421" s="0" t="n">
        <v>0.206860604652855</v>
      </c>
      <c r="F421" s="0" t="n">
        <v>-0.207995143840246</v>
      </c>
      <c r="G421" s="0" t="n">
        <v>0.147954636611271</v>
      </c>
    </row>
    <row r="422" customFormat="false" ht="15" hidden="false" customHeight="false" outlineLevel="0" collapsed="false">
      <c r="A422" s="0" t="s">
        <v>2230</v>
      </c>
      <c r="B422" s="0" t="n">
        <v>-0.296516098431539</v>
      </c>
      <c r="C422" s="0" t="n">
        <v>1.95514519134363</v>
      </c>
      <c r="D422" s="0" t="n">
        <v>-0.579637068723121</v>
      </c>
      <c r="E422" s="0" t="n">
        <v>-0.148493626369924</v>
      </c>
      <c r="F422" s="0" t="n">
        <v>-0.449141876319909</v>
      </c>
      <c r="G422" s="0" t="n">
        <v>-0.481356521499139</v>
      </c>
    </row>
    <row r="423" customFormat="false" ht="15" hidden="false" customHeight="false" outlineLevel="0" collapsed="false">
      <c r="A423" s="0" t="s">
        <v>2231</v>
      </c>
      <c r="B423" s="0" t="n">
        <v>-0.296516098431539</v>
      </c>
      <c r="C423" s="0" t="n">
        <v>1.95514519134363</v>
      </c>
      <c r="D423" s="0" t="n">
        <v>-0.579637068723121</v>
      </c>
      <c r="E423" s="0" t="n">
        <v>-0.148493626369924</v>
      </c>
      <c r="F423" s="0" t="n">
        <v>-0.449141876319909</v>
      </c>
      <c r="G423" s="0" t="n">
        <v>-0.481356521499139</v>
      </c>
    </row>
    <row r="424" customFormat="false" ht="15" hidden="false" customHeight="false" outlineLevel="0" collapsed="false">
      <c r="A424" s="0" t="s">
        <v>2232</v>
      </c>
      <c r="B424" s="0" t="n">
        <v>-0.224614048825322</v>
      </c>
      <c r="C424" s="0" t="n">
        <v>-0.160576036262606</v>
      </c>
      <c r="D424" s="0" t="n">
        <v>-0.80381215599675</v>
      </c>
      <c r="E424" s="0" t="n">
        <v>-0.295926959084719</v>
      </c>
      <c r="F424" s="0" t="n">
        <v>1.88744962063015</v>
      </c>
      <c r="G424" s="0" t="n">
        <v>-0.402520420460752</v>
      </c>
    </row>
    <row r="425" customFormat="false" ht="15" hidden="false" customHeight="false" outlineLevel="0" collapsed="false">
      <c r="A425" s="0" t="s">
        <v>2233</v>
      </c>
      <c r="B425" s="0" t="n">
        <v>-0.224614048825322</v>
      </c>
      <c r="C425" s="0" t="n">
        <v>-0.160576036262606</v>
      </c>
      <c r="D425" s="0" t="n">
        <v>-0.80381215599675</v>
      </c>
      <c r="E425" s="0" t="n">
        <v>-0.295926959084719</v>
      </c>
      <c r="F425" s="0" t="n">
        <v>1.88744962063015</v>
      </c>
      <c r="G425" s="0" t="n">
        <v>-0.402520420460752</v>
      </c>
    </row>
    <row r="426" customFormat="false" ht="15" hidden="false" customHeight="false" outlineLevel="0" collapsed="false">
      <c r="A426" s="0" t="s">
        <v>1820</v>
      </c>
      <c r="B426" s="0" t="n">
        <v>1.94617407048948</v>
      </c>
      <c r="C426" s="0" t="n">
        <v>-0.963006872658303</v>
      </c>
      <c r="D426" s="0" t="n">
        <v>-0.44593306183059</v>
      </c>
      <c r="E426" s="0" t="n">
        <v>-0.124139348217951</v>
      </c>
      <c r="F426" s="0" t="n">
        <v>-0.386104893514566</v>
      </c>
      <c r="G426" s="0" t="n">
        <v>-0.0269898942680685</v>
      </c>
    </row>
    <row r="427" customFormat="false" ht="15" hidden="false" customHeight="false" outlineLevel="0" collapsed="false">
      <c r="A427" s="0" t="s">
        <v>2234</v>
      </c>
      <c r="B427" s="0" t="n">
        <v>0.949556509791378</v>
      </c>
      <c r="C427" s="0" t="n">
        <v>-0.568194380569405</v>
      </c>
      <c r="D427" s="0" t="n">
        <v>-0.267355338600481</v>
      </c>
      <c r="E427" s="0" t="n">
        <v>0.0964125929453259</v>
      </c>
      <c r="F427" s="0" t="n">
        <v>-0.235286073936407</v>
      </c>
      <c r="G427" s="0" t="n">
        <v>0.0248666903695883</v>
      </c>
    </row>
    <row r="428" customFormat="false" ht="15" hidden="false" customHeight="false" outlineLevel="0" collapsed="false">
      <c r="A428" s="0" t="s">
        <v>2235</v>
      </c>
      <c r="B428" s="0" t="n">
        <v>0.560783061306314</v>
      </c>
      <c r="C428" s="0" t="n">
        <v>-0.210185687006598</v>
      </c>
      <c r="D428" s="0" t="n">
        <v>0.0918340525454376</v>
      </c>
      <c r="E428" s="0" t="n">
        <v>-0.027584048503181</v>
      </c>
      <c r="F428" s="0" t="n">
        <v>-0.516194456484737</v>
      </c>
      <c r="G428" s="0" t="n">
        <v>0.101347078142763</v>
      </c>
    </row>
    <row r="429" customFormat="false" ht="15" hidden="false" customHeight="false" outlineLevel="0" collapsed="false">
      <c r="A429" s="0" t="s">
        <v>2236</v>
      </c>
      <c r="B429" s="0" t="n">
        <v>-0.865064268617857</v>
      </c>
      <c r="C429" s="0" t="n">
        <v>0.0287319458333727</v>
      </c>
      <c r="D429" s="0" t="n">
        <v>0.39248489638003</v>
      </c>
      <c r="E429" s="0" t="n">
        <v>0.353724380479317</v>
      </c>
      <c r="F429" s="0" t="n">
        <v>0.123485167424211</v>
      </c>
      <c r="G429" s="0" t="n">
        <v>-0.0333621214990741</v>
      </c>
    </row>
    <row r="430" customFormat="false" ht="15" hidden="false" customHeight="false" outlineLevel="0" collapsed="false">
      <c r="A430" s="0" t="s">
        <v>2237</v>
      </c>
      <c r="B430" s="0" t="n">
        <v>1.77849168191391</v>
      </c>
      <c r="C430" s="0" t="n">
        <v>-0.309164994670726</v>
      </c>
      <c r="D430" s="0" t="n">
        <v>-0.354840052786652</v>
      </c>
      <c r="E430" s="0" t="n">
        <v>-0.463865253987753</v>
      </c>
      <c r="F430" s="0" t="n">
        <v>-0.823290586893941</v>
      </c>
      <c r="G430" s="0" t="n">
        <v>0.172669206425162</v>
      </c>
    </row>
    <row r="431" customFormat="false" ht="15" hidden="false" customHeight="false" outlineLevel="0" collapsed="false">
      <c r="A431" s="0" t="s">
        <v>2238</v>
      </c>
      <c r="B431" s="0" t="n">
        <v>0.102881058385481</v>
      </c>
      <c r="C431" s="0" t="n">
        <v>0.0668106595304631</v>
      </c>
      <c r="D431" s="0" t="n">
        <v>-0.794108355490163</v>
      </c>
      <c r="E431" s="0" t="n">
        <v>0.374584401022381</v>
      </c>
      <c r="F431" s="0" t="n">
        <v>0.127457058066766</v>
      </c>
      <c r="G431" s="0" t="n">
        <v>0.122375178485071</v>
      </c>
    </row>
    <row r="432" customFormat="false" ht="15" hidden="false" customHeight="false" outlineLevel="0" collapsed="false">
      <c r="A432" s="0" t="s">
        <v>2239</v>
      </c>
      <c r="B432" s="0" t="n">
        <v>0.115804654264442</v>
      </c>
      <c r="C432" s="0" t="n">
        <v>-0.0261160318894545</v>
      </c>
      <c r="D432" s="0" t="n">
        <v>-0.140277156862702</v>
      </c>
      <c r="E432" s="0" t="n">
        <v>-0.190983058381972</v>
      </c>
      <c r="F432" s="0" t="n">
        <v>0.40097420678646</v>
      </c>
      <c r="G432" s="0" t="n">
        <v>-0.159402613916774</v>
      </c>
    </row>
    <row r="433" customFormat="false" ht="15" hidden="false" customHeight="false" outlineLevel="0" collapsed="false">
      <c r="A433" s="0" t="s">
        <v>2240</v>
      </c>
      <c r="B433" s="0" t="n">
        <v>0.362134611843396</v>
      </c>
      <c r="C433" s="0" t="n">
        <v>-0.239967240723665</v>
      </c>
      <c r="D433" s="0" t="n">
        <v>-0.184835329009338</v>
      </c>
      <c r="E433" s="0" t="n">
        <v>0.181391758881235</v>
      </c>
      <c r="F433" s="0" t="n">
        <v>0.077677612841047</v>
      </c>
      <c r="G433" s="0" t="n">
        <v>-0.196401413832676</v>
      </c>
    </row>
    <row r="434" customFormat="false" ht="15" hidden="false" customHeight="false" outlineLevel="0" collapsed="false">
      <c r="A434" s="0" t="s">
        <v>2241</v>
      </c>
      <c r="B434" s="0" t="n">
        <v>-0.207422992353562</v>
      </c>
      <c r="C434" s="0" t="n">
        <v>-0.350736976629955</v>
      </c>
      <c r="D434" s="0" t="n">
        <v>-0.174305642086999</v>
      </c>
      <c r="E434" s="0" t="n">
        <v>0.109945810669231</v>
      </c>
      <c r="F434" s="0" t="n">
        <v>0.233058567212697</v>
      </c>
      <c r="G434" s="0" t="n">
        <v>0.389461233188588</v>
      </c>
    </row>
    <row r="435" customFormat="false" ht="15" hidden="false" customHeight="false" outlineLevel="0" collapsed="false">
      <c r="A435" s="0" t="s">
        <v>2242</v>
      </c>
      <c r="B435" s="0" t="n">
        <v>-0.0864936821519511</v>
      </c>
      <c r="C435" s="0" t="n">
        <v>-0.109007972232927</v>
      </c>
      <c r="D435" s="0" t="n">
        <v>-0.181268522932527</v>
      </c>
      <c r="E435" s="0" t="n">
        <v>0.247399000878389</v>
      </c>
      <c r="F435" s="0" t="n">
        <v>-0.163851313605638</v>
      </c>
      <c r="G435" s="0" t="n">
        <v>0.293222490044654</v>
      </c>
    </row>
    <row r="436" customFormat="false" ht="15" hidden="false" customHeight="false" outlineLevel="0" collapsed="false">
      <c r="A436" s="0" t="s">
        <v>2243</v>
      </c>
      <c r="B436" s="0" t="n">
        <v>-0.0956062695713571</v>
      </c>
      <c r="C436" s="0" t="n">
        <v>0.304186556870535</v>
      </c>
      <c r="D436" s="0" t="n">
        <v>-0.105899895450467</v>
      </c>
      <c r="E436" s="0" t="n">
        <v>-0.161885979468996</v>
      </c>
      <c r="F436" s="0" t="n">
        <v>-0.148853668108397</v>
      </c>
      <c r="G436" s="0" t="n">
        <v>0.208059255728683</v>
      </c>
    </row>
    <row r="437" customFormat="false" ht="15" hidden="false" customHeight="false" outlineLevel="0" collapsed="false">
      <c r="A437" s="0" t="s">
        <v>2244</v>
      </c>
      <c r="B437" s="0" t="n">
        <v>-0.499572719089293</v>
      </c>
      <c r="C437" s="0" t="n">
        <v>-0.0405057032937161</v>
      </c>
      <c r="D437" s="0" t="n">
        <v>1.54665464856343</v>
      </c>
      <c r="E437" s="0" t="n">
        <v>-0.313432671078449</v>
      </c>
      <c r="F437" s="0" t="n">
        <v>-0.248776778329101</v>
      </c>
      <c r="G437" s="0" t="n">
        <v>-0.444366776772876</v>
      </c>
    </row>
    <row r="438" customFormat="false" ht="15" hidden="false" customHeight="false" outlineLevel="0" collapsed="false">
      <c r="A438" s="0" t="s">
        <v>2245</v>
      </c>
      <c r="B438" s="0" t="n">
        <v>-0.499572719089293</v>
      </c>
      <c r="C438" s="0" t="n">
        <v>-0.0405057032937161</v>
      </c>
      <c r="D438" s="0" t="n">
        <v>1.54665464856343</v>
      </c>
      <c r="E438" s="0" t="n">
        <v>-0.313432671078449</v>
      </c>
      <c r="F438" s="0" t="n">
        <v>-0.248776778329101</v>
      </c>
      <c r="G438" s="0" t="n">
        <v>-0.444366776772876</v>
      </c>
    </row>
    <row r="439" customFormat="false" ht="15" hidden="false" customHeight="false" outlineLevel="0" collapsed="false">
      <c r="A439" s="0" t="s">
        <v>2246</v>
      </c>
      <c r="B439" s="0" t="n">
        <v>-0.408015846641305</v>
      </c>
      <c r="C439" s="0" t="n">
        <v>-1.06669335775879</v>
      </c>
      <c r="D439" s="0" t="n">
        <v>1.59906422943553</v>
      </c>
      <c r="E439" s="0" t="n">
        <v>0.250230134640816</v>
      </c>
      <c r="F439" s="0" t="n">
        <v>-0.247682380213925</v>
      </c>
      <c r="G439" s="0" t="n">
        <v>-0.126902779462331</v>
      </c>
    </row>
    <row r="440" customFormat="false" ht="15" hidden="false" customHeight="false" outlineLevel="0" collapsed="false">
      <c r="A440" s="0" t="s">
        <v>2247</v>
      </c>
      <c r="B440" s="0" t="n">
        <v>0.546115485267849</v>
      </c>
      <c r="C440" s="0" t="n">
        <v>-0.978449132908938</v>
      </c>
      <c r="D440" s="0" t="n">
        <v>-0.637241244630656</v>
      </c>
      <c r="E440" s="0" t="n">
        <v>0.722006614092295</v>
      </c>
      <c r="F440" s="0" t="n">
        <v>0.211006689092658</v>
      </c>
      <c r="G440" s="0" t="n">
        <v>0.136561589086793</v>
      </c>
    </row>
    <row r="441" customFormat="false" ht="15" hidden="false" customHeight="false" outlineLevel="0" collapsed="false">
      <c r="A441" s="0" t="s">
        <v>2248</v>
      </c>
      <c r="B441" s="0" t="n">
        <v>0.437287967985548</v>
      </c>
      <c r="C441" s="0" t="n">
        <v>0.537476956023315</v>
      </c>
      <c r="D441" s="0" t="n">
        <v>-0.647590092822547</v>
      </c>
      <c r="E441" s="0" t="n">
        <v>-0.636400633780505</v>
      </c>
      <c r="F441" s="0" t="n">
        <v>-0.604246682515061</v>
      </c>
      <c r="G441" s="0" t="n">
        <v>0.913472485109254</v>
      </c>
    </row>
    <row r="442" customFormat="false" ht="15" hidden="false" customHeight="false" outlineLevel="0" collapsed="false">
      <c r="A442" s="0" t="s">
        <v>2249</v>
      </c>
      <c r="B442" s="0" t="n">
        <v>0.437287967985548</v>
      </c>
      <c r="C442" s="0" t="n">
        <v>0.537476956023315</v>
      </c>
      <c r="D442" s="0" t="n">
        <v>-0.647590092822547</v>
      </c>
      <c r="E442" s="0" t="n">
        <v>-0.636400633780505</v>
      </c>
      <c r="F442" s="0" t="n">
        <v>-0.604246682515061</v>
      </c>
      <c r="G442" s="0" t="n">
        <v>0.913472485109254</v>
      </c>
    </row>
    <row r="443" customFormat="false" ht="15" hidden="false" customHeight="false" outlineLevel="0" collapsed="false">
      <c r="A443" s="0" t="s">
        <v>2250</v>
      </c>
      <c r="B443" s="0" t="n">
        <v>-1.23763155072676</v>
      </c>
      <c r="C443" s="0" t="n">
        <v>-0.459464732741934</v>
      </c>
      <c r="D443" s="0" t="n">
        <v>1.41597826066195</v>
      </c>
      <c r="E443" s="0" t="n">
        <v>-0.388354403987883</v>
      </c>
      <c r="F443" s="0" t="n">
        <v>-0.870327466589047</v>
      </c>
      <c r="G443" s="0" t="n">
        <v>1.53979989338368</v>
      </c>
    </row>
    <row r="444" customFormat="false" ht="15" hidden="false" customHeight="false" outlineLevel="0" collapsed="false">
      <c r="A444" s="0" t="s">
        <v>2251</v>
      </c>
      <c r="B444" s="0" t="n">
        <v>-0.0713495889253547</v>
      </c>
      <c r="C444" s="0" t="n">
        <v>-0.0905735274745262</v>
      </c>
      <c r="D444" s="0" t="n">
        <v>0.180047424642209</v>
      </c>
      <c r="E444" s="0" t="n">
        <v>-0.18839965465536</v>
      </c>
      <c r="F444" s="0" t="n">
        <v>-0.0669759465887819</v>
      </c>
      <c r="G444" s="0" t="n">
        <v>0.237251293001814</v>
      </c>
    </row>
    <row r="445" customFormat="false" ht="15" hidden="false" customHeight="false" outlineLevel="0" collapsed="false">
      <c r="A445" s="0" t="s">
        <v>2252</v>
      </c>
      <c r="B445" s="0" t="n">
        <v>-0.0712842021515175</v>
      </c>
      <c r="C445" s="0" t="n">
        <v>0.489782746062591</v>
      </c>
      <c r="D445" s="0" t="n">
        <v>-0.0777784986552554</v>
      </c>
      <c r="E445" s="0" t="n">
        <v>-0.153694283396948</v>
      </c>
      <c r="F445" s="0" t="n">
        <v>-0.042603537316038</v>
      </c>
      <c r="G445" s="0" t="n">
        <v>-0.144422224542832</v>
      </c>
    </row>
    <row r="446" customFormat="false" ht="15" hidden="false" customHeight="false" outlineLevel="0" collapsed="false">
      <c r="A446" s="0" t="s">
        <v>2253</v>
      </c>
      <c r="B446" s="0" t="n">
        <v>-0.445195342997202</v>
      </c>
      <c r="C446" s="0" t="n">
        <v>-0.28475897482936</v>
      </c>
      <c r="D446" s="0" t="n">
        <v>-0.356085213980781</v>
      </c>
      <c r="E446" s="0" t="n">
        <v>-0.305582859936992</v>
      </c>
      <c r="F446" s="0" t="n">
        <v>-0.139456604541534</v>
      </c>
      <c r="G446" s="0" t="n">
        <v>1.53107899628587</v>
      </c>
    </row>
    <row r="447" customFormat="false" ht="15" hidden="false" customHeight="false" outlineLevel="0" collapsed="false">
      <c r="A447" s="0" t="s">
        <v>2254</v>
      </c>
      <c r="B447" s="0" t="n">
        <v>-0.0654588940988899</v>
      </c>
      <c r="C447" s="0" t="n">
        <v>-0.0779982020968598</v>
      </c>
      <c r="D447" s="0" t="n">
        <v>0.0434476875383345</v>
      </c>
      <c r="E447" s="0" t="n">
        <v>-0.16710021557337</v>
      </c>
      <c r="F447" s="0" t="n">
        <v>-0.106685382969472</v>
      </c>
      <c r="G447" s="0" t="n">
        <v>0.373795007200256</v>
      </c>
    </row>
    <row r="448" customFormat="false" ht="15" hidden="false" customHeight="false" outlineLevel="0" collapsed="false">
      <c r="A448" s="0" t="s">
        <v>2255</v>
      </c>
      <c r="B448" s="0" t="n">
        <v>0.389947678291985</v>
      </c>
      <c r="C448" s="0" t="n">
        <v>0.267054666009312</v>
      </c>
      <c r="D448" s="0" t="n">
        <v>0.437794300697245</v>
      </c>
      <c r="E448" s="0" t="n">
        <v>-0.369891880868891</v>
      </c>
      <c r="F448" s="0" t="n">
        <v>-0.355556201104015</v>
      </c>
      <c r="G448" s="0" t="n">
        <v>-0.369348563025634</v>
      </c>
    </row>
    <row r="449" customFormat="false" ht="15" hidden="false" customHeight="false" outlineLevel="0" collapsed="false">
      <c r="A449" s="0" t="s">
        <v>2256</v>
      </c>
      <c r="B449" s="0" t="n">
        <v>0.389947678291985</v>
      </c>
      <c r="C449" s="0" t="n">
        <v>0.267054666009312</v>
      </c>
      <c r="D449" s="0" t="n">
        <v>0.437794300697245</v>
      </c>
      <c r="E449" s="0" t="n">
        <v>-0.369891880868891</v>
      </c>
      <c r="F449" s="0" t="n">
        <v>-0.355556201104015</v>
      </c>
      <c r="G449" s="0" t="n">
        <v>-0.369348563025634</v>
      </c>
    </row>
    <row r="450" customFormat="false" ht="15" hidden="false" customHeight="false" outlineLevel="0" collapsed="false">
      <c r="A450" s="0" t="s">
        <v>2257</v>
      </c>
      <c r="B450" s="0" t="n">
        <v>-0.440158426354846</v>
      </c>
      <c r="C450" s="0" t="n">
        <v>-0.307752981638995</v>
      </c>
      <c r="D450" s="0" t="n">
        <v>-0.333024508142676</v>
      </c>
      <c r="E450" s="0" t="n">
        <v>1.58254511868199</v>
      </c>
      <c r="F450" s="0" t="n">
        <v>0.160597668251942</v>
      </c>
      <c r="G450" s="0" t="n">
        <v>-0.662206870797412</v>
      </c>
    </row>
    <row r="451" customFormat="false" ht="15" hidden="false" customHeight="false" outlineLevel="0" collapsed="false">
      <c r="A451" s="0" t="s">
        <v>2258</v>
      </c>
      <c r="B451" s="0" t="n">
        <v>-0.156107411955554</v>
      </c>
      <c r="C451" s="0" t="n">
        <v>0.136117095053449</v>
      </c>
      <c r="D451" s="0" t="n">
        <v>-0.708630511935673</v>
      </c>
      <c r="E451" s="0" t="n">
        <v>1.30328912887465</v>
      </c>
      <c r="F451" s="0" t="n">
        <v>-0.334791274411603</v>
      </c>
      <c r="G451" s="0" t="n">
        <v>-0.239877025625274</v>
      </c>
    </row>
    <row r="452" customFormat="false" ht="15" hidden="false" customHeight="false" outlineLevel="0" collapsed="false">
      <c r="A452" s="0" t="s">
        <v>2259</v>
      </c>
      <c r="B452" s="0" t="n">
        <v>-0.156107411955554</v>
      </c>
      <c r="C452" s="0" t="n">
        <v>0.136117095053449</v>
      </c>
      <c r="D452" s="0" t="n">
        <v>-0.708630511935673</v>
      </c>
      <c r="E452" s="0" t="n">
        <v>1.30328912887465</v>
      </c>
      <c r="F452" s="0" t="n">
        <v>-0.334791274411603</v>
      </c>
      <c r="G452" s="0" t="n">
        <v>-0.239877025625274</v>
      </c>
    </row>
    <row r="453" customFormat="false" ht="15" hidden="false" customHeight="false" outlineLevel="0" collapsed="false">
      <c r="A453" s="0" t="s">
        <v>2260</v>
      </c>
      <c r="B453" s="0" t="n">
        <v>-0.296516098431539</v>
      </c>
      <c r="C453" s="0" t="n">
        <v>1.95514519134363</v>
      </c>
      <c r="D453" s="0" t="n">
        <v>-0.579637068723121</v>
      </c>
      <c r="E453" s="0" t="n">
        <v>-0.148493626369924</v>
      </c>
      <c r="F453" s="0" t="n">
        <v>-0.449141876319909</v>
      </c>
      <c r="G453" s="0" t="n">
        <v>-0.481356521499139</v>
      </c>
    </row>
    <row r="454" customFormat="false" ht="15" hidden="false" customHeight="false" outlineLevel="0" collapsed="false">
      <c r="A454" s="0" t="s">
        <v>2261</v>
      </c>
      <c r="B454" s="0" t="n">
        <v>-0.296516098431539</v>
      </c>
      <c r="C454" s="0" t="n">
        <v>1.95514519134363</v>
      </c>
      <c r="D454" s="0" t="n">
        <v>-0.579637068723121</v>
      </c>
      <c r="E454" s="0" t="n">
        <v>-0.148493626369924</v>
      </c>
      <c r="F454" s="0" t="n">
        <v>-0.449141876319909</v>
      </c>
      <c r="G454" s="0" t="n">
        <v>-0.481356521499139</v>
      </c>
    </row>
    <row r="455" customFormat="false" ht="15" hidden="false" customHeight="false" outlineLevel="0" collapsed="false">
      <c r="A455" s="0" t="s">
        <v>2262</v>
      </c>
      <c r="B455" s="0" t="n">
        <v>-0.739643350515931</v>
      </c>
      <c r="C455" s="0" t="n">
        <v>1.78488379915499</v>
      </c>
      <c r="D455" s="0" t="n">
        <v>-0.138723626876353</v>
      </c>
      <c r="E455" s="0" t="n">
        <v>0.0543624995473707</v>
      </c>
      <c r="F455" s="0" t="n">
        <v>-0.350949857866757</v>
      </c>
      <c r="G455" s="0" t="n">
        <v>-0.609929463443318</v>
      </c>
    </row>
    <row r="456" customFormat="false" ht="15" hidden="false" customHeight="false" outlineLevel="0" collapsed="false">
      <c r="A456" s="0" t="s">
        <v>2263</v>
      </c>
      <c r="B456" s="0" t="n">
        <v>-0.739643350515931</v>
      </c>
      <c r="C456" s="0" t="n">
        <v>1.78488379915499</v>
      </c>
      <c r="D456" s="0" t="n">
        <v>-0.138723626876353</v>
      </c>
      <c r="E456" s="0" t="n">
        <v>0.0543624995473707</v>
      </c>
      <c r="F456" s="0" t="n">
        <v>-0.350949857866757</v>
      </c>
      <c r="G456" s="0" t="n">
        <v>-0.609929463443318</v>
      </c>
    </row>
    <row r="457" customFormat="false" ht="15" hidden="false" customHeight="false" outlineLevel="0" collapsed="false">
      <c r="A457" s="0" t="s">
        <v>2264</v>
      </c>
      <c r="B457" s="0" t="n">
        <v>1.46746161424564</v>
      </c>
      <c r="C457" s="0" t="n">
        <v>0.0588047293973666</v>
      </c>
      <c r="D457" s="0" t="n">
        <v>-0.432793918033473</v>
      </c>
      <c r="E457" s="0" t="n">
        <v>-1.1778135274312</v>
      </c>
      <c r="F457" s="0" t="n">
        <v>0.691965221644355</v>
      </c>
      <c r="G457" s="0" t="n">
        <v>-0.607624119822686</v>
      </c>
    </row>
    <row r="458" customFormat="false" ht="15" hidden="false" customHeight="false" outlineLevel="0" collapsed="false">
      <c r="A458" s="0" t="s">
        <v>2265</v>
      </c>
      <c r="B458" s="0" t="n">
        <v>-0.385370170477344</v>
      </c>
      <c r="C458" s="0" t="n">
        <v>-0.1492774872605</v>
      </c>
      <c r="D458" s="0" t="n">
        <v>-0.0622350857281997</v>
      </c>
      <c r="E458" s="0" t="n">
        <v>-0.445529580746176</v>
      </c>
      <c r="F458" s="0" t="n">
        <v>1.05110369351205</v>
      </c>
      <c r="G458" s="0" t="n">
        <v>-0.00869136929983087</v>
      </c>
    </row>
    <row r="459" customFormat="false" ht="15" hidden="false" customHeight="false" outlineLevel="0" collapsed="false">
      <c r="A459" s="0" t="s">
        <v>2266</v>
      </c>
      <c r="B459" s="0" t="n">
        <v>2.13994689971615</v>
      </c>
      <c r="C459" s="0" t="n">
        <v>0.224548472514436</v>
      </c>
      <c r="D459" s="0" t="n">
        <v>-0.448717041043254</v>
      </c>
      <c r="E459" s="0" t="n">
        <v>-0.934748664800088</v>
      </c>
      <c r="F459" s="0" t="n">
        <v>-0.269449554550695</v>
      </c>
      <c r="G459" s="0" t="n">
        <v>-0.711580111836545</v>
      </c>
    </row>
    <row r="460" customFormat="false" ht="15" hidden="false" customHeight="false" outlineLevel="0" collapsed="false">
      <c r="A460" s="0" t="s">
        <v>1800</v>
      </c>
      <c r="B460" s="0" t="n">
        <v>-0.381531857538657</v>
      </c>
      <c r="C460" s="0" t="n">
        <v>-0.64335280384658</v>
      </c>
      <c r="D460" s="0" t="n">
        <v>-0.177666062292628</v>
      </c>
      <c r="E460" s="0" t="n">
        <v>-0.0601591776793544</v>
      </c>
      <c r="F460" s="0" t="n">
        <v>-0.71591140447729</v>
      </c>
      <c r="G460" s="0" t="n">
        <v>1.97862130583451</v>
      </c>
    </row>
    <row r="461" customFormat="false" ht="15" hidden="false" customHeight="false" outlineLevel="0" collapsed="false">
      <c r="A461" s="0" t="s">
        <v>2267</v>
      </c>
      <c r="B461" s="0" t="n">
        <v>-0.381531857538657</v>
      </c>
      <c r="C461" s="0" t="n">
        <v>-0.64335280384658</v>
      </c>
      <c r="D461" s="0" t="n">
        <v>-0.177666062292628</v>
      </c>
      <c r="E461" s="0" t="n">
        <v>-0.0601591776793544</v>
      </c>
      <c r="F461" s="0" t="n">
        <v>-0.71591140447729</v>
      </c>
      <c r="G461" s="0" t="n">
        <v>1.97862130583451</v>
      </c>
    </row>
    <row r="462" customFormat="false" ht="15" hidden="false" customHeight="false" outlineLevel="0" collapsed="false">
      <c r="A462" s="0" t="s">
        <v>2268</v>
      </c>
      <c r="B462" s="0" t="n">
        <v>-0.483289916561187</v>
      </c>
      <c r="C462" s="0" t="n">
        <v>-0.360175540876812</v>
      </c>
      <c r="D462" s="0" t="n">
        <v>1.59377577126579</v>
      </c>
      <c r="E462" s="0" t="n">
        <v>-0.449109062374783</v>
      </c>
      <c r="F462" s="0" t="n">
        <v>0.0141175484436702</v>
      </c>
      <c r="G462" s="0" t="n">
        <v>-0.31531879989668</v>
      </c>
    </row>
    <row r="463" customFormat="false" ht="15" hidden="false" customHeight="false" outlineLevel="0" collapsed="false">
      <c r="A463" s="0" t="s">
        <v>2269</v>
      </c>
      <c r="B463" s="0" t="n">
        <v>-0.0772179710870494</v>
      </c>
      <c r="C463" s="0" t="n">
        <v>-0.0990534072057112</v>
      </c>
      <c r="D463" s="0" t="n">
        <v>0.00992211880468105</v>
      </c>
      <c r="E463" s="0" t="n">
        <v>-0.0600255659699201</v>
      </c>
      <c r="F463" s="0" t="n">
        <v>0.324805064090982</v>
      </c>
      <c r="G463" s="0" t="n">
        <v>-0.0984302386329819</v>
      </c>
    </row>
    <row r="464" customFormat="false" ht="15" hidden="false" customHeight="false" outlineLevel="0" collapsed="false">
      <c r="A464" s="0" t="s">
        <v>2270</v>
      </c>
      <c r="B464" s="0" t="n">
        <v>-0.0698000397202691</v>
      </c>
      <c r="C464" s="0" t="n">
        <v>-0.0716053668088546</v>
      </c>
      <c r="D464" s="0" t="n">
        <v>-0.201910563680491</v>
      </c>
      <c r="E464" s="0" t="n">
        <v>-0.0488470588052888</v>
      </c>
      <c r="F464" s="0" t="n">
        <v>0.486900463120476</v>
      </c>
      <c r="G464" s="0" t="n">
        <v>-0.094737434105573</v>
      </c>
    </row>
    <row r="465" customFormat="false" ht="15" hidden="false" customHeight="false" outlineLevel="0" collapsed="false">
      <c r="A465" s="0" t="s">
        <v>2271</v>
      </c>
      <c r="B465" s="0" t="n">
        <v>1.77849168191391</v>
      </c>
      <c r="C465" s="0" t="n">
        <v>-0.309164994670726</v>
      </c>
      <c r="D465" s="0" t="n">
        <v>-0.354840052786652</v>
      </c>
      <c r="E465" s="0" t="n">
        <v>-0.463865253987753</v>
      </c>
      <c r="F465" s="0" t="n">
        <v>-0.823290586893941</v>
      </c>
      <c r="G465" s="0" t="n">
        <v>0.172669206425162</v>
      </c>
    </row>
    <row r="466" customFormat="false" ht="15" hidden="false" customHeight="false" outlineLevel="0" collapsed="false">
      <c r="A466" s="0" t="s">
        <v>2272</v>
      </c>
      <c r="B466" s="0" t="n">
        <v>1.77849168191391</v>
      </c>
      <c r="C466" s="0" t="n">
        <v>-0.309164994670726</v>
      </c>
      <c r="D466" s="0" t="n">
        <v>-0.354840052786652</v>
      </c>
      <c r="E466" s="0" t="n">
        <v>-0.463865253987753</v>
      </c>
      <c r="F466" s="0" t="n">
        <v>-0.823290586893941</v>
      </c>
      <c r="G466" s="0" t="n">
        <v>0.172669206425162</v>
      </c>
    </row>
    <row r="467" customFormat="false" ht="15" hidden="false" customHeight="false" outlineLevel="0" collapsed="false">
      <c r="A467" s="0" t="s">
        <v>2273</v>
      </c>
      <c r="B467" s="0" t="n">
        <v>1.07331621270011</v>
      </c>
      <c r="C467" s="0" t="n">
        <v>-1.26964295996593</v>
      </c>
      <c r="D467" s="0" t="n">
        <v>-0.454064352725182</v>
      </c>
      <c r="E467" s="0" t="n">
        <v>-0.890397602800576</v>
      </c>
      <c r="F467" s="0" t="n">
        <v>1.12296607698019</v>
      </c>
      <c r="G467" s="0" t="n">
        <v>0.417822625811386</v>
      </c>
    </row>
    <row r="468" customFormat="false" ht="15" hidden="false" customHeight="false" outlineLevel="0" collapsed="false">
      <c r="A468" s="0" t="s">
        <v>2274</v>
      </c>
      <c r="B468" s="0" t="n">
        <v>-0.00975622128613464</v>
      </c>
      <c r="C468" s="0" t="n">
        <v>-0.0839153588741203</v>
      </c>
      <c r="D468" s="0" t="n">
        <v>-0.0970888013464153</v>
      </c>
      <c r="E468" s="0" t="n">
        <v>0.493205848606905</v>
      </c>
      <c r="F468" s="0" t="n">
        <v>-0.138154733620843</v>
      </c>
      <c r="G468" s="0" t="n">
        <v>-0.164290733479392</v>
      </c>
    </row>
    <row r="469" customFormat="false" ht="15" hidden="false" customHeight="false" outlineLevel="0" collapsed="false">
      <c r="A469" s="0" t="s">
        <v>2275</v>
      </c>
      <c r="B469" s="0" t="n">
        <v>-0.385370170477344</v>
      </c>
      <c r="C469" s="0" t="n">
        <v>-0.1492774872605</v>
      </c>
      <c r="D469" s="0" t="n">
        <v>-0.0622350857281997</v>
      </c>
      <c r="E469" s="0" t="n">
        <v>-0.445529580746176</v>
      </c>
      <c r="F469" s="0" t="n">
        <v>1.05110369351205</v>
      </c>
      <c r="G469" s="0" t="n">
        <v>-0.00869136929983087</v>
      </c>
    </row>
    <row r="470" customFormat="false" ht="15" hidden="false" customHeight="false" outlineLevel="0" collapsed="false">
      <c r="A470" s="0" t="s">
        <v>2276</v>
      </c>
      <c r="B470" s="0" t="n">
        <v>0.340541974276576</v>
      </c>
      <c r="C470" s="0" t="n">
        <v>-0.0589211169875138</v>
      </c>
      <c r="D470" s="0" t="n">
        <v>-0.0684736226468951</v>
      </c>
      <c r="E470" s="0" t="n">
        <v>-0.0563994770255217</v>
      </c>
      <c r="F470" s="0" t="n">
        <v>-0.085803762960489</v>
      </c>
      <c r="G470" s="0" t="n">
        <v>-0.0709439946561562</v>
      </c>
    </row>
    <row r="471" customFormat="false" ht="15" hidden="false" customHeight="false" outlineLevel="0" collapsed="false">
      <c r="A471" s="0" t="s">
        <v>2277</v>
      </c>
      <c r="B471" s="0" t="n">
        <v>-0.407181196017297</v>
      </c>
      <c r="C471" s="0" t="n">
        <v>-0.445691357938634</v>
      </c>
      <c r="D471" s="0" t="n">
        <v>-0.364649695283311</v>
      </c>
      <c r="E471" s="0" t="n">
        <v>-0.260776034715845</v>
      </c>
      <c r="F471" s="0" t="n">
        <v>1.72817576525129</v>
      </c>
      <c r="G471" s="0" t="n">
        <v>-0.249877481296198</v>
      </c>
    </row>
    <row r="472" customFormat="false" ht="15" hidden="false" customHeight="false" outlineLevel="0" collapsed="false">
      <c r="A472" s="0" t="s">
        <v>2278</v>
      </c>
      <c r="B472" s="0" t="n">
        <v>-0.109847083725778</v>
      </c>
      <c r="C472" s="0" t="n">
        <v>-0.075523180938876</v>
      </c>
      <c r="D472" s="0" t="n">
        <v>-0.0816727722869706</v>
      </c>
      <c r="E472" s="0" t="n">
        <v>-0.0753522861554138</v>
      </c>
      <c r="F472" s="0" t="n">
        <v>-0.0699263550270136</v>
      </c>
      <c r="G472" s="0" t="n">
        <v>0.412321678134052</v>
      </c>
    </row>
    <row r="473" customFormat="false" ht="15" hidden="false" customHeight="false" outlineLevel="0" collapsed="false">
      <c r="A473" s="0" t="s">
        <v>2279</v>
      </c>
      <c r="B473" s="0" t="n">
        <v>-0.445195342997202</v>
      </c>
      <c r="C473" s="0" t="n">
        <v>-0.28475897482936</v>
      </c>
      <c r="D473" s="0" t="n">
        <v>-0.356085213980781</v>
      </c>
      <c r="E473" s="0" t="n">
        <v>-0.305582859936992</v>
      </c>
      <c r="F473" s="0" t="n">
        <v>-0.139456604541534</v>
      </c>
      <c r="G473" s="0" t="n">
        <v>1.53107899628587</v>
      </c>
    </row>
    <row r="474" customFormat="false" ht="15" hidden="false" customHeight="false" outlineLevel="0" collapsed="false">
      <c r="A474" s="0" t="s">
        <v>2280</v>
      </c>
      <c r="B474" s="0" t="n">
        <v>-0.444477263263782</v>
      </c>
      <c r="C474" s="0" t="n">
        <v>-0.0572431297625</v>
      </c>
      <c r="D474" s="0" t="n">
        <v>-0.0554614743611707</v>
      </c>
      <c r="E474" s="0" t="n">
        <v>0.42863014985054</v>
      </c>
      <c r="F474" s="0" t="n">
        <v>0.207313404000854</v>
      </c>
      <c r="G474" s="0" t="n">
        <v>-0.0787616864639409</v>
      </c>
    </row>
    <row r="475" customFormat="false" ht="15" hidden="false" customHeight="false" outlineLevel="0" collapsed="false">
      <c r="A475" s="0" t="s">
        <v>2281</v>
      </c>
      <c r="B475" s="0" t="n">
        <v>-0.195223922001935</v>
      </c>
      <c r="C475" s="0" t="n">
        <v>-0.385378830600792</v>
      </c>
      <c r="D475" s="0" t="n">
        <v>1.29470820415003</v>
      </c>
      <c r="E475" s="0" t="n">
        <v>0.0271493762007708</v>
      </c>
      <c r="F475" s="0" t="n">
        <v>-0.289755500265131</v>
      </c>
      <c r="G475" s="0" t="n">
        <v>-0.451499327482946</v>
      </c>
    </row>
    <row r="476" customFormat="false" ht="15" hidden="false" customHeight="false" outlineLevel="0" collapsed="false">
      <c r="A476" s="0" t="s">
        <v>2282</v>
      </c>
      <c r="B476" s="0" t="n">
        <v>1.48911202085109</v>
      </c>
      <c r="C476" s="0" t="n">
        <v>-0.155449886618511</v>
      </c>
      <c r="D476" s="0" t="n">
        <v>-0.437360221706679</v>
      </c>
      <c r="E476" s="0" t="n">
        <v>-0.293979752302666</v>
      </c>
      <c r="F476" s="0" t="n">
        <v>-0.289772323129561</v>
      </c>
      <c r="G476" s="0" t="n">
        <v>-0.312549837093673</v>
      </c>
    </row>
    <row r="477" customFormat="false" ht="15" hidden="false" customHeight="false" outlineLevel="0" collapsed="false">
      <c r="A477" s="0" t="s">
        <v>2283</v>
      </c>
      <c r="B477" s="0" t="n">
        <v>-0.327959682621175</v>
      </c>
      <c r="C477" s="0" t="n">
        <v>-0.326950484145731</v>
      </c>
      <c r="D477" s="0" t="n">
        <v>0.409700663393966</v>
      </c>
      <c r="E477" s="0" t="n">
        <v>1.45774830217128</v>
      </c>
      <c r="F477" s="0" t="n">
        <v>-0.636088379809783</v>
      </c>
      <c r="G477" s="0" t="n">
        <v>-0.57645041898856</v>
      </c>
    </row>
    <row r="478" customFormat="false" ht="15" hidden="false" customHeight="false" outlineLevel="0" collapsed="false">
      <c r="A478" s="0" t="s">
        <v>2284</v>
      </c>
      <c r="B478" s="0" t="n">
        <v>-0.0350856042031293</v>
      </c>
      <c r="C478" s="0" t="n">
        <v>-0.151774828018937</v>
      </c>
      <c r="D478" s="0" t="n">
        <v>1.24041197331634</v>
      </c>
      <c r="E478" s="0" t="n">
        <v>-0.381671832333795</v>
      </c>
      <c r="F478" s="0" t="n">
        <v>-0.500865651504358</v>
      </c>
      <c r="G478" s="0" t="n">
        <v>-0.171014057256124</v>
      </c>
    </row>
    <row r="479" customFormat="false" ht="15" hidden="false" customHeight="false" outlineLevel="0" collapsed="false">
      <c r="A479" s="0" t="s">
        <v>2285</v>
      </c>
      <c r="B479" s="0" t="n">
        <v>-0.191182360275445</v>
      </c>
      <c r="C479" s="0" t="n">
        <v>0.291708924675846</v>
      </c>
      <c r="D479" s="0" t="n">
        <v>-0.170600271870607</v>
      </c>
      <c r="E479" s="0" t="n">
        <v>0.263852257964229</v>
      </c>
      <c r="F479" s="0" t="n">
        <v>-0.105137468779052</v>
      </c>
      <c r="G479" s="0" t="n">
        <v>-0.0886410817149718</v>
      </c>
    </row>
    <row r="480" customFormat="false" ht="15" hidden="false" customHeight="false" outlineLevel="0" collapsed="false">
      <c r="A480" s="0" t="s">
        <v>2286</v>
      </c>
      <c r="B480" s="0" t="n">
        <v>0.340094030500844</v>
      </c>
      <c r="C480" s="0" t="n">
        <v>-0.159439664194167</v>
      </c>
      <c r="D480" s="0" t="n">
        <v>-0.143830179506136</v>
      </c>
      <c r="E480" s="0" t="n">
        <v>-0.131296294996342</v>
      </c>
      <c r="F480" s="0" t="n">
        <v>-0.104804263969094</v>
      </c>
      <c r="G480" s="0" t="n">
        <v>0.199276372164896</v>
      </c>
    </row>
    <row r="481" customFormat="false" ht="15" hidden="false" customHeight="false" outlineLevel="0" collapsed="false">
      <c r="A481" s="0" t="s">
        <v>2287</v>
      </c>
      <c r="B481" s="0" t="n">
        <v>-0.182836039420889</v>
      </c>
      <c r="C481" s="0" t="n">
        <v>-0.161652455193368</v>
      </c>
      <c r="D481" s="0" t="n">
        <v>-0.193836170643686</v>
      </c>
      <c r="E481" s="0" t="n">
        <v>0.814354832998689</v>
      </c>
      <c r="F481" s="0" t="n">
        <v>-0.116443767034968</v>
      </c>
      <c r="G481" s="0" t="n">
        <v>-0.159586400705778</v>
      </c>
    </row>
    <row r="482" customFormat="false" ht="15" hidden="false" customHeight="false" outlineLevel="0" collapsed="false">
      <c r="A482" s="0" t="s">
        <v>2288</v>
      </c>
      <c r="B482" s="0" t="n">
        <v>-0.207243552214625</v>
      </c>
      <c r="C482" s="0" t="n">
        <v>0.386377958833775</v>
      </c>
      <c r="D482" s="0" t="n">
        <v>-0.226371112186839</v>
      </c>
      <c r="E482" s="0" t="n">
        <v>-0.138632748518042</v>
      </c>
      <c r="F482" s="0" t="n">
        <v>0.283790986005633</v>
      </c>
      <c r="G482" s="0" t="n">
        <v>-0.0979215319199025</v>
      </c>
    </row>
    <row r="483" customFormat="false" ht="15" hidden="false" customHeight="false" outlineLevel="0" collapsed="false">
      <c r="A483" s="0" t="s">
        <v>2289</v>
      </c>
      <c r="B483" s="0" t="n">
        <v>-0.106896701585339</v>
      </c>
      <c r="C483" s="0" t="n">
        <v>-0.172910914380087</v>
      </c>
      <c r="D483" s="0" t="n">
        <v>-0.131904916695428</v>
      </c>
      <c r="E483" s="0" t="n">
        <v>0.610168621248703</v>
      </c>
      <c r="F483" s="0" t="n">
        <v>-0.12274404848586</v>
      </c>
      <c r="G483" s="0" t="n">
        <v>-0.0757120401019883</v>
      </c>
    </row>
    <row r="484" customFormat="false" ht="15" hidden="false" customHeight="false" outlineLevel="0" collapsed="false">
      <c r="A484" s="0" t="s">
        <v>2290</v>
      </c>
      <c r="B484" s="0" t="n">
        <v>-0.17253967752692</v>
      </c>
      <c r="C484" s="0" t="n">
        <v>-0.119850658394399</v>
      </c>
      <c r="D484" s="0" t="n">
        <v>-0.20862755545471</v>
      </c>
      <c r="E484" s="0" t="n">
        <v>0.399892766318382</v>
      </c>
      <c r="F484" s="0" t="n">
        <v>0.246890998332213</v>
      </c>
      <c r="G484" s="0" t="n">
        <v>-0.145765873274568</v>
      </c>
    </row>
    <row r="485" customFormat="false" ht="15" hidden="false" customHeight="false" outlineLevel="0" collapsed="false">
      <c r="A485" s="0" t="s">
        <v>2291</v>
      </c>
      <c r="B485" s="0" t="n">
        <v>-0.333655396779787</v>
      </c>
      <c r="C485" s="0" t="n">
        <v>-0.714575018305486</v>
      </c>
      <c r="D485" s="0" t="n">
        <v>-0.279902909515337</v>
      </c>
      <c r="E485" s="0" t="n">
        <v>1.90572582406285</v>
      </c>
      <c r="F485" s="0" t="n">
        <v>-0.280286490684663</v>
      </c>
      <c r="G485" s="0" t="n">
        <v>-0.297306008777571</v>
      </c>
    </row>
    <row r="486" customFormat="false" ht="15" hidden="false" customHeight="false" outlineLevel="0" collapsed="false">
      <c r="A486" s="0" t="s">
        <v>2292</v>
      </c>
      <c r="B486" s="0" t="n">
        <v>-0.333655396779787</v>
      </c>
      <c r="C486" s="0" t="n">
        <v>-0.714575018305486</v>
      </c>
      <c r="D486" s="0" t="n">
        <v>-0.279902909515337</v>
      </c>
      <c r="E486" s="0" t="n">
        <v>1.90572582406285</v>
      </c>
      <c r="F486" s="0" t="n">
        <v>-0.280286490684663</v>
      </c>
      <c r="G486" s="0" t="n">
        <v>-0.297306008777571</v>
      </c>
    </row>
    <row r="487" customFormat="false" ht="15" hidden="false" customHeight="false" outlineLevel="0" collapsed="false">
      <c r="A487" s="0" t="s">
        <v>2293</v>
      </c>
      <c r="B487" s="0" t="n">
        <v>-0.484600005271711</v>
      </c>
      <c r="C487" s="0" t="n">
        <v>-0.0706531702163001</v>
      </c>
      <c r="D487" s="0" t="n">
        <v>1.47945777380777</v>
      </c>
      <c r="E487" s="0" t="n">
        <v>-0.40590263899347</v>
      </c>
      <c r="F487" s="0" t="n">
        <v>-0.166124405933378</v>
      </c>
      <c r="G487" s="0" t="n">
        <v>-0.352177553392911</v>
      </c>
    </row>
    <row r="488" customFormat="false" ht="15" hidden="false" customHeight="false" outlineLevel="0" collapsed="false">
      <c r="A488" s="0" t="s">
        <v>2294</v>
      </c>
      <c r="B488" s="0" t="n">
        <v>-0.0589622116122963</v>
      </c>
      <c r="C488" s="0" t="n">
        <v>-0.166639217436423</v>
      </c>
      <c r="D488" s="0" t="n">
        <v>0.511036372263935</v>
      </c>
      <c r="E488" s="0" t="n">
        <v>-0.0855763896256032</v>
      </c>
      <c r="F488" s="0" t="n">
        <v>-0.107473049107286</v>
      </c>
      <c r="G488" s="0" t="n">
        <v>-0.0923855044823269</v>
      </c>
    </row>
    <row r="489" customFormat="false" ht="15" hidden="false" customHeight="false" outlineLevel="0" collapsed="false">
      <c r="A489" s="0" t="s">
        <v>2295</v>
      </c>
      <c r="B489" s="0" t="n">
        <v>-0.0682428591267368</v>
      </c>
      <c r="C489" s="0" t="n">
        <v>-0.0742905405285301</v>
      </c>
      <c r="D489" s="0" t="n">
        <v>-0.148565096788949</v>
      </c>
      <c r="E489" s="0" t="n">
        <v>-0.0716481135138374</v>
      </c>
      <c r="F489" s="0" t="n">
        <v>0.421620888910057</v>
      </c>
      <c r="G489" s="0" t="n">
        <v>-0.0588742789520038</v>
      </c>
    </row>
    <row r="490" customFormat="false" ht="15" hidden="false" customHeight="false" outlineLevel="0" collapsed="false">
      <c r="A490" s="0" t="s">
        <v>2296</v>
      </c>
      <c r="B490" s="0" t="n">
        <v>-0.499572719089293</v>
      </c>
      <c r="C490" s="0" t="n">
        <v>-0.0405057032937161</v>
      </c>
      <c r="D490" s="0" t="n">
        <v>1.54665464856343</v>
      </c>
      <c r="E490" s="0" t="n">
        <v>-0.313432671078449</v>
      </c>
      <c r="F490" s="0" t="n">
        <v>-0.248776778329101</v>
      </c>
      <c r="G490" s="0" t="n">
        <v>-0.444366776772876</v>
      </c>
    </row>
    <row r="491" customFormat="false" ht="15" hidden="false" customHeight="false" outlineLevel="0" collapsed="false">
      <c r="A491" s="0" t="s">
        <v>2297</v>
      </c>
      <c r="B491" s="0" t="n">
        <v>-0.499572719089293</v>
      </c>
      <c r="C491" s="0" t="n">
        <v>-0.0405057032937161</v>
      </c>
      <c r="D491" s="0" t="n">
        <v>1.54665464856343</v>
      </c>
      <c r="E491" s="0" t="n">
        <v>-0.313432671078449</v>
      </c>
      <c r="F491" s="0" t="n">
        <v>-0.248776778329101</v>
      </c>
      <c r="G491" s="0" t="n">
        <v>-0.444366776772876</v>
      </c>
    </row>
    <row r="492" customFormat="false" ht="15" hidden="false" customHeight="false" outlineLevel="0" collapsed="false">
      <c r="A492" s="0" t="s">
        <v>2298</v>
      </c>
      <c r="B492" s="0" t="n">
        <v>-0.417779508562042</v>
      </c>
      <c r="C492" s="0" t="n">
        <v>-0.556437271104375</v>
      </c>
      <c r="D492" s="0" t="n">
        <v>0.0300778310218265</v>
      </c>
      <c r="E492" s="0" t="n">
        <v>-0.0324070491459715</v>
      </c>
      <c r="F492" s="0" t="n">
        <v>1.32221640825065</v>
      </c>
      <c r="G492" s="0" t="n">
        <v>-0.345670410460088</v>
      </c>
    </row>
    <row r="493" customFormat="false" ht="15" hidden="false" customHeight="false" outlineLevel="0" collapsed="false">
      <c r="A493" s="0" t="s">
        <v>2299</v>
      </c>
      <c r="B493" s="0" t="n">
        <v>-0.417779508562042</v>
      </c>
      <c r="C493" s="0" t="n">
        <v>-0.556437271104375</v>
      </c>
      <c r="D493" s="0" t="n">
        <v>0.0300778310218265</v>
      </c>
      <c r="E493" s="0" t="n">
        <v>-0.0324070491459715</v>
      </c>
      <c r="F493" s="0" t="n">
        <v>1.32221640825065</v>
      </c>
      <c r="G493" s="0" t="n">
        <v>-0.345670410460088</v>
      </c>
    </row>
    <row r="494" customFormat="false" ht="15" hidden="false" customHeight="false" outlineLevel="0" collapsed="false">
      <c r="A494" s="0" t="s">
        <v>2300</v>
      </c>
      <c r="B494" s="0" t="n">
        <v>-0.419318794428625</v>
      </c>
      <c r="C494" s="0" t="n">
        <v>0.0869430675336644</v>
      </c>
      <c r="D494" s="0" t="n">
        <v>-0.578844028850984</v>
      </c>
      <c r="E494" s="0" t="n">
        <v>-0.341836544551639</v>
      </c>
      <c r="F494" s="0" t="n">
        <v>-0.119554723533002</v>
      </c>
      <c r="G494" s="0" t="n">
        <v>1.37261102383059</v>
      </c>
    </row>
    <row r="495" customFormat="false" ht="15" hidden="false" customHeight="false" outlineLevel="0" collapsed="false">
      <c r="A495" s="0" t="s">
        <v>2301</v>
      </c>
      <c r="B495" s="0" t="n">
        <v>-0.0765597133525039</v>
      </c>
      <c r="C495" s="0" t="n">
        <v>0.105818353780604</v>
      </c>
      <c r="D495" s="0" t="n">
        <v>-0.0794076420818579</v>
      </c>
      <c r="E495" s="0" t="n">
        <v>0.823490664710253</v>
      </c>
      <c r="F495" s="0" t="n">
        <v>-0.19965799412414</v>
      </c>
      <c r="G495" s="0" t="n">
        <v>-0.573683668932353</v>
      </c>
    </row>
    <row r="496" customFormat="false" ht="15" hidden="false" customHeight="false" outlineLevel="0" collapsed="false">
      <c r="A496" s="0" t="s">
        <v>2302</v>
      </c>
      <c r="B496" s="0" t="n">
        <v>-0.0653770120718824</v>
      </c>
      <c r="C496" s="0" t="n">
        <v>-0.172144944996207</v>
      </c>
      <c r="D496" s="0" t="n">
        <v>-0.0400053802961505</v>
      </c>
      <c r="E496" s="0" t="n">
        <v>-0.071141966884202</v>
      </c>
      <c r="F496" s="0" t="n">
        <v>-0.0832978335039128</v>
      </c>
      <c r="G496" s="0" t="n">
        <v>0.431967137752356</v>
      </c>
    </row>
    <row r="497" customFormat="false" ht="15" hidden="false" customHeight="false" outlineLevel="0" collapsed="false">
      <c r="A497" s="0" t="s">
        <v>2303</v>
      </c>
      <c r="B497" s="0" t="n">
        <v>-0.0565679425848111</v>
      </c>
      <c r="C497" s="0" t="n">
        <v>0.330380493756447</v>
      </c>
      <c r="D497" s="0" t="n">
        <v>-0.0342548851033246</v>
      </c>
      <c r="E497" s="0" t="n">
        <v>-0.0638675902502956</v>
      </c>
      <c r="F497" s="0" t="n">
        <v>-0.162189680021827</v>
      </c>
      <c r="G497" s="0" t="n">
        <v>-0.0135003957961888</v>
      </c>
    </row>
    <row r="498" customFormat="false" ht="15" hidden="false" customHeight="false" outlineLevel="0" collapsed="false">
      <c r="A498" s="0" t="s">
        <v>2304</v>
      </c>
      <c r="B498" s="0" t="n">
        <v>-0.232394846241537</v>
      </c>
      <c r="C498" s="0" t="n">
        <v>-0.392347806726735</v>
      </c>
      <c r="D498" s="0" t="n">
        <v>-0.0894106071550739</v>
      </c>
      <c r="E498" s="0" t="n">
        <v>1.0059877259489</v>
      </c>
      <c r="F498" s="0" t="n">
        <v>0.0352494273390032</v>
      </c>
      <c r="G498" s="0" t="n">
        <v>-0.32708389316456</v>
      </c>
    </row>
    <row r="499" customFormat="false" ht="15" hidden="false" customHeight="false" outlineLevel="0" collapsed="false">
      <c r="A499" s="0" t="s">
        <v>2305</v>
      </c>
      <c r="B499" s="0" t="n">
        <v>-0.232394846241537</v>
      </c>
      <c r="C499" s="0" t="n">
        <v>-0.392347806726735</v>
      </c>
      <c r="D499" s="0" t="n">
        <v>-0.0894106071550739</v>
      </c>
      <c r="E499" s="0" t="n">
        <v>1.0059877259489</v>
      </c>
      <c r="F499" s="0" t="n">
        <v>0.0352494273390032</v>
      </c>
      <c r="G499" s="0" t="n">
        <v>-0.32708389316456</v>
      </c>
    </row>
    <row r="500" customFormat="false" ht="15" hidden="false" customHeight="false" outlineLevel="0" collapsed="false">
      <c r="A500" s="0" t="s">
        <v>2306</v>
      </c>
      <c r="B500" s="0" t="n">
        <v>-0.484600005271711</v>
      </c>
      <c r="C500" s="0" t="n">
        <v>-0.0706531702163001</v>
      </c>
      <c r="D500" s="0" t="n">
        <v>1.47945777380777</v>
      </c>
      <c r="E500" s="0" t="n">
        <v>-0.40590263899347</v>
      </c>
      <c r="F500" s="0" t="n">
        <v>-0.166124405933378</v>
      </c>
      <c r="G500" s="0" t="n">
        <v>-0.352177553392911</v>
      </c>
    </row>
    <row r="501" customFormat="false" ht="15" hidden="false" customHeight="false" outlineLevel="0" collapsed="false">
      <c r="A501" s="0" t="s">
        <v>2307</v>
      </c>
      <c r="B501" s="0" t="n">
        <v>-0.484600005271711</v>
      </c>
      <c r="C501" s="0" t="n">
        <v>-0.0706531702163001</v>
      </c>
      <c r="D501" s="0" t="n">
        <v>1.47945777380777</v>
      </c>
      <c r="E501" s="0" t="n">
        <v>-0.40590263899347</v>
      </c>
      <c r="F501" s="0" t="n">
        <v>-0.166124405933378</v>
      </c>
      <c r="G501" s="0" t="n">
        <v>-0.352177553392911</v>
      </c>
    </row>
    <row r="502" customFormat="false" ht="15" hidden="false" customHeight="false" outlineLevel="0" collapsed="false">
      <c r="A502" s="0" t="s">
        <v>2308</v>
      </c>
      <c r="B502" s="0" t="n">
        <v>2.08319025782542</v>
      </c>
      <c r="C502" s="0" t="n">
        <v>-0.997481235085478</v>
      </c>
      <c r="D502" s="0" t="n">
        <v>-0.467733829595251</v>
      </c>
      <c r="E502" s="0" t="n">
        <v>-0.199319771419961</v>
      </c>
      <c r="F502" s="0" t="n">
        <v>-0.482046402922268</v>
      </c>
      <c r="G502" s="0" t="n">
        <v>0.0633909811975363</v>
      </c>
    </row>
    <row r="503" customFormat="false" ht="15" hidden="false" customHeight="false" outlineLevel="0" collapsed="false">
      <c r="A503" s="0" t="s">
        <v>2309</v>
      </c>
      <c r="B503" s="0" t="n">
        <v>1.13930714137284</v>
      </c>
      <c r="C503" s="0" t="n">
        <v>-0.555787895626248</v>
      </c>
      <c r="D503" s="0" t="n">
        <v>-0.24045919037735</v>
      </c>
      <c r="E503" s="0" t="n">
        <v>-0.285919790307998</v>
      </c>
      <c r="F503" s="0" t="n">
        <v>-0.290642994978846</v>
      </c>
      <c r="G503" s="0" t="n">
        <v>0.233502729917603</v>
      </c>
    </row>
    <row r="504" customFormat="false" ht="15" hidden="false" customHeight="false" outlineLevel="0" collapsed="false">
      <c r="A504" s="0" t="s">
        <v>2310</v>
      </c>
      <c r="B504" s="0" t="n">
        <v>0.949556509791378</v>
      </c>
      <c r="C504" s="0" t="n">
        <v>-0.568194380569405</v>
      </c>
      <c r="D504" s="0" t="n">
        <v>-0.267355338600481</v>
      </c>
      <c r="E504" s="0" t="n">
        <v>0.0964125929453259</v>
      </c>
      <c r="F504" s="0" t="n">
        <v>-0.235286073936407</v>
      </c>
      <c r="G504" s="0" t="n">
        <v>0.0248666903695883</v>
      </c>
    </row>
    <row r="505" customFormat="false" ht="15" hidden="false" customHeight="false" outlineLevel="0" collapsed="false">
      <c r="A505" s="0" t="s">
        <v>2311</v>
      </c>
      <c r="B505" s="0" t="n">
        <v>1.27918359691913</v>
      </c>
      <c r="C505" s="0" t="n">
        <v>-0.0605017443938073</v>
      </c>
      <c r="D505" s="0" t="n">
        <v>-0.310225191732862</v>
      </c>
      <c r="E505" s="0" t="n">
        <v>-0.122016865058169</v>
      </c>
      <c r="F505" s="0" t="n">
        <v>-0.284150588144302</v>
      </c>
      <c r="G505" s="0" t="n">
        <v>-0.502289207589986</v>
      </c>
    </row>
    <row r="506" customFormat="false" ht="15" hidden="false" customHeight="false" outlineLevel="0" collapsed="false">
      <c r="A506" s="0" t="s">
        <v>2312</v>
      </c>
      <c r="B506" s="0" t="n">
        <v>1.27918359691913</v>
      </c>
      <c r="C506" s="0" t="n">
        <v>-0.0605017443938073</v>
      </c>
      <c r="D506" s="0" t="n">
        <v>-0.310225191732862</v>
      </c>
      <c r="E506" s="0" t="n">
        <v>-0.122016865058169</v>
      </c>
      <c r="F506" s="0" t="n">
        <v>-0.284150588144302</v>
      </c>
      <c r="G506" s="0" t="n">
        <v>-0.502289207589986</v>
      </c>
    </row>
    <row r="507" customFormat="false" ht="15" hidden="false" customHeight="false" outlineLevel="0" collapsed="false">
      <c r="A507" s="0" t="s">
        <v>1781</v>
      </c>
      <c r="B507" s="0" t="n">
        <v>-0.26448693269013</v>
      </c>
      <c r="C507" s="0" t="n">
        <v>-0.474391878407848</v>
      </c>
      <c r="D507" s="0" t="n">
        <v>1.73642273660518</v>
      </c>
      <c r="E507" s="0" t="n">
        <v>-0.0708010264572839</v>
      </c>
      <c r="F507" s="0" t="n">
        <v>-0.386122712147377</v>
      </c>
      <c r="G507" s="0" t="n">
        <v>-0.540620186902537</v>
      </c>
    </row>
    <row r="508" customFormat="false" ht="15" hidden="false" customHeight="false" outlineLevel="0" collapsed="false">
      <c r="A508" s="0" t="s">
        <v>2313</v>
      </c>
      <c r="B508" s="0" t="n">
        <v>0.451370690625227</v>
      </c>
      <c r="C508" s="0" t="n">
        <v>-0.108390522843665</v>
      </c>
      <c r="D508" s="0" t="n">
        <v>-0.871203541098168</v>
      </c>
      <c r="E508" s="0" t="n">
        <v>0.635125228833215</v>
      </c>
      <c r="F508" s="0" t="n">
        <v>-0.0513507365915027</v>
      </c>
      <c r="G508" s="0" t="n">
        <v>-0.0555511189251065</v>
      </c>
    </row>
    <row r="509" customFormat="false" ht="15" hidden="false" customHeight="false" outlineLevel="0" collapsed="false">
      <c r="A509" s="0" t="s">
        <v>2314</v>
      </c>
      <c r="B509" s="0" t="n">
        <v>-0.49815013899857</v>
      </c>
      <c r="C509" s="0" t="n">
        <v>-0.363066725338844</v>
      </c>
      <c r="D509" s="0" t="n">
        <v>-0.64646255282402</v>
      </c>
      <c r="E509" s="0" t="n">
        <v>1.78415110614208</v>
      </c>
      <c r="F509" s="0" t="n">
        <v>-0.0572130604728744</v>
      </c>
      <c r="G509" s="0" t="n">
        <v>-0.219258628507774</v>
      </c>
    </row>
    <row r="510" customFormat="false" ht="15" hidden="false" customHeight="false" outlineLevel="0" collapsed="false">
      <c r="A510" s="0" t="s">
        <v>2315</v>
      </c>
      <c r="B510" s="0" t="n">
        <v>-0.49815013899857</v>
      </c>
      <c r="C510" s="0" t="n">
        <v>-0.363066725338844</v>
      </c>
      <c r="D510" s="0" t="n">
        <v>-0.64646255282402</v>
      </c>
      <c r="E510" s="0" t="n">
        <v>1.78415110614208</v>
      </c>
      <c r="F510" s="0" t="n">
        <v>-0.0572130604728744</v>
      </c>
      <c r="G510" s="0" t="n">
        <v>-0.219258628507774</v>
      </c>
    </row>
    <row r="511" customFormat="false" ht="15" hidden="false" customHeight="false" outlineLevel="0" collapsed="false">
      <c r="A511" s="0" t="s">
        <v>2316</v>
      </c>
      <c r="B511" s="0" t="n">
        <v>-0.271248231625775</v>
      </c>
      <c r="C511" s="0" t="n">
        <v>1.8324515289733</v>
      </c>
      <c r="D511" s="0" t="n">
        <v>-0.253081658722544</v>
      </c>
      <c r="E511" s="0" t="n">
        <v>-0.391175004201252</v>
      </c>
      <c r="F511" s="0" t="n">
        <v>-0.449145302573962</v>
      </c>
      <c r="G511" s="0" t="n">
        <v>-0.467801331849764</v>
      </c>
    </row>
    <row r="512" customFormat="false" ht="15" hidden="false" customHeight="false" outlineLevel="0" collapsed="false">
      <c r="A512" s="0" t="s">
        <v>2317</v>
      </c>
      <c r="B512" s="0" t="n">
        <v>-0.0350856042031293</v>
      </c>
      <c r="C512" s="0" t="n">
        <v>-0.151774828018937</v>
      </c>
      <c r="D512" s="0" t="n">
        <v>1.24041197331634</v>
      </c>
      <c r="E512" s="0" t="n">
        <v>-0.381671832333795</v>
      </c>
      <c r="F512" s="0" t="n">
        <v>-0.500865651504358</v>
      </c>
      <c r="G512" s="0" t="n">
        <v>-0.171014057256124</v>
      </c>
    </row>
    <row r="513" customFormat="false" ht="15" hidden="false" customHeight="false" outlineLevel="0" collapsed="false">
      <c r="A513" s="0" t="s">
        <v>2318</v>
      </c>
      <c r="B513" s="0" t="n">
        <v>-0.0350856042031293</v>
      </c>
      <c r="C513" s="0" t="n">
        <v>-0.151774828018937</v>
      </c>
      <c r="D513" s="0" t="n">
        <v>1.24041197331634</v>
      </c>
      <c r="E513" s="0" t="n">
        <v>-0.381671832333795</v>
      </c>
      <c r="F513" s="0" t="n">
        <v>-0.500865651504358</v>
      </c>
      <c r="G513" s="0" t="n">
        <v>-0.171014057256124</v>
      </c>
    </row>
    <row r="514" customFormat="false" ht="15" hidden="false" customHeight="false" outlineLevel="0" collapsed="false">
      <c r="A514" s="0" t="s">
        <v>2319</v>
      </c>
      <c r="B514" s="0" t="n">
        <v>-0.271248231625775</v>
      </c>
      <c r="C514" s="0" t="n">
        <v>1.8324515289733</v>
      </c>
      <c r="D514" s="0" t="n">
        <v>-0.253081658722544</v>
      </c>
      <c r="E514" s="0" t="n">
        <v>-0.391175004201252</v>
      </c>
      <c r="F514" s="0" t="n">
        <v>-0.449145302573962</v>
      </c>
      <c r="G514" s="0" t="n">
        <v>-0.467801331849764</v>
      </c>
    </row>
    <row r="515" customFormat="false" ht="15" hidden="false" customHeight="false" outlineLevel="0" collapsed="false">
      <c r="A515" s="0" t="s">
        <v>2320</v>
      </c>
      <c r="B515" s="0" t="n">
        <v>-0.204071964441941</v>
      </c>
      <c r="C515" s="0" t="n">
        <v>1.51597091419492</v>
      </c>
      <c r="D515" s="0" t="n">
        <v>-0.191119516074128</v>
      </c>
      <c r="E515" s="0" t="n">
        <v>-0.287190618807706</v>
      </c>
      <c r="F515" s="0" t="n">
        <v>-0.411400428003102</v>
      </c>
      <c r="G515" s="0" t="n">
        <v>-0.422188386868045</v>
      </c>
    </row>
    <row r="516" customFormat="false" ht="15" hidden="false" customHeight="false" outlineLevel="0" collapsed="false">
      <c r="A516" s="0" t="s">
        <v>1821</v>
      </c>
      <c r="B516" s="0" t="n">
        <v>1.06729785293155</v>
      </c>
      <c r="C516" s="0" t="n">
        <v>-0.513824966518906</v>
      </c>
      <c r="D516" s="0" t="n">
        <v>-0.203451084745337</v>
      </c>
      <c r="E516" s="0" t="n">
        <v>-0.198374609221378</v>
      </c>
      <c r="F516" s="0" t="n">
        <v>-0.170843230165819</v>
      </c>
      <c r="G516" s="0" t="n">
        <v>0.0191960377198885</v>
      </c>
    </row>
    <row r="517" customFormat="false" ht="15" hidden="false" customHeight="false" outlineLevel="0" collapsed="false">
      <c r="A517" s="0" t="s">
        <v>2321</v>
      </c>
      <c r="B517" s="0" t="n">
        <v>1.06729785293155</v>
      </c>
      <c r="C517" s="0" t="n">
        <v>-0.513824966518906</v>
      </c>
      <c r="D517" s="0" t="n">
        <v>-0.203451084745337</v>
      </c>
      <c r="E517" s="0" t="n">
        <v>-0.198374609221378</v>
      </c>
      <c r="F517" s="0" t="n">
        <v>-0.170843230165819</v>
      </c>
      <c r="G517" s="0" t="n">
        <v>0.0191960377198885</v>
      </c>
    </row>
    <row r="518" customFormat="false" ht="15" hidden="false" customHeight="false" outlineLevel="0" collapsed="false">
      <c r="A518" s="0" t="s">
        <v>2322</v>
      </c>
      <c r="B518" s="0" t="n">
        <v>0.437287967985548</v>
      </c>
      <c r="C518" s="0" t="n">
        <v>0.537476956023315</v>
      </c>
      <c r="D518" s="0" t="n">
        <v>-0.647590092822547</v>
      </c>
      <c r="E518" s="0" t="n">
        <v>-0.636400633780505</v>
      </c>
      <c r="F518" s="0" t="n">
        <v>-0.604246682515061</v>
      </c>
      <c r="G518" s="0" t="n">
        <v>0.913472485109254</v>
      </c>
    </row>
    <row r="519" customFormat="false" ht="15" hidden="false" customHeight="false" outlineLevel="0" collapsed="false">
      <c r="A519" s="0" t="s">
        <v>2323</v>
      </c>
      <c r="B519" s="0" t="n">
        <v>-0.778114544204074</v>
      </c>
      <c r="C519" s="0" t="n">
        <v>-0.987130458213878</v>
      </c>
      <c r="D519" s="0" t="n">
        <v>1.17197544953066</v>
      </c>
      <c r="E519" s="0" t="n">
        <v>1.18082721807349</v>
      </c>
      <c r="F519" s="0" t="n">
        <v>0.619912609689353</v>
      </c>
      <c r="G519" s="0" t="n">
        <v>-1.20747027487556</v>
      </c>
    </row>
    <row r="520" customFormat="false" ht="15" hidden="false" customHeight="false" outlineLevel="0" collapsed="false">
      <c r="A520" s="0" t="s">
        <v>2324</v>
      </c>
      <c r="B520" s="0" t="n">
        <v>-0.0762109989754037</v>
      </c>
      <c r="C520" s="0" t="n">
        <v>-0.312835945046129</v>
      </c>
      <c r="D520" s="0" t="n">
        <v>2.60089307342591</v>
      </c>
      <c r="E520" s="0" t="n">
        <v>-0.95689579281035</v>
      </c>
      <c r="F520" s="0" t="n">
        <v>-0.67328748078691</v>
      </c>
      <c r="G520" s="0" t="n">
        <v>-0.581662855807122</v>
      </c>
    </row>
    <row r="521" customFormat="false" ht="15" hidden="false" customHeight="false" outlineLevel="0" collapsed="false">
      <c r="A521" s="0" t="s">
        <v>2325</v>
      </c>
      <c r="B521" s="0" t="n">
        <v>-0.344001518996423</v>
      </c>
      <c r="C521" s="0" t="n">
        <v>-0.563458086368713</v>
      </c>
      <c r="D521" s="0" t="n">
        <v>0.00885393151946994</v>
      </c>
      <c r="E521" s="0" t="n">
        <v>1.42644090964744</v>
      </c>
      <c r="F521" s="0" t="n">
        <v>-0.00409919928881286</v>
      </c>
      <c r="G521" s="0" t="n">
        <v>-0.52373603651296</v>
      </c>
    </row>
    <row r="522" customFormat="false" ht="15" hidden="false" customHeight="false" outlineLevel="0" collapsed="false">
      <c r="A522" s="0" t="s">
        <v>2326</v>
      </c>
      <c r="B522" s="0" t="n">
        <v>0.0866315440977377</v>
      </c>
      <c r="C522" s="0" t="n">
        <v>-0.634356444701025</v>
      </c>
      <c r="D522" s="0" t="n">
        <v>-0.365475791550806</v>
      </c>
      <c r="E522" s="0" t="n">
        <v>-0.578722454491561</v>
      </c>
      <c r="F522" s="0" t="n">
        <v>1.74361351490877</v>
      </c>
      <c r="G522" s="0" t="n">
        <v>-0.251690368263117</v>
      </c>
    </row>
    <row r="523" customFormat="false" ht="15" hidden="false" customHeight="false" outlineLevel="0" collapsed="false">
      <c r="A523" s="0" t="s">
        <v>2327</v>
      </c>
      <c r="B523" s="0" t="n">
        <v>-0.722494490869323</v>
      </c>
      <c r="C523" s="0" t="n">
        <v>0.194667225607297</v>
      </c>
      <c r="D523" s="0" t="n">
        <v>-0.496764255061249</v>
      </c>
      <c r="E523" s="0" t="n">
        <v>1.7456645671713</v>
      </c>
      <c r="F523" s="0" t="n">
        <v>-0.426575240638812</v>
      </c>
      <c r="G523" s="0" t="n">
        <v>-0.294497806209215</v>
      </c>
    </row>
    <row r="524" customFormat="false" ht="15" hidden="false" customHeight="false" outlineLevel="0" collapsed="false">
      <c r="A524" s="0" t="s">
        <v>2328</v>
      </c>
      <c r="B524" s="0" t="n">
        <v>1.21566439222549</v>
      </c>
      <c r="C524" s="0" t="n">
        <v>0.0100932623463795</v>
      </c>
      <c r="D524" s="0" t="n">
        <v>-0.500416688986883</v>
      </c>
      <c r="E524" s="0" t="n">
        <v>-0.608700631345568</v>
      </c>
      <c r="F524" s="0" t="n">
        <v>1.08375625899682</v>
      </c>
      <c r="G524" s="0" t="n">
        <v>-1.20039659323624</v>
      </c>
    </row>
    <row r="525" customFormat="false" ht="15" hidden="false" customHeight="false" outlineLevel="0" collapsed="false">
      <c r="A525" s="0" t="s">
        <v>2329</v>
      </c>
      <c r="B525" s="0" t="n">
        <v>0.149960146754088</v>
      </c>
      <c r="C525" s="0" t="n">
        <v>-0.0503914120815888</v>
      </c>
      <c r="D525" s="0" t="n">
        <v>-0.0271467023888751</v>
      </c>
      <c r="E525" s="0" t="n">
        <v>-0.0172256083685586</v>
      </c>
      <c r="F525" s="0" t="n">
        <v>-0.0408646506560836</v>
      </c>
      <c r="G525" s="0" t="n">
        <v>-0.014331773258982</v>
      </c>
    </row>
    <row r="526" customFormat="false" ht="15" hidden="false" customHeight="false" outlineLevel="0" collapsed="false">
      <c r="A526" s="0" t="s">
        <v>2330</v>
      </c>
      <c r="B526" s="0" t="n">
        <v>-0.105647132813895</v>
      </c>
      <c r="C526" s="0" t="n">
        <v>-0.11141346589332</v>
      </c>
      <c r="D526" s="0" t="n">
        <v>-0.289431415773726</v>
      </c>
      <c r="E526" s="0" t="n">
        <v>-0.547141098409606</v>
      </c>
      <c r="F526" s="0" t="n">
        <v>1.79339922032339</v>
      </c>
      <c r="G526" s="0" t="n">
        <v>-0.739766107432844</v>
      </c>
    </row>
    <row r="527" customFormat="false" ht="15" hidden="false" customHeight="false" outlineLevel="0" collapsed="false">
      <c r="A527" s="0" t="s">
        <v>2331</v>
      </c>
      <c r="B527" s="0" t="n">
        <v>0.175787574552893</v>
      </c>
      <c r="C527" s="0" t="n">
        <v>-0.0706663893895364</v>
      </c>
      <c r="D527" s="0" t="n">
        <v>-0.0304986612933895</v>
      </c>
      <c r="E527" s="0" t="n">
        <v>-0.019458315162429</v>
      </c>
      <c r="F527" s="0" t="n">
        <v>-0.0312496009169453</v>
      </c>
      <c r="G527" s="0" t="n">
        <v>-0.0239146077905937</v>
      </c>
    </row>
    <row r="528" customFormat="false" ht="15" hidden="false" customHeight="false" outlineLevel="0" collapsed="false">
      <c r="A528" s="0" t="s">
        <v>2332</v>
      </c>
      <c r="B528" s="0" t="n">
        <v>0.266078637467497</v>
      </c>
      <c r="C528" s="0" t="n">
        <v>-0.0672418381672889</v>
      </c>
      <c r="D528" s="0" t="n">
        <v>-0.0358348733290659</v>
      </c>
      <c r="E528" s="0" t="n">
        <v>-0.037613990653988</v>
      </c>
      <c r="F528" s="0" t="n">
        <v>-0.105240115073199</v>
      </c>
      <c r="G528" s="0" t="n">
        <v>-0.0201478202439544</v>
      </c>
    </row>
    <row r="529" customFormat="false" ht="15" hidden="false" customHeight="false" outlineLevel="0" collapsed="false">
      <c r="A529" s="0" t="s">
        <v>1773</v>
      </c>
      <c r="B529" s="0" t="n">
        <v>-0.722494490869323</v>
      </c>
      <c r="C529" s="0" t="n">
        <v>0.194667225607297</v>
      </c>
      <c r="D529" s="0" t="n">
        <v>-0.496764255061249</v>
      </c>
      <c r="E529" s="0" t="n">
        <v>1.7456645671713</v>
      </c>
      <c r="F529" s="0" t="n">
        <v>-0.426575240638812</v>
      </c>
      <c r="G529" s="0" t="n">
        <v>-0.294497806209215</v>
      </c>
    </row>
    <row r="530" customFormat="false" ht="15" hidden="false" customHeight="false" outlineLevel="0" collapsed="false">
      <c r="A530" s="0" t="s">
        <v>2333</v>
      </c>
      <c r="B530" s="0" t="n">
        <v>-0.606465925652463</v>
      </c>
      <c r="C530" s="0" t="n">
        <v>0.410533728028582</v>
      </c>
      <c r="D530" s="0" t="n">
        <v>-0.406348968772688</v>
      </c>
      <c r="E530" s="0" t="n">
        <v>1.1968268215013</v>
      </c>
      <c r="F530" s="0" t="n">
        <v>-0.326938128199557</v>
      </c>
      <c r="G530" s="0" t="n">
        <v>-0.267607526905179</v>
      </c>
    </row>
    <row r="531" customFormat="false" ht="15" hidden="false" customHeight="false" outlineLevel="0" collapsed="false">
      <c r="A531" s="0" t="s">
        <v>1777</v>
      </c>
      <c r="B531" s="0" t="n">
        <v>-0.621372771348646</v>
      </c>
      <c r="C531" s="0" t="n">
        <v>-0.211759630330181</v>
      </c>
      <c r="D531" s="0" t="n">
        <v>2.35592065579843</v>
      </c>
      <c r="E531" s="0" t="n">
        <v>-0.819993577304748</v>
      </c>
      <c r="F531" s="0" t="n">
        <v>0.193894837183288</v>
      </c>
      <c r="G531" s="0" t="n">
        <v>-0.896689513998144</v>
      </c>
    </row>
    <row r="532" customFormat="false" ht="15" hidden="false" customHeight="false" outlineLevel="0" collapsed="false">
      <c r="A532" s="0" t="s">
        <v>2334</v>
      </c>
      <c r="B532" s="0" t="n">
        <v>-0.573812018803119</v>
      </c>
      <c r="C532" s="0" t="n">
        <v>-0.130535559333913</v>
      </c>
      <c r="D532" s="0" t="n">
        <v>1.97547743432886</v>
      </c>
      <c r="E532" s="0" t="n">
        <v>-0.795639390506786</v>
      </c>
      <c r="F532" s="0" t="n">
        <v>0.280767395319125</v>
      </c>
      <c r="G532" s="0" t="n">
        <v>-0.75625786100417</v>
      </c>
    </row>
    <row r="533" customFormat="false" ht="15" hidden="false" customHeight="false" outlineLevel="0" collapsed="false">
      <c r="A533" s="0" t="s">
        <v>2335</v>
      </c>
      <c r="B533" s="0" t="n">
        <v>-0.221984019879896</v>
      </c>
      <c r="C533" s="0" t="n">
        <v>-0.346485978585165</v>
      </c>
      <c r="D533" s="0" t="n">
        <v>-0.21044840219479</v>
      </c>
      <c r="E533" s="0" t="n">
        <v>-0.206891675251617</v>
      </c>
      <c r="F533" s="0" t="n">
        <v>-0.27765121057097</v>
      </c>
      <c r="G533" s="0" t="n">
        <v>1.26346128648244</v>
      </c>
    </row>
    <row r="534" customFormat="false" ht="15" hidden="false" customHeight="false" outlineLevel="0" collapsed="false">
      <c r="A534" s="0" t="s">
        <v>2336</v>
      </c>
      <c r="B534" s="0" t="n">
        <v>-0.221984019879896</v>
      </c>
      <c r="C534" s="0" t="n">
        <v>-0.346485978585165</v>
      </c>
      <c r="D534" s="0" t="n">
        <v>-0.21044840219479</v>
      </c>
      <c r="E534" s="0" t="n">
        <v>-0.206891675251617</v>
      </c>
      <c r="F534" s="0" t="n">
        <v>-0.27765121057097</v>
      </c>
      <c r="G534" s="0" t="n">
        <v>1.26346128648244</v>
      </c>
    </row>
    <row r="535" customFormat="false" ht="15" hidden="false" customHeight="false" outlineLevel="0" collapsed="false">
      <c r="A535" s="0" t="s">
        <v>2337</v>
      </c>
      <c r="B535" s="0" t="n">
        <v>-0.0794541295652734</v>
      </c>
      <c r="C535" s="0" t="n">
        <v>-0.514686726232587</v>
      </c>
      <c r="D535" s="0" t="n">
        <v>-0.561685138734549</v>
      </c>
      <c r="E535" s="0" t="n">
        <v>-0.248527365955918</v>
      </c>
      <c r="F535" s="0" t="n">
        <v>1.35583418203322</v>
      </c>
      <c r="G535" s="0" t="n">
        <v>0.0485191784551025</v>
      </c>
    </row>
    <row r="536" customFormat="false" ht="15" hidden="false" customHeight="false" outlineLevel="0" collapsed="false">
      <c r="A536" s="0" t="s">
        <v>2338</v>
      </c>
      <c r="B536" s="0" t="n">
        <v>-0.0794541295652734</v>
      </c>
      <c r="C536" s="0" t="n">
        <v>-0.514686726232587</v>
      </c>
      <c r="D536" s="0" t="n">
        <v>-0.561685138734549</v>
      </c>
      <c r="E536" s="0" t="n">
        <v>-0.248527365955918</v>
      </c>
      <c r="F536" s="0" t="n">
        <v>1.35583418203322</v>
      </c>
      <c r="G536" s="0" t="n">
        <v>0.0485191784551025</v>
      </c>
    </row>
    <row r="537" customFormat="false" ht="15" hidden="false" customHeight="false" outlineLevel="0" collapsed="false">
      <c r="A537" s="0" t="s">
        <v>2339</v>
      </c>
      <c r="B537" s="0" t="n">
        <v>2.08299682404259</v>
      </c>
      <c r="C537" s="0" t="n">
        <v>-0.637020778150321</v>
      </c>
      <c r="D537" s="0" t="n">
        <v>0.234878331750607</v>
      </c>
      <c r="E537" s="0" t="n">
        <v>-0.320884588635004</v>
      </c>
      <c r="F537" s="0" t="n">
        <v>-1.04954482237119</v>
      </c>
      <c r="G537" s="0" t="n">
        <v>-0.310424966636689</v>
      </c>
    </row>
    <row r="538" customFormat="false" ht="15" hidden="false" customHeight="false" outlineLevel="0" collapsed="false">
      <c r="A538" s="0" t="s">
        <v>2340</v>
      </c>
      <c r="B538" s="0" t="n">
        <v>0.394884299576387</v>
      </c>
      <c r="C538" s="0" t="n">
        <v>-0.0320766223738183</v>
      </c>
      <c r="D538" s="0" t="n">
        <v>-0.17177071418414</v>
      </c>
      <c r="E538" s="0" t="n">
        <v>-0.0633500395509197</v>
      </c>
      <c r="F538" s="0" t="n">
        <v>-0.0230687519104103</v>
      </c>
      <c r="G538" s="0" t="n">
        <v>-0.1046181715571</v>
      </c>
    </row>
    <row r="539" customFormat="false" ht="15" hidden="false" customHeight="false" outlineLevel="0" collapsed="false">
      <c r="A539" s="0" t="s">
        <v>2341</v>
      </c>
      <c r="B539" s="0" t="n">
        <v>-0.0794541295652734</v>
      </c>
      <c r="C539" s="0" t="n">
        <v>-0.514686726232587</v>
      </c>
      <c r="D539" s="0" t="n">
        <v>-0.561685138734549</v>
      </c>
      <c r="E539" s="0" t="n">
        <v>-0.248527365955918</v>
      </c>
      <c r="F539" s="0" t="n">
        <v>1.35583418203322</v>
      </c>
      <c r="G539" s="0" t="n">
        <v>0.0485191784551025</v>
      </c>
    </row>
    <row r="540" customFormat="false" ht="15" hidden="false" customHeight="false" outlineLevel="0" collapsed="false">
      <c r="A540" s="0" t="s">
        <v>2342</v>
      </c>
      <c r="B540" s="0" t="n">
        <v>-0.0794541295652734</v>
      </c>
      <c r="C540" s="0" t="n">
        <v>-0.514686726232587</v>
      </c>
      <c r="D540" s="0" t="n">
        <v>-0.561685138734549</v>
      </c>
      <c r="E540" s="0" t="n">
        <v>-0.248527365955918</v>
      </c>
      <c r="F540" s="0" t="n">
        <v>1.35583418203322</v>
      </c>
      <c r="G540" s="0" t="n">
        <v>0.0485191784551025</v>
      </c>
    </row>
    <row r="541" customFormat="false" ht="15" hidden="false" customHeight="false" outlineLevel="0" collapsed="false">
      <c r="A541" s="0" t="s">
        <v>2343</v>
      </c>
      <c r="B541" s="0" t="n">
        <v>-0.419318794428625</v>
      </c>
      <c r="C541" s="0" t="n">
        <v>0.0869430675336644</v>
      </c>
      <c r="D541" s="0" t="n">
        <v>-0.578844028850984</v>
      </c>
      <c r="E541" s="0" t="n">
        <v>-0.341836544551639</v>
      </c>
      <c r="F541" s="0" t="n">
        <v>-0.119554723533002</v>
      </c>
      <c r="G541" s="0" t="n">
        <v>1.37261102383059</v>
      </c>
    </row>
    <row r="542" customFormat="false" ht="15" hidden="false" customHeight="false" outlineLevel="0" collapsed="false">
      <c r="A542" s="0" t="s">
        <v>2344</v>
      </c>
      <c r="B542" s="0" t="n">
        <v>-0.419318794428625</v>
      </c>
      <c r="C542" s="0" t="n">
        <v>0.0869430675336644</v>
      </c>
      <c r="D542" s="0" t="n">
        <v>-0.578844028850984</v>
      </c>
      <c r="E542" s="0" t="n">
        <v>-0.341836544551639</v>
      </c>
      <c r="F542" s="0" t="n">
        <v>-0.119554723533002</v>
      </c>
      <c r="G542" s="0" t="n">
        <v>1.37261102383059</v>
      </c>
    </row>
    <row r="543" customFormat="false" ht="15" hidden="false" customHeight="false" outlineLevel="0" collapsed="false">
      <c r="A543" s="0" t="s">
        <v>1807</v>
      </c>
      <c r="B543" s="0" t="n">
        <v>-0.331606621485316</v>
      </c>
      <c r="C543" s="0" t="n">
        <v>-0.744601674291347</v>
      </c>
      <c r="D543" s="0" t="n">
        <v>-0.132642277817409</v>
      </c>
      <c r="E543" s="0" t="n">
        <v>-0.396985028070119</v>
      </c>
      <c r="F543" s="0" t="n">
        <v>-0.260536084954705</v>
      </c>
      <c r="G543" s="0" t="n">
        <v>1.8663716866189</v>
      </c>
    </row>
    <row r="544" customFormat="false" ht="15" hidden="false" customHeight="false" outlineLevel="0" collapsed="false">
      <c r="A544" s="0" t="s">
        <v>2345</v>
      </c>
      <c r="B544" s="0" t="n">
        <v>-0.279086910699556</v>
      </c>
      <c r="C544" s="0" t="n">
        <v>-0.190823910027218</v>
      </c>
      <c r="D544" s="0" t="n">
        <v>-0.0863052371623135</v>
      </c>
      <c r="E544" s="0" t="n">
        <v>-0.353369726929324</v>
      </c>
      <c r="F544" s="0" t="n">
        <v>-0.236242712802477</v>
      </c>
      <c r="G544" s="0" t="n">
        <v>1.14582849762089</v>
      </c>
    </row>
    <row r="545" customFormat="false" ht="15" hidden="false" customHeight="false" outlineLevel="0" collapsed="false">
      <c r="A545" s="0" t="s">
        <v>2346</v>
      </c>
      <c r="B545" s="0" t="n">
        <v>-0.221984019879896</v>
      </c>
      <c r="C545" s="0" t="n">
        <v>-0.346485978585165</v>
      </c>
      <c r="D545" s="0" t="n">
        <v>-0.21044840219479</v>
      </c>
      <c r="E545" s="0" t="n">
        <v>-0.206891675251617</v>
      </c>
      <c r="F545" s="0" t="n">
        <v>-0.27765121057097</v>
      </c>
      <c r="G545" s="0" t="n">
        <v>1.26346128648244</v>
      </c>
    </row>
    <row r="546" customFormat="false" ht="15" hidden="false" customHeight="false" outlineLevel="0" collapsed="false">
      <c r="A546" s="0" t="s">
        <v>2347</v>
      </c>
      <c r="B546" s="0" t="n">
        <v>-0.221984019879896</v>
      </c>
      <c r="C546" s="0" t="n">
        <v>-0.346485978585165</v>
      </c>
      <c r="D546" s="0" t="n">
        <v>-0.21044840219479</v>
      </c>
      <c r="E546" s="0" t="n">
        <v>-0.206891675251617</v>
      </c>
      <c r="F546" s="0" t="n">
        <v>-0.27765121057097</v>
      </c>
      <c r="G546" s="0" t="n">
        <v>1.26346128648244</v>
      </c>
    </row>
    <row r="547" customFormat="false" ht="15" hidden="false" customHeight="false" outlineLevel="0" collapsed="false">
      <c r="A547" s="0" t="s">
        <v>2348</v>
      </c>
      <c r="B547" s="0" t="n">
        <v>-0.0794541295652734</v>
      </c>
      <c r="C547" s="0" t="n">
        <v>-0.514686726232587</v>
      </c>
      <c r="D547" s="0" t="n">
        <v>-0.561685138734549</v>
      </c>
      <c r="E547" s="0" t="n">
        <v>-0.248527365955918</v>
      </c>
      <c r="F547" s="0" t="n">
        <v>1.35583418203322</v>
      </c>
      <c r="G547" s="0" t="n">
        <v>0.0485191784551025</v>
      </c>
    </row>
    <row r="548" customFormat="false" ht="15" hidden="false" customHeight="false" outlineLevel="0" collapsed="false">
      <c r="A548" s="0" t="s">
        <v>2349</v>
      </c>
      <c r="B548" s="0" t="n">
        <v>-0.0794541295652734</v>
      </c>
      <c r="C548" s="0" t="n">
        <v>-0.514686726232587</v>
      </c>
      <c r="D548" s="0" t="n">
        <v>-0.561685138734549</v>
      </c>
      <c r="E548" s="0" t="n">
        <v>-0.248527365955918</v>
      </c>
      <c r="F548" s="0" t="n">
        <v>1.35583418203322</v>
      </c>
      <c r="G548" s="0" t="n">
        <v>0.0485191784551025</v>
      </c>
    </row>
    <row r="549" customFormat="false" ht="15" hidden="false" customHeight="false" outlineLevel="0" collapsed="false">
      <c r="A549" s="0" t="s">
        <v>1783</v>
      </c>
      <c r="B549" s="0" t="n">
        <v>-0.242761741736053</v>
      </c>
      <c r="C549" s="0" t="n">
        <v>-0.522421785513091</v>
      </c>
      <c r="D549" s="0" t="n">
        <v>1.62149252976225</v>
      </c>
      <c r="E549" s="0" t="n">
        <v>-0.245529852756117</v>
      </c>
      <c r="F549" s="0" t="n">
        <v>-0.238973479240654</v>
      </c>
      <c r="G549" s="0" t="n">
        <v>-0.371805670516335</v>
      </c>
    </row>
    <row r="550" customFormat="false" ht="15" hidden="false" customHeight="false" outlineLevel="0" collapsed="false">
      <c r="A550" s="0" t="s">
        <v>2350</v>
      </c>
      <c r="B550" s="0" t="n">
        <v>-0.242761741736053</v>
      </c>
      <c r="C550" s="0" t="n">
        <v>-0.522421785513091</v>
      </c>
      <c r="D550" s="0" t="n">
        <v>1.62149252976225</v>
      </c>
      <c r="E550" s="0" t="n">
        <v>-0.245529852756117</v>
      </c>
      <c r="F550" s="0" t="n">
        <v>-0.238973479240654</v>
      </c>
      <c r="G550" s="0" t="n">
        <v>-0.371805670516335</v>
      </c>
    </row>
    <row r="551" customFormat="false" ht="15" hidden="false" customHeight="false" outlineLevel="0" collapsed="false">
      <c r="A551" s="0" t="s">
        <v>2351</v>
      </c>
      <c r="B551" s="0" t="n">
        <v>-0.355442219000952</v>
      </c>
      <c r="C551" s="0" t="n">
        <v>-0.420740485366555</v>
      </c>
      <c r="D551" s="0" t="n">
        <v>-0.0876080886734318</v>
      </c>
      <c r="E551" s="0" t="n">
        <v>-0.398534351596879</v>
      </c>
      <c r="F551" s="0" t="n">
        <v>-0.386392836947862</v>
      </c>
      <c r="G551" s="0" t="n">
        <v>1.64871798158568</v>
      </c>
    </row>
    <row r="552" customFormat="false" ht="15" hidden="false" customHeight="false" outlineLevel="0" collapsed="false">
      <c r="A552" s="0" t="s">
        <v>2352</v>
      </c>
      <c r="B552" s="0" t="n">
        <v>-0.355442219000952</v>
      </c>
      <c r="C552" s="0" t="n">
        <v>-0.420740485366555</v>
      </c>
      <c r="D552" s="0" t="n">
        <v>-0.0876080886734318</v>
      </c>
      <c r="E552" s="0" t="n">
        <v>-0.398534351596879</v>
      </c>
      <c r="F552" s="0" t="n">
        <v>-0.386392836947862</v>
      </c>
      <c r="G552" s="0" t="n">
        <v>1.64871798158568</v>
      </c>
    </row>
    <row r="553" customFormat="false" ht="15" hidden="false" customHeight="false" outlineLevel="0" collapsed="false">
      <c r="A553" s="0" t="s">
        <v>2353</v>
      </c>
      <c r="B553" s="0" t="n">
        <v>-0.677160376697203</v>
      </c>
      <c r="C553" s="0" t="n">
        <v>0.0727411890023389</v>
      </c>
      <c r="D553" s="0" t="n">
        <v>1.78543002462394</v>
      </c>
      <c r="E553" s="0" t="n">
        <v>-0.307941974844173</v>
      </c>
      <c r="F553" s="0" t="n">
        <v>-0.560035660087352</v>
      </c>
      <c r="G553" s="0" t="n">
        <v>-0.313033201997553</v>
      </c>
    </row>
    <row r="554" customFormat="false" ht="15" hidden="false" customHeight="false" outlineLevel="0" collapsed="false">
      <c r="A554" s="0" t="s">
        <v>1803</v>
      </c>
      <c r="B554" s="0" t="n">
        <v>-0.471261871136589</v>
      </c>
      <c r="C554" s="0" t="n">
        <v>-1.1321495489357</v>
      </c>
      <c r="D554" s="0" t="n">
        <v>1.78010366112992</v>
      </c>
      <c r="E554" s="0" t="n">
        <v>-0.591404443740578</v>
      </c>
      <c r="F554" s="0" t="n">
        <v>-0.903102227346941</v>
      </c>
      <c r="G554" s="0" t="n">
        <v>1.31781443002989</v>
      </c>
    </row>
    <row r="555" customFormat="false" ht="15" hidden="false" customHeight="false" outlineLevel="0" collapsed="false">
      <c r="A555" s="0" t="s">
        <v>2354</v>
      </c>
      <c r="B555" s="0" t="n">
        <v>-0.26448693269013</v>
      </c>
      <c r="C555" s="0" t="n">
        <v>-0.474391878407848</v>
      </c>
      <c r="D555" s="0" t="n">
        <v>1.73642273660518</v>
      </c>
      <c r="E555" s="0" t="n">
        <v>-0.0708010264572839</v>
      </c>
      <c r="F555" s="0" t="n">
        <v>-0.386122712147377</v>
      </c>
      <c r="G555" s="0" t="n">
        <v>-0.540620186902537</v>
      </c>
    </row>
    <row r="556" customFormat="false" ht="15" hidden="false" customHeight="false" outlineLevel="0" collapsed="false">
      <c r="A556" s="0" t="s">
        <v>2355</v>
      </c>
      <c r="B556" s="0" t="n">
        <v>-0.27463879266876</v>
      </c>
      <c r="C556" s="0" t="n">
        <v>-0.811702689366479</v>
      </c>
      <c r="D556" s="0" t="n">
        <v>0.341652693906306</v>
      </c>
      <c r="E556" s="0" t="n">
        <v>-0.591027047899142</v>
      </c>
      <c r="F556" s="0" t="n">
        <v>-0.640214668832957</v>
      </c>
      <c r="G556" s="0" t="n">
        <v>1.97593050486103</v>
      </c>
    </row>
    <row r="557" customFormat="false" ht="15" hidden="false" customHeight="false" outlineLevel="0" collapsed="false">
      <c r="A557" s="0" t="s">
        <v>2356</v>
      </c>
      <c r="B557" s="0" t="n">
        <v>-0.266349416165853</v>
      </c>
      <c r="C557" s="0" t="n">
        <v>0.0399716886658577</v>
      </c>
      <c r="D557" s="0" t="n">
        <v>-0.267484876460565</v>
      </c>
      <c r="E557" s="0" t="n">
        <v>-0.093036924325495</v>
      </c>
      <c r="F557" s="0" t="n">
        <v>1.10045175851371</v>
      </c>
      <c r="G557" s="0" t="n">
        <v>-0.513552230227655</v>
      </c>
    </row>
    <row r="558" customFormat="false" ht="15" hidden="false" customHeight="false" outlineLevel="0" collapsed="false">
      <c r="A558" s="0" t="s">
        <v>2357</v>
      </c>
      <c r="B558" s="0" t="n">
        <v>-0.0547192732296025</v>
      </c>
      <c r="C558" s="0" t="n">
        <v>-0.163877134407602</v>
      </c>
      <c r="D558" s="0" t="n">
        <v>-0.103362545754839</v>
      </c>
      <c r="E558" s="0" t="n">
        <v>-0.0429739983721013</v>
      </c>
      <c r="F558" s="0" t="n">
        <v>0.444440769942086</v>
      </c>
      <c r="G558" s="0" t="n">
        <v>-0.0795078181779416</v>
      </c>
    </row>
    <row r="559" customFormat="false" ht="15" hidden="false" customHeight="false" outlineLevel="0" collapsed="false">
      <c r="A559" s="0" t="s">
        <v>2358</v>
      </c>
      <c r="B559" s="0" t="n">
        <v>0.16349657693974</v>
      </c>
      <c r="C559" s="0" t="n">
        <v>0.0797022395986505</v>
      </c>
      <c r="D559" s="0" t="n">
        <v>-0.0120335713045545</v>
      </c>
      <c r="E559" s="0" t="n">
        <v>0.280797969053443</v>
      </c>
      <c r="F559" s="0" t="n">
        <v>-0.0887693354376994</v>
      </c>
      <c r="G559" s="0" t="n">
        <v>-0.423193878849581</v>
      </c>
    </row>
    <row r="560" customFormat="false" ht="15" hidden="false" customHeight="false" outlineLevel="0" collapsed="false">
      <c r="A560" s="0" t="s">
        <v>2359</v>
      </c>
      <c r="B560" s="0" t="n">
        <v>-0.0232092080198139</v>
      </c>
      <c r="C560" s="0" t="n">
        <v>-0.0892194243115814</v>
      </c>
      <c r="D560" s="0" t="n">
        <v>-0.891874678263457</v>
      </c>
      <c r="E560" s="0" t="n">
        <v>-0.0273203160981509</v>
      </c>
      <c r="F560" s="0" t="n">
        <v>1.0756224657929</v>
      </c>
      <c r="G560" s="0" t="n">
        <v>-0.0439988390998947</v>
      </c>
    </row>
    <row r="561" customFormat="false" ht="15" hidden="false" customHeight="false" outlineLevel="0" collapsed="false">
      <c r="A561" s="0" t="s">
        <v>2360</v>
      </c>
      <c r="B561" s="0" t="n">
        <v>-0.0585067320438621</v>
      </c>
      <c r="C561" s="0" t="n">
        <v>-0.162450026677629</v>
      </c>
      <c r="D561" s="0" t="n">
        <v>-0.0774989179003427</v>
      </c>
      <c r="E561" s="0" t="n">
        <v>-0.0542163936293085</v>
      </c>
      <c r="F561" s="0" t="n">
        <v>0.448413708517832</v>
      </c>
      <c r="G561" s="0" t="n">
        <v>-0.0957416382666892</v>
      </c>
    </row>
    <row r="562" customFormat="false" ht="15" hidden="false" customHeight="false" outlineLevel="0" collapsed="false">
      <c r="A562" s="0" t="s">
        <v>2361</v>
      </c>
      <c r="B562" s="0" t="n">
        <v>-0.0625854269682972</v>
      </c>
      <c r="C562" s="0" t="n">
        <v>-0.205663460071112</v>
      </c>
      <c r="D562" s="0" t="n">
        <v>-0.0710386791265857</v>
      </c>
      <c r="E562" s="0" t="n">
        <v>-0.131799175624561</v>
      </c>
      <c r="F562" s="0" t="n">
        <v>0.522002596427022</v>
      </c>
      <c r="G562" s="0" t="n">
        <v>-0.0509158546364666</v>
      </c>
    </row>
    <row r="563" customFormat="false" ht="15" hidden="false" customHeight="false" outlineLevel="0" collapsed="false">
      <c r="A563" s="0" t="s">
        <v>2362</v>
      </c>
      <c r="B563" s="0" t="n">
        <v>-0.0661205157192217</v>
      </c>
      <c r="C563" s="0" t="n">
        <v>-0.100295241342309</v>
      </c>
      <c r="D563" s="0" t="n">
        <v>1.15888198490349</v>
      </c>
      <c r="E563" s="0" t="n">
        <v>-0.0630912203641487</v>
      </c>
      <c r="F563" s="0" t="n">
        <v>-0.858753613325319</v>
      </c>
      <c r="G563" s="0" t="n">
        <v>-0.0706213941524907</v>
      </c>
    </row>
    <row r="564" customFormat="false" ht="15" hidden="false" customHeight="false" outlineLevel="0" collapsed="false">
      <c r="A564" s="0" t="s">
        <v>2363</v>
      </c>
      <c r="B564" s="0" t="n">
        <v>-0.419318794428625</v>
      </c>
      <c r="C564" s="0" t="n">
        <v>0.0869430675336644</v>
      </c>
      <c r="D564" s="0" t="n">
        <v>-0.578844028850984</v>
      </c>
      <c r="E564" s="0" t="n">
        <v>-0.341836544551639</v>
      </c>
      <c r="F564" s="0" t="n">
        <v>-0.119554723533002</v>
      </c>
      <c r="G564" s="0" t="n">
        <v>1.37261102383059</v>
      </c>
    </row>
    <row r="565" customFormat="false" ht="15" hidden="false" customHeight="false" outlineLevel="0" collapsed="false">
      <c r="A565" s="0" t="s">
        <v>2364</v>
      </c>
      <c r="B565" s="0" t="n">
        <v>-0.419318794428625</v>
      </c>
      <c r="C565" s="0" t="n">
        <v>0.0869430675336644</v>
      </c>
      <c r="D565" s="0" t="n">
        <v>-0.578844028850984</v>
      </c>
      <c r="E565" s="0" t="n">
        <v>-0.341836544551639</v>
      </c>
      <c r="F565" s="0" t="n">
        <v>-0.119554723533002</v>
      </c>
      <c r="G565" s="0" t="n">
        <v>1.37261102383059</v>
      </c>
    </row>
    <row r="566" customFormat="false" ht="15" hidden="false" customHeight="false" outlineLevel="0" collapsed="false">
      <c r="A566" s="0" t="s">
        <v>2365</v>
      </c>
      <c r="B566" s="0" t="n">
        <v>-0.526069994981796</v>
      </c>
      <c r="C566" s="0" t="n">
        <v>0.583563074735901</v>
      </c>
      <c r="D566" s="0" t="n">
        <v>-0.0478932010646002</v>
      </c>
      <c r="E566" s="0" t="n">
        <v>-0.0346127638645795</v>
      </c>
      <c r="F566" s="0" t="n">
        <v>0.404489645846246</v>
      </c>
      <c r="G566" s="0" t="n">
        <v>-0.379476760671169</v>
      </c>
    </row>
    <row r="567" customFormat="false" ht="15" hidden="false" customHeight="false" outlineLevel="0" collapsed="false">
      <c r="A567" s="0" t="s">
        <v>2366</v>
      </c>
      <c r="B567" s="0" t="n">
        <v>-0.0854332744481533</v>
      </c>
      <c r="C567" s="0" t="n">
        <v>0.505708667028018</v>
      </c>
      <c r="D567" s="0" t="n">
        <v>-0.0406893474975633</v>
      </c>
      <c r="E567" s="0" t="n">
        <v>-0.302730086246658</v>
      </c>
      <c r="F567" s="0" t="n">
        <v>-0.0404289878089038</v>
      </c>
      <c r="G567" s="0" t="n">
        <v>-0.0364269710267403</v>
      </c>
    </row>
    <row r="568" customFormat="false" ht="15" hidden="false" customHeight="false" outlineLevel="0" collapsed="false">
      <c r="A568" s="0" t="s">
        <v>2367</v>
      </c>
      <c r="B568" s="0" t="n">
        <v>-0.0726429293186262</v>
      </c>
      <c r="C568" s="0" t="n">
        <v>0.615644806097043</v>
      </c>
      <c r="D568" s="0" t="n">
        <v>-0.0657944533900442</v>
      </c>
      <c r="E568" s="0" t="n">
        <v>-0.110010009795445</v>
      </c>
      <c r="F568" s="0" t="n">
        <v>-0.108399977065566</v>
      </c>
      <c r="G568" s="0" t="n">
        <v>-0.258797436527363</v>
      </c>
    </row>
    <row r="569" customFormat="false" ht="15" hidden="false" customHeight="false" outlineLevel="0" collapsed="false">
      <c r="A569" s="0" t="s">
        <v>2368</v>
      </c>
      <c r="B569" s="0" t="n">
        <v>-0.0335064749015919</v>
      </c>
      <c r="C569" s="0" t="n">
        <v>0.896293829458758</v>
      </c>
      <c r="D569" s="0" t="n">
        <v>-0.027817932362068</v>
      </c>
      <c r="E569" s="0" t="n">
        <v>-0.769633253206243</v>
      </c>
      <c r="F569" s="0" t="n">
        <v>-0.0364590552838705</v>
      </c>
      <c r="G569" s="0" t="n">
        <v>-0.0288771137049837</v>
      </c>
    </row>
    <row r="570" customFormat="false" ht="15" hidden="false" customHeight="false" outlineLevel="0" collapsed="false">
      <c r="A570" s="0" t="s">
        <v>2369</v>
      </c>
      <c r="B570" s="0" t="n">
        <v>-0.0323511522190174</v>
      </c>
      <c r="C570" s="0" t="n">
        <v>-0.0833462331729972</v>
      </c>
      <c r="D570" s="0" t="n">
        <v>-0.0868983018068689</v>
      </c>
      <c r="E570" s="0" t="n">
        <v>-0.0541979992439387</v>
      </c>
      <c r="F570" s="0" t="n">
        <v>-0.121834992266906</v>
      </c>
      <c r="G570" s="0" t="n">
        <v>0.378628678709729</v>
      </c>
    </row>
    <row r="571" customFormat="false" ht="15" hidden="false" customHeight="false" outlineLevel="0" collapsed="false">
      <c r="A571" s="0" t="s">
        <v>2370</v>
      </c>
      <c r="B571" s="0" t="n">
        <v>-0.0682965361698987</v>
      </c>
      <c r="C571" s="0" t="n">
        <v>-0.145687233910205</v>
      </c>
      <c r="D571" s="0" t="n">
        <v>-0.0535076798306072</v>
      </c>
      <c r="E571" s="0" t="n">
        <v>0.385667483959795</v>
      </c>
      <c r="F571" s="0" t="n">
        <v>-0.0494996984087693</v>
      </c>
      <c r="G571" s="0" t="n">
        <v>-0.0686763356403152</v>
      </c>
    </row>
    <row r="572" customFormat="false" ht="15" hidden="false" customHeight="false" outlineLevel="0" collapsed="false">
      <c r="A572" s="0" t="s">
        <v>2371</v>
      </c>
      <c r="B572" s="0" t="n">
        <v>-0.0557002086564349</v>
      </c>
      <c r="C572" s="0" t="n">
        <v>-0.244857740144126</v>
      </c>
      <c r="D572" s="0" t="n">
        <v>-0.872206840768327</v>
      </c>
      <c r="E572" s="0" t="n">
        <v>-0.0984245122186601</v>
      </c>
      <c r="F572" s="0" t="n">
        <v>1.35914265868696</v>
      </c>
      <c r="G572" s="0" t="n">
        <v>-0.0879533568994197</v>
      </c>
    </row>
    <row r="573" customFormat="false" ht="15" hidden="false" customHeight="false" outlineLevel="0" collapsed="false">
      <c r="A573" s="0" t="s">
        <v>2372</v>
      </c>
      <c r="B573" s="0" t="n">
        <v>1.01509733141079</v>
      </c>
      <c r="C573" s="0" t="n">
        <v>-0.469846935354619</v>
      </c>
      <c r="D573" s="0" t="n">
        <v>-0.338824784503447</v>
      </c>
      <c r="E573" s="0" t="n">
        <v>-0.0475321060395323</v>
      </c>
      <c r="F573" s="0" t="n">
        <v>-0.104279199439053</v>
      </c>
      <c r="G573" s="0" t="n">
        <v>-0.0546143060741399</v>
      </c>
    </row>
    <row r="574" customFormat="false" ht="15" hidden="false" customHeight="false" outlineLevel="0" collapsed="false">
      <c r="A574" s="0" t="s">
        <v>2373</v>
      </c>
      <c r="B574" s="0" t="n">
        <v>-0.0463514839260959</v>
      </c>
      <c r="C574" s="0" t="n">
        <v>-0.199835653867419</v>
      </c>
      <c r="D574" s="0" t="n">
        <v>-0.542150290682047</v>
      </c>
      <c r="E574" s="0" t="n">
        <v>0.915261331940173</v>
      </c>
      <c r="F574" s="0" t="n">
        <v>-0.0688448702879842</v>
      </c>
      <c r="G574" s="0" t="n">
        <v>-0.0580790331766282</v>
      </c>
    </row>
    <row r="575" customFormat="false" ht="15" hidden="false" customHeight="false" outlineLevel="0" collapsed="false">
      <c r="A575" s="0" t="s">
        <v>2374</v>
      </c>
      <c r="B575" s="0" t="n">
        <v>-0.0461545065707922</v>
      </c>
      <c r="C575" s="0" t="n">
        <v>-0.122783131425798</v>
      </c>
      <c r="D575" s="0" t="n">
        <v>-0.0467076193722499</v>
      </c>
      <c r="E575" s="0" t="n">
        <v>-0.0710346705023427</v>
      </c>
      <c r="F575" s="0" t="n">
        <v>1.24500187823618</v>
      </c>
      <c r="G575" s="0" t="n">
        <v>-0.958321950364997</v>
      </c>
    </row>
    <row r="576" customFormat="false" ht="15" hidden="false" customHeight="false" outlineLevel="0" collapsed="false">
      <c r="A576" s="0" t="s">
        <v>2375</v>
      </c>
      <c r="B576" s="0" t="n">
        <v>-0.200520723860443</v>
      </c>
      <c r="C576" s="0" t="n">
        <v>-0.30029430576169</v>
      </c>
      <c r="D576" s="0" t="n">
        <v>0.97600200817846</v>
      </c>
      <c r="E576" s="0" t="n">
        <v>-0.182389641040962</v>
      </c>
      <c r="F576" s="0" t="n">
        <v>-0.140320835224425</v>
      </c>
      <c r="G576" s="0" t="n">
        <v>-0.152476502290939</v>
      </c>
    </row>
    <row r="577" customFormat="false" ht="15" hidden="false" customHeight="false" outlineLevel="0" collapsed="false">
      <c r="A577" s="0" t="s">
        <v>2376</v>
      </c>
      <c r="B577" s="0" t="n">
        <v>-0.0352275522836474</v>
      </c>
      <c r="C577" s="0" t="n">
        <v>0.612305444577404</v>
      </c>
      <c r="D577" s="0" t="n">
        <v>-0.0425135018370287</v>
      </c>
      <c r="E577" s="0" t="n">
        <v>-0.110681837859526</v>
      </c>
      <c r="F577" s="0" t="n">
        <v>-0.0501914536228146</v>
      </c>
      <c r="G577" s="0" t="n">
        <v>-0.373691098974387</v>
      </c>
    </row>
    <row r="578" customFormat="false" ht="15" hidden="false" customHeight="false" outlineLevel="0" collapsed="false">
      <c r="A578" s="0" t="s">
        <v>2377</v>
      </c>
      <c r="B578" s="0" t="n">
        <v>-0.110630456616726</v>
      </c>
      <c r="C578" s="0" t="n">
        <v>-0.226385904381712</v>
      </c>
      <c r="D578" s="0" t="n">
        <v>-0.216501149270811</v>
      </c>
      <c r="E578" s="0" t="n">
        <v>0.874613981650012</v>
      </c>
      <c r="F578" s="0" t="n">
        <v>-0.212102943755282</v>
      </c>
      <c r="G578" s="0" t="n">
        <v>-0.108993527625481</v>
      </c>
    </row>
    <row r="579" customFormat="false" ht="15" hidden="false" customHeight="false" outlineLevel="0" collapsed="false">
      <c r="A579" s="0" t="s">
        <v>2378</v>
      </c>
      <c r="B579" s="0" t="n">
        <v>-0.157256502225008</v>
      </c>
      <c r="C579" s="0" t="n">
        <v>-0.0744601028449665</v>
      </c>
      <c r="D579" s="0" t="n">
        <v>-0.107215192035287</v>
      </c>
      <c r="E579" s="0" t="n">
        <v>-0.338470870219622</v>
      </c>
      <c r="F579" s="0" t="n">
        <v>0.773322084353408</v>
      </c>
      <c r="G579" s="0" t="n">
        <v>-0.0959194170285245</v>
      </c>
    </row>
    <row r="580" customFormat="false" ht="15" hidden="false" customHeight="false" outlineLevel="0" collapsed="false">
      <c r="A580" s="0" t="s">
        <v>2379</v>
      </c>
      <c r="B580" s="0" t="n">
        <v>-0.0485142433073398</v>
      </c>
      <c r="C580" s="0" t="n">
        <v>-0.126439376523938</v>
      </c>
      <c r="D580" s="0" t="n">
        <v>1.10094270815906</v>
      </c>
      <c r="E580" s="0" t="n">
        <v>-0.151304072543986</v>
      </c>
      <c r="F580" s="0" t="n">
        <v>-0.703220225804968</v>
      </c>
      <c r="G580" s="0" t="n">
        <v>-0.0714647899788257</v>
      </c>
    </row>
    <row r="581" customFormat="false" ht="15" hidden="false" customHeight="false" outlineLevel="0" collapsed="false">
      <c r="A581" s="0" t="s">
        <v>2380</v>
      </c>
      <c r="B581" s="0" t="n">
        <v>-0.0966232466824648</v>
      </c>
      <c r="C581" s="0" t="n">
        <v>-0.204550486382644</v>
      </c>
      <c r="D581" s="0" t="n">
        <v>-0.218249194337568</v>
      </c>
      <c r="E581" s="0" t="n">
        <v>-0.146782534730898</v>
      </c>
      <c r="F581" s="0" t="n">
        <v>-0.139387287228976</v>
      </c>
      <c r="G581" s="0" t="n">
        <v>0.805592749362551</v>
      </c>
    </row>
    <row r="582" customFormat="false" ht="15" hidden="false" customHeight="false" outlineLevel="0" collapsed="false">
      <c r="A582" s="0" t="s">
        <v>2381</v>
      </c>
      <c r="B582" s="0" t="n">
        <v>-0.0474557974806151</v>
      </c>
      <c r="C582" s="0" t="n">
        <v>0.31823653331027</v>
      </c>
      <c r="D582" s="0" t="n">
        <v>-0.0537327164140697</v>
      </c>
      <c r="E582" s="0" t="n">
        <v>-0.0273939984001726</v>
      </c>
      <c r="F582" s="0" t="n">
        <v>-0.0909517755855583</v>
      </c>
      <c r="G582" s="0" t="n">
        <v>-0.0987022454298527</v>
      </c>
    </row>
    <row r="583" customFormat="false" ht="15" hidden="false" customHeight="false" outlineLevel="0" collapsed="false">
      <c r="A583" s="0" t="s">
        <v>2382</v>
      </c>
      <c r="B583" s="0" t="n">
        <v>-0.462900692817807</v>
      </c>
      <c r="C583" s="0" t="n">
        <v>0.600248676171535</v>
      </c>
      <c r="D583" s="0" t="n">
        <v>-0.0423441859662732</v>
      </c>
      <c r="E583" s="0" t="n">
        <v>-0.0367779682024978</v>
      </c>
      <c r="F583" s="0" t="n">
        <v>-0.0432761412917881</v>
      </c>
      <c r="G583" s="0" t="n">
        <v>-0.0149496878931695</v>
      </c>
    </row>
    <row r="584" customFormat="false" ht="15" hidden="false" customHeight="false" outlineLevel="0" collapsed="false">
      <c r="A584" s="0" t="s">
        <v>2383</v>
      </c>
      <c r="B584" s="0" t="n">
        <v>-0.046192151746678</v>
      </c>
      <c r="C584" s="0" t="n">
        <v>-0.0626487799120501</v>
      </c>
      <c r="D584" s="0" t="n">
        <v>-0.244677065162505</v>
      </c>
      <c r="E584" s="0" t="n">
        <v>-0.0615854014501471</v>
      </c>
      <c r="F584" s="0" t="n">
        <v>-0.0509772911700061</v>
      </c>
      <c r="G584" s="0" t="n">
        <v>0.466080689441387</v>
      </c>
    </row>
    <row r="585" customFormat="false" ht="15" hidden="false" customHeight="false" outlineLevel="0" collapsed="false">
      <c r="A585" s="0" t="s">
        <v>2384</v>
      </c>
      <c r="B585" s="0" t="n">
        <v>-0.0621083080416934</v>
      </c>
      <c r="C585" s="0" t="n">
        <v>-0.354243600403508</v>
      </c>
      <c r="D585" s="0" t="n">
        <v>-0.0631921589521209</v>
      </c>
      <c r="E585" s="0" t="n">
        <v>-0.0661867858123875</v>
      </c>
      <c r="F585" s="0" t="n">
        <v>0.596874171257066</v>
      </c>
      <c r="G585" s="0" t="n">
        <v>-0.0511433180473565</v>
      </c>
    </row>
    <row r="586" customFormat="false" ht="15" hidden="false" customHeight="false" outlineLevel="0" collapsed="false">
      <c r="A586" s="0" t="s">
        <v>2385</v>
      </c>
      <c r="B586" s="0" t="n">
        <v>-0.0415499160879499</v>
      </c>
      <c r="C586" s="0" t="n">
        <v>-0.280048781105256</v>
      </c>
      <c r="D586" s="0" t="n">
        <v>-0.151363842517196</v>
      </c>
      <c r="E586" s="0" t="n">
        <v>-0.0976868407909862</v>
      </c>
      <c r="F586" s="0" t="n">
        <v>0.620104440090938</v>
      </c>
      <c r="G586" s="0" t="n">
        <v>-0.0494550595895498</v>
      </c>
    </row>
    <row r="587" customFormat="false" ht="15" hidden="false" customHeight="false" outlineLevel="0" collapsed="false">
      <c r="A587" s="0" t="s">
        <v>2386</v>
      </c>
      <c r="B587" s="0" t="n">
        <v>-0.232394846241537</v>
      </c>
      <c r="C587" s="0" t="n">
        <v>-0.392347806726735</v>
      </c>
      <c r="D587" s="0" t="n">
        <v>-0.0894106071550739</v>
      </c>
      <c r="E587" s="0" t="n">
        <v>1.0059877259489</v>
      </c>
      <c r="F587" s="0" t="n">
        <v>0.0352494273390032</v>
      </c>
      <c r="G587" s="0" t="n">
        <v>-0.32708389316456</v>
      </c>
    </row>
    <row r="588" customFormat="false" ht="15" hidden="false" customHeight="false" outlineLevel="0" collapsed="false">
      <c r="A588" s="0" t="s">
        <v>2387</v>
      </c>
      <c r="B588" s="0" t="n">
        <v>-0.232394846241537</v>
      </c>
      <c r="C588" s="0" t="n">
        <v>-0.392347806726735</v>
      </c>
      <c r="D588" s="0" t="n">
        <v>-0.0894106071550739</v>
      </c>
      <c r="E588" s="0" t="n">
        <v>1.0059877259489</v>
      </c>
      <c r="F588" s="0" t="n">
        <v>0.0352494273390032</v>
      </c>
      <c r="G588" s="0" t="n">
        <v>-0.32708389316456</v>
      </c>
    </row>
    <row r="589" customFormat="false" ht="15" hidden="false" customHeight="false" outlineLevel="0" collapsed="false">
      <c r="A589" s="0" t="s">
        <v>2388</v>
      </c>
      <c r="B589" s="0" t="n">
        <v>1.72293704859801</v>
      </c>
      <c r="C589" s="0" t="n">
        <v>0.0601932662570054</v>
      </c>
      <c r="D589" s="0" t="n">
        <v>-0.309592445102867</v>
      </c>
      <c r="E589" s="0" t="n">
        <v>-0.414133308664815</v>
      </c>
      <c r="F589" s="0" t="n">
        <v>-0.389725892078558</v>
      </c>
      <c r="G589" s="0" t="n">
        <v>-0.669678669008779</v>
      </c>
    </row>
    <row r="590" customFormat="false" ht="15" hidden="false" customHeight="false" outlineLevel="0" collapsed="false">
      <c r="A590" s="0" t="s">
        <v>2389</v>
      </c>
      <c r="B590" s="0" t="n">
        <v>1.72293704859801</v>
      </c>
      <c r="C590" s="0" t="n">
        <v>0.0601932662570054</v>
      </c>
      <c r="D590" s="0" t="n">
        <v>-0.309592445102867</v>
      </c>
      <c r="E590" s="0" t="n">
        <v>-0.414133308664815</v>
      </c>
      <c r="F590" s="0" t="n">
        <v>-0.389725892078558</v>
      </c>
      <c r="G590" s="0" t="n">
        <v>-0.669678669008779</v>
      </c>
    </row>
    <row r="591" customFormat="false" ht="15" hidden="false" customHeight="false" outlineLevel="0" collapsed="false">
      <c r="A591" s="0" t="s">
        <v>2390</v>
      </c>
      <c r="B591" s="0" t="n">
        <v>-0.221984019879896</v>
      </c>
      <c r="C591" s="0" t="n">
        <v>-0.346485978585165</v>
      </c>
      <c r="D591" s="0" t="n">
        <v>-0.21044840219479</v>
      </c>
      <c r="E591" s="0" t="n">
        <v>-0.206891675251617</v>
      </c>
      <c r="F591" s="0" t="n">
        <v>-0.27765121057097</v>
      </c>
      <c r="G591" s="0" t="n">
        <v>1.26346128648244</v>
      </c>
    </row>
    <row r="592" customFormat="false" ht="15" hidden="false" customHeight="false" outlineLevel="0" collapsed="false">
      <c r="A592" s="0" t="s">
        <v>2391</v>
      </c>
      <c r="B592" s="0" t="n">
        <v>-0.221984019879896</v>
      </c>
      <c r="C592" s="0" t="n">
        <v>-0.346485978585165</v>
      </c>
      <c r="D592" s="0" t="n">
        <v>-0.21044840219479</v>
      </c>
      <c r="E592" s="0" t="n">
        <v>-0.206891675251617</v>
      </c>
      <c r="F592" s="0" t="n">
        <v>-0.27765121057097</v>
      </c>
      <c r="G592" s="0" t="n">
        <v>1.26346128648244</v>
      </c>
    </row>
    <row r="593" customFormat="false" ht="15" hidden="false" customHeight="false" outlineLevel="0" collapsed="false">
      <c r="A593" s="0" t="s">
        <v>2392</v>
      </c>
      <c r="B593" s="0" t="n">
        <v>-0.321275309512518</v>
      </c>
      <c r="C593" s="0" t="n">
        <v>-0.123466507120173</v>
      </c>
      <c r="D593" s="0" t="n">
        <v>-0.3739644076999</v>
      </c>
      <c r="E593" s="0" t="n">
        <v>-0.60756362266389</v>
      </c>
      <c r="F593" s="0" t="n">
        <v>1.80554744923104</v>
      </c>
      <c r="G593" s="0" t="n">
        <v>-0.379277602234562</v>
      </c>
    </row>
    <row r="594" customFormat="false" ht="15" hidden="false" customHeight="false" outlineLevel="0" collapsed="false">
      <c r="A594" s="0" t="s">
        <v>2393</v>
      </c>
      <c r="B594" s="0" t="n">
        <v>-0.145987794675925</v>
      </c>
      <c r="C594" s="0" t="n">
        <v>-0.15527972961106</v>
      </c>
      <c r="D594" s="0" t="n">
        <v>-0.0870351632505535</v>
      </c>
      <c r="E594" s="0" t="n">
        <v>0.5967788301081</v>
      </c>
      <c r="F594" s="0" t="n">
        <v>-0.103063158804737</v>
      </c>
      <c r="G594" s="0" t="n">
        <v>-0.105412983765826</v>
      </c>
    </row>
    <row r="595" customFormat="false" ht="15" hidden="false" customHeight="false" outlineLevel="0" collapsed="false">
      <c r="A595" s="0" t="s">
        <v>2394</v>
      </c>
      <c r="B595" s="0" t="n">
        <v>-0.118595918529587</v>
      </c>
      <c r="C595" s="0" t="n">
        <v>-0.0933928063358449</v>
      </c>
      <c r="D595" s="0" t="n">
        <v>-0.0717649193291028</v>
      </c>
      <c r="E595" s="0" t="n">
        <v>-0.0977618624975119</v>
      </c>
      <c r="F595" s="0" t="n">
        <v>0.468908015505782</v>
      </c>
      <c r="G595" s="0" t="n">
        <v>-0.0873925088137348</v>
      </c>
    </row>
    <row r="596" customFormat="false" ht="15" hidden="false" customHeight="false" outlineLevel="0" collapsed="false">
      <c r="A596" s="0" t="s">
        <v>2395</v>
      </c>
      <c r="B596" s="0" t="n">
        <v>-0.344001518996423</v>
      </c>
      <c r="C596" s="0" t="n">
        <v>-0.563458086368713</v>
      </c>
      <c r="D596" s="0" t="n">
        <v>0.00885393151946994</v>
      </c>
      <c r="E596" s="0" t="n">
        <v>1.42644090964744</v>
      </c>
      <c r="F596" s="0" t="n">
        <v>-0.00409919928881286</v>
      </c>
      <c r="G596" s="0" t="n">
        <v>-0.52373603651296</v>
      </c>
    </row>
    <row r="597" customFormat="false" ht="15" hidden="false" customHeight="false" outlineLevel="0" collapsed="false">
      <c r="A597" s="0" t="s">
        <v>2396</v>
      </c>
      <c r="B597" s="0" t="n">
        <v>-0.0665603482852741</v>
      </c>
      <c r="C597" s="0" t="n">
        <v>-0.0345515672150398</v>
      </c>
      <c r="D597" s="0" t="n">
        <v>-0.119466469187948</v>
      </c>
      <c r="E597" s="0" t="n">
        <v>0.394158191911021</v>
      </c>
      <c r="F597" s="0" t="n">
        <v>-0.093871646840458</v>
      </c>
      <c r="G597" s="0" t="n">
        <v>-0.079708160382301</v>
      </c>
    </row>
    <row r="598" customFormat="false" ht="15" hidden="false" customHeight="false" outlineLevel="0" collapsed="false">
      <c r="A598" s="0" t="s">
        <v>2397</v>
      </c>
      <c r="B598" s="0" t="n">
        <v>-0.0234079808239546</v>
      </c>
      <c r="C598" s="0" t="n">
        <v>-0.0214110801760284</v>
      </c>
      <c r="D598" s="0" t="n">
        <v>-0.064514497212055</v>
      </c>
      <c r="E598" s="0" t="n">
        <v>0.191709087777059</v>
      </c>
      <c r="F598" s="0" t="n">
        <v>-0.0620127057668251</v>
      </c>
      <c r="G598" s="0" t="n">
        <v>-0.0203628237981962</v>
      </c>
    </row>
    <row r="599" customFormat="false" ht="15" hidden="false" customHeight="false" outlineLevel="0" collapsed="false">
      <c r="A599" s="0" t="s">
        <v>2398</v>
      </c>
      <c r="B599" s="0" t="n">
        <v>-0.0343852606722011</v>
      </c>
      <c r="C599" s="0" t="n">
        <v>-0.0237057169744078</v>
      </c>
      <c r="D599" s="0" t="n">
        <v>-0.0557443836578399</v>
      </c>
      <c r="E599" s="0" t="n">
        <v>0.246387369059638</v>
      </c>
      <c r="F599" s="0" t="n">
        <v>-0.117709487556666</v>
      </c>
      <c r="G599" s="0" t="n">
        <v>-0.0148425201985229</v>
      </c>
    </row>
    <row r="600" customFormat="false" ht="15" hidden="false" customHeight="false" outlineLevel="0" collapsed="false">
      <c r="A600" s="0" t="s">
        <v>2399</v>
      </c>
      <c r="B600" s="0" t="n">
        <v>0.0866315440977377</v>
      </c>
      <c r="C600" s="0" t="n">
        <v>-0.634356444701025</v>
      </c>
      <c r="D600" s="0" t="n">
        <v>-0.365475791550806</v>
      </c>
      <c r="E600" s="0" t="n">
        <v>-0.578722454491561</v>
      </c>
      <c r="F600" s="0" t="n">
        <v>1.74361351490877</v>
      </c>
      <c r="G600" s="0" t="n">
        <v>-0.251690368263117</v>
      </c>
    </row>
    <row r="601" customFormat="false" ht="15" hidden="false" customHeight="false" outlineLevel="0" collapsed="false">
      <c r="A601" s="0" t="s">
        <v>2400</v>
      </c>
      <c r="B601" s="0" t="n">
        <v>0.0866315440977377</v>
      </c>
      <c r="C601" s="0" t="n">
        <v>-0.634356444701025</v>
      </c>
      <c r="D601" s="0" t="n">
        <v>-0.365475791550806</v>
      </c>
      <c r="E601" s="0" t="n">
        <v>-0.578722454491561</v>
      </c>
      <c r="F601" s="0" t="n">
        <v>1.74361351490877</v>
      </c>
      <c r="G601" s="0" t="n">
        <v>-0.251690368263117</v>
      </c>
    </row>
    <row r="602" customFormat="false" ht="15" hidden="false" customHeight="false" outlineLevel="0" collapsed="false">
      <c r="A602" s="0" t="s">
        <v>2401</v>
      </c>
      <c r="B602" s="0" t="n">
        <v>1.42343550921402</v>
      </c>
      <c r="C602" s="0" t="n">
        <v>-0.571972355915645</v>
      </c>
      <c r="D602" s="0" t="n">
        <v>-0.267317648670718</v>
      </c>
      <c r="E602" s="0" t="n">
        <v>-0.31699181606131</v>
      </c>
      <c r="F602" s="0" t="n">
        <v>-0.31435743412322</v>
      </c>
      <c r="G602" s="0" t="n">
        <v>0.0472037455568697</v>
      </c>
    </row>
    <row r="603" customFormat="false" ht="15" hidden="false" customHeight="false" outlineLevel="0" collapsed="false">
      <c r="A603" s="0" t="s">
        <v>2402</v>
      </c>
      <c r="B603" s="0" t="n">
        <v>1.42343550921402</v>
      </c>
      <c r="C603" s="0" t="n">
        <v>-0.571972355915645</v>
      </c>
      <c r="D603" s="0" t="n">
        <v>-0.267317648670718</v>
      </c>
      <c r="E603" s="0" t="n">
        <v>-0.31699181606131</v>
      </c>
      <c r="F603" s="0" t="n">
        <v>-0.31435743412322</v>
      </c>
      <c r="G603" s="0" t="n">
        <v>0.0472037455568697</v>
      </c>
    </row>
    <row r="604" customFormat="false" ht="15" hidden="false" customHeight="false" outlineLevel="0" collapsed="false">
      <c r="A604" s="0" t="s">
        <v>2403</v>
      </c>
      <c r="B604" s="0" t="n">
        <v>0.0866315440977377</v>
      </c>
      <c r="C604" s="0" t="n">
        <v>-0.634356444701025</v>
      </c>
      <c r="D604" s="0" t="n">
        <v>-0.365475791550806</v>
      </c>
      <c r="E604" s="0" t="n">
        <v>-0.578722454491561</v>
      </c>
      <c r="F604" s="0" t="n">
        <v>1.74361351490877</v>
      </c>
      <c r="G604" s="0" t="n">
        <v>-0.251690368263117</v>
      </c>
    </row>
    <row r="605" customFormat="false" ht="15" hidden="false" customHeight="false" outlineLevel="0" collapsed="false">
      <c r="A605" s="0" t="s">
        <v>2404</v>
      </c>
      <c r="B605" s="0" t="n">
        <v>-0.257507264832614</v>
      </c>
      <c r="C605" s="0" t="n">
        <v>-0.0599864638390854</v>
      </c>
      <c r="D605" s="0" t="n">
        <v>-0.0800967379146728</v>
      </c>
      <c r="E605" s="0" t="n">
        <v>0.944674287738702</v>
      </c>
      <c r="F605" s="0" t="n">
        <v>-0.486501074320004</v>
      </c>
      <c r="G605" s="0" t="n">
        <v>-0.0605827468323257</v>
      </c>
    </row>
    <row r="606" customFormat="false" ht="15" hidden="false" customHeight="false" outlineLevel="0" collapsed="false">
      <c r="A606" s="0" t="s">
        <v>2405</v>
      </c>
      <c r="B606" s="0" t="n">
        <v>-0.0972133036665964</v>
      </c>
      <c r="C606" s="0" t="n">
        <v>-0.0256010608184927</v>
      </c>
      <c r="D606" s="0" t="n">
        <v>-0.0548940615593787</v>
      </c>
      <c r="E606" s="0" t="n">
        <v>-0.0424864549681273</v>
      </c>
      <c r="F606" s="0" t="n">
        <v>0.259690699158568</v>
      </c>
      <c r="G606" s="0" t="n">
        <v>-0.0394958181459716</v>
      </c>
    </row>
    <row r="607" customFormat="false" ht="15" hidden="false" customHeight="false" outlineLevel="0" collapsed="false">
      <c r="A607" s="0" t="s">
        <v>2406</v>
      </c>
      <c r="B607" s="0" t="n">
        <v>-0.331606621485316</v>
      </c>
      <c r="C607" s="0" t="n">
        <v>-0.744601674291347</v>
      </c>
      <c r="D607" s="0" t="n">
        <v>-0.132642277817409</v>
      </c>
      <c r="E607" s="0" t="n">
        <v>-0.396985028070119</v>
      </c>
      <c r="F607" s="0" t="n">
        <v>-0.260536084954705</v>
      </c>
      <c r="G607" s="0" t="n">
        <v>1.8663716866189</v>
      </c>
    </row>
    <row r="608" customFormat="false" ht="15" hidden="false" customHeight="false" outlineLevel="0" collapsed="false">
      <c r="A608" s="0" t="s">
        <v>2407</v>
      </c>
      <c r="B608" s="0" t="n">
        <v>-0.104990737916972</v>
      </c>
      <c r="C608" s="0" t="n">
        <v>-0.0342806513705367</v>
      </c>
      <c r="D608" s="0" t="n">
        <v>-0.12679918046523</v>
      </c>
      <c r="E608" s="0" t="n">
        <v>-0.0648963621428899</v>
      </c>
      <c r="F608" s="0" t="n">
        <v>-0.0657302484272067</v>
      </c>
      <c r="G608" s="0" t="n">
        <v>0.396697180322836</v>
      </c>
    </row>
    <row r="609" customFormat="false" ht="15" hidden="false" customHeight="false" outlineLevel="0" collapsed="false">
      <c r="A609" s="0" t="s">
        <v>2408</v>
      </c>
      <c r="B609" s="0" t="n">
        <v>1.0554137034405</v>
      </c>
      <c r="C609" s="0" t="n">
        <v>-0.0529443159200554</v>
      </c>
      <c r="D609" s="0" t="n">
        <v>-0.118159506607417</v>
      </c>
      <c r="E609" s="0" t="n">
        <v>-0.0701976832754967</v>
      </c>
      <c r="F609" s="0" t="n">
        <v>-0.0343083941987783</v>
      </c>
      <c r="G609" s="0" t="n">
        <v>-0.779803803438747</v>
      </c>
    </row>
    <row r="610" customFormat="false" ht="15" hidden="false" customHeight="false" outlineLevel="0" collapsed="false">
      <c r="A610" s="0" t="s">
        <v>2409</v>
      </c>
      <c r="B610" s="0" t="n">
        <v>-0.0587255334881283</v>
      </c>
      <c r="C610" s="0" t="n">
        <v>-0.0396227134105997</v>
      </c>
      <c r="D610" s="0" t="n">
        <v>-0.132528692712433</v>
      </c>
      <c r="E610" s="0" t="n">
        <v>-0.0811577603286437</v>
      </c>
      <c r="F610" s="0" t="n">
        <v>-0.0456436788860454</v>
      </c>
      <c r="G610" s="0" t="n">
        <v>0.35767837882585</v>
      </c>
    </row>
    <row r="611" customFormat="false" ht="15" hidden="false" customHeight="false" outlineLevel="0" collapsed="false">
      <c r="A611" s="0" t="s">
        <v>2410</v>
      </c>
      <c r="B611" s="0" t="n">
        <v>-0.645897961802616</v>
      </c>
      <c r="C611" s="0" t="n">
        <v>1.675270156809</v>
      </c>
      <c r="D611" s="0" t="n">
        <v>-0.319942658961277</v>
      </c>
      <c r="E611" s="0" t="n">
        <v>-0.206542287066918</v>
      </c>
      <c r="F611" s="0" t="n">
        <v>-0.263944628922216</v>
      </c>
      <c r="G611" s="0" t="n">
        <v>-0.238942620055972</v>
      </c>
    </row>
    <row r="612" customFormat="false" ht="15" hidden="false" customHeight="false" outlineLevel="0" collapsed="false">
      <c r="A612" s="0" t="s">
        <v>2411</v>
      </c>
      <c r="B612" s="0" t="n">
        <v>-0.0702498558571663</v>
      </c>
      <c r="C612" s="0" t="n">
        <v>-0.614447119262071</v>
      </c>
      <c r="D612" s="0" t="n">
        <v>-0.0512972260972378</v>
      </c>
      <c r="E612" s="0" t="n">
        <v>0.851703679354198</v>
      </c>
      <c r="F612" s="0" t="n">
        <v>-0.0595959530134538</v>
      </c>
      <c r="G612" s="0" t="n">
        <v>-0.0561135251242691</v>
      </c>
    </row>
    <row r="613" customFormat="false" ht="15" hidden="false" customHeight="false" outlineLevel="0" collapsed="false">
      <c r="A613" s="0" t="s">
        <v>2412</v>
      </c>
      <c r="B613" s="0" t="n">
        <v>0.0866315440977377</v>
      </c>
      <c r="C613" s="0" t="n">
        <v>-0.634356444701025</v>
      </c>
      <c r="D613" s="0" t="n">
        <v>-0.365475791550806</v>
      </c>
      <c r="E613" s="0" t="n">
        <v>-0.578722454491561</v>
      </c>
      <c r="F613" s="0" t="n">
        <v>1.74361351490877</v>
      </c>
      <c r="G613" s="0" t="n">
        <v>-0.251690368263117</v>
      </c>
    </row>
    <row r="614" customFormat="false" ht="15" hidden="false" customHeight="false" outlineLevel="0" collapsed="false">
      <c r="A614" s="0" t="s">
        <v>2413</v>
      </c>
      <c r="B614" s="0" t="n">
        <v>0.0866315440977377</v>
      </c>
      <c r="C614" s="0" t="n">
        <v>-0.634356444701025</v>
      </c>
      <c r="D614" s="0" t="n">
        <v>-0.365475791550806</v>
      </c>
      <c r="E614" s="0" t="n">
        <v>-0.578722454491561</v>
      </c>
      <c r="F614" s="0" t="n">
        <v>1.74361351490877</v>
      </c>
      <c r="G614" s="0" t="n">
        <v>-0.251690368263117</v>
      </c>
    </row>
    <row r="615" customFormat="false" ht="15" hidden="false" customHeight="false" outlineLevel="0" collapsed="false">
      <c r="A615" s="0" t="s">
        <v>1824</v>
      </c>
      <c r="B615" s="0" t="n">
        <v>1.94617407048948</v>
      </c>
      <c r="C615" s="0" t="n">
        <v>-0.963006872658303</v>
      </c>
      <c r="D615" s="0" t="n">
        <v>-0.44593306183059</v>
      </c>
      <c r="E615" s="0" t="n">
        <v>-0.124139348217951</v>
      </c>
      <c r="F615" s="0" t="n">
        <v>-0.386104893514566</v>
      </c>
      <c r="G615" s="0" t="n">
        <v>-0.0269898942680685</v>
      </c>
    </row>
    <row r="616" customFormat="false" ht="15" hidden="false" customHeight="false" outlineLevel="0" collapsed="false">
      <c r="A616" s="0" t="s">
        <v>2414</v>
      </c>
      <c r="B616" s="0" t="n">
        <v>1.26527619534933</v>
      </c>
      <c r="C616" s="0" t="n">
        <v>-0.52578734843386</v>
      </c>
      <c r="D616" s="0" t="n">
        <v>-0.239142614668176</v>
      </c>
      <c r="E616" s="0" t="n">
        <v>-0.240822357486135</v>
      </c>
      <c r="F616" s="0" t="n">
        <v>-0.203182222648353</v>
      </c>
      <c r="G616" s="0" t="n">
        <v>-0.0563416521128023</v>
      </c>
    </row>
    <row r="617" customFormat="false" ht="15" hidden="false" customHeight="false" outlineLevel="0" collapsed="false">
      <c r="A617" s="0" t="s">
        <v>2415</v>
      </c>
      <c r="B617" s="0" t="n">
        <v>0.949556509791378</v>
      </c>
      <c r="C617" s="0" t="n">
        <v>-0.568194380569405</v>
      </c>
      <c r="D617" s="0" t="n">
        <v>-0.267355338600481</v>
      </c>
      <c r="E617" s="0" t="n">
        <v>0.0964125929453259</v>
      </c>
      <c r="F617" s="0" t="n">
        <v>-0.235286073936407</v>
      </c>
      <c r="G617" s="0" t="n">
        <v>0.0248666903695883</v>
      </c>
    </row>
    <row r="618" customFormat="false" ht="15" hidden="false" customHeight="false" outlineLevel="0" collapsed="false">
      <c r="A618" s="0" t="s">
        <v>2416</v>
      </c>
      <c r="B618" s="0" t="n">
        <v>0.10524496866799</v>
      </c>
      <c r="C618" s="0" t="n">
        <v>0.269356679361396</v>
      </c>
      <c r="D618" s="0" t="n">
        <v>-0.481633009199321</v>
      </c>
      <c r="E618" s="0" t="n">
        <v>-0.536407511366648</v>
      </c>
      <c r="F618" s="0" t="n">
        <v>0.320471691054264</v>
      </c>
      <c r="G618" s="0" t="n">
        <v>0.322967181482318</v>
      </c>
    </row>
    <row r="619" customFormat="false" ht="15" hidden="false" customHeight="false" outlineLevel="0" collapsed="false">
      <c r="A619" s="0" t="s">
        <v>2417</v>
      </c>
      <c r="B619" s="0" t="n">
        <v>1.52300911589522</v>
      </c>
      <c r="C619" s="0" t="n">
        <v>1.47244554060843</v>
      </c>
      <c r="D619" s="0" t="n">
        <v>-0.251502709587517</v>
      </c>
      <c r="E619" s="0" t="n">
        <v>-0.242878379630306</v>
      </c>
      <c r="F619" s="0" t="n">
        <v>-0.780664122201918</v>
      </c>
      <c r="G619" s="0" t="n">
        <v>-1.72040944508391</v>
      </c>
    </row>
    <row r="620" customFormat="false" ht="15" hidden="false" customHeight="false" outlineLevel="0" collapsed="false">
      <c r="A620" s="0" t="s">
        <v>1813</v>
      </c>
      <c r="B620" s="0" t="n">
        <v>-0.687539665581351</v>
      </c>
      <c r="C620" s="0" t="n">
        <v>1.89524692647354</v>
      </c>
      <c r="D620" s="0" t="n">
        <v>-0.355249274107105</v>
      </c>
      <c r="E620" s="0" t="n">
        <v>-0.257561601005952</v>
      </c>
      <c r="F620" s="0" t="n">
        <v>-0.315080884481162</v>
      </c>
      <c r="G620" s="0" t="n">
        <v>-0.279815501297964</v>
      </c>
    </row>
    <row r="621" customFormat="false" ht="15" hidden="false" customHeight="false" outlineLevel="0" collapsed="false">
      <c r="A621" s="0" t="s">
        <v>2418</v>
      </c>
      <c r="B621" s="0" t="n">
        <v>-0.687539665581351</v>
      </c>
      <c r="C621" s="0" t="n">
        <v>1.89524692647354</v>
      </c>
      <c r="D621" s="0" t="n">
        <v>-0.355249274107105</v>
      </c>
      <c r="E621" s="0" t="n">
        <v>-0.257561601005952</v>
      </c>
      <c r="F621" s="0" t="n">
        <v>-0.315080884481162</v>
      </c>
      <c r="G621" s="0" t="n">
        <v>-0.279815501297964</v>
      </c>
    </row>
    <row r="622" customFormat="false" ht="15" hidden="false" customHeight="false" outlineLevel="0" collapsed="false">
      <c r="A622" s="0" t="s">
        <v>2419</v>
      </c>
      <c r="B622" s="0" t="n">
        <v>0.0967195568874466</v>
      </c>
      <c r="C622" s="0" t="n">
        <v>-0.252812058441956</v>
      </c>
      <c r="D622" s="0" t="n">
        <v>-0.345449997588121</v>
      </c>
      <c r="E622" s="0" t="n">
        <v>-0.0724591951410359</v>
      </c>
      <c r="F622" s="0" t="n">
        <v>-0.350297331089051</v>
      </c>
      <c r="G622" s="0" t="n">
        <v>0.924299025372716</v>
      </c>
    </row>
    <row r="623" customFormat="false" ht="15" hidden="false" customHeight="false" outlineLevel="0" collapsed="false">
      <c r="A623" s="0" t="s">
        <v>2420</v>
      </c>
      <c r="B623" s="0" t="n">
        <v>0.0967195568874466</v>
      </c>
      <c r="C623" s="0" t="n">
        <v>-0.252812058441956</v>
      </c>
      <c r="D623" s="0" t="n">
        <v>-0.345449997588121</v>
      </c>
      <c r="E623" s="0" t="n">
        <v>-0.0724591951410359</v>
      </c>
      <c r="F623" s="0" t="n">
        <v>-0.350297331089051</v>
      </c>
      <c r="G623" s="0" t="n">
        <v>0.924299025372716</v>
      </c>
    </row>
    <row r="624" customFormat="false" ht="15" hidden="false" customHeight="false" outlineLevel="0" collapsed="false">
      <c r="A624" s="0" t="s">
        <v>2421</v>
      </c>
      <c r="B624" s="0" t="n">
        <v>-0.445195342997202</v>
      </c>
      <c r="C624" s="0" t="n">
        <v>-0.28475897482936</v>
      </c>
      <c r="D624" s="0" t="n">
        <v>-0.356085213980781</v>
      </c>
      <c r="E624" s="0" t="n">
        <v>-0.305582859936992</v>
      </c>
      <c r="F624" s="0" t="n">
        <v>-0.139456604541534</v>
      </c>
      <c r="G624" s="0" t="n">
        <v>1.53107899628587</v>
      </c>
    </row>
    <row r="625" customFormat="false" ht="15" hidden="false" customHeight="false" outlineLevel="0" collapsed="false">
      <c r="A625" s="0" t="s">
        <v>2422</v>
      </c>
      <c r="B625" s="0" t="n">
        <v>-0.445195342997202</v>
      </c>
      <c r="C625" s="0" t="n">
        <v>-0.28475897482936</v>
      </c>
      <c r="D625" s="0" t="n">
        <v>-0.356085213980781</v>
      </c>
      <c r="E625" s="0" t="n">
        <v>-0.305582859936992</v>
      </c>
      <c r="F625" s="0" t="n">
        <v>-0.139456604541534</v>
      </c>
      <c r="G625" s="0" t="n">
        <v>1.53107899628587</v>
      </c>
    </row>
    <row r="626" customFormat="false" ht="15" hidden="false" customHeight="false" outlineLevel="0" collapsed="false">
      <c r="A626" s="0" t="s">
        <v>2423</v>
      </c>
      <c r="B626" s="0" t="n">
        <v>-0.525090124861336</v>
      </c>
      <c r="C626" s="0" t="n">
        <v>-0.842381470636529</v>
      </c>
      <c r="D626" s="0" t="n">
        <v>-0.376699478473938</v>
      </c>
      <c r="E626" s="0" t="n">
        <v>0.394572099089355</v>
      </c>
      <c r="F626" s="0" t="n">
        <v>1.15504837718066</v>
      </c>
      <c r="G626" s="0" t="n">
        <v>0.19455059770179</v>
      </c>
    </row>
    <row r="627" customFormat="false" ht="15" hidden="false" customHeight="false" outlineLevel="0" collapsed="false">
      <c r="A627" s="0" t="s">
        <v>1802</v>
      </c>
      <c r="B627" s="0" t="n">
        <v>-0.434431775925902</v>
      </c>
      <c r="C627" s="0" t="n">
        <v>-0.109784041871958</v>
      </c>
      <c r="D627" s="0" t="n">
        <v>-0.595133328410633</v>
      </c>
      <c r="E627" s="0" t="n">
        <v>0.103509717331573</v>
      </c>
      <c r="F627" s="0" t="n">
        <v>-0.36252139470386</v>
      </c>
      <c r="G627" s="0" t="n">
        <v>1.39836082358078</v>
      </c>
    </row>
    <row r="628" customFormat="false" ht="15" hidden="false" customHeight="false" outlineLevel="0" collapsed="false">
      <c r="A628" s="0" t="s">
        <v>2424</v>
      </c>
      <c r="B628" s="0" t="n">
        <v>-0.434431775925902</v>
      </c>
      <c r="C628" s="0" t="n">
        <v>-0.109784041871958</v>
      </c>
      <c r="D628" s="0" t="n">
        <v>-0.595133328410633</v>
      </c>
      <c r="E628" s="0" t="n">
        <v>0.103509717331573</v>
      </c>
      <c r="F628" s="0" t="n">
        <v>-0.36252139470386</v>
      </c>
      <c r="G628" s="0" t="n">
        <v>1.39836082358078</v>
      </c>
    </row>
    <row r="629" customFormat="false" ht="15" hidden="false" customHeight="false" outlineLevel="0" collapsed="false">
      <c r="A629" s="0" t="s">
        <v>1808</v>
      </c>
      <c r="B629" s="0" t="n">
        <v>-0.739643350515931</v>
      </c>
      <c r="C629" s="0" t="n">
        <v>1.78488379915499</v>
      </c>
      <c r="D629" s="0" t="n">
        <v>-0.138723626876353</v>
      </c>
      <c r="E629" s="0" t="n">
        <v>0.0543624995473707</v>
      </c>
      <c r="F629" s="0" t="n">
        <v>-0.350949857866757</v>
      </c>
      <c r="G629" s="0" t="n">
        <v>-0.609929463443318</v>
      </c>
    </row>
    <row r="630" customFormat="false" ht="15" hidden="false" customHeight="false" outlineLevel="0" collapsed="false">
      <c r="A630" s="0" t="s">
        <v>2425</v>
      </c>
      <c r="B630" s="0" t="n">
        <v>-0.739643350515931</v>
      </c>
      <c r="C630" s="0" t="n">
        <v>1.78488379915499</v>
      </c>
      <c r="D630" s="0" t="n">
        <v>-0.138723626876353</v>
      </c>
      <c r="E630" s="0" t="n">
        <v>0.0543624995473707</v>
      </c>
      <c r="F630" s="0" t="n">
        <v>-0.350949857866757</v>
      </c>
      <c r="G630" s="0" t="n">
        <v>-0.609929463443318</v>
      </c>
    </row>
    <row r="631" customFormat="false" ht="15" hidden="false" customHeight="false" outlineLevel="0" collapsed="false">
      <c r="A631" s="0" t="s">
        <v>2426</v>
      </c>
      <c r="B631" s="0" t="n">
        <v>-0.835559017124083</v>
      </c>
      <c r="C631" s="0" t="n">
        <v>-1.11287454220875</v>
      </c>
      <c r="D631" s="0" t="n">
        <v>0.060155662043653</v>
      </c>
      <c r="E631" s="0" t="n">
        <v>-0.0648140982919431</v>
      </c>
      <c r="F631" s="0" t="n">
        <v>2.6444328165013</v>
      </c>
      <c r="G631" s="0" t="n">
        <v>-0.691340820920176</v>
      </c>
    </row>
    <row r="632" customFormat="false" ht="15" hidden="false" customHeight="false" outlineLevel="0" collapsed="false">
      <c r="A632" s="0" t="s">
        <v>2427</v>
      </c>
      <c r="B632" s="0" t="n">
        <v>-0.0827308280383136</v>
      </c>
      <c r="C632" s="0" t="n">
        <v>-0.0338812781171596</v>
      </c>
      <c r="D632" s="0" t="n">
        <v>-0.329002529043132</v>
      </c>
      <c r="E632" s="0" t="n">
        <v>-0.0915394905750003</v>
      </c>
      <c r="F632" s="0" t="n">
        <v>0.586450249226536</v>
      </c>
      <c r="G632" s="0" t="n">
        <v>-0.0492961234529314</v>
      </c>
    </row>
    <row r="633" customFormat="false" ht="15" hidden="false" customHeight="false" outlineLevel="0" collapsed="false">
      <c r="A633" s="0" t="s">
        <v>2428</v>
      </c>
      <c r="B633" s="0" t="n">
        <v>-0.522380969432231</v>
      </c>
      <c r="C633" s="0" t="n">
        <v>-0.561531885781276</v>
      </c>
      <c r="D633" s="0" t="n">
        <v>-0.0123024048323808</v>
      </c>
      <c r="E633" s="0" t="n">
        <v>-0.0583145691708593</v>
      </c>
      <c r="F633" s="0" t="n">
        <v>1.51375388026103</v>
      </c>
      <c r="G633" s="0" t="n">
        <v>-0.359224051044283</v>
      </c>
    </row>
    <row r="634" customFormat="false" ht="15" hidden="false" customHeight="false" outlineLevel="0" collapsed="false">
      <c r="A634" s="0" t="s">
        <v>2429</v>
      </c>
      <c r="B634" s="0" t="n">
        <v>-0.0325691336254563</v>
      </c>
      <c r="C634" s="0" t="n">
        <v>-0.0318264624844356</v>
      </c>
      <c r="D634" s="0" t="n">
        <v>0.5313288384201</v>
      </c>
      <c r="E634" s="0" t="n">
        <v>0.710455771105546</v>
      </c>
      <c r="F634" s="0" t="n">
        <v>-1.14410926919585</v>
      </c>
      <c r="G634" s="0" t="n">
        <v>-0.0332797442199016</v>
      </c>
    </row>
    <row r="635" customFormat="false" ht="15" hidden="false" customHeight="false" outlineLevel="0" collapsed="false">
      <c r="A635" s="0" t="s">
        <v>2430</v>
      </c>
      <c r="B635" s="0" t="n">
        <v>-0.0693101383818548</v>
      </c>
      <c r="C635" s="0" t="n">
        <v>-0.0229432188963603</v>
      </c>
      <c r="D635" s="0" t="n">
        <v>-0.109361091367238</v>
      </c>
      <c r="E635" s="0" t="n">
        <v>-0.0747174469580007</v>
      </c>
      <c r="F635" s="0" t="n">
        <v>0.307286427734224</v>
      </c>
      <c r="G635" s="0" t="n">
        <v>-0.0309545321307692</v>
      </c>
    </row>
    <row r="636" customFormat="false" ht="15" hidden="false" customHeight="false" outlineLevel="0" collapsed="false">
      <c r="A636" s="0" t="s">
        <v>2431</v>
      </c>
      <c r="B636" s="0" t="n">
        <v>-0.0299198091763521</v>
      </c>
      <c r="C636" s="0" t="n">
        <v>-0.0279297478567651</v>
      </c>
      <c r="D636" s="0" t="n">
        <v>-0.145441152205234</v>
      </c>
      <c r="E636" s="0" t="n">
        <v>-0.0928658158323895</v>
      </c>
      <c r="F636" s="0" t="n">
        <v>0.325263029009132</v>
      </c>
      <c r="G636" s="0" t="n">
        <v>-0.0291065039383909</v>
      </c>
    </row>
    <row r="637" customFormat="false" ht="15" hidden="false" customHeight="false" outlineLevel="0" collapsed="false">
      <c r="A637" s="0" t="s">
        <v>2432</v>
      </c>
      <c r="B637" s="0" t="n">
        <v>-0.057204368025295</v>
      </c>
      <c r="C637" s="0" t="n">
        <v>-0.284589286258904</v>
      </c>
      <c r="D637" s="0" t="n">
        <v>-0.165260147741648</v>
      </c>
      <c r="E637" s="0" t="n">
        <v>-0.083547305526408</v>
      </c>
      <c r="F637" s="0" t="n">
        <v>0.654749544702321</v>
      </c>
      <c r="G637" s="0" t="n">
        <v>-0.0641484371500656</v>
      </c>
    </row>
    <row r="638" customFormat="false" ht="15" hidden="false" customHeight="false" outlineLevel="0" collapsed="false">
      <c r="A638" s="0" t="s">
        <v>2433</v>
      </c>
      <c r="B638" s="0" t="n">
        <v>-0.8231439208419</v>
      </c>
      <c r="C638" s="0" t="n">
        <v>-0.281579020545725</v>
      </c>
      <c r="D638" s="0" t="n">
        <v>1.04994701957095</v>
      </c>
      <c r="E638" s="0" t="n">
        <v>-0.539135442882267</v>
      </c>
      <c r="F638" s="0" t="n">
        <v>-0.338853987139057</v>
      </c>
      <c r="G638" s="0" t="n">
        <v>0.932765351838005</v>
      </c>
    </row>
    <row r="639" customFormat="false" ht="15" hidden="false" customHeight="false" outlineLevel="0" collapsed="false">
      <c r="A639" s="0" t="s">
        <v>2434</v>
      </c>
      <c r="B639" s="0" t="n">
        <v>-0.0458834916232292</v>
      </c>
      <c r="C639" s="0" t="n">
        <v>-0.132256325302565</v>
      </c>
      <c r="D639" s="0" t="n">
        <v>0.364931200547997</v>
      </c>
      <c r="E639" s="0" t="n">
        <v>-0.0642852681140093</v>
      </c>
      <c r="F639" s="0" t="n">
        <v>-0.05318633056257</v>
      </c>
      <c r="G639" s="0" t="n">
        <v>-0.0693197849456238</v>
      </c>
    </row>
    <row r="640" customFormat="false" ht="15" hidden="false" customHeight="false" outlineLevel="0" collapsed="false">
      <c r="A640" s="0" t="s">
        <v>2435</v>
      </c>
      <c r="B640" s="0" t="n">
        <v>-0.42345927543817</v>
      </c>
      <c r="C640" s="0" t="n">
        <v>-0.24367681099294</v>
      </c>
      <c r="D640" s="0" t="n">
        <v>-0.314916040917734</v>
      </c>
      <c r="E640" s="0" t="n">
        <v>-0.287091009814373</v>
      </c>
      <c r="F640" s="0" t="n">
        <v>0.541216878614367</v>
      </c>
      <c r="G640" s="0" t="n">
        <v>0.727926258548852</v>
      </c>
    </row>
    <row r="641" customFormat="false" ht="15" hidden="false" customHeight="false" outlineLevel="0" collapsed="false">
      <c r="A641" s="0" t="s">
        <v>2436</v>
      </c>
      <c r="B641" s="0" t="n">
        <v>-0.0346626584878267</v>
      </c>
      <c r="C641" s="0" t="n">
        <v>-0.143859890627848</v>
      </c>
      <c r="D641" s="0" t="n">
        <v>0.382675960282311</v>
      </c>
      <c r="E641" s="0" t="n">
        <v>-0.079622360486356</v>
      </c>
      <c r="F641" s="0" t="n">
        <v>-0.0595711410474941</v>
      </c>
      <c r="G641" s="0" t="n">
        <v>-0.0649599096327855</v>
      </c>
    </row>
    <row r="642" customFormat="false" ht="15" hidden="false" customHeight="false" outlineLevel="0" collapsed="false">
      <c r="A642" s="0" t="s">
        <v>2437</v>
      </c>
      <c r="B642" s="0" t="n">
        <v>-0.27463879266876</v>
      </c>
      <c r="C642" s="0" t="n">
        <v>-0.811702689366479</v>
      </c>
      <c r="D642" s="0" t="n">
        <v>0.341652693906306</v>
      </c>
      <c r="E642" s="0" t="n">
        <v>-0.591027047899142</v>
      </c>
      <c r="F642" s="0" t="n">
        <v>-0.640214668832957</v>
      </c>
      <c r="G642" s="0" t="n">
        <v>1.97593050486103</v>
      </c>
    </row>
    <row r="643" customFormat="false" ht="15" hidden="false" customHeight="false" outlineLevel="0" collapsed="false">
      <c r="A643" s="0" t="s">
        <v>2438</v>
      </c>
      <c r="B643" s="0" t="n">
        <v>-0.0634756915088372</v>
      </c>
      <c r="C643" s="0" t="n">
        <v>-0.0525649824574529</v>
      </c>
      <c r="D643" s="0" t="n">
        <v>-0.216069404049507</v>
      </c>
      <c r="E643" s="0" t="n">
        <v>-0.0593249710915933</v>
      </c>
      <c r="F643" s="0" t="n">
        <v>-0.0382795073581005</v>
      </c>
      <c r="G643" s="0" t="n">
        <v>0.429714556465491</v>
      </c>
    </row>
    <row r="644" customFormat="false" ht="15" hidden="false" customHeight="false" outlineLevel="0" collapsed="false">
      <c r="A644" s="0" t="s">
        <v>2439</v>
      </c>
      <c r="B644" s="0" t="n">
        <v>-0.0404371996819499</v>
      </c>
      <c r="C644" s="0" t="n">
        <v>-0.036047313380855</v>
      </c>
      <c r="D644" s="0" t="n">
        <v>-0.18540524066332</v>
      </c>
      <c r="E644" s="0" t="n">
        <v>-0.0481164433481908</v>
      </c>
      <c r="F644" s="0" t="n">
        <v>-0.0448234127884368</v>
      </c>
      <c r="G644" s="0" t="n">
        <v>0.354829609862753</v>
      </c>
    </row>
    <row r="645" customFormat="false" ht="15" hidden="false" customHeight="false" outlineLevel="0" collapsed="false">
      <c r="A645" s="0" t="s">
        <v>1805</v>
      </c>
      <c r="B645" s="0" t="n">
        <v>-0.419318794428625</v>
      </c>
      <c r="C645" s="0" t="n">
        <v>0.0869430675336644</v>
      </c>
      <c r="D645" s="0" t="n">
        <v>-0.578844028850984</v>
      </c>
      <c r="E645" s="0" t="n">
        <v>-0.341836544551639</v>
      </c>
      <c r="F645" s="0" t="n">
        <v>-0.119554723533002</v>
      </c>
      <c r="G645" s="0" t="n">
        <v>1.37261102383059</v>
      </c>
    </row>
    <row r="646" customFormat="false" ht="15" hidden="false" customHeight="false" outlineLevel="0" collapsed="false">
      <c r="A646" s="0" t="s">
        <v>2440</v>
      </c>
      <c r="B646" s="0" t="n">
        <v>-0.419318794428625</v>
      </c>
      <c r="C646" s="0" t="n">
        <v>0.0869430675336644</v>
      </c>
      <c r="D646" s="0" t="n">
        <v>-0.578844028850984</v>
      </c>
      <c r="E646" s="0" t="n">
        <v>-0.341836544551639</v>
      </c>
      <c r="F646" s="0" t="n">
        <v>-0.119554723533002</v>
      </c>
      <c r="G646" s="0" t="n">
        <v>1.37261102383059</v>
      </c>
    </row>
    <row r="647" customFormat="false" ht="15" hidden="false" customHeight="false" outlineLevel="0" collapsed="false">
      <c r="A647" s="0" t="s">
        <v>2441</v>
      </c>
      <c r="B647" s="0" t="n">
        <v>-0.417779508562042</v>
      </c>
      <c r="C647" s="0" t="n">
        <v>-0.556437271104375</v>
      </c>
      <c r="D647" s="0" t="n">
        <v>0.0300778310218265</v>
      </c>
      <c r="E647" s="0" t="n">
        <v>-0.0324070491459715</v>
      </c>
      <c r="F647" s="0" t="n">
        <v>1.32221640825065</v>
      </c>
      <c r="G647" s="0" t="n">
        <v>-0.345670410460088</v>
      </c>
    </row>
    <row r="648" customFormat="false" ht="15" hidden="false" customHeight="false" outlineLevel="0" collapsed="false">
      <c r="A648" s="0" t="s">
        <v>2442</v>
      </c>
      <c r="B648" s="0" t="n">
        <v>-0.417779508562042</v>
      </c>
      <c r="C648" s="0" t="n">
        <v>-0.556437271104375</v>
      </c>
      <c r="D648" s="0" t="n">
        <v>0.0300778310218265</v>
      </c>
      <c r="E648" s="0" t="n">
        <v>-0.0324070491459715</v>
      </c>
      <c r="F648" s="0" t="n">
        <v>1.32221640825065</v>
      </c>
      <c r="G648" s="0" t="n">
        <v>-0.345670410460088</v>
      </c>
    </row>
    <row r="649" customFormat="false" ht="15" hidden="false" customHeight="false" outlineLevel="0" collapsed="false">
      <c r="A649" s="0" t="s">
        <v>1788</v>
      </c>
      <c r="B649" s="0" t="n">
        <v>-0.407181196017297</v>
      </c>
      <c r="C649" s="0" t="n">
        <v>-0.445691357938634</v>
      </c>
      <c r="D649" s="0" t="n">
        <v>-0.364649695283311</v>
      </c>
      <c r="E649" s="0" t="n">
        <v>-0.260776034715845</v>
      </c>
      <c r="F649" s="0" t="n">
        <v>1.72817576525129</v>
      </c>
      <c r="G649" s="0" t="n">
        <v>-0.249877481296198</v>
      </c>
    </row>
    <row r="650" customFormat="false" ht="15" hidden="false" customHeight="false" outlineLevel="0" collapsed="false">
      <c r="A650" s="0" t="s">
        <v>2443</v>
      </c>
      <c r="B650" s="0" t="n">
        <v>-0.407181196017297</v>
      </c>
      <c r="C650" s="0" t="n">
        <v>-0.445691357938634</v>
      </c>
      <c r="D650" s="0" t="n">
        <v>-0.364649695283311</v>
      </c>
      <c r="E650" s="0" t="n">
        <v>-0.260776034715845</v>
      </c>
      <c r="F650" s="0" t="n">
        <v>1.72817576525129</v>
      </c>
      <c r="G650" s="0" t="n">
        <v>-0.249877481296198</v>
      </c>
    </row>
    <row r="651" customFormat="false" ht="15" hidden="false" customHeight="false" outlineLevel="0" collapsed="false">
      <c r="A651" s="0" t="s">
        <v>2444</v>
      </c>
      <c r="B651" s="0" t="n">
        <v>-0.510999758878918</v>
      </c>
      <c r="C651" s="0" t="n">
        <v>0.59839049546891</v>
      </c>
      <c r="D651" s="0" t="n">
        <v>-0.130034770481368</v>
      </c>
      <c r="E651" s="0" t="n">
        <v>-0.0188944739859532</v>
      </c>
      <c r="F651" s="0" t="n">
        <v>0.428288653123372</v>
      </c>
      <c r="G651" s="0" t="n">
        <v>-0.366750145246043</v>
      </c>
    </row>
    <row r="652" customFormat="false" ht="15" hidden="false" customHeight="false" outlineLevel="0" collapsed="false">
      <c r="A652" s="0" t="s">
        <v>2445</v>
      </c>
      <c r="B652" s="0" t="n">
        <v>-0.510999758878918</v>
      </c>
      <c r="C652" s="0" t="n">
        <v>0.59839049546891</v>
      </c>
      <c r="D652" s="0" t="n">
        <v>-0.130034770481368</v>
      </c>
      <c r="E652" s="0" t="n">
        <v>-0.0188944739859532</v>
      </c>
      <c r="F652" s="0" t="n">
        <v>0.428288653123372</v>
      </c>
      <c r="G652" s="0" t="n">
        <v>-0.366750145246043</v>
      </c>
    </row>
    <row r="653" customFormat="false" ht="15" hidden="false" customHeight="false" outlineLevel="0" collapsed="false">
      <c r="A653" s="0" t="s">
        <v>2446</v>
      </c>
      <c r="B653" s="0" t="n">
        <v>0.561604201099595</v>
      </c>
      <c r="C653" s="0" t="n">
        <v>-0.815518035989299</v>
      </c>
      <c r="D653" s="0" t="n">
        <v>1.66007690078478</v>
      </c>
      <c r="E653" s="0" t="n">
        <v>-0.446898794654134</v>
      </c>
      <c r="F653" s="0" t="n">
        <v>0.0590410093264574</v>
      </c>
      <c r="G653" s="0" t="n">
        <v>-1.0183052805674</v>
      </c>
    </row>
    <row r="654" customFormat="false" ht="15" hidden="false" customHeight="false" outlineLevel="0" collapsed="false">
      <c r="A654" s="0" t="s">
        <v>2447</v>
      </c>
      <c r="B654" s="0" t="n">
        <v>-0.87841074892774</v>
      </c>
      <c r="C654" s="0" t="n">
        <v>0.0312349076740337</v>
      </c>
      <c r="D654" s="0" t="n">
        <v>2.24394913527475</v>
      </c>
      <c r="E654" s="0" t="n">
        <v>0.00676716844233363</v>
      </c>
      <c r="F654" s="0" t="n">
        <v>-0.666223463124496</v>
      </c>
      <c r="G654" s="0" t="n">
        <v>-0.737316999338887</v>
      </c>
    </row>
    <row r="655" customFormat="false" ht="15" hidden="false" customHeight="false" outlineLevel="0" collapsed="false">
      <c r="A655" s="0" t="s">
        <v>2448</v>
      </c>
      <c r="B655" s="0" t="n">
        <v>-0.407181196017297</v>
      </c>
      <c r="C655" s="0" t="n">
        <v>-0.445691357938634</v>
      </c>
      <c r="D655" s="0" t="n">
        <v>-0.364649695283311</v>
      </c>
      <c r="E655" s="0" t="n">
        <v>-0.260776034715845</v>
      </c>
      <c r="F655" s="0" t="n">
        <v>1.72817576525129</v>
      </c>
      <c r="G655" s="0" t="n">
        <v>-0.249877481296198</v>
      </c>
    </row>
    <row r="656" customFormat="false" ht="15" hidden="false" customHeight="false" outlineLevel="0" collapsed="false">
      <c r="A656" s="0" t="s">
        <v>2449</v>
      </c>
      <c r="B656" s="0" t="n">
        <v>2.08299682404259</v>
      </c>
      <c r="C656" s="0" t="n">
        <v>-0.637020778150321</v>
      </c>
      <c r="D656" s="0" t="n">
        <v>0.234878331750607</v>
      </c>
      <c r="E656" s="0" t="n">
        <v>-0.320884588635004</v>
      </c>
      <c r="F656" s="0" t="n">
        <v>-1.04954482237119</v>
      </c>
      <c r="G656" s="0" t="n">
        <v>-0.310424966636689</v>
      </c>
    </row>
    <row r="657" customFormat="false" ht="15" hidden="false" customHeight="false" outlineLevel="0" collapsed="false">
      <c r="A657" s="0" t="s">
        <v>2450</v>
      </c>
      <c r="B657" s="0" t="n">
        <v>-0.0104589741451455</v>
      </c>
      <c r="C657" s="0" t="n">
        <v>1.50303305198554</v>
      </c>
      <c r="D657" s="0" t="n">
        <v>-0.361572698339992</v>
      </c>
      <c r="E657" s="0" t="n">
        <v>-0.465845446266803</v>
      </c>
      <c r="F657" s="0" t="n">
        <v>-0.225959940340045</v>
      </c>
      <c r="G657" s="0" t="n">
        <v>-0.439195992893549</v>
      </c>
    </row>
    <row r="658" customFormat="false" ht="15" hidden="false" customHeight="false" outlineLevel="0" collapsed="false">
      <c r="A658" s="0" t="s">
        <v>2451</v>
      </c>
      <c r="B658" s="0" t="n">
        <v>-0.0104589741451455</v>
      </c>
      <c r="C658" s="0" t="n">
        <v>1.50303305198554</v>
      </c>
      <c r="D658" s="0" t="n">
        <v>-0.361572698339992</v>
      </c>
      <c r="E658" s="0" t="n">
        <v>-0.465845446266803</v>
      </c>
      <c r="F658" s="0" t="n">
        <v>-0.225959940340045</v>
      </c>
      <c r="G658" s="0" t="n">
        <v>-0.439195992893549</v>
      </c>
    </row>
    <row r="659" customFormat="false" ht="15" hidden="false" customHeight="false" outlineLevel="0" collapsed="false">
      <c r="A659" s="0" t="s">
        <v>2452</v>
      </c>
      <c r="B659" s="0" t="n">
        <v>-0.483289916561187</v>
      </c>
      <c r="C659" s="0" t="n">
        <v>-0.360175540876812</v>
      </c>
      <c r="D659" s="0" t="n">
        <v>1.59377577126579</v>
      </c>
      <c r="E659" s="0" t="n">
        <v>-0.449109062374783</v>
      </c>
      <c r="F659" s="0" t="n">
        <v>0.0141175484436702</v>
      </c>
      <c r="G659" s="0" t="n">
        <v>-0.31531879989668</v>
      </c>
    </row>
    <row r="660" customFormat="false" ht="15" hidden="false" customHeight="false" outlineLevel="0" collapsed="false">
      <c r="A660" s="0" t="s">
        <v>2453</v>
      </c>
      <c r="B660" s="0" t="n">
        <v>-0.483289916561187</v>
      </c>
      <c r="C660" s="0" t="n">
        <v>-0.360175540876812</v>
      </c>
      <c r="D660" s="0" t="n">
        <v>1.59377577126579</v>
      </c>
      <c r="E660" s="0" t="n">
        <v>-0.449109062374783</v>
      </c>
      <c r="F660" s="0" t="n">
        <v>0.0141175484436702</v>
      </c>
      <c r="G660" s="0" t="n">
        <v>-0.31531879989668</v>
      </c>
    </row>
    <row r="661" customFormat="false" ht="15" hidden="false" customHeight="false" outlineLevel="0" collapsed="false">
      <c r="A661" s="0" t="s">
        <v>2454</v>
      </c>
      <c r="B661" s="0" t="n">
        <v>2.13994689971615</v>
      </c>
      <c r="C661" s="0" t="n">
        <v>0.224548472514436</v>
      </c>
      <c r="D661" s="0" t="n">
        <v>-0.448717041043254</v>
      </c>
      <c r="E661" s="0" t="n">
        <v>-0.934748664800088</v>
      </c>
      <c r="F661" s="0" t="n">
        <v>-0.269449554550695</v>
      </c>
      <c r="G661" s="0" t="n">
        <v>-0.711580111836545</v>
      </c>
    </row>
    <row r="662" customFormat="false" ht="15" hidden="false" customHeight="false" outlineLevel="0" collapsed="false">
      <c r="A662" s="0" t="s">
        <v>2455</v>
      </c>
      <c r="B662" s="0" t="n">
        <v>0.741424611009674</v>
      </c>
      <c r="C662" s="0" t="n">
        <v>-0.126693275609819</v>
      </c>
      <c r="D662" s="0" t="n">
        <v>-0.0446790569642497</v>
      </c>
      <c r="E662" s="0" t="n">
        <v>-0.509673664288497</v>
      </c>
      <c r="F662" s="0" t="n">
        <v>-0.0314582943774921</v>
      </c>
      <c r="G662" s="0" t="n">
        <v>-0.0289203197696157</v>
      </c>
    </row>
    <row r="663" customFormat="false" ht="15" hidden="false" customHeight="false" outlineLevel="0" collapsed="false">
      <c r="A663" s="0" t="s">
        <v>2456</v>
      </c>
      <c r="B663" s="0" t="n">
        <v>-0.339040017691041</v>
      </c>
      <c r="C663" s="0" t="n">
        <v>0.517899865223754</v>
      </c>
      <c r="D663" s="0" t="n">
        <v>-0.0523862577859518</v>
      </c>
      <c r="E663" s="0" t="n">
        <v>-0.0320557672581778</v>
      </c>
      <c r="F663" s="0" t="n">
        <v>-0.063571793123744</v>
      </c>
      <c r="G663" s="0" t="n">
        <v>-0.0308460293648404</v>
      </c>
    </row>
    <row r="664" customFormat="false" ht="15" hidden="false" customHeight="false" outlineLevel="0" collapsed="false">
      <c r="A664" s="0" t="s">
        <v>1797</v>
      </c>
      <c r="B664" s="0" t="n">
        <v>-0.355442219000952</v>
      </c>
      <c r="C664" s="0" t="n">
        <v>-0.420740485366555</v>
      </c>
      <c r="D664" s="0" t="n">
        <v>-0.0876080886734318</v>
      </c>
      <c r="E664" s="0" t="n">
        <v>-0.398534351596879</v>
      </c>
      <c r="F664" s="0" t="n">
        <v>-0.386392836947862</v>
      </c>
      <c r="G664" s="0" t="n">
        <v>1.64871798158568</v>
      </c>
    </row>
    <row r="665" customFormat="false" ht="15" hidden="false" customHeight="false" outlineLevel="0" collapsed="false">
      <c r="A665" s="0" t="s">
        <v>2457</v>
      </c>
      <c r="B665" s="0" t="n">
        <v>-0.355442219000952</v>
      </c>
      <c r="C665" s="0" t="n">
        <v>-0.420740485366555</v>
      </c>
      <c r="D665" s="0" t="n">
        <v>-0.0876080886734318</v>
      </c>
      <c r="E665" s="0" t="n">
        <v>-0.398534351596879</v>
      </c>
      <c r="F665" s="0" t="n">
        <v>-0.386392836947862</v>
      </c>
      <c r="G665" s="0" t="n">
        <v>1.64871798158568</v>
      </c>
    </row>
    <row r="666" customFormat="false" ht="15" hidden="false" customHeight="false" outlineLevel="0" collapsed="false">
      <c r="A666" s="0" t="s">
        <v>2458</v>
      </c>
      <c r="B666" s="0" t="n">
        <v>-0.186729606654099</v>
      </c>
      <c r="C666" s="0" t="n">
        <v>1.26837130957544</v>
      </c>
      <c r="D666" s="0" t="n">
        <v>-0.329608471995697</v>
      </c>
      <c r="E666" s="0" t="n">
        <v>-0.288259355703611</v>
      </c>
      <c r="F666" s="0" t="n">
        <v>-0.242370463619473</v>
      </c>
      <c r="G666" s="0" t="n">
        <v>-0.221403411602561</v>
      </c>
    </row>
    <row r="667" customFormat="false" ht="15" hidden="false" customHeight="false" outlineLevel="0" collapsed="false">
      <c r="A667" s="0" t="s">
        <v>2459</v>
      </c>
      <c r="B667" s="0" t="n">
        <v>-0.262375347838863</v>
      </c>
      <c r="C667" s="0" t="n">
        <v>-1.23593732305098</v>
      </c>
      <c r="D667" s="0" t="n">
        <v>0.739088335685734</v>
      </c>
      <c r="E667" s="0" t="n">
        <v>0.520985929657172</v>
      </c>
      <c r="F667" s="0" t="n">
        <v>-0.145633975474545</v>
      </c>
      <c r="G667" s="0" t="n">
        <v>0.383872381021477</v>
      </c>
    </row>
    <row r="668" customFormat="false" ht="15" hidden="false" customHeight="false" outlineLevel="0" collapsed="false">
      <c r="A668" s="0" t="s">
        <v>2460</v>
      </c>
      <c r="B668" s="0" t="n">
        <v>0.593757598355677</v>
      </c>
      <c r="C668" s="0" t="n">
        <v>-0.0108540832075347</v>
      </c>
      <c r="D668" s="0" t="n">
        <v>-0.156540477838705</v>
      </c>
      <c r="E668" s="0" t="n">
        <v>-0.10190248280073</v>
      </c>
      <c r="F668" s="0" t="n">
        <v>-0.0808300537275753</v>
      </c>
      <c r="G668" s="0" t="n">
        <v>-0.243630500781132</v>
      </c>
    </row>
    <row r="669" customFormat="false" ht="15" hidden="false" customHeight="false" outlineLevel="0" collapsed="false">
      <c r="A669" s="0" t="s">
        <v>2461</v>
      </c>
      <c r="B669" s="0" t="n">
        <v>-0.131924153455122</v>
      </c>
      <c r="C669" s="0" t="n">
        <v>0.289234901656689</v>
      </c>
      <c r="D669" s="0" t="n">
        <v>-0.127034802591158</v>
      </c>
      <c r="E669" s="0" t="n">
        <v>-0.136415932314071</v>
      </c>
      <c r="F669" s="0" t="n">
        <v>0.247870385728766</v>
      </c>
      <c r="G669" s="0" t="n">
        <v>-0.141730399025103</v>
      </c>
    </row>
    <row r="670" customFormat="false" ht="15" hidden="false" customHeight="false" outlineLevel="0" collapsed="false">
      <c r="A670" s="0" t="s">
        <v>2462</v>
      </c>
      <c r="B670" s="0" t="n">
        <v>-2.06767381486938</v>
      </c>
      <c r="C670" s="0" t="n">
        <v>0.75902348998022</v>
      </c>
      <c r="D670" s="0" t="n">
        <v>0.231672019470219</v>
      </c>
      <c r="E670" s="0" t="n">
        <v>1.3960735069902</v>
      </c>
      <c r="F670" s="0" t="n">
        <v>0.149621884408156</v>
      </c>
      <c r="G670" s="0" t="n">
        <v>-0.468717085979424</v>
      </c>
    </row>
    <row r="671" customFormat="false" ht="15" hidden="false" customHeight="false" outlineLevel="0" collapsed="false">
      <c r="A671" s="0" t="s">
        <v>2463</v>
      </c>
      <c r="B671" s="0" t="n">
        <v>-0.203211249929746</v>
      </c>
      <c r="C671" s="0" t="n">
        <v>1.32991995547136</v>
      </c>
      <c r="D671" s="0" t="n">
        <v>-0.319451924034369</v>
      </c>
      <c r="E671" s="0" t="n">
        <v>-0.625209177120638</v>
      </c>
      <c r="F671" s="0" t="n">
        <v>-0.134769480130047</v>
      </c>
      <c r="G671" s="0" t="n">
        <v>-0.0472781242565529</v>
      </c>
    </row>
    <row r="672" customFormat="false" ht="15" hidden="false" customHeight="false" outlineLevel="0" collapsed="false">
      <c r="A672" s="0" t="s">
        <v>2464</v>
      </c>
      <c r="B672" s="0" t="n">
        <v>0.124689322010968</v>
      </c>
      <c r="C672" s="0" t="n">
        <v>-0.782646883233321</v>
      </c>
      <c r="D672" s="0" t="n">
        <v>0.0828212505098434</v>
      </c>
      <c r="E672" s="0" t="n">
        <v>0.206053159846879</v>
      </c>
      <c r="F672" s="0" t="n">
        <v>-0.027298263096414</v>
      </c>
      <c r="G672" s="0" t="n">
        <v>0.396381413962045</v>
      </c>
    </row>
    <row r="673" customFormat="false" ht="15" hidden="false" customHeight="false" outlineLevel="0" collapsed="false">
      <c r="A673" s="0" t="s">
        <v>2465</v>
      </c>
      <c r="B673" s="0" t="n">
        <v>-0.344733957425782</v>
      </c>
      <c r="C673" s="0" t="n">
        <v>1.5159217599824</v>
      </c>
      <c r="D673" s="0" t="n">
        <v>-0.438270162007679</v>
      </c>
      <c r="E673" s="0" t="n">
        <v>-0.990424864666484</v>
      </c>
      <c r="F673" s="0" t="n">
        <v>-0.104264132845077</v>
      </c>
      <c r="G673" s="0" t="n">
        <v>0.36177135696262</v>
      </c>
    </row>
    <row r="674" customFormat="false" ht="15" hidden="false" customHeight="false" outlineLevel="0" collapsed="false">
      <c r="A674" s="0" t="s">
        <v>1815</v>
      </c>
      <c r="B674" s="0" t="n">
        <v>-0.739643350515931</v>
      </c>
      <c r="C674" s="0" t="n">
        <v>1.78488379915499</v>
      </c>
      <c r="D674" s="0" t="n">
        <v>-0.138723626876353</v>
      </c>
      <c r="E674" s="0" t="n">
        <v>0.0543624995473707</v>
      </c>
      <c r="F674" s="0" t="n">
        <v>-0.350949857866757</v>
      </c>
      <c r="G674" s="0" t="n">
        <v>-0.609929463443318</v>
      </c>
    </row>
    <row r="675" customFormat="false" ht="15" hidden="false" customHeight="false" outlineLevel="0" collapsed="false">
      <c r="A675" s="0" t="s">
        <v>2466</v>
      </c>
      <c r="B675" s="0" t="n">
        <v>-0.739643350515931</v>
      </c>
      <c r="C675" s="0" t="n">
        <v>1.78488379915499</v>
      </c>
      <c r="D675" s="0" t="n">
        <v>-0.138723626876353</v>
      </c>
      <c r="E675" s="0" t="n">
        <v>0.0543624995473707</v>
      </c>
      <c r="F675" s="0" t="n">
        <v>-0.350949857866757</v>
      </c>
      <c r="G675" s="0" t="n">
        <v>-0.609929463443318</v>
      </c>
    </row>
    <row r="676" customFormat="false" ht="15" hidden="false" customHeight="false" outlineLevel="0" collapsed="false">
      <c r="A676" s="0" t="s">
        <v>1776</v>
      </c>
      <c r="B676" s="0" t="n">
        <v>-0.644176835925454</v>
      </c>
      <c r="C676" s="0" t="n">
        <v>-0.548196071651014</v>
      </c>
      <c r="D676" s="0" t="n">
        <v>-0.473035595518455</v>
      </c>
      <c r="E676" s="0" t="n">
        <v>2.10494888542895</v>
      </c>
      <c r="F676" s="0" t="n">
        <v>-0.00431063451643548</v>
      </c>
      <c r="G676" s="0" t="n">
        <v>-0.435229747817588</v>
      </c>
    </row>
    <row r="677" customFormat="false" ht="15" hidden="false" customHeight="false" outlineLevel="0" collapsed="false">
      <c r="A677" s="0" t="s">
        <v>2467</v>
      </c>
      <c r="B677" s="0" t="n">
        <v>-0.118005266141761</v>
      </c>
      <c r="C677" s="0" t="n">
        <v>-0.202791546084752</v>
      </c>
      <c r="D677" s="0" t="n">
        <v>-0.132902282848935</v>
      </c>
      <c r="E677" s="0" t="n">
        <v>0.30368803591504</v>
      </c>
      <c r="F677" s="0" t="n">
        <v>0.290017877796406</v>
      </c>
      <c r="G677" s="0" t="n">
        <v>-0.140006818635998</v>
      </c>
    </row>
    <row r="678" customFormat="false" ht="15" hidden="false" customHeight="false" outlineLevel="0" collapsed="false">
      <c r="A678" s="0" t="s">
        <v>2468</v>
      </c>
      <c r="B678" s="0" t="n">
        <v>-0.498467142900989</v>
      </c>
      <c r="C678" s="0" t="n">
        <v>-0.231616411827723</v>
      </c>
      <c r="D678" s="0" t="n">
        <v>-0.229251721900382</v>
      </c>
      <c r="E678" s="0" t="n">
        <v>0.585045563503652</v>
      </c>
      <c r="F678" s="0" t="n">
        <v>-0.041432394872505</v>
      </c>
      <c r="G678" s="0" t="n">
        <v>0.415722107997948</v>
      </c>
    </row>
    <row r="679" customFormat="false" ht="15" hidden="false" customHeight="false" outlineLevel="0" collapsed="false">
      <c r="A679" s="0" t="s">
        <v>2469</v>
      </c>
      <c r="B679" s="0" t="n">
        <v>-0.0662134560862922</v>
      </c>
      <c r="C679" s="0" t="n">
        <v>-0.0910807061641642</v>
      </c>
      <c r="D679" s="0" t="n">
        <v>-0.0646427475299722</v>
      </c>
      <c r="E679" s="0" t="n">
        <v>0.956223298867259</v>
      </c>
      <c r="F679" s="0" t="n">
        <v>-0.0955252606851054</v>
      </c>
      <c r="G679" s="0" t="n">
        <v>-0.638761128401724</v>
      </c>
    </row>
    <row r="680" customFormat="false" ht="15" hidden="false" customHeight="false" outlineLevel="0" collapsed="false">
      <c r="A680" s="0" t="s">
        <v>2470</v>
      </c>
      <c r="B680" s="0" t="n">
        <v>-0.0722863158099914</v>
      </c>
      <c r="C680" s="0" t="n">
        <v>-0.122884282930279</v>
      </c>
      <c r="D680" s="0" t="n">
        <v>-0.132802905442713</v>
      </c>
      <c r="E680" s="0" t="n">
        <v>0.56884538416681</v>
      </c>
      <c r="F680" s="0" t="n">
        <v>-0.118698316480262</v>
      </c>
      <c r="G680" s="0" t="n">
        <v>-0.122173563503565</v>
      </c>
    </row>
    <row r="681" customFormat="false" ht="15" hidden="false" customHeight="false" outlineLevel="0" collapsed="false">
      <c r="A681" s="0" t="s">
        <v>2471</v>
      </c>
      <c r="B681" s="0" t="n">
        <v>1.27918359691913</v>
      </c>
      <c r="C681" s="0" t="n">
        <v>-0.0605017443938073</v>
      </c>
      <c r="D681" s="0" t="n">
        <v>-0.310225191732862</v>
      </c>
      <c r="E681" s="0" t="n">
        <v>-0.122016865058169</v>
      </c>
      <c r="F681" s="0" t="n">
        <v>-0.284150588144302</v>
      </c>
      <c r="G681" s="0" t="n">
        <v>-0.502289207589986</v>
      </c>
    </row>
    <row r="682" customFormat="false" ht="15" hidden="false" customHeight="false" outlineLevel="0" collapsed="false">
      <c r="A682" s="0" t="s">
        <v>2472</v>
      </c>
      <c r="B682" s="0" t="n">
        <v>0.439260099102532</v>
      </c>
      <c r="C682" s="0" t="n">
        <v>-0.097472004954232</v>
      </c>
      <c r="D682" s="0" t="n">
        <v>-0.0704497025331286</v>
      </c>
      <c r="E682" s="0" t="n">
        <v>-0.141828878664468</v>
      </c>
      <c r="F682" s="0" t="n">
        <v>-0.0657192231227428</v>
      </c>
      <c r="G682" s="0" t="n">
        <v>-0.063790289827961</v>
      </c>
    </row>
    <row r="683" customFormat="false" ht="15" hidden="false" customHeight="false" outlineLevel="0" collapsed="false">
      <c r="A683" s="0" t="s">
        <v>2473</v>
      </c>
      <c r="B683" s="0" t="n">
        <v>-1.41040597129476</v>
      </c>
      <c r="C683" s="0" t="n">
        <v>-0.289504855006361</v>
      </c>
      <c r="D683" s="0" t="n">
        <v>0.817276546259503</v>
      </c>
      <c r="E683" s="0" t="n">
        <v>0.488077694302664</v>
      </c>
      <c r="F683" s="0" t="n">
        <v>-0.111956139251677</v>
      </c>
      <c r="G683" s="0" t="n">
        <v>0.506512724990629</v>
      </c>
    </row>
    <row r="684" customFormat="false" ht="15" hidden="false" customHeight="false" outlineLevel="0" collapsed="false">
      <c r="A684" s="0" t="s">
        <v>2474</v>
      </c>
      <c r="B684" s="0" t="n">
        <v>0.44074619387999</v>
      </c>
      <c r="C684" s="0" t="n">
        <v>-0.142639281264027</v>
      </c>
      <c r="D684" s="0" t="n">
        <v>-0.0602865402555007</v>
      </c>
      <c r="E684" s="0" t="n">
        <v>-0.128216426164733</v>
      </c>
      <c r="F684" s="0" t="n">
        <v>-0.0575348284155876</v>
      </c>
      <c r="G684" s="0" t="n">
        <v>-0.0520691177801427</v>
      </c>
    </row>
    <row r="685" customFormat="false" ht="15" hidden="false" customHeight="false" outlineLevel="0" collapsed="false">
      <c r="A685" s="0" t="s">
        <v>1793</v>
      </c>
      <c r="B685" s="0" t="n">
        <v>-0.224614048825322</v>
      </c>
      <c r="C685" s="0" t="n">
        <v>-0.160576036262606</v>
      </c>
      <c r="D685" s="0" t="n">
        <v>-0.80381215599675</v>
      </c>
      <c r="E685" s="0" t="n">
        <v>-0.295926959084719</v>
      </c>
      <c r="F685" s="0" t="n">
        <v>1.88744962063015</v>
      </c>
      <c r="G685" s="0" t="n">
        <v>-0.402520420460752</v>
      </c>
    </row>
    <row r="686" customFormat="false" ht="15" hidden="false" customHeight="false" outlineLevel="0" collapsed="false">
      <c r="A686" s="0" t="s">
        <v>2475</v>
      </c>
      <c r="B686" s="0" t="n">
        <v>-0.224614048825322</v>
      </c>
      <c r="C686" s="0" t="n">
        <v>-0.160576036262606</v>
      </c>
      <c r="D686" s="0" t="n">
        <v>-0.80381215599675</v>
      </c>
      <c r="E686" s="0" t="n">
        <v>-0.295926959084719</v>
      </c>
      <c r="F686" s="0" t="n">
        <v>1.88744962063015</v>
      </c>
      <c r="G686" s="0" t="n">
        <v>-0.402520420460752</v>
      </c>
    </row>
    <row r="687" customFormat="false" ht="15" hidden="false" customHeight="false" outlineLevel="0" collapsed="false">
      <c r="A687" s="0" t="s">
        <v>2476</v>
      </c>
      <c r="B687" s="0" t="n">
        <v>1.72293704859801</v>
      </c>
      <c r="C687" s="0" t="n">
        <v>0.0601932662570054</v>
      </c>
      <c r="D687" s="0" t="n">
        <v>-0.309592445102867</v>
      </c>
      <c r="E687" s="0" t="n">
        <v>-0.414133308664815</v>
      </c>
      <c r="F687" s="0" t="n">
        <v>-0.389725892078558</v>
      </c>
      <c r="G687" s="0" t="n">
        <v>-0.669678669008779</v>
      </c>
    </row>
    <row r="688" customFormat="false" ht="15" hidden="false" customHeight="false" outlineLevel="0" collapsed="false">
      <c r="A688" s="0" t="s">
        <v>2477</v>
      </c>
      <c r="B688" s="0" t="n">
        <v>1.72293704859801</v>
      </c>
      <c r="C688" s="0" t="n">
        <v>0.0601932662570054</v>
      </c>
      <c r="D688" s="0" t="n">
        <v>-0.309592445102867</v>
      </c>
      <c r="E688" s="0" t="n">
        <v>-0.414133308664815</v>
      </c>
      <c r="F688" s="0" t="n">
        <v>-0.389725892078558</v>
      </c>
      <c r="G688" s="0" t="n">
        <v>-0.669678669008779</v>
      </c>
    </row>
    <row r="689" customFormat="false" ht="15" hidden="false" customHeight="false" outlineLevel="0" collapsed="false">
      <c r="A689" s="0" t="s">
        <v>2478</v>
      </c>
      <c r="B689" s="0" t="n">
        <v>0.389947678291985</v>
      </c>
      <c r="C689" s="0" t="n">
        <v>0.267054666009312</v>
      </c>
      <c r="D689" s="0" t="n">
        <v>0.437794300697245</v>
      </c>
      <c r="E689" s="0" t="n">
        <v>-0.369891880868891</v>
      </c>
      <c r="F689" s="0" t="n">
        <v>-0.355556201104015</v>
      </c>
      <c r="G689" s="0" t="n">
        <v>-0.369348563025634</v>
      </c>
    </row>
    <row r="690" customFormat="false" ht="15" hidden="false" customHeight="false" outlineLevel="0" collapsed="false">
      <c r="A690" s="0" t="s">
        <v>2479</v>
      </c>
      <c r="B690" s="0" t="n">
        <v>0.389947678291985</v>
      </c>
      <c r="C690" s="0" t="n">
        <v>0.267054666009312</v>
      </c>
      <c r="D690" s="0" t="n">
        <v>0.437794300697245</v>
      </c>
      <c r="E690" s="0" t="n">
        <v>-0.369891880868891</v>
      </c>
      <c r="F690" s="0" t="n">
        <v>-0.355556201104015</v>
      </c>
      <c r="G690" s="0" t="n">
        <v>-0.369348563025634</v>
      </c>
    </row>
    <row r="691" customFormat="false" ht="15" hidden="false" customHeight="false" outlineLevel="0" collapsed="false">
      <c r="A691" s="0" t="s">
        <v>1784</v>
      </c>
      <c r="B691" s="0" t="n">
        <v>-0.677160376697203</v>
      </c>
      <c r="C691" s="0" t="n">
        <v>0.0727411890023389</v>
      </c>
      <c r="D691" s="0" t="n">
        <v>1.78543002462394</v>
      </c>
      <c r="E691" s="0" t="n">
        <v>-0.307941974844173</v>
      </c>
      <c r="F691" s="0" t="n">
        <v>-0.560035660087352</v>
      </c>
      <c r="G691" s="0" t="n">
        <v>-0.313033201997553</v>
      </c>
    </row>
    <row r="692" customFormat="false" ht="15" hidden="false" customHeight="false" outlineLevel="0" collapsed="false">
      <c r="A692" s="0" t="s">
        <v>2480</v>
      </c>
      <c r="B692" s="0" t="n">
        <v>-0.677160376697203</v>
      </c>
      <c r="C692" s="0" t="n">
        <v>0.0727411890023389</v>
      </c>
      <c r="D692" s="0" t="n">
        <v>1.78543002462394</v>
      </c>
      <c r="E692" s="0" t="n">
        <v>-0.307941974844173</v>
      </c>
      <c r="F692" s="0" t="n">
        <v>-0.560035660087352</v>
      </c>
      <c r="G692" s="0" t="n">
        <v>-0.313033201997553</v>
      </c>
    </row>
    <row r="693" customFormat="false" ht="15" hidden="false" customHeight="false" outlineLevel="0" collapsed="false">
      <c r="A693" s="0" t="s">
        <v>2481</v>
      </c>
      <c r="B693" s="0" t="n">
        <v>-0.0350856042031293</v>
      </c>
      <c r="C693" s="0" t="n">
        <v>-0.151774828018937</v>
      </c>
      <c r="D693" s="0" t="n">
        <v>1.24041197331634</v>
      </c>
      <c r="E693" s="0" t="n">
        <v>-0.381671832333795</v>
      </c>
      <c r="F693" s="0" t="n">
        <v>-0.500865651504358</v>
      </c>
      <c r="G693" s="0" t="n">
        <v>-0.171014057256124</v>
      </c>
    </row>
    <row r="694" customFormat="false" ht="15" hidden="false" customHeight="false" outlineLevel="0" collapsed="false">
      <c r="A694" s="0" t="s">
        <v>2482</v>
      </c>
      <c r="B694" s="0" t="n">
        <v>-0.0350856042031293</v>
      </c>
      <c r="C694" s="0" t="n">
        <v>-0.151774828018937</v>
      </c>
      <c r="D694" s="0" t="n">
        <v>1.24041197331634</v>
      </c>
      <c r="E694" s="0" t="n">
        <v>-0.381671832333795</v>
      </c>
      <c r="F694" s="0" t="n">
        <v>-0.500865651504358</v>
      </c>
      <c r="G694" s="0" t="n">
        <v>-0.171014057256124</v>
      </c>
    </row>
    <row r="695" customFormat="false" ht="15" hidden="false" customHeight="false" outlineLevel="0" collapsed="false">
      <c r="A695" s="0" t="s">
        <v>2483</v>
      </c>
      <c r="B695" s="0" t="n">
        <v>-0.355442219000952</v>
      </c>
      <c r="C695" s="0" t="n">
        <v>-0.420740485366555</v>
      </c>
      <c r="D695" s="0" t="n">
        <v>-0.0876080886734318</v>
      </c>
      <c r="E695" s="0" t="n">
        <v>-0.398534351596879</v>
      </c>
      <c r="F695" s="0" t="n">
        <v>-0.386392836947862</v>
      </c>
      <c r="G695" s="0" t="n">
        <v>1.64871798158568</v>
      </c>
    </row>
    <row r="696" customFormat="false" ht="15" hidden="false" customHeight="false" outlineLevel="0" collapsed="false">
      <c r="A696" s="0" t="s">
        <v>2484</v>
      </c>
      <c r="B696" s="0" t="n">
        <v>-0.355442219000952</v>
      </c>
      <c r="C696" s="0" t="n">
        <v>-0.420740485366555</v>
      </c>
      <c r="D696" s="0" t="n">
        <v>-0.0876080886734318</v>
      </c>
      <c r="E696" s="0" t="n">
        <v>-0.398534351596879</v>
      </c>
      <c r="F696" s="0" t="n">
        <v>-0.386392836947862</v>
      </c>
      <c r="G696" s="0" t="n">
        <v>1.64871798158568</v>
      </c>
    </row>
    <row r="697" customFormat="false" ht="15" hidden="false" customHeight="false" outlineLevel="0" collapsed="false">
      <c r="A697" s="0" t="s">
        <v>2485</v>
      </c>
      <c r="B697" s="0" t="n">
        <v>-0.499572719089293</v>
      </c>
      <c r="C697" s="0" t="n">
        <v>-0.0405057032937161</v>
      </c>
      <c r="D697" s="0" t="n">
        <v>1.54665464856343</v>
      </c>
      <c r="E697" s="0" t="n">
        <v>-0.313432671078449</v>
      </c>
      <c r="F697" s="0" t="n">
        <v>-0.248776778329101</v>
      </c>
      <c r="G697" s="0" t="n">
        <v>-0.444366776772876</v>
      </c>
    </row>
    <row r="698" customFormat="false" ht="15" hidden="false" customHeight="false" outlineLevel="0" collapsed="false">
      <c r="A698" s="0" t="s">
        <v>2486</v>
      </c>
      <c r="B698" s="0" t="n">
        <v>-0.499572719089293</v>
      </c>
      <c r="C698" s="0" t="n">
        <v>-0.0405057032937161</v>
      </c>
      <c r="D698" s="0" t="n">
        <v>1.54665464856343</v>
      </c>
      <c r="E698" s="0" t="n">
        <v>-0.313432671078449</v>
      </c>
      <c r="F698" s="0" t="n">
        <v>-0.248776778329101</v>
      </c>
      <c r="G698" s="0" t="n">
        <v>-0.444366776772876</v>
      </c>
    </row>
    <row r="699" customFormat="false" ht="15" hidden="false" customHeight="false" outlineLevel="0" collapsed="false">
      <c r="A699" s="0" t="s">
        <v>2487</v>
      </c>
      <c r="B699" s="0" t="n">
        <v>-0.490719777983169</v>
      </c>
      <c r="C699" s="0" t="n">
        <v>-0.421030143933804</v>
      </c>
      <c r="D699" s="0" t="n">
        <v>0.00887448104045464</v>
      </c>
      <c r="E699" s="0" t="n">
        <v>0.588085598763127</v>
      </c>
      <c r="F699" s="0" t="n">
        <v>1.11525080796538</v>
      </c>
      <c r="G699" s="0" t="n">
        <v>-0.800460965851986</v>
      </c>
    </row>
    <row r="700" customFormat="false" ht="15" hidden="false" customHeight="false" outlineLevel="0" collapsed="false">
      <c r="A700" s="0" t="s">
        <v>2488</v>
      </c>
      <c r="B700" s="0" t="n">
        <v>-0.245439901777515</v>
      </c>
      <c r="C700" s="0" t="n">
        <v>-0.151652149517838</v>
      </c>
      <c r="D700" s="0" t="n">
        <v>-0.0833034321784344</v>
      </c>
      <c r="E700" s="0" t="n">
        <v>-0.151515384331367</v>
      </c>
      <c r="F700" s="0" t="n">
        <v>0.803719927633488</v>
      </c>
      <c r="G700" s="0" t="n">
        <v>-0.171809059828334</v>
      </c>
    </row>
    <row r="701" customFormat="false" ht="15" hidden="false" customHeight="false" outlineLevel="0" collapsed="false">
      <c r="A701" s="0" t="s">
        <v>2489</v>
      </c>
      <c r="B701" s="0" t="n">
        <v>-0.178890160672366</v>
      </c>
      <c r="C701" s="0" t="n">
        <v>-0.165093321477233</v>
      </c>
      <c r="D701" s="0" t="n">
        <v>-0.0660860441331429</v>
      </c>
      <c r="E701" s="0" t="n">
        <v>-0.175415218534661</v>
      </c>
      <c r="F701" s="0" t="n">
        <v>0.759336178369098</v>
      </c>
      <c r="G701" s="0" t="n">
        <v>-0.173851433551696</v>
      </c>
    </row>
    <row r="702" customFormat="false" ht="15" hidden="false" customHeight="false" outlineLevel="0" collapsed="false">
      <c r="A702" s="0" t="s">
        <v>2490</v>
      </c>
      <c r="B702" s="0" t="n">
        <v>-0.156107411955554</v>
      </c>
      <c r="C702" s="0" t="n">
        <v>0.136117095053449</v>
      </c>
      <c r="D702" s="0" t="n">
        <v>-0.708630511935673</v>
      </c>
      <c r="E702" s="0" t="n">
        <v>1.30328912887465</v>
      </c>
      <c r="F702" s="0" t="n">
        <v>-0.334791274411603</v>
      </c>
      <c r="G702" s="0" t="n">
        <v>-0.239877025625274</v>
      </c>
    </row>
    <row r="703" customFormat="false" ht="15" hidden="false" customHeight="false" outlineLevel="0" collapsed="false">
      <c r="A703" s="0" t="s">
        <v>2491</v>
      </c>
      <c r="B703" s="0" t="n">
        <v>-0.242761741736053</v>
      </c>
      <c r="C703" s="0" t="n">
        <v>-0.522421785513091</v>
      </c>
      <c r="D703" s="0" t="n">
        <v>1.62149252976225</v>
      </c>
      <c r="E703" s="0" t="n">
        <v>-0.245529852756117</v>
      </c>
      <c r="F703" s="0" t="n">
        <v>-0.238973479240654</v>
      </c>
      <c r="G703" s="0" t="n">
        <v>-0.371805670516335</v>
      </c>
    </row>
    <row r="704" customFormat="false" ht="15" hidden="false" customHeight="false" outlineLevel="0" collapsed="false">
      <c r="A704" s="0" t="s">
        <v>2492</v>
      </c>
      <c r="B704" s="0" t="n">
        <v>-0.285661055489428</v>
      </c>
      <c r="C704" s="0" t="n">
        <v>0.0306935981745871</v>
      </c>
      <c r="D704" s="0" t="n">
        <v>0.446329669136803</v>
      </c>
      <c r="E704" s="0" t="n">
        <v>0.106347458586765</v>
      </c>
      <c r="F704" s="0" t="n">
        <v>-0.0720436799599277</v>
      </c>
      <c r="G704" s="0" t="n">
        <v>-0.2256659904488</v>
      </c>
    </row>
    <row r="705" customFormat="false" ht="15" hidden="false" customHeight="false" outlineLevel="0" collapsed="false">
      <c r="A705" s="0" t="s">
        <v>2493</v>
      </c>
      <c r="B705" s="0" t="n">
        <v>-0.285661055489428</v>
      </c>
      <c r="C705" s="0" t="n">
        <v>0.0306935981745871</v>
      </c>
      <c r="D705" s="0" t="n">
        <v>0.446329669136803</v>
      </c>
      <c r="E705" s="0" t="n">
        <v>0.106347458586765</v>
      </c>
      <c r="F705" s="0" t="n">
        <v>-0.0720436799599277</v>
      </c>
      <c r="G705" s="0" t="n">
        <v>-0.2256659904488</v>
      </c>
    </row>
    <row r="706" customFormat="false" ht="15" hidden="false" customHeight="false" outlineLevel="0" collapsed="false">
      <c r="A706" s="0" t="s">
        <v>2494</v>
      </c>
      <c r="B706" s="0" t="n">
        <v>-0.23448824723021</v>
      </c>
      <c r="C706" s="0" t="n">
        <v>1.96959306590463</v>
      </c>
      <c r="D706" s="0" t="n">
        <v>-0.708172021572727</v>
      </c>
      <c r="E706" s="0" t="n">
        <v>-0.176478959254455</v>
      </c>
      <c r="F706" s="0" t="n">
        <v>-0.744437895576988</v>
      </c>
      <c r="G706" s="0" t="n">
        <v>-0.106015942270252</v>
      </c>
    </row>
    <row r="707" customFormat="false" ht="15" hidden="false" customHeight="false" outlineLevel="0" collapsed="false">
      <c r="A707" s="0" t="s">
        <v>2495</v>
      </c>
      <c r="B707" s="0" t="n">
        <v>-0.149519666056795</v>
      </c>
      <c r="C707" s="0" t="n">
        <v>0.608045994241018</v>
      </c>
      <c r="D707" s="0" t="n">
        <v>-0.0623138488409421</v>
      </c>
      <c r="E707" s="0" t="n">
        <v>-0.14130570921452</v>
      </c>
      <c r="F707" s="0" t="n">
        <v>-0.0741077008872127</v>
      </c>
      <c r="G707" s="0" t="n">
        <v>-0.180799069241548</v>
      </c>
    </row>
    <row r="708" customFormat="false" ht="15" hidden="false" customHeight="false" outlineLevel="0" collapsed="false">
      <c r="A708" s="0" t="s">
        <v>2496</v>
      </c>
      <c r="B708" s="0" t="n">
        <v>-0.251539038132585</v>
      </c>
      <c r="C708" s="0" t="n">
        <v>0.238548303184249</v>
      </c>
      <c r="D708" s="0" t="n">
        <v>-0.124763635206393</v>
      </c>
      <c r="E708" s="0" t="n">
        <v>-0.125791989258211</v>
      </c>
      <c r="F708" s="0" t="n">
        <v>0.40386445267192</v>
      </c>
      <c r="G708" s="0" t="n">
        <v>-0.14031809325898</v>
      </c>
    </row>
    <row r="709" customFormat="false" ht="15" hidden="false" customHeight="false" outlineLevel="0" collapsed="false">
      <c r="A709" s="0" t="s">
        <v>2497</v>
      </c>
      <c r="B709" s="0" t="n">
        <v>0.808354983321846</v>
      </c>
      <c r="C709" s="0" t="n">
        <v>-0.251254338387043</v>
      </c>
      <c r="D709" s="0" t="n">
        <v>-0.0599760685387642</v>
      </c>
      <c r="E709" s="0" t="n">
        <v>-0.212309193984063</v>
      </c>
      <c r="F709" s="0" t="n">
        <v>-0.071154451638245</v>
      </c>
      <c r="G709" s="0" t="n">
        <v>-0.21366093077373</v>
      </c>
    </row>
    <row r="710" customFormat="false" ht="15" hidden="false" customHeight="false" outlineLevel="0" collapsed="false">
      <c r="A710" s="0" t="s">
        <v>2498</v>
      </c>
      <c r="B710" s="0" t="n">
        <v>-0.117388692267726</v>
      </c>
      <c r="C710" s="0" t="n">
        <v>0.492417118381652</v>
      </c>
      <c r="D710" s="0" t="n">
        <v>-0.059488236533718</v>
      </c>
      <c r="E710" s="0" t="n">
        <v>-0.124302535407645</v>
      </c>
      <c r="F710" s="0" t="n">
        <v>-0.0596970485655801</v>
      </c>
      <c r="G710" s="0" t="n">
        <v>-0.131540605606983</v>
      </c>
    </row>
    <row r="711" customFormat="false" ht="15" hidden="false" customHeight="false" outlineLevel="0" collapsed="false">
      <c r="A711" s="0" t="s">
        <v>2499</v>
      </c>
      <c r="B711" s="0" t="n">
        <v>-0.48577134820262</v>
      </c>
      <c r="C711" s="0" t="n">
        <v>-0.0358179416853186</v>
      </c>
      <c r="D711" s="0" t="n">
        <v>-0.304040714864746</v>
      </c>
      <c r="E711" s="0" t="n">
        <v>-0.402984099949762</v>
      </c>
      <c r="F711" s="0" t="n">
        <v>1.39506457857624</v>
      </c>
      <c r="G711" s="0" t="n">
        <v>-0.166450473873793</v>
      </c>
    </row>
    <row r="712" customFormat="false" ht="15" hidden="false" customHeight="false" outlineLevel="0" collapsed="false">
      <c r="A712" s="0" t="s">
        <v>2500</v>
      </c>
      <c r="B712" s="0" t="n">
        <v>-0.48577134820262</v>
      </c>
      <c r="C712" s="0" t="n">
        <v>-0.0358179416853186</v>
      </c>
      <c r="D712" s="0" t="n">
        <v>-0.304040714864746</v>
      </c>
      <c r="E712" s="0" t="n">
        <v>-0.402984099949762</v>
      </c>
      <c r="F712" s="0" t="n">
        <v>1.39506457857624</v>
      </c>
      <c r="G712" s="0" t="n">
        <v>-0.166450473873793</v>
      </c>
    </row>
    <row r="713" customFormat="false" ht="15" hidden="false" customHeight="false" outlineLevel="0" collapsed="false">
      <c r="A713" s="0" t="s">
        <v>2501</v>
      </c>
      <c r="B713" s="0" t="n">
        <v>-0.27463879266876</v>
      </c>
      <c r="C713" s="0" t="n">
        <v>-0.811702689366479</v>
      </c>
      <c r="D713" s="0" t="n">
        <v>0.341652693906306</v>
      </c>
      <c r="E713" s="0" t="n">
        <v>-0.591027047899142</v>
      </c>
      <c r="F713" s="0" t="n">
        <v>-0.640214668832957</v>
      </c>
      <c r="G713" s="0" t="n">
        <v>1.97593050486103</v>
      </c>
    </row>
    <row r="714" customFormat="false" ht="15" hidden="false" customHeight="false" outlineLevel="0" collapsed="false">
      <c r="A714" s="0" t="s">
        <v>2502</v>
      </c>
      <c r="B714" s="0" t="n">
        <v>-0.27463879266876</v>
      </c>
      <c r="C714" s="0" t="n">
        <v>-0.811702689366479</v>
      </c>
      <c r="D714" s="0" t="n">
        <v>0.341652693906306</v>
      </c>
      <c r="E714" s="0" t="n">
        <v>-0.591027047899142</v>
      </c>
      <c r="F714" s="0" t="n">
        <v>-0.640214668832957</v>
      </c>
      <c r="G714" s="0" t="n">
        <v>1.97593050486103</v>
      </c>
    </row>
    <row r="715" customFormat="false" ht="15" hidden="false" customHeight="false" outlineLevel="0" collapsed="false">
      <c r="A715" s="0" t="s">
        <v>17</v>
      </c>
      <c r="B715" s="0" t="n">
        <v>-0.385370170477344</v>
      </c>
      <c r="C715" s="0" t="n">
        <v>-0.1492774872605</v>
      </c>
      <c r="D715" s="0" t="n">
        <v>-0.0622350857281997</v>
      </c>
      <c r="E715" s="0" t="n">
        <v>-0.445529580746176</v>
      </c>
      <c r="F715" s="0" t="n">
        <v>1.05110369351205</v>
      </c>
      <c r="G715" s="0" t="n">
        <v>-0.00869136929983087</v>
      </c>
    </row>
    <row r="716" customFormat="false" ht="15" hidden="false" customHeight="false" outlineLevel="0" collapsed="false">
      <c r="A716" s="0" t="s">
        <v>2503</v>
      </c>
      <c r="B716" s="0" t="n">
        <v>-0.385370170477344</v>
      </c>
      <c r="C716" s="0" t="n">
        <v>-0.1492774872605</v>
      </c>
      <c r="D716" s="0" t="n">
        <v>-0.0622350857281997</v>
      </c>
      <c r="E716" s="0" t="n">
        <v>-0.445529580746176</v>
      </c>
      <c r="F716" s="0" t="n">
        <v>1.05110369351205</v>
      </c>
      <c r="G716" s="0" t="n">
        <v>-0.00869136929983087</v>
      </c>
    </row>
    <row r="717" customFormat="false" ht="15" hidden="false" customHeight="false" outlineLevel="0" collapsed="false">
      <c r="A717" s="0" t="s">
        <v>2504</v>
      </c>
      <c r="B717" s="0" t="n">
        <v>-0.194716942117237</v>
      </c>
      <c r="C717" s="0" t="n">
        <v>-0.300033441606531</v>
      </c>
      <c r="D717" s="0" t="n">
        <v>-0.313104374649686</v>
      </c>
      <c r="E717" s="0" t="n">
        <v>0.0294613632024053</v>
      </c>
      <c r="F717" s="0" t="n">
        <v>1.3562393874064</v>
      </c>
      <c r="G717" s="0" t="n">
        <v>-0.577845992235355</v>
      </c>
    </row>
    <row r="718" customFormat="false" ht="15" hidden="false" customHeight="false" outlineLevel="0" collapsed="false">
      <c r="A718" s="0" t="s">
        <v>2505</v>
      </c>
      <c r="B718" s="0" t="n">
        <v>0.16349657693974</v>
      </c>
      <c r="C718" s="0" t="n">
        <v>0.0797022395986505</v>
      </c>
      <c r="D718" s="0" t="n">
        <v>-0.0120335713045545</v>
      </c>
      <c r="E718" s="0" t="n">
        <v>0.280797969053443</v>
      </c>
      <c r="F718" s="0" t="n">
        <v>-0.0887693354376994</v>
      </c>
      <c r="G718" s="0" t="n">
        <v>-0.423193878849581</v>
      </c>
    </row>
    <row r="719" customFormat="false" ht="15" hidden="false" customHeight="false" outlineLevel="0" collapsed="false">
      <c r="A719" s="0" t="s">
        <v>2506</v>
      </c>
      <c r="B719" s="0" t="n">
        <v>-0.407181196017297</v>
      </c>
      <c r="C719" s="0" t="n">
        <v>-0.445691357938634</v>
      </c>
      <c r="D719" s="0" t="n">
        <v>-0.364649695283311</v>
      </c>
      <c r="E719" s="0" t="n">
        <v>-0.260776034715845</v>
      </c>
      <c r="F719" s="0" t="n">
        <v>1.72817576525129</v>
      </c>
      <c r="G719" s="0" t="n">
        <v>-0.249877481296198</v>
      </c>
    </row>
    <row r="720" customFormat="false" ht="15" hidden="false" customHeight="false" outlineLevel="0" collapsed="false">
      <c r="A720" s="0" t="s">
        <v>2507</v>
      </c>
      <c r="B720" s="0" t="n">
        <v>-0.26408958441852</v>
      </c>
      <c r="C720" s="0" t="n">
        <v>0.101563184501126</v>
      </c>
      <c r="D720" s="0" t="n">
        <v>-0.318397309188797</v>
      </c>
      <c r="E720" s="0" t="n">
        <v>0.567234435790067</v>
      </c>
      <c r="F720" s="0" t="n">
        <v>-0.451798661296612</v>
      </c>
      <c r="G720" s="0" t="n">
        <v>0.365487934612737</v>
      </c>
    </row>
    <row r="721" customFormat="false" ht="15" hidden="false" customHeight="false" outlineLevel="0" collapsed="false">
      <c r="A721" s="0" t="s">
        <v>2508</v>
      </c>
      <c r="B721" s="0" t="n">
        <v>-0.0559721126374176</v>
      </c>
      <c r="C721" s="0" t="n">
        <v>0.581625321743285</v>
      </c>
      <c r="D721" s="0" t="n">
        <v>0.523476603344904</v>
      </c>
      <c r="E721" s="0" t="n">
        <v>-0.915041488686204</v>
      </c>
      <c r="F721" s="0" t="n">
        <v>-0.0798057120622622</v>
      </c>
      <c r="G721" s="0" t="n">
        <v>-0.0542826117023043</v>
      </c>
    </row>
    <row r="722" customFormat="false" ht="15" hidden="false" customHeight="false" outlineLevel="0" collapsed="false">
      <c r="A722" s="0" t="s">
        <v>2509</v>
      </c>
      <c r="B722" s="0" t="n">
        <v>-0.66290666333892</v>
      </c>
      <c r="C722" s="0" t="n">
        <v>0.604574747373057</v>
      </c>
      <c r="D722" s="0" t="n">
        <v>-0.0247516845913591</v>
      </c>
      <c r="E722" s="0" t="n">
        <v>-0.00780227088127096</v>
      </c>
      <c r="F722" s="0" t="n">
        <v>0.431569295659978</v>
      </c>
      <c r="G722" s="0" t="n">
        <v>-0.340683424221484</v>
      </c>
    </row>
    <row r="723" customFormat="false" ht="15" hidden="false" customHeight="false" outlineLevel="0" collapsed="false">
      <c r="A723" s="0" t="s">
        <v>2510</v>
      </c>
      <c r="B723" s="0" t="n">
        <v>-0.27463879266876</v>
      </c>
      <c r="C723" s="0" t="n">
        <v>-0.811702689366479</v>
      </c>
      <c r="D723" s="0" t="n">
        <v>0.341652693906306</v>
      </c>
      <c r="E723" s="0" t="n">
        <v>-0.591027047899142</v>
      </c>
      <c r="F723" s="0" t="n">
        <v>-0.640214668832957</v>
      </c>
      <c r="G723" s="0" t="n">
        <v>1.97593050486103</v>
      </c>
    </row>
    <row r="724" customFormat="false" ht="15" hidden="false" customHeight="false" outlineLevel="0" collapsed="false">
      <c r="A724" s="0" t="s">
        <v>2511</v>
      </c>
      <c r="B724" s="0" t="n">
        <v>1.27918359691913</v>
      </c>
      <c r="C724" s="0" t="n">
        <v>-0.0605017443938073</v>
      </c>
      <c r="D724" s="0" t="n">
        <v>-0.310225191732862</v>
      </c>
      <c r="E724" s="0" t="n">
        <v>-0.122016865058169</v>
      </c>
      <c r="F724" s="0" t="n">
        <v>-0.284150588144302</v>
      </c>
      <c r="G724" s="0" t="n">
        <v>-0.502289207589986</v>
      </c>
    </row>
    <row r="725" customFormat="false" ht="15" hidden="false" customHeight="false" outlineLevel="0" collapsed="false">
      <c r="A725" s="0" t="s">
        <v>2512</v>
      </c>
      <c r="B725" s="0" t="n">
        <v>-0.0728753438445586</v>
      </c>
      <c r="C725" s="0" t="n">
        <v>-0.193737089903561</v>
      </c>
      <c r="D725" s="0" t="n">
        <v>-0.111128302447272</v>
      </c>
      <c r="E725" s="0" t="n">
        <v>0.52483193620734</v>
      </c>
      <c r="F725" s="0" t="n">
        <v>-0.083309324404315</v>
      </c>
      <c r="G725" s="0" t="n">
        <v>-0.0637818756076327</v>
      </c>
    </row>
    <row r="726" customFormat="false" ht="15" hidden="false" customHeight="false" outlineLevel="0" collapsed="false">
      <c r="A726" s="0" t="s">
        <v>2513</v>
      </c>
      <c r="B726" s="0" t="n">
        <v>-0.574443536598762</v>
      </c>
      <c r="C726" s="0" t="n">
        <v>-1.26017539194202</v>
      </c>
      <c r="D726" s="0" t="n">
        <v>-0.355386003052779</v>
      </c>
      <c r="E726" s="0" t="n">
        <v>1.28954509108625</v>
      </c>
      <c r="F726" s="0" t="n">
        <v>-0.466887878567182</v>
      </c>
      <c r="G726" s="0" t="n">
        <v>1.3673477190745</v>
      </c>
    </row>
    <row r="727" customFormat="false" ht="15" hidden="false" customHeight="false" outlineLevel="0" collapsed="false">
      <c r="A727" s="0" t="s">
        <v>2514</v>
      </c>
      <c r="B727" s="0" t="n">
        <v>-0.0864606293058619</v>
      </c>
      <c r="C727" s="0" t="n">
        <v>-0.0381400771407012</v>
      </c>
      <c r="D727" s="0" t="n">
        <v>-0.064986398408427</v>
      </c>
      <c r="E727" s="0" t="n">
        <v>0.466065018598408</v>
      </c>
      <c r="F727" s="0" t="n">
        <v>-0.0465471211693386</v>
      </c>
      <c r="G727" s="0" t="n">
        <v>-0.229930792574079</v>
      </c>
    </row>
    <row r="728" customFormat="false" ht="15" hidden="false" customHeight="false" outlineLevel="0" collapsed="false">
      <c r="A728" s="0" t="s">
        <v>2515</v>
      </c>
      <c r="B728" s="0" t="n">
        <v>-0.331606621485316</v>
      </c>
      <c r="C728" s="0" t="n">
        <v>-0.744601674291347</v>
      </c>
      <c r="D728" s="0" t="n">
        <v>-0.132642277817409</v>
      </c>
      <c r="E728" s="0" t="n">
        <v>-0.396985028070119</v>
      </c>
      <c r="F728" s="0" t="n">
        <v>-0.260536084954705</v>
      </c>
      <c r="G728" s="0" t="n">
        <v>1.8663716866189</v>
      </c>
    </row>
    <row r="729" customFormat="false" ht="15" hidden="false" customHeight="false" outlineLevel="0" collapsed="false">
      <c r="A729" s="0" t="s">
        <v>2516</v>
      </c>
      <c r="B729" s="0" t="n">
        <v>-0.0891492294322737</v>
      </c>
      <c r="C729" s="0" t="n">
        <v>-0.048803000554647</v>
      </c>
      <c r="D729" s="0" t="n">
        <v>-0.0775642709942281</v>
      </c>
      <c r="E729" s="0" t="n">
        <v>0.351911952136027</v>
      </c>
      <c r="F729" s="0" t="n">
        <v>-0.0608972994981826</v>
      </c>
      <c r="G729" s="0" t="n">
        <v>-0.0754981516566953</v>
      </c>
    </row>
    <row r="730" customFormat="false" ht="15" hidden="false" customHeight="false" outlineLevel="0" collapsed="false">
      <c r="A730" s="0" t="s">
        <v>2517</v>
      </c>
      <c r="B730" s="0" t="n">
        <v>-0.678997391100983</v>
      </c>
      <c r="C730" s="0" t="n">
        <v>1.27387825044778</v>
      </c>
      <c r="D730" s="0" t="n">
        <v>-0.794965583626835</v>
      </c>
      <c r="E730" s="0" t="n">
        <v>1.24465155395668</v>
      </c>
      <c r="F730" s="0" t="n">
        <v>-0.442156698122687</v>
      </c>
      <c r="G730" s="0" t="n">
        <v>-0.602410131553966</v>
      </c>
    </row>
    <row r="731" customFormat="false" ht="15" hidden="false" customHeight="false" outlineLevel="0" collapsed="false">
      <c r="A731" s="0" t="s">
        <v>2518</v>
      </c>
      <c r="B731" s="0" t="n">
        <v>-0.49815013899857</v>
      </c>
      <c r="C731" s="0" t="n">
        <v>-0.363066725338844</v>
      </c>
      <c r="D731" s="0" t="n">
        <v>-0.64646255282402</v>
      </c>
      <c r="E731" s="0" t="n">
        <v>1.78415110614208</v>
      </c>
      <c r="F731" s="0" t="n">
        <v>-0.0572130604728744</v>
      </c>
      <c r="G731" s="0" t="n">
        <v>-0.219258628507774</v>
      </c>
    </row>
    <row r="732" customFormat="false" ht="15" hidden="false" customHeight="false" outlineLevel="0" collapsed="false">
      <c r="A732" s="0" t="s">
        <v>2519</v>
      </c>
      <c r="B732" s="0" t="n">
        <v>-0.271248231625775</v>
      </c>
      <c r="C732" s="0" t="n">
        <v>1.8324515289733</v>
      </c>
      <c r="D732" s="0" t="n">
        <v>-0.253081658722544</v>
      </c>
      <c r="E732" s="0" t="n">
        <v>-0.391175004201252</v>
      </c>
      <c r="F732" s="0" t="n">
        <v>-0.449145302573962</v>
      </c>
      <c r="G732" s="0" t="n">
        <v>-0.467801331849764</v>
      </c>
    </row>
    <row r="733" customFormat="false" ht="15" hidden="false" customHeight="false" outlineLevel="0" collapsed="false">
      <c r="A733" s="0" t="s">
        <v>2520</v>
      </c>
      <c r="B733" s="0" t="n">
        <v>-0.231308825217797</v>
      </c>
      <c r="C733" s="0" t="n">
        <v>-0.215926136166461</v>
      </c>
      <c r="D733" s="0" t="n">
        <v>-0.41135256250995</v>
      </c>
      <c r="E733" s="0" t="n">
        <v>1.7122353598965</v>
      </c>
      <c r="F733" s="0" t="n">
        <v>-0.447409886367435</v>
      </c>
      <c r="G733" s="0" t="n">
        <v>-0.406237949634862</v>
      </c>
    </row>
    <row r="734" customFormat="false" ht="15" hidden="false" customHeight="false" outlineLevel="0" collapsed="false">
      <c r="A734" s="0" t="s">
        <v>2521</v>
      </c>
      <c r="B734" s="0" t="n">
        <v>-0.231308825217797</v>
      </c>
      <c r="C734" s="0" t="n">
        <v>-0.215926136166461</v>
      </c>
      <c r="D734" s="0" t="n">
        <v>-0.41135256250995</v>
      </c>
      <c r="E734" s="0" t="n">
        <v>1.7122353598965</v>
      </c>
      <c r="F734" s="0" t="n">
        <v>-0.447409886367435</v>
      </c>
      <c r="G734" s="0" t="n">
        <v>-0.406237949634862</v>
      </c>
    </row>
    <row r="735" customFormat="false" ht="15" hidden="false" customHeight="false" outlineLevel="0" collapsed="false">
      <c r="A735" s="0" t="s">
        <v>2522</v>
      </c>
      <c r="B735" s="0" t="n">
        <v>-0.321275309512518</v>
      </c>
      <c r="C735" s="0" t="n">
        <v>-0.123466507120173</v>
      </c>
      <c r="D735" s="0" t="n">
        <v>-0.3739644076999</v>
      </c>
      <c r="E735" s="0" t="n">
        <v>-0.60756362266389</v>
      </c>
      <c r="F735" s="0" t="n">
        <v>1.80554744923104</v>
      </c>
      <c r="G735" s="0" t="n">
        <v>-0.379277602234562</v>
      </c>
    </row>
    <row r="736" customFormat="false" ht="15" hidden="false" customHeight="false" outlineLevel="0" collapsed="false">
      <c r="A736" s="0" t="s">
        <v>2523</v>
      </c>
      <c r="B736" s="0" t="n">
        <v>-0.321275309512518</v>
      </c>
      <c r="C736" s="0" t="n">
        <v>-0.123466507120173</v>
      </c>
      <c r="D736" s="0" t="n">
        <v>-0.3739644076999</v>
      </c>
      <c r="E736" s="0" t="n">
        <v>-0.60756362266389</v>
      </c>
      <c r="F736" s="0" t="n">
        <v>1.80554744923104</v>
      </c>
      <c r="G736" s="0" t="n">
        <v>-0.379277602234562</v>
      </c>
    </row>
    <row r="737" customFormat="false" ht="15" hidden="false" customHeight="false" outlineLevel="0" collapsed="false">
      <c r="A737" s="0" t="s">
        <v>2524</v>
      </c>
      <c r="B737" s="0" t="n">
        <v>-0.733848625089099</v>
      </c>
      <c r="C737" s="0" t="n">
        <v>-0.488710189281553</v>
      </c>
      <c r="D737" s="0" t="n">
        <v>1.8554210081383</v>
      </c>
      <c r="E737" s="0" t="n">
        <v>-0.892608500672388</v>
      </c>
      <c r="F737" s="0" t="n">
        <v>-0.0766616057612713</v>
      </c>
      <c r="G737" s="0" t="n">
        <v>0.336407912666006</v>
      </c>
    </row>
    <row r="738" customFormat="false" ht="15" hidden="false" customHeight="false" outlineLevel="0" collapsed="false">
      <c r="A738" s="0" t="s">
        <v>2525</v>
      </c>
      <c r="B738" s="0" t="n">
        <v>-0.221984019879896</v>
      </c>
      <c r="C738" s="0" t="n">
        <v>-0.346485978585165</v>
      </c>
      <c r="D738" s="0" t="n">
        <v>-0.21044840219479</v>
      </c>
      <c r="E738" s="0" t="n">
        <v>-0.206891675251617</v>
      </c>
      <c r="F738" s="0" t="n">
        <v>-0.27765121057097</v>
      </c>
      <c r="G738" s="0" t="n">
        <v>1.26346128648244</v>
      </c>
    </row>
    <row r="739" customFormat="false" ht="15" hidden="false" customHeight="false" outlineLevel="0" collapsed="false">
      <c r="A739" s="0" t="s">
        <v>2526</v>
      </c>
      <c r="B739" s="0" t="n">
        <v>-0.621372771348646</v>
      </c>
      <c r="C739" s="0" t="n">
        <v>-0.211759630330181</v>
      </c>
      <c r="D739" s="0" t="n">
        <v>2.35592065579843</v>
      </c>
      <c r="E739" s="0" t="n">
        <v>-0.819993577304748</v>
      </c>
      <c r="F739" s="0" t="n">
        <v>0.193894837183288</v>
      </c>
      <c r="G739" s="0" t="n">
        <v>-0.896689513998144</v>
      </c>
    </row>
    <row r="740" customFormat="false" ht="15" hidden="false" customHeight="false" outlineLevel="0" collapsed="false">
      <c r="A740" s="0" t="s">
        <v>2527</v>
      </c>
      <c r="B740" s="0" t="n">
        <v>-0.0407673606478156</v>
      </c>
      <c r="C740" s="0" t="n">
        <v>1.74973406221641</v>
      </c>
      <c r="D740" s="0" t="n">
        <v>-0.660969097977017</v>
      </c>
      <c r="E740" s="0" t="n">
        <v>-0.621394172250979</v>
      </c>
      <c r="F740" s="0" t="n">
        <v>-0.33307526505725</v>
      </c>
      <c r="G740" s="0" t="n">
        <v>-0.0935281662833482</v>
      </c>
    </row>
    <row r="741" customFormat="false" ht="15" hidden="false" customHeight="false" outlineLevel="0" collapsed="false">
      <c r="A741" s="0" t="s">
        <v>1817</v>
      </c>
      <c r="B741" s="0" t="n">
        <v>-0.0407673606478156</v>
      </c>
      <c r="C741" s="0" t="n">
        <v>1.74973406221641</v>
      </c>
      <c r="D741" s="0" t="n">
        <v>-0.660969097977017</v>
      </c>
      <c r="E741" s="0" t="n">
        <v>-0.621394172250979</v>
      </c>
      <c r="F741" s="0" t="n">
        <v>-0.33307526505725</v>
      </c>
      <c r="G741" s="0" t="n">
        <v>-0.0935281662833482</v>
      </c>
    </row>
    <row r="742" customFormat="false" ht="15" hidden="false" customHeight="false" outlineLevel="0" collapsed="false">
      <c r="A742" s="0" t="s">
        <v>1796</v>
      </c>
      <c r="B742" s="0" t="n">
        <v>-0.417779508562042</v>
      </c>
      <c r="C742" s="0" t="n">
        <v>-0.556437271104375</v>
      </c>
      <c r="D742" s="0" t="n">
        <v>0.0300778310218265</v>
      </c>
      <c r="E742" s="0" t="n">
        <v>-0.0324070491459715</v>
      </c>
      <c r="F742" s="0" t="n">
        <v>1.32221640825065</v>
      </c>
      <c r="G742" s="0" t="n">
        <v>-0.345670410460088</v>
      </c>
    </row>
    <row r="743" customFormat="false" ht="15" hidden="false" customHeight="false" outlineLevel="0" collapsed="false">
      <c r="A743" s="0" t="s">
        <v>2528</v>
      </c>
      <c r="B743" s="0" t="n">
        <v>-0.417779508562042</v>
      </c>
      <c r="C743" s="0" t="n">
        <v>-0.556437271104375</v>
      </c>
      <c r="D743" s="0" t="n">
        <v>0.0300778310218265</v>
      </c>
      <c r="E743" s="0" t="n">
        <v>-0.0324070491459715</v>
      </c>
      <c r="F743" s="0" t="n">
        <v>1.32221640825065</v>
      </c>
      <c r="G743" s="0" t="n">
        <v>-0.345670410460088</v>
      </c>
    </row>
    <row r="744" customFormat="false" ht="15" hidden="false" customHeight="false" outlineLevel="0" collapsed="false">
      <c r="A744" s="0" t="s">
        <v>2529</v>
      </c>
      <c r="B744" s="0" t="n">
        <v>1.27918359691913</v>
      </c>
      <c r="C744" s="0" t="n">
        <v>-0.0605017443938073</v>
      </c>
      <c r="D744" s="0" t="n">
        <v>-0.310225191732862</v>
      </c>
      <c r="E744" s="0" t="n">
        <v>-0.122016865058169</v>
      </c>
      <c r="F744" s="0" t="n">
        <v>-0.284150588144302</v>
      </c>
      <c r="G744" s="0" t="n">
        <v>-0.502289207589986</v>
      </c>
    </row>
    <row r="745" customFormat="false" ht="15" hidden="false" customHeight="false" outlineLevel="0" collapsed="false">
      <c r="A745" s="0" t="s">
        <v>2530</v>
      </c>
      <c r="B745" s="0" t="n">
        <v>1.27918359691913</v>
      </c>
      <c r="C745" s="0" t="n">
        <v>-0.0605017443938073</v>
      </c>
      <c r="D745" s="0" t="n">
        <v>-0.310225191732862</v>
      </c>
      <c r="E745" s="0" t="n">
        <v>-0.122016865058169</v>
      </c>
      <c r="F745" s="0" t="n">
        <v>-0.284150588144302</v>
      </c>
      <c r="G745" s="0" t="n">
        <v>-0.502289207589986</v>
      </c>
    </row>
    <row r="746" customFormat="false" ht="15" hidden="false" customHeight="false" outlineLevel="0" collapsed="false">
      <c r="A746" s="0" t="s">
        <v>2531</v>
      </c>
      <c r="B746" s="0" t="n">
        <v>-0.910725406176975</v>
      </c>
      <c r="C746" s="0" t="n">
        <v>0.142063807340143</v>
      </c>
      <c r="D746" s="0" t="n">
        <v>1.39623345058562</v>
      </c>
      <c r="E746" s="0" t="n">
        <v>1.1008113205668</v>
      </c>
      <c r="F746" s="0" t="n">
        <v>-0.872509342825453</v>
      </c>
      <c r="G746" s="0" t="n">
        <v>-0.855873829490135</v>
      </c>
    </row>
    <row r="747" customFormat="false" ht="15" hidden="false" customHeight="false" outlineLevel="0" collapsed="false">
      <c r="A747" s="0" t="s">
        <v>2532</v>
      </c>
      <c r="B747" s="0" t="n">
        <v>-0.87841074892774</v>
      </c>
      <c r="C747" s="0" t="n">
        <v>0.0312349076740337</v>
      </c>
      <c r="D747" s="0" t="n">
        <v>2.24394913527475</v>
      </c>
      <c r="E747" s="0" t="n">
        <v>0.00676716844233363</v>
      </c>
      <c r="F747" s="0" t="n">
        <v>-0.666223463124496</v>
      </c>
      <c r="G747" s="0" t="n">
        <v>-0.737316999338887</v>
      </c>
    </row>
    <row r="748" customFormat="false" ht="15" hidden="false" customHeight="false" outlineLevel="0" collapsed="false">
      <c r="A748" s="0" t="s">
        <v>2533</v>
      </c>
      <c r="B748" s="0" t="n">
        <v>-0.156107411955554</v>
      </c>
      <c r="C748" s="0" t="n">
        <v>0.136117095053449</v>
      </c>
      <c r="D748" s="0" t="n">
        <v>-0.708630511935673</v>
      </c>
      <c r="E748" s="0" t="n">
        <v>1.30328912887465</v>
      </c>
      <c r="F748" s="0" t="n">
        <v>-0.334791274411603</v>
      </c>
      <c r="G748" s="0" t="n">
        <v>-0.239877025625274</v>
      </c>
    </row>
    <row r="749" customFormat="false" ht="15" hidden="false" customHeight="false" outlineLevel="0" collapsed="false">
      <c r="A749" s="0" t="s">
        <v>2534</v>
      </c>
      <c r="B749" s="0" t="n">
        <v>1.71404998252965</v>
      </c>
      <c r="C749" s="0" t="n">
        <v>-0.483899529804068</v>
      </c>
      <c r="D749" s="0" t="n">
        <v>-0.0270982328999103</v>
      </c>
      <c r="E749" s="0" t="n">
        <v>-0.534401062941949</v>
      </c>
      <c r="F749" s="0" t="n">
        <v>-0.386776832753819</v>
      </c>
      <c r="G749" s="0" t="n">
        <v>-0.281874324129906</v>
      </c>
    </row>
    <row r="750" customFormat="false" ht="15" hidden="false" customHeight="false" outlineLevel="0" collapsed="false">
      <c r="A750" s="0" t="s">
        <v>2535</v>
      </c>
      <c r="B750" s="0" t="n">
        <v>1.71404998252965</v>
      </c>
      <c r="C750" s="0" t="n">
        <v>-0.483899529804068</v>
      </c>
      <c r="D750" s="0" t="n">
        <v>-0.0270982328999103</v>
      </c>
      <c r="E750" s="0" t="n">
        <v>-0.534401062941949</v>
      </c>
      <c r="F750" s="0" t="n">
        <v>-0.386776832753819</v>
      </c>
      <c r="G750" s="0" t="n">
        <v>-0.281874324129906</v>
      </c>
    </row>
    <row r="751" customFormat="false" ht="15" hidden="false" customHeight="false" outlineLevel="0" collapsed="false">
      <c r="A751" s="0" t="s">
        <v>1790</v>
      </c>
      <c r="B751" s="0" t="n">
        <v>0.0866315440977377</v>
      </c>
      <c r="C751" s="0" t="n">
        <v>-0.634356444701025</v>
      </c>
      <c r="D751" s="0" t="n">
        <v>-0.365475791550806</v>
      </c>
      <c r="E751" s="0" t="n">
        <v>-0.578722454491561</v>
      </c>
      <c r="F751" s="0" t="n">
        <v>1.74361351490877</v>
      </c>
      <c r="G751" s="0" t="n">
        <v>-0.251690368263117</v>
      </c>
    </row>
    <row r="752" customFormat="false" ht="15" hidden="false" customHeight="false" outlineLevel="0" collapsed="false">
      <c r="A752" s="0" t="s">
        <v>2536</v>
      </c>
      <c r="B752" s="0" t="n">
        <v>0.0866315440977377</v>
      </c>
      <c r="C752" s="0" t="n">
        <v>-0.634356444701025</v>
      </c>
      <c r="D752" s="0" t="n">
        <v>-0.365475791550806</v>
      </c>
      <c r="E752" s="0" t="n">
        <v>-0.578722454491561</v>
      </c>
      <c r="F752" s="0" t="n">
        <v>1.74361351490877</v>
      </c>
      <c r="G752" s="0" t="n">
        <v>-0.251690368263117</v>
      </c>
    </row>
    <row r="753" customFormat="false" ht="15" hidden="false" customHeight="false" outlineLevel="0" collapsed="false">
      <c r="A753" s="0" t="s">
        <v>2537</v>
      </c>
      <c r="B753" s="0" t="n">
        <v>-0.644176835925454</v>
      </c>
      <c r="C753" s="0" t="n">
        <v>-0.548196071651014</v>
      </c>
      <c r="D753" s="0" t="n">
        <v>-0.473035595518455</v>
      </c>
      <c r="E753" s="0" t="n">
        <v>2.10494888542895</v>
      </c>
      <c r="F753" s="0" t="n">
        <v>-0.00431063451643548</v>
      </c>
      <c r="G753" s="0" t="n">
        <v>-0.435229747817588</v>
      </c>
    </row>
    <row r="754" customFormat="false" ht="15" hidden="false" customHeight="false" outlineLevel="0" collapsed="false">
      <c r="A754" s="0" t="s">
        <v>2538</v>
      </c>
      <c r="B754" s="0" t="n">
        <v>-0.644176835925454</v>
      </c>
      <c r="C754" s="0" t="n">
        <v>-0.548196071651014</v>
      </c>
      <c r="D754" s="0" t="n">
        <v>-0.473035595518455</v>
      </c>
      <c r="E754" s="0" t="n">
        <v>2.10494888542895</v>
      </c>
      <c r="F754" s="0" t="n">
        <v>-0.00431063451643548</v>
      </c>
      <c r="G754" s="0" t="n">
        <v>-0.435229747817588</v>
      </c>
    </row>
    <row r="755" customFormat="false" ht="15" hidden="false" customHeight="false" outlineLevel="0" collapsed="false">
      <c r="A755" s="0" t="s">
        <v>2539</v>
      </c>
      <c r="B755" s="0" t="n">
        <v>0.401231306969836</v>
      </c>
      <c r="C755" s="0" t="n">
        <v>-0.657788692776434</v>
      </c>
      <c r="D755" s="0" t="n">
        <v>1.24163618484165</v>
      </c>
      <c r="E755" s="0" t="n">
        <v>0.429336881117735</v>
      </c>
      <c r="F755" s="0" t="n">
        <v>-0.731544324751347</v>
      </c>
      <c r="G755" s="0" t="n">
        <v>-0.682871355401441</v>
      </c>
    </row>
    <row r="756" customFormat="false" ht="15" hidden="false" customHeight="false" outlineLevel="0" collapsed="false">
      <c r="A756" s="0" t="s">
        <v>2540</v>
      </c>
      <c r="B756" s="0" t="n">
        <v>0.401231306969836</v>
      </c>
      <c r="C756" s="0" t="n">
        <v>-0.657788692776434</v>
      </c>
      <c r="D756" s="0" t="n">
        <v>1.24163618484165</v>
      </c>
      <c r="E756" s="0" t="n">
        <v>0.429336881117735</v>
      </c>
      <c r="F756" s="0" t="n">
        <v>-0.731544324751347</v>
      </c>
      <c r="G756" s="0" t="n">
        <v>-0.682871355401441</v>
      </c>
    </row>
    <row r="757" customFormat="false" ht="15" hidden="false" customHeight="false" outlineLevel="0" collapsed="false">
      <c r="A757" s="0" t="s">
        <v>1812</v>
      </c>
      <c r="B757" s="0" t="n">
        <v>-0.23448824723021</v>
      </c>
      <c r="C757" s="0" t="n">
        <v>1.96959306590463</v>
      </c>
      <c r="D757" s="0" t="n">
        <v>-0.708172021572727</v>
      </c>
      <c r="E757" s="0" t="n">
        <v>-0.176478959254455</v>
      </c>
      <c r="F757" s="0" t="n">
        <v>-0.744437895576988</v>
      </c>
      <c r="G757" s="0" t="n">
        <v>-0.106015942270252</v>
      </c>
    </row>
    <row r="758" customFormat="false" ht="15" hidden="false" customHeight="false" outlineLevel="0" collapsed="false">
      <c r="A758" s="0" t="s">
        <v>2541</v>
      </c>
      <c r="B758" s="0" t="n">
        <v>-0.23448824723021</v>
      </c>
      <c r="C758" s="0" t="n">
        <v>1.96959306590463</v>
      </c>
      <c r="D758" s="0" t="n">
        <v>-0.708172021572727</v>
      </c>
      <c r="E758" s="0" t="n">
        <v>-0.176478959254455</v>
      </c>
      <c r="F758" s="0" t="n">
        <v>-0.744437895576988</v>
      </c>
      <c r="G758" s="0" t="n">
        <v>-0.106015942270252</v>
      </c>
    </row>
    <row r="759" customFormat="false" ht="15" hidden="false" customHeight="false" outlineLevel="0" collapsed="false">
      <c r="A759" s="0" t="s">
        <v>2542</v>
      </c>
      <c r="B759" s="0" t="n">
        <v>1.77849168191391</v>
      </c>
      <c r="C759" s="0" t="n">
        <v>-0.309164994670726</v>
      </c>
      <c r="D759" s="0" t="n">
        <v>-0.354840052786652</v>
      </c>
      <c r="E759" s="0" t="n">
        <v>-0.463865253987753</v>
      </c>
      <c r="F759" s="0" t="n">
        <v>-0.823290586893941</v>
      </c>
      <c r="G759" s="0" t="n">
        <v>0.172669206425162</v>
      </c>
    </row>
    <row r="760" customFormat="false" ht="15" hidden="false" customHeight="false" outlineLevel="0" collapsed="false">
      <c r="A760" s="0" t="s">
        <v>2543</v>
      </c>
      <c r="B760" s="0" t="n">
        <v>-0.509434109654366</v>
      </c>
      <c r="C760" s="0" t="n">
        <v>-0.0592383155749776</v>
      </c>
      <c r="D760" s="0" t="n">
        <v>-0.0881211712156808</v>
      </c>
      <c r="E760" s="0" t="n">
        <v>-0.0479602877702154</v>
      </c>
      <c r="F760" s="0" t="n">
        <v>-0.0315690572146374</v>
      </c>
      <c r="G760" s="0" t="n">
        <v>0.736322941429877</v>
      </c>
    </row>
    <row r="761" customFormat="false" ht="15" hidden="false" customHeight="false" outlineLevel="0" collapsed="false">
      <c r="A761" s="0" t="s">
        <v>2544</v>
      </c>
      <c r="B761" s="0" t="n">
        <v>0.935558264085958</v>
      </c>
      <c r="C761" s="0" t="n">
        <v>-0.0931178009578098</v>
      </c>
      <c r="D761" s="0" t="n">
        <v>-0.105699263209313</v>
      </c>
      <c r="E761" s="0" t="n">
        <v>-0.0293993041011386</v>
      </c>
      <c r="F761" s="0" t="n">
        <v>-0.519876998224087</v>
      </c>
      <c r="G761" s="0" t="n">
        <v>-0.187464897593611</v>
      </c>
    </row>
    <row r="762" customFormat="false" ht="15" hidden="false" customHeight="false" outlineLevel="0" collapsed="false">
      <c r="A762" s="0" t="s">
        <v>2545</v>
      </c>
      <c r="B762" s="0" t="n">
        <v>0.324583899226484</v>
      </c>
      <c r="C762" s="0" t="n">
        <v>-0.0617607707493871</v>
      </c>
      <c r="D762" s="0" t="n">
        <v>-0.0735869124563381</v>
      </c>
      <c r="E762" s="0" t="n">
        <v>-0.053403690825789</v>
      </c>
      <c r="F762" s="0" t="n">
        <v>-0.0244671913418609</v>
      </c>
      <c r="G762" s="0" t="n">
        <v>-0.111365333853109</v>
      </c>
    </row>
    <row r="763" customFormat="false" ht="15" hidden="false" customHeight="false" outlineLevel="0" collapsed="false">
      <c r="A763" s="0" t="s">
        <v>2546</v>
      </c>
      <c r="B763" s="0" t="n">
        <v>-0.242761741736053</v>
      </c>
      <c r="C763" s="0" t="n">
        <v>-0.522421785513091</v>
      </c>
      <c r="D763" s="0" t="n">
        <v>1.62149252976225</v>
      </c>
      <c r="E763" s="0" t="n">
        <v>-0.245529852756117</v>
      </c>
      <c r="F763" s="0" t="n">
        <v>-0.238973479240654</v>
      </c>
      <c r="G763" s="0" t="n">
        <v>-0.371805670516335</v>
      </c>
    </row>
    <row r="764" customFormat="false" ht="15" hidden="false" customHeight="false" outlineLevel="0" collapsed="false">
      <c r="A764" s="0" t="s">
        <v>2547</v>
      </c>
      <c r="B764" s="0" t="n">
        <v>-0.0686578166594018</v>
      </c>
      <c r="C764" s="0" t="n">
        <v>-0.0421731298180051</v>
      </c>
      <c r="D764" s="0" t="n">
        <v>0.360320734440373</v>
      </c>
      <c r="E764" s="0" t="n">
        <v>-0.0670341247945596</v>
      </c>
      <c r="F764" s="0" t="n">
        <v>-0.0486407835462307</v>
      </c>
      <c r="G764" s="0" t="n">
        <v>-0.133814879622175</v>
      </c>
    </row>
    <row r="765" customFormat="false" ht="15" hidden="false" customHeight="false" outlineLevel="0" collapsed="false">
      <c r="A765" s="0" t="s">
        <v>2548</v>
      </c>
      <c r="B765" s="0" t="n">
        <v>-0.0971467261306092</v>
      </c>
      <c r="C765" s="0" t="n">
        <v>-0.506715560994662</v>
      </c>
      <c r="D765" s="0" t="n">
        <v>0.922457467794657</v>
      </c>
      <c r="E765" s="0" t="n">
        <v>-0.0634451166096936</v>
      </c>
      <c r="F765" s="0" t="n">
        <v>-0.0771473328142464</v>
      </c>
      <c r="G765" s="0" t="n">
        <v>-0.178002731245445</v>
      </c>
    </row>
    <row r="766" customFormat="false" ht="15" hidden="false" customHeight="false" outlineLevel="0" collapsed="false">
      <c r="A766" s="0" t="s">
        <v>2549</v>
      </c>
      <c r="B766" s="0" t="n">
        <v>-0.353794004153653</v>
      </c>
      <c r="C766" s="0" t="n">
        <v>-0.299436756219818</v>
      </c>
      <c r="D766" s="0" t="n">
        <v>-0.706530580576916</v>
      </c>
      <c r="E766" s="0" t="n">
        <v>-0.214796979388305</v>
      </c>
      <c r="F766" s="0" t="n">
        <v>1.8539888864074</v>
      </c>
      <c r="G766" s="0" t="n">
        <v>-0.279430566068709</v>
      </c>
    </row>
    <row r="767" customFormat="false" ht="15" hidden="false" customHeight="false" outlineLevel="0" collapsed="false">
      <c r="A767" s="0" t="s">
        <v>2550</v>
      </c>
      <c r="B767" s="0" t="n">
        <v>-0.353794004153653</v>
      </c>
      <c r="C767" s="0" t="n">
        <v>-0.299436756219818</v>
      </c>
      <c r="D767" s="0" t="n">
        <v>-0.706530580576916</v>
      </c>
      <c r="E767" s="0" t="n">
        <v>-0.214796979388305</v>
      </c>
      <c r="F767" s="0" t="n">
        <v>1.8539888864074</v>
      </c>
      <c r="G767" s="0" t="n">
        <v>-0.279430566068709</v>
      </c>
    </row>
    <row r="768" customFormat="false" ht="15" hidden="false" customHeight="false" outlineLevel="0" collapsed="false">
      <c r="A768" s="0" t="s">
        <v>2551</v>
      </c>
      <c r="B768" s="0" t="n">
        <v>-0.445195342997202</v>
      </c>
      <c r="C768" s="0" t="n">
        <v>-0.28475897482936</v>
      </c>
      <c r="D768" s="0" t="n">
        <v>-0.356085213980781</v>
      </c>
      <c r="E768" s="0" t="n">
        <v>-0.305582859936992</v>
      </c>
      <c r="F768" s="0" t="n">
        <v>-0.139456604541534</v>
      </c>
      <c r="G768" s="0" t="n">
        <v>1.53107899628587</v>
      </c>
    </row>
    <row r="769" customFormat="false" ht="15" hidden="false" customHeight="false" outlineLevel="0" collapsed="false">
      <c r="A769" s="0" t="s">
        <v>2552</v>
      </c>
      <c r="B769" s="0" t="n">
        <v>-0.0344931587641964</v>
      </c>
      <c r="C769" s="0" t="n">
        <v>-0.0431192323705646</v>
      </c>
      <c r="D769" s="0" t="n">
        <v>-0.0643800107457214</v>
      </c>
      <c r="E769" s="0" t="n">
        <v>-0.0386377113711783</v>
      </c>
      <c r="F769" s="0" t="n">
        <v>-0.0700893450688326</v>
      </c>
      <c r="G769" s="0" t="n">
        <v>0.250719458320493</v>
      </c>
    </row>
    <row r="770" customFormat="false" ht="15" hidden="false" customHeight="false" outlineLevel="0" collapsed="false">
      <c r="A770" s="0" t="s">
        <v>2553</v>
      </c>
      <c r="B770" s="0" t="n">
        <v>-0.407181196017297</v>
      </c>
      <c r="C770" s="0" t="n">
        <v>-0.445691357938634</v>
      </c>
      <c r="D770" s="0" t="n">
        <v>-0.364649695283311</v>
      </c>
      <c r="E770" s="0" t="n">
        <v>-0.260776034715845</v>
      </c>
      <c r="F770" s="0" t="n">
        <v>1.72817576525129</v>
      </c>
      <c r="G770" s="0" t="n">
        <v>-0.249877481296198</v>
      </c>
    </row>
    <row r="771" customFormat="false" ht="15" hidden="false" customHeight="false" outlineLevel="0" collapsed="false">
      <c r="A771" s="0" t="s">
        <v>2554</v>
      </c>
      <c r="B771" s="0" t="n">
        <v>-0.407181196017297</v>
      </c>
      <c r="C771" s="0" t="n">
        <v>-0.445691357938634</v>
      </c>
      <c r="D771" s="0" t="n">
        <v>-0.364649695283311</v>
      </c>
      <c r="E771" s="0" t="n">
        <v>-0.260776034715845</v>
      </c>
      <c r="F771" s="0" t="n">
        <v>1.72817576525129</v>
      </c>
      <c r="G771" s="0" t="n">
        <v>-0.249877481296198</v>
      </c>
    </row>
    <row r="772" customFormat="false" ht="15" hidden="false" customHeight="false" outlineLevel="0" collapsed="false">
      <c r="A772" s="0" t="s">
        <v>1780</v>
      </c>
      <c r="B772" s="0" t="n">
        <v>-0.0350856042031293</v>
      </c>
      <c r="C772" s="0" t="n">
        <v>-0.151774828018937</v>
      </c>
      <c r="D772" s="0" t="n">
        <v>1.24041197331634</v>
      </c>
      <c r="E772" s="0" t="n">
        <v>-0.381671832333795</v>
      </c>
      <c r="F772" s="0" t="n">
        <v>-0.500865651504358</v>
      </c>
      <c r="G772" s="0" t="n">
        <v>-0.171014057256124</v>
      </c>
    </row>
    <row r="773" customFormat="false" ht="15" hidden="false" customHeight="false" outlineLevel="0" collapsed="false">
      <c r="A773" s="0" t="s">
        <v>2555</v>
      </c>
      <c r="B773" s="0" t="n">
        <v>0.324779386217801</v>
      </c>
      <c r="C773" s="0" t="n">
        <v>0.136331213141583</v>
      </c>
      <c r="D773" s="0" t="n">
        <v>-0.927153797809672</v>
      </c>
      <c r="E773" s="0" t="n">
        <v>0.608789703274786</v>
      </c>
      <c r="F773" s="0" t="n">
        <v>-0.0616642377466182</v>
      </c>
      <c r="G773" s="0" t="n">
        <v>-0.0810822670778786</v>
      </c>
    </row>
    <row r="774" customFormat="false" ht="15" hidden="false" customHeight="false" outlineLevel="0" collapsed="false">
      <c r="A774" s="0" t="s">
        <v>2556</v>
      </c>
      <c r="B774" s="0" t="n">
        <v>-0.396700734453233</v>
      </c>
      <c r="C774" s="0" t="n">
        <v>0.383407158621652</v>
      </c>
      <c r="D774" s="0" t="n">
        <v>-0.201648435880302</v>
      </c>
      <c r="E774" s="0" t="n">
        <v>-0.224477727440697</v>
      </c>
      <c r="F774" s="0" t="n">
        <v>-0.173909853595962</v>
      </c>
      <c r="G774" s="0" t="n">
        <v>0.613329592748542</v>
      </c>
    </row>
    <row r="775" customFormat="false" ht="15" hidden="false" customHeight="false" outlineLevel="0" collapsed="false">
      <c r="A775" s="0" t="s">
        <v>2557</v>
      </c>
      <c r="B775" s="0" t="n">
        <v>-0.283989405619478</v>
      </c>
      <c r="C775" s="0" t="n">
        <v>-0.127867306685781</v>
      </c>
      <c r="D775" s="0" t="n">
        <v>0.788422521316972</v>
      </c>
      <c r="E775" s="0" t="n">
        <v>-0.153479242988505</v>
      </c>
      <c r="F775" s="0" t="n">
        <v>-0.0579016066684702</v>
      </c>
      <c r="G775" s="0" t="n">
        <v>-0.165184959354739</v>
      </c>
    </row>
    <row r="776" customFormat="false" ht="15" hidden="false" customHeight="false" outlineLevel="0" collapsed="false">
      <c r="A776" s="0" t="s">
        <v>2558</v>
      </c>
      <c r="B776" s="0" t="n">
        <v>-0.276492890934259</v>
      </c>
      <c r="C776" s="0" t="n">
        <v>-0.242541609815257</v>
      </c>
      <c r="D776" s="0" t="n">
        <v>1.29261617977584</v>
      </c>
      <c r="E776" s="0" t="n">
        <v>-0.318524467783974</v>
      </c>
      <c r="F776" s="0" t="n">
        <v>-0.199476181052553</v>
      </c>
      <c r="G776" s="0" t="n">
        <v>-0.255581030189793</v>
      </c>
    </row>
    <row r="777" customFormat="false" ht="15" hidden="false" customHeight="false" outlineLevel="0" collapsed="false">
      <c r="A777" s="0" t="s">
        <v>2559</v>
      </c>
      <c r="B777" s="0" t="n">
        <v>-0.475134956521097</v>
      </c>
      <c r="C777" s="0" t="n">
        <v>-0.886686002168336</v>
      </c>
      <c r="D777" s="0" t="n">
        <v>-0.363978672225857</v>
      </c>
      <c r="E777" s="0" t="n">
        <v>0.879218486976237</v>
      </c>
      <c r="F777" s="0" t="n">
        <v>1.03366522042501</v>
      </c>
      <c r="G777" s="0" t="n">
        <v>-0.187084076485957</v>
      </c>
    </row>
    <row r="778" customFormat="false" ht="15" hidden="false" customHeight="false" outlineLevel="0" collapsed="false">
      <c r="A778" s="0" t="s">
        <v>2560</v>
      </c>
      <c r="B778" s="0" t="n">
        <v>0.389947678291985</v>
      </c>
      <c r="C778" s="0" t="n">
        <v>0.267054666009312</v>
      </c>
      <c r="D778" s="0" t="n">
        <v>0.437794300697245</v>
      </c>
      <c r="E778" s="0" t="n">
        <v>-0.369891880868891</v>
      </c>
      <c r="F778" s="0" t="n">
        <v>-0.355556201104015</v>
      </c>
      <c r="G778" s="0" t="n">
        <v>-0.369348563025634</v>
      </c>
    </row>
    <row r="779" customFormat="false" ht="15" hidden="false" customHeight="false" outlineLevel="0" collapsed="false">
      <c r="A779" s="0" t="s">
        <v>2561</v>
      </c>
      <c r="B779" s="0" t="n">
        <v>-0.344001518996423</v>
      </c>
      <c r="C779" s="0" t="n">
        <v>-0.563458086368713</v>
      </c>
      <c r="D779" s="0" t="n">
        <v>0.00885393151946994</v>
      </c>
      <c r="E779" s="0" t="n">
        <v>1.42644090964744</v>
      </c>
      <c r="F779" s="0" t="n">
        <v>-0.00409919928881286</v>
      </c>
      <c r="G779" s="0" t="n">
        <v>-0.52373603651296</v>
      </c>
    </row>
    <row r="780" customFormat="false" ht="15" hidden="false" customHeight="false" outlineLevel="0" collapsed="false">
      <c r="A780" s="0" t="s">
        <v>2562</v>
      </c>
      <c r="B780" s="0" t="n">
        <v>0.10524496866799</v>
      </c>
      <c r="C780" s="0" t="n">
        <v>0.269356679361396</v>
      </c>
      <c r="D780" s="0" t="n">
        <v>-0.481633009199321</v>
      </c>
      <c r="E780" s="0" t="n">
        <v>-0.536407511366648</v>
      </c>
      <c r="F780" s="0" t="n">
        <v>0.320471691054264</v>
      </c>
      <c r="G780" s="0" t="n">
        <v>0.322967181482318</v>
      </c>
    </row>
    <row r="781" customFormat="false" ht="15" hidden="false" customHeight="false" outlineLevel="0" collapsed="false">
      <c r="A781" s="0" t="s">
        <v>2563</v>
      </c>
      <c r="B781" s="0" t="n">
        <v>-0.494459797442033</v>
      </c>
      <c r="C781" s="0" t="n">
        <v>-0.837566262735061</v>
      </c>
      <c r="D781" s="0" t="n">
        <v>-0.36038538614552</v>
      </c>
      <c r="E781" s="0" t="n">
        <v>0.40721054828854</v>
      </c>
      <c r="F781" s="0" t="n">
        <v>1.07894322134185</v>
      </c>
      <c r="G781" s="0" t="n">
        <v>0.20625767669223</v>
      </c>
    </row>
    <row r="782" customFormat="false" ht="15" hidden="false" customHeight="false" outlineLevel="0" collapsed="false">
      <c r="A782" s="0" t="s">
        <v>2564</v>
      </c>
      <c r="B782" s="0" t="n">
        <v>0.459567189447117</v>
      </c>
      <c r="C782" s="0" t="n">
        <v>0.104158255781296</v>
      </c>
      <c r="D782" s="0" t="n">
        <v>0.0373738788018022</v>
      </c>
      <c r="E782" s="0" t="n">
        <v>0.493652951655341</v>
      </c>
      <c r="F782" s="0" t="n">
        <v>-0.961427065325522</v>
      </c>
      <c r="G782" s="0" t="n">
        <v>-0.133325210360036</v>
      </c>
    </row>
    <row r="783" customFormat="false" ht="15" hidden="false" customHeight="false" outlineLevel="0" collapsed="false">
      <c r="A783" s="0" t="s">
        <v>2565</v>
      </c>
      <c r="B783" s="0" t="n">
        <v>0.459567189447117</v>
      </c>
      <c r="C783" s="0" t="n">
        <v>0.104158255781296</v>
      </c>
      <c r="D783" s="0" t="n">
        <v>0.0373738788018022</v>
      </c>
      <c r="E783" s="0" t="n">
        <v>0.493652951655341</v>
      </c>
      <c r="F783" s="0" t="n">
        <v>-0.961427065325522</v>
      </c>
      <c r="G783" s="0" t="n">
        <v>-0.133325210360036</v>
      </c>
    </row>
    <row r="784" customFormat="false" ht="15" hidden="false" customHeight="false" outlineLevel="0" collapsed="false">
      <c r="A784" s="0" t="s">
        <v>1814</v>
      </c>
      <c r="B784" s="0" t="n">
        <v>-0.195097405386444</v>
      </c>
      <c r="C784" s="0" t="n">
        <v>1.31254227600723</v>
      </c>
      <c r="D784" s="0" t="n">
        <v>-0.338365298617231</v>
      </c>
      <c r="E784" s="0" t="n">
        <v>-0.305207355323813</v>
      </c>
      <c r="F784" s="0" t="n">
        <v>-0.239602695962921</v>
      </c>
      <c r="G784" s="0" t="n">
        <v>-0.234269520716818</v>
      </c>
    </row>
    <row r="785" customFormat="false" ht="15" hidden="false" customHeight="false" outlineLevel="0" collapsed="false">
      <c r="A785" s="0" t="s">
        <v>2566</v>
      </c>
      <c r="B785" s="0" t="n">
        <v>-0.195097405386444</v>
      </c>
      <c r="C785" s="0" t="n">
        <v>1.31254227600723</v>
      </c>
      <c r="D785" s="0" t="n">
        <v>-0.338365298617231</v>
      </c>
      <c r="E785" s="0" t="n">
        <v>-0.305207355323813</v>
      </c>
      <c r="F785" s="0" t="n">
        <v>-0.239602695962921</v>
      </c>
      <c r="G785" s="0" t="n">
        <v>-0.234269520716818</v>
      </c>
    </row>
    <row r="786" customFormat="false" ht="15" hidden="false" customHeight="false" outlineLevel="0" collapsed="false">
      <c r="A786" s="0" t="s">
        <v>2567</v>
      </c>
      <c r="B786" s="0" t="n">
        <v>0.820076503317142</v>
      </c>
      <c r="C786" s="0" t="n">
        <v>-0.603693638155872</v>
      </c>
      <c r="D786" s="0" t="n">
        <v>-0.275353527601885</v>
      </c>
      <c r="E786" s="0" t="n">
        <v>-0.661627843472878</v>
      </c>
      <c r="F786" s="0" t="n">
        <v>0.689717812301579</v>
      </c>
      <c r="G786" s="0" t="n">
        <v>0.0308806936119115</v>
      </c>
    </row>
    <row r="787" customFormat="false" ht="15" hidden="false" customHeight="false" outlineLevel="0" collapsed="false">
      <c r="A787" s="0" t="s">
        <v>2568</v>
      </c>
      <c r="B787" s="0" t="n">
        <v>1.42343550921402</v>
      </c>
      <c r="C787" s="0" t="n">
        <v>-0.571972355915645</v>
      </c>
      <c r="D787" s="0" t="n">
        <v>-0.267317648670718</v>
      </c>
      <c r="E787" s="0" t="n">
        <v>-0.31699181606131</v>
      </c>
      <c r="F787" s="0" t="n">
        <v>-0.31435743412322</v>
      </c>
      <c r="G787" s="0" t="n">
        <v>0.0472037455568697</v>
      </c>
    </row>
    <row r="788" customFormat="false" ht="15" hidden="false" customHeight="false" outlineLevel="0" collapsed="false">
      <c r="A788" s="0" t="s">
        <v>2569</v>
      </c>
      <c r="B788" s="0" t="n">
        <v>-0.385370170477344</v>
      </c>
      <c r="C788" s="0" t="n">
        <v>-0.1492774872605</v>
      </c>
      <c r="D788" s="0" t="n">
        <v>-0.0622350857281997</v>
      </c>
      <c r="E788" s="0" t="n">
        <v>-0.445529580746176</v>
      </c>
      <c r="F788" s="0" t="n">
        <v>1.05110369351205</v>
      </c>
      <c r="G788" s="0" t="n">
        <v>-0.00869136929983087</v>
      </c>
    </row>
    <row r="789" customFormat="false" ht="15" hidden="false" customHeight="false" outlineLevel="0" collapsed="false">
      <c r="A789" s="0" t="s">
        <v>2570</v>
      </c>
      <c r="B789" s="0" t="n">
        <v>-0.621372771348646</v>
      </c>
      <c r="C789" s="0" t="n">
        <v>-0.211759630330181</v>
      </c>
      <c r="D789" s="0" t="n">
        <v>2.35592065579843</v>
      </c>
      <c r="E789" s="0" t="n">
        <v>-0.819993577304748</v>
      </c>
      <c r="F789" s="0" t="n">
        <v>0.193894837183288</v>
      </c>
      <c r="G789" s="0" t="n">
        <v>-0.896689513998144</v>
      </c>
    </row>
    <row r="790" customFormat="false" ht="15" hidden="false" customHeight="false" outlineLevel="0" collapsed="false">
      <c r="A790" s="0" t="s">
        <v>2571</v>
      </c>
      <c r="B790" s="0" t="n">
        <v>-0.0924841075078722</v>
      </c>
      <c r="C790" s="0" t="n">
        <v>1.34394230166168</v>
      </c>
      <c r="D790" s="0" t="n">
        <v>-0.98784942292043</v>
      </c>
      <c r="E790" s="0" t="n">
        <v>-0.0466372701401435</v>
      </c>
      <c r="F790" s="0" t="n">
        <v>-0.150791215471159</v>
      </c>
      <c r="G790" s="0" t="n">
        <v>-0.0661802856220794</v>
      </c>
    </row>
    <row r="791" customFormat="false" ht="15" hidden="false" customHeight="false" outlineLevel="0" collapsed="false">
      <c r="A791" s="0" t="s">
        <v>1779</v>
      </c>
      <c r="B791" s="0" t="n">
        <v>-0.811251584973636</v>
      </c>
      <c r="C791" s="0" t="n">
        <v>-0.370317376510242</v>
      </c>
      <c r="D791" s="0" t="n">
        <v>2.95750744679289</v>
      </c>
      <c r="E791" s="0" t="n">
        <v>-0.481624833649203</v>
      </c>
      <c r="F791" s="0" t="n">
        <v>-0.702794391176446</v>
      </c>
      <c r="G791" s="0" t="n">
        <v>-0.591519260483369</v>
      </c>
    </row>
    <row r="792" customFormat="false" ht="15" hidden="false" customHeight="false" outlineLevel="0" collapsed="false">
      <c r="A792" s="0" t="s">
        <v>2572</v>
      </c>
      <c r="B792" s="0" t="n">
        <v>-0.242761741736053</v>
      </c>
      <c r="C792" s="0" t="n">
        <v>-0.522421785513091</v>
      </c>
      <c r="D792" s="0" t="n">
        <v>1.62149252976225</v>
      </c>
      <c r="E792" s="0" t="n">
        <v>-0.245529852756117</v>
      </c>
      <c r="F792" s="0" t="n">
        <v>-0.238973479240654</v>
      </c>
      <c r="G792" s="0" t="n">
        <v>-0.371805670516335</v>
      </c>
    </row>
    <row r="793" customFormat="false" ht="15" hidden="false" customHeight="false" outlineLevel="0" collapsed="false">
      <c r="A793" s="0" t="s">
        <v>2573</v>
      </c>
      <c r="B793" s="0" t="n">
        <v>-0.677160376697203</v>
      </c>
      <c r="C793" s="0" t="n">
        <v>0.0727411890023389</v>
      </c>
      <c r="D793" s="0" t="n">
        <v>1.78543002462394</v>
      </c>
      <c r="E793" s="0" t="n">
        <v>-0.307941974844173</v>
      </c>
      <c r="F793" s="0" t="n">
        <v>-0.560035660087352</v>
      </c>
      <c r="G793" s="0" t="n">
        <v>-0.313033201997553</v>
      </c>
    </row>
    <row r="794" customFormat="false" ht="15" hidden="false" customHeight="false" outlineLevel="0" collapsed="false">
      <c r="A794" s="0" t="s">
        <v>2574</v>
      </c>
      <c r="B794" s="0" t="n">
        <v>1.42414346987356</v>
      </c>
      <c r="C794" s="0" t="n">
        <v>-0.250806614983651</v>
      </c>
      <c r="D794" s="0" t="n">
        <v>0.744195071197916</v>
      </c>
      <c r="E794" s="0" t="n">
        <v>-0.358014926250063</v>
      </c>
      <c r="F794" s="0" t="n">
        <v>-0.587255031911662</v>
      </c>
      <c r="G794" s="0" t="n">
        <v>-0.972261967926099</v>
      </c>
    </row>
    <row r="795" customFormat="false" ht="15" hidden="false" customHeight="false" outlineLevel="0" collapsed="false">
      <c r="A795" s="0" t="s">
        <v>2575</v>
      </c>
      <c r="B795" s="0" t="n">
        <v>1.72293704859801</v>
      </c>
      <c r="C795" s="0" t="n">
        <v>0.0601932662570054</v>
      </c>
      <c r="D795" s="0" t="n">
        <v>-0.309592445102867</v>
      </c>
      <c r="E795" s="0" t="n">
        <v>-0.414133308664815</v>
      </c>
      <c r="F795" s="0" t="n">
        <v>-0.389725892078558</v>
      </c>
      <c r="G795" s="0" t="n">
        <v>-0.669678669008779</v>
      </c>
    </row>
    <row r="796" customFormat="false" ht="15" hidden="false" customHeight="false" outlineLevel="0" collapsed="false">
      <c r="A796" s="0" t="s">
        <v>2576</v>
      </c>
      <c r="B796" s="0" t="n">
        <v>-0.195223922001935</v>
      </c>
      <c r="C796" s="0" t="n">
        <v>-0.385378830600792</v>
      </c>
      <c r="D796" s="0" t="n">
        <v>1.29470820415003</v>
      </c>
      <c r="E796" s="0" t="n">
        <v>0.0271493762007708</v>
      </c>
      <c r="F796" s="0" t="n">
        <v>-0.289755500265131</v>
      </c>
      <c r="G796" s="0" t="n">
        <v>-0.451499327482946</v>
      </c>
    </row>
    <row r="797" customFormat="false" ht="15" hidden="false" customHeight="false" outlineLevel="0" collapsed="false">
      <c r="A797" s="0" t="s">
        <v>2577</v>
      </c>
      <c r="B797" s="0" t="n">
        <v>0.51215380615146</v>
      </c>
      <c r="C797" s="0" t="n">
        <v>-0.104693411991749</v>
      </c>
      <c r="D797" s="0" t="n">
        <v>0.189411219653676</v>
      </c>
      <c r="E797" s="0" t="n">
        <v>0.201261006535349</v>
      </c>
      <c r="F797" s="0" t="n">
        <v>-0.619529797979482</v>
      </c>
      <c r="G797" s="0" t="n">
        <v>-0.178602822369256</v>
      </c>
    </row>
    <row r="798" customFormat="false" ht="15" hidden="false" customHeight="false" outlineLevel="0" collapsed="false">
      <c r="A798" s="0" t="s">
        <v>2578</v>
      </c>
      <c r="B798" s="0" t="n">
        <v>0.420948849774494</v>
      </c>
      <c r="C798" s="0" t="n">
        <v>-0.083045508245879</v>
      </c>
      <c r="D798" s="0" t="n">
        <v>0.209719444487597</v>
      </c>
      <c r="E798" s="0" t="n">
        <v>0.219771139796384</v>
      </c>
      <c r="F798" s="0" t="n">
        <v>-0.615819842071548</v>
      </c>
      <c r="G798" s="0" t="n">
        <v>-0.151574083741048</v>
      </c>
    </row>
    <row r="799" customFormat="false" ht="15" hidden="false" customHeight="false" outlineLevel="0" collapsed="false">
      <c r="A799" s="0" t="s">
        <v>2579</v>
      </c>
      <c r="B799" s="0" t="n">
        <v>-0.0241325856883646</v>
      </c>
      <c r="C799" s="0" t="n">
        <v>0.1867487725992</v>
      </c>
      <c r="D799" s="0" t="n">
        <v>0.540837484419092</v>
      </c>
      <c r="E799" s="0" t="n">
        <v>-0.548788118245392</v>
      </c>
      <c r="F799" s="0" t="n">
        <v>-0.444495228348147</v>
      </c>
      <c r="G799" s="0" t="n">
        <v>0.28982967526361</v>
      </c>
    </row>
    <row r="800" customFormat="false" ht="15" hidden="false" customHeight="false" outlineLevel="0" collapsed="false">
      <c r="A800" s="0" t="s">
        <v>2580</v>
      </c>
      <c r="B800" s="0" t="n">
        <v>-0.131868051843229</v>
      </c>
      <c r="C800" s="0" t="n">
        <v>0.502102125174638</v>
      </c>
      <c r="D800" s="0" t="n">
        <v>1.04969684994015</v>
      </c>
      <c r="E800" s="0" t="n">
        <v>-0.622764171854765</v>
      </c>
      <c r="F800" s="0" t="n">
        <v>-0.199446188466964</v>
      </c>
      <c r="G800" s="0" t="n">
        <v>-0.597720562949834</v>
      </c>
    </row>
    <row r="801" customFormat="false" ht="15" hidden="false" customHeight="false" outlineLevel="0" collapsed="false">
      <c r="A801" s="0" t="s">
        <v>2581</v>
      </c>
      <c r="B801" s="0" t="n">
        <v>0.378528407164657</v>
      </c>
      <c r="C801" s="0" t="n">
        <v>0.408235211815827</v>
      </c>
      <c r="D801" s="0" t="n">
        <v>0.435591851257678</v>
      </c>
      <c r="E801" s="0" t="n">
        <v>-0.392771831089296</v>
      </c>
      <c r="F801" s="0" t="n">
        <v>-0.423797589496743</v>
      </c>
      <c r="G801" s="0" t="n">
        <v>-0.405786049652124</v>
      </c>
    </row>
    <row r="802" customFormat="false" ht="15" hidden="false" customHeight="false" outlineLevel="0" collapsed="false">
      <c r="A802" s="0" t="s">
        <v>2582</v>
      </c>
      <c r="B802" s="0" t="n">
        <v>1.4979962592367</v>
      </c>
      <c r="C802" s="0" t="n">
        <v>-0.325430237422357</v>
      </c>
      <c r="D802" s="0" t="n">
        <v>-0.315333016032619</v>
      </c>
      <c r="E802" s="0" t="n">
        <v>-0.0580255946644681</v>
      </c>
      <c r="F802" s="0" t="n">
        <v>-0.417624808626151</v>
      </c>
      <c r="G802" s="0" t="n">
        <v>-0.381582602491104</v>
      </c>
    </row>
    <row r="803" customFormat="false" ht="15" hidden="false" customHeight="false" outlineLevel="0" collapsed="false">
      <c r="A803" s="0" t="s">
        <v>2583</v>
      </c>
      <c r="B803" s="0" t="n">
        <v>-0.191700063134867</v>
      </c>
      <c r="C803" s="0" t="n">
        <v>-0.275550937766014</v>
      </c>
      <c r="D803" s="0" t="n">
        <v>-0.181006694765678</v>
      </c>
      <c r="E803" s="0" t="n">
        <v>-0.104593763517842</v>
      </c>
      <c r="F803" s="0" t="n">
        <v>-0.0814123781915288</v>
      </c>
      <c r="G803" s="0" t="n">
        <v>0.834263837375929</v>
      </c>
    </row>
    <row r="804" customFormat="false" ht="15" hidden="false" customHeight="false" outlineLevel="0" collapsed="false">
      <c r="A804" s="0" t="s">
        <v>2584</v>
      </c>
      <c r="B804" s="0" t="n">
        <v>-0.121828829985271</v>
      </c>
      <c r="C804" s="0" t="n">
        <v>0.781274283666858</v>
      </c>
      <c r="D804" s="0" t="n">
        <v>-0.0669749343906162</v>
      </c>
      <c r="E804" s="0" t="n">
        <v>-0.18059648224378</v>
      </c>
      <c r="F804" s="0" t="n">
        <v>-0.0744464034668242</v>
      </c>
      <c r="G804" s="0" t="n">
        <v>-0.337427633580368</v>
      </c>
    </row>
    <row r="805" customFormat="false" ht="15" hidden="false" customHeight="false" outlineLevel="0" collapsed="false">
      <c r="A805" s="0" t="s">
        <v>2585</v>
      </c>
      <c r="B805" s="0" t="n">
        <v>0.249744180646597</v>
      </c>
      <c r="C805" s="0" t="n">
        <v>-0.089981756428227</v>
      </c>
      <c r="D805" s="0" t="n">
        <v>-0.0528022490248758</v>
      </c>
      <c r="E805" s="0" t="n">
        <v>-0.0473970585069972</v>
      </c>
      <c r="F805" s="0" t="n">
        <v>-0.029198624491924</v>
      </c>
      <c r="G805" s="0" t="n">
        <v>-0.0303644921945739</v>
      </c>
    </row>
    <row r="806" customFormat="false" ht="15" hidden="false" customHeight="false" outlineLevel="0" collapsed="false">
      <c r="A806" s="0" t="s">
        <v>2586</v>
      </c>
      <c r="B806" s="0" t="n">
        <v>-0.0567502914809377</v>
      </c>
      <c r="C806" s="0" t="n">
        <v>-0.18611258967546</v>
      </c>
      <c r="D806" s="0" t="n">
        <v>0.436037776173281</v>
      </c>
      <c r="E806" s="0" t="n">
        <v>-0.0714461941133722</v>
      </c>
      <c r="F806" s="0" t="n">
        <v>-0.0395450631499494</v>
      </c>
      <c r="G806" s="0" t="n">
        <v>-0.0821836377535604</v>
      </c>
    </row>
    <row r="807" customFormat="false" ht="15" hidden="false" customHeight="false" outlineLevel="0" collapsed="false">
      <c r="A807" s="0" t="s">
        <v>2587</v>
      </c>
      <c r="B807" s="0" t="n">
        <v>-0.179879501590894</v>
      </c>
      <c r="C807" s="0" t="n">
        <v>1.95977610269472</v>
      </c>
      <c r="D807" s="0" t="n">
        <v>-1.33631418014887</v>
      </c>
      <c r="E807" s="0" t="n">
        <v>-0.150133803467345</v>
      </c>
      <c r="F807" s="0" t="n">
        <v>-0.127700871897897</v>
      </c>
      <c r="G807" s="0" t="n">
        <v>-0.165747745589723</v>
      </c>
    </row>
    <row r="808" customFormat="false" ht="15" hidden="false" customHeight="false" outlineLevel="0" collapsed="false">
      <c r="A808" s="0" t="s">
        <v>2588</v>
      </c>
      <c r="B808" s="0" t="n">
        <v>-0.200456312499034</v>
      </c>
      <c r="C808" s="0" t="n">
        <v>-0.132336975268532</v>
      </c>
      <c r="D808" s="0" t="n">
        <v>-0.0851436936904964</v>
      </c>
      <c r="E808" s="0" t="n">
        <v>0.50304199274507</v>
      </c>
      <c r="F808" s="0" t="n">
        <v>-0.0272689057691906</v>
      </c>
      <c r="G808" s="0" t="n">
        <v>-0.0578361055178173</v>
      </c>
    </row>
    <row r="809" customFormat="false" ht="15" hidden="false" customHeight="false" outlineLevel="0" collapsed="false">
      <c r="A809" s="0" t="s">
        <v>2589</v>
      </c>
      <c r="B809" s="0" t="n">
        <v>0.282899095626004</v>
      </c>
      <c r="C809" s="0" t="n">
        <v>-0.113710961502055</v>
      </c>
      <c r="D809" s="0" t="n">
        <v>-0.0617291147487601</v>
      </c>
      <c r="E809" s="0" t="n">
        <v>-0.0293153629343117</v>
      </c>
      <c r="F809" s="0" t="n">
        <v>-0.047947786592376</v>
      </c>
      <c r="G809" s="0" t="n">
        <v>-0.0301958698485012</v>
      </c>
    </row>
    <row r="810" customFormat="false" ht="15" hidden="false" customHeight="false" outlineLevel="0" collapsed="false">
      <c r="A810" s="0" t="s">
        <v>2590</v>
      </c>
      <c r="B810" s="0" t="n">
        <v>-0.0828877281232185</v>
      </c>
      <c r="C810" s="0" t="n">
        <v>-0.0722366447700443</v>
      </c>
      <c r="D810" s="0" t="n">
        <v>-0.103995343001621</v>
      </c>
      <c r="E810" s="0" t="n">
        <v>-0.123512086445362</v>
      </c>
      <c r="F810" s="0" t="n">
        <v>-0.0348978081086971</v>
      </c>
      <c r="G810" s="0" t="n">
        <v>0.417529610448944</v>
      </c>
    </row>
    <row r="811" customFormat="false" ht="15" hidden="false" customHeight="false" outlineLevel="0" collapsed="false">
      <c r="A811" s="0" t="s">
        <v>2591</v>
      </c>
      <c r="B811" s="0" t="n">
        <v>-0.174742045257969</v>
      </c>
      <c r="C811" s="0" t="n">
        <v>1.01064624347827</v>
      </c>
      <c r="D811" s="0" t="n">
        <v>-0.0689763244379882</v>
      </c>
      <c r="E811" s="0" t="n">
        <v>-0.585981804639682</v>
      </c>
      <c r="F811" s="0" t="n">
        <v>-0.0706178855971991</v>
      </c>
      <c r="G811" s="0" t="n">
        <v>-0.110328183545433</v>
      </c>
    </row>
    <row r="812" customFormat="false" ht="15" hidden="false" customHeight="false" outlineLevel="0" collapsed="false">
      <c r="A812" s="0" t="s">
        <v>2592</v>
      </c>
      <c r="B812" s="0" t="n">
        <v>-0.362554742502603</v>
      </c>
      <c r="C812" s="0" t="n">
        <v>-0.0704407117741878</v>
      </c>
      <c r="D812" s="0" t="n">
        <v>0.634827426148469</v>
      </c>
      <c r="E812" s="0" t="n">
        <v>-0.0562650644123151</v>
      </c>
      <c r="F812" s="0" t="n">
        <v>-0.101847347148776</v>
      </c>
      <c r="G812" s="0" t="n">
        <v>-0.0437195603105871</v>
      </c>
    </row>
    <row r="813" customFormat="false" ht="15" hidden="false" customHeight="false" outlineLevel="0" collapsed="false">
      <c r="A813" s="0" t="s">
        <v>2593</v>
      </c>
      <c r="B813" s="0" t="n">
        <v>-0.142454770190489</v>
      </c>
      <c r="C813" s="0" t="n">
        <v>-0.140335947577934</v>
      </c>
      <c r="D813" s="0" t="n">
        <v>-0.0933391357308144</v>
      </c>
      <c r="E813" s="0" t="n">
        <v>0.499338351587463</v>
      </c>
      <c r="F813" s="0" t="n">
        <v>-0.037086837709653</v>
      </c>
      <c r="G813" s="0" t="n">
        <v>-0.0861216603785731</v>
      </c>
    </row>
    <row r="814" customFormat="false" ht="15" hidden="false" customHeight="false" outlineLevel="0" collapsed="false">
      <c r="A814" s="0" t="s">
        <v>2594</v>
      </c>
      <c r="B814" s="0" t="n">
        <v>-0.127830068618143</v>
      </c>
      <c r="C814" s="0" t="n">
        <v>-0.0866491408876138</v>
      </c>
      <c r="D814" s="0" t="n">
        <v>-0.923235876257969</v>
      </c>
      <c r="E814" s="0" t="n">
        <v>-0.196731252933999</v>
      </c>
      <c r="F814" s="0" t="n">
        <v>-0.0542798633219024</v>
      </c>
      <c r="G814" s="0" t="n">
        <v>1.38872620201963</v>
      </c>
    </row>
    <row r="815" customFormat="false" ht="15" hidden="false" customHeight="false" outlineLevel="0" collapsed="false">
      <c r="A815" s="0" t="s">
        <v>2595</v>
      </c>
      <c r="B815" s="0" t="n">
        <v>0.705514363040197</v>
      </c>
      <c r="C815" s="0" t="n">
        <v>-0.497517752934003</v>
      </c>
      <c r="D815" s="0" t="n">
        <v>-0.0577477134366128</v>
      </c>
      <c r="E815" s="0" t="n">
        <v>-0.0368937731063151</v>
      </c>
      <c r="F815" s="0" t="n">
        <v>-0.0423142069866975</v>
      </c>
      <c r="G815" s="0" t="n">
        <v>-0.0710409165765694</v>
      </c>
    </row>
    <row r="816" customFormat="false" ht="15" hidden="false" customHeight="false" outlineLevel="0" collapsed="false">
      <c r="A816" s="0" t="s">
        <v>2596</v>
      </c>
      <c r="B816" s="0" t="n">
        <v>-0.0797206012834573</v>
      </c>
      <c r="C816" s="0" t="n">
        <v>-0.0714905979232644</v>
      </c>
      <c r="D816" s="0" t="n">
        <v>1.83475174835785</v>
      </c>
      <c r="E816" s="0" t="n">
        <v>-0.0475482939098583</v>
      </c>
      <c r="F816" s="0" t="n">
        <v>-1.0620848776326</v>
      </c>
      <c r="G816" s="0" t="n">
        <v>-0.573907377608662</v>
      </c>
    </row>
    <row r="817" customFormat="false" ht="15" hidden="false" customHeight="false" outlineLevel="0" collapsed="false">
      <c r="A817" s="0" t="s">
        <v>2597</v>
      </c>
      <c r="B817" s="0" t="n">
        <v>-0.18836610554722</v>
      </c>
      <c r="C817" s="0" t="n">
        <v>-0.0867191063842914</v>
      </c>
      <c r="D817" s="0" t="n">
        <v>-0.0501822289416042</v>
      </c>
      <c r="E817" s="0" t="n">
        <v>-0.056907836751215</v>
      </c>
      <c r="F817" s="0" t="n">
        <v>0.53614525967859</v>
      </c>
      <c r="G817" s="0" t="n">
        <v>-0.153969982054259</v>
      </c>
    </row>
    <row r="818" customFormat="false" ht="15" hidden="false" customHeight="false" outlineLevel="0" collapsed="false">
      <c r="A818" s="0" t="s">
        <v>2598</v>
      </c>
      <c r="B818" s="0" t="n">
        <v>-0.117954231320966</v>
      </c>
      <c r="C818" s="0" t="n">
        <v>-0.27911278670978</v>
      </c>
      <c r="D818" s="0" t="n">
        <v>-0.0690230814950024</v>
      </c>
      <c r="E818" s="0" t="n">
        <v>-0.0846313947702897</v>
      </c>
      <c r="F818" s="0" t="n">
        <v>-0.106309344440682</v>
      </c>
      <c r="G818" s="0" t="n">
        <v>0.65703083873672</v>
      </c>
    </row>
    <row r="819" customFormat="false" ht="15" hidden="false" customHeight="false" outlineLevel="0" collapsed="false">
      <c r="A819" s="0" t="s">
        <v>2599</v>
      </c>
      <c r="B819" s="0" t="n">
        <v>-0.036286369862194</v>
      </c>
      <c r="C819" s="0" t="n">
        <v>-0.0717284093246429</v>
      </c>
      <c r="D819" s="0" t="n">
        <v>0.810102833077028</v>
      </c>
      <c r="E819" s="0" t="n">
        <v>-0.0721888503274953</v>
      </c>
      <c r="F819" s="0" t="n">
        <v>-0.0230396309428956</v>
      </c>
      <c r="G819" s="0" t="n">
        <v>-0.606859572619801</v>
      </c>
    </row>
    <row r="820" customFormat="false" ht="15" hidden="false" customHeight="false" outlineLevel="0" collapsed="false">
      <c r="A820" s="0" t="s">
        <v>2600</v>
      </c>
      <c r="B820" s="0" t="n">
        <v>-0.49147166590416</v>
      </c>
      <c r="C820" s="0" t="n">
        <v>-0.105611726240048</v>
      </c>
      <c r="D820" s="0" t="n">
        <v>-0.0562376776354456</v>
      </c>
      <c r="E820" s="0" t="n">
        <v>0.8101677991732</v>
      </c>
      <c r="F820" s="0" t="n">
        <v>-0.086360849425727</v>
      </c>
      <c r="G820" s="0" t="n">
        <v>-0.0704858799678194</v>
      </c>
    </row>
    <row r="821" customFormat="false" ht="15" hidden="false" customHeight="false" outlineLevel="0" collapsed="false">
      <c r="A821" s="0" t="s">
        <v>2601</v>
      </c>
      <c r="B821" s="0" t="n">
        <v>-0.206171710850248</v>
      </c>
      <c r="C821" s="0" t="n">
        <v>1.13121129148196</v>
      </c>
      <c r="D821" s="0" t="n">
        <v>-0.172882822612913</v>
      </c>
      <c r="E821" s="0" t="n">
        <v>-0.521764412174621</v>
      </c>
      <c r="F821" s="0" t="n">
        <v>-0.110134328066281</v>
      </c>
      <c r="G821" s="0" t="n">
        <v>-0.120258017777894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2" style="0" width="60"/>
    <col collapsed="false" customWidth="true" hidden="false" outlineLevel="0" max="4" min="4" style="0" width="30"/>
    <col collapsed="false" customWidth="true" hidden="false" outlineLevel="0" max="11" min="11" style="0" width="20"/>
    <col collapsed="false" customWidth="true" hidden="false" outlineLevel="0" max="18" min="18" style="0" width="20"/>
    <col collapsed="false" customWidth="true" hidden="false" outlineLevel="0" max="25" min="25" style="0" width="20"/>
  </cols>
  <sheetData>
    <row r="1" customFormat="false" ht="55.2" hidden="false" customHeight="false" outlineLevel="0" collapsed="false">
      <c r="A1" s="2" t="s">
        <v>16</v>
      </c>
      <c r="B1" s="2" t="s">
        <v>17</v>
      </c>
      <c r="C1" s="2" t="s">
        <v>18</v>
      </c>
      <c r="D1" s="2" t="s">
        <v>2602</v>
      </c>
      <c r="E1" s="2" t="s">
        <v>44</v>
      </c>
      <c r="F1" s="2" t="s">
        <v>21</v>
      </c>
      <c r="G1" s="2" t="s">
        <v>33</v>
      </c>
      <c r="H1" s="2" t="s">
        <v>41</v>
      </c>
      <c r="I1" s="2" t="s">
        <v>28</v>
      </c>
      <c r="J1" s="2" t="s">
        <v>38</v>
      </c>
      <c r="K1" s="2" t="s">
        <v>2603</v>
      </c>
      <c r="L1" s="2" t="s">
        <v>44</v>
      </c>
      <c r="M1" s="2" t="s">
        <v>21</v>
      </c>
      <c r="N1" s="2" t="s">
        <v>33</v>
      </c>
      <c r="O1" s="2" t="s">
        <v>41</v>
      </c>
      <c r="P1" s="2" t="s">
        <v>28</v>
      </c>
      <c r="Q1" s="2" t="s">
        <v>38</v>
      </c>
      <c r="R1" s="2" t="s">
        <v>2604</v>
      </c>
      <c r="S1" s="2" t="s">
        <v>33</v>
      </c>
      <c r="T1" s="2" t="s">
        <v>38</v>
      </c>
      <c r="U1" s="2" t="s">
        <v>28</v>
      </c>
      <c r="V1" s="2" t="s">
        <v>41</v>
      </c>
      <c r="W1" s="2" t="s">
        <v>44</v>
      </c>
      <c r="X1" s="2" t="s">
        <v>21</v>
      </c>
      <c r="Y1" s="2" t="s">
        <v>2605</v>
      </c>
      <c r="Z1" s="2" t="s">
        <v>2606</v>
      </c>
    </row>
    <row r="2" customFormat="false" ht="15" hidden="false" customHeight="false" outlineLevel="0" collapsed="false">
      <c r="A2" s="0" t="str">
        <f aca="false">Complaints!A2</f>
        <v>C0001</v>
      </c>
      <c r="B2" s="0" t="str">
        <f aca="false">Complaints!B2</f>
        <v>I was told this policy overed me but my claim was rejected. Also, the complaints handler was unhelpful and talked over me. This is not acceptable.</v>
      </c>
      <c r="C2" s="0" t="str">
        <f aca="false">Complaints!C2</f>
        <v>Mis-selling</v>
      </c>
      <c r="D2" s="0" t="str">
        <f aca="false">" "&amp;TRIM(SUBSTITUTE(SUBSTITUTE(SUBSTITUTE(SUBSTITUTE(SUBSTITUTE(SUBSTITUTE(SUBSTITUTE(SUBSTITUTE(SUBSTITUTE(SUBSTITUTE(SUBSTITUTE(SUBSTITUTE(SUBSTITUTE(SUBSTITUTE(SUBSTITUTE(SUBSTITUTE(LOWER(B2),"."," "),","," "),"'"," "),"’"," "),"!"," "),"?"," "),";"," "),":"," "),"-"," "),"("," "),")"," "),"""", " "),"£"," "),"&amp;"," "),"/"," "),"%"," "))&amp;" "</f>
        <v> i was told this policy overed me but my claim was rejected also the complaints handler was unhelpful and talked over me this is not acceptable </v>
      </c>
      <c r="E2" s="0" t="n">
        <f aca="false">SUMPRODUCT((Rules!$A$2:$A$60=E$1)*Rules!$C$2:$C$60*ISNUMBER(SEARCH(Rules!$D$2:$D$60,$D2)))</f>
        <v>0</v>
      </c>
      <c r="F2" s="0" t="n">
        <f aca="false">SUMPRODUCT((Rules!$A$2:$A$60=F$1)*Rules!$C$2:$C$60*ISNUMBER(SEARCH(Rules!$D$2:$D$60,$D2)))</f>
        <v>1</v>
      </c>
      <c r="G2" s="0" t="n">
        <f aca="false">SUMPRODUCT((Rules!$A$2:$A$60=G$1)*Rules!$C$2:$C$60*ISNUMBER(SEARCH(Rules!$D$2:$D$60,$D2)))</f>
        <v>0</v>
      </c>
      <c r="H2" s="0" t="n">
        <f aca="false">SUMPRODUCT((Rules!$A$2:$A$60=H$1)*Rules!$C$2:$C$60*ISNUMBER(SEARCH(Rules!$D$2:$D$60,$D2)))</f>
        <v>0</v>
      </c>
      <c r="I2" s="0" t="n">
        <f aca="false">SUMPRODUCT((Rules!$A$2:$A$60=I$1)*Rules!$C$2:$C$60*ISNUMBER(SEARCH(Rules!$D$2:$D$60,$D2)))</f>
        <v>0</v>
      </c>
      <c r="J2" s="0" t="n">
        <f aca="false">SUMPRODUCT((Rules!$A$2:$A$60=J$1)*Rules!$C$2:$C$60*ISNUMBER(SEARCH(Rules!$D$2:$D$60,$D2)))</f>
        <v>2</v>
      </c>
      <c r="K2" s="0" t="str">
        <f aca="false">IF(OR(MAX(E2:J2)&lt;Rules!$H$1,MAX(E2:J2)-LARGE(E2:J2,2)&lt;Rules!$H$2),"No label",INDEX($E$1:$J$1,MATCH(MAX(E2:J2),E2:J2,0)))</f>
        <v>No label</v>
      </c>
      <c r="L2" s="0" t="n">
        <f aca="false">SUMPRODUCT((Rules!$A$2:$A$60=L$1)*Rules!$C$2:$C$60*ISNUMBER(SEARCH(Rules!$E$2:$E$60,$D2)))</f>
        <v>0</v>
      </c>
      <c r="M2" s="0" t="n">
        <f aca="false">SUMPRODUCT((Rules!$A$2:$A$60=M$1)*Rules!$C$2:$C$60*ISNUMBER(SEARCH(Rules!$E$2:$E$60,$D2)))</f>
        <v>1</v>
      </c>
      <c r="N2" s="0" t="n">
        <f aca="false">SUMPRODUCT((Rules!$A$2:$A$60=N$1)*Rules!$C$2:$C$60*ISNUMBER(SEARCH(Rules!$E$2:$E$60,$D2)))</f>
        <v>1</v>
      </c>
      <c r="O2" s="0" t="n">
        <f aca="false">SUMPRODUCT((Rules!$A$2:$A$60=O$1)*Rules!$C$2:$C$60*ISNUMBER(SEARCH(Rules!$E$2:$E$60,$D2)))</f>
        <v>0</v>
      </c>
      <c r="P2" s="0" t="n">
        <f aca="false">SUMPRODUCT((Rules!$A$2:$A$60=P$1)*Rules!$C$2:$C$60*ISNUMBER(SEARCH(Rules!$E$2:$E$60,$D2)))</f>
        <v>0</v>
      </c>
      <c r="Q2" s="0" t="n">
        <f aca="false">SUMPRODUCT((Rules!$A$2:$A$60=Q$1)*Rules!$C$2:$C$60*ISNUMBER(SEARCH(Rules!$E$2:$E$60,$D2)))</f>
        <v>2</v>
      </c>
      <c r="R2" s="0" t="str">
        <f aca="false">IF(OR(MAX(L2:Q2)&lt;Rules!$H$1,MAX(L2:Q2)-LARGE(L2:Q2,2)&lt;Rules!$H$2),"No label",INDEX($L$1:$Q$1,MATCH(MAX(L2:Q2),L2:Q2,0)))</f>
        <v>No label</v>
      </c>
      <c r="S2" s="0" t="n">
        <f aca="false">SUMPRODUCT(ISNUMBER(SEARCH(" "&amp;Terms!$A$3:$A$821&amp;" ",$D2))*Terms!B$3:B$821)+Terms!B$2</f>
        <v>-1.80821898547071</v>
      </c>
      <c r="T2" s="0" t="n">
        <f aca="false">SUMPRODUCT(ISNUMBER(SEARCH(" "&amp;Terms!$A$3:$A$821&amp;" ",$D2))*Terms!C$3:C$821)+Terms!C$2</f>
        <v>3.18609517107892</v>
      </c>
      <c r="U2" s="0" t="n">
        <f aca="false">SUMPRODUCT(ISNUMBER(SEARCH(" "&amp;Terms!$A$3:$A$821&amp;" ",$D2))*Terms!D$3:D$821)+Terms!D$2</f>
        <v>-2.24216442210741</v>
      </c>
      <c r="V2" s="0" t="n">
        <f aca="false">SUMPRODUCT(ISNUMBER(SEARCH(" "&amp;Terms!$A$3:$A$821&amp;" ",$D2))*Terms!E$3:E$821)+Terms!E$2</f>
        <v>-1.81070904954165</v>
      </c>
      <c r="W2" s="0" t="n">
        <f aca="false">SUMPRODUCT(ISNUMBER(SEARCH(" "&amp;Terms!$A$3:$A$821&amp;" ",$D2))*Terms!F$3:F$821)+Terms!F$2</f>
        <v>-3.66875433094538</v>
      </c>
      <c r="X2" s="0" t="n">
        <f aca="false">SUMPRODUCT(ISNUMBER(SEARCH(" "&amp;Terms!$A$3:$A$821&amp;" ",$D2))*Terms!G$3:G$821)+Terms!G$2</f>
        <v>6.34375161698632</v>
      </c>
      <c r="Y2" s="0" t="str">
        <f aca="false">INDEX($S$1:$X$1,MATCH(MAX(S2:X2),S2:X2,0))</f>
        <v>Mis-selling</v>
      </c>
      <c r="Z2" s="0" t="s">
        <v>2607</v>
      </c>
    </row>
    <row r="3" customFormat="false" ht="15" hidden="false" customHeight="false" outlineLevel="0" collapsed="false">
      <c r="A3" s="0" t="str">
        <f aca="false">Complaints!A3</f>
        <v>C0002</v>
      </c>
      <c r="B3" s="0" t="str">
        <f aca="false">Complaints!B3</f>
        <v>Hello, I was told this policy covered me but my claim was rejected. I could not log in to check either.</v>
      </c>
      <c r="C3" s="0" t="str">
        <f aca="false">Complaints!C3</f>
        <v>Mis-selling</v>
      </c>
      <c r="D3" s="0" t="str">
        <f aca="false">" "&amp;TRIM(SUBSTITUTE(SUBSTITUTE(SUBSTITUTE(SUBSTITUTE(SUBSTITUTE(SUBSTITUTE(SUBSTITUTE(SUBSTITUTE(SUBSTITUTE(SUBSTITUTE(SUBSTITUTE(SUBSTITUTE(SUBSTITUTE(SUBSTITUTE(SUBSTITUTE(SUBSTITUTE(LOWER(B3),"."," "),","," "),"'"," "),"’"," "),"!"," "),"?"," "),";"," "),":"," "),"-"," "),"("," "),")"," "),"""", " "),"£"," "),"&amp;"," "),"/"," "),"%"," "))&amp;" "</f>
        <v> hello i was told this policy covered me but my claim was rejected i could not log in to check either </v>
      </c>
      <c r="E3" s="0" t="n">
        <f aca="false">SUMPRODUCT((Rules!$A$2:$A$60=E$1)*Rules!$C$2:$C$60*ISNUMBER(SEARCH(Rules!$D$2:$D$60,$D3)))</f>
        <v>0</v>
      </c>
      <c r="F3" s="0" t="n">
        <f aca="false">SUMPRODUCT((Rules!$A$2:$A$60=F$1)*Rules!$C$2:$C$60*ISNUMBER(SEARCH(Rules!$D$2:$D$60,$D3)))</f>
        <v>1</v>
      </c>
      <c r="G3" s="0" t="n">
        <f aca="false">SUMPRODUCT((Rules!$A$2:$A$60=G$1)*Rules!$C$2:$C$60*ISNUMBER(SEARCH(Rules!$D$2:$D$60,$D3)))</f>
        <v>3</v>
      </c>
      <c r="H3" s="0" t="n">
        <f aca="false">SUMPRODUCT((Rules!$A$2:$A$60=H$1)*Rules!$C$2:$C$60*ISNUMBER(SEARCH(Rules!$D$2:$D$60,$D3)))</f>
        <v>0</v>
      </c>
      <c r="I3" s="0" t="n">
        <f aca="false">SUMPRODUCT((Rules!$A$2:$A$60=I$1)*Rules!$C$2:$C$60*ISNUMBER(SEARCH(Rules!$D$2:$D$60,$D3)))</f>
        <v>0</v>
      </c>
      <c r="J3" s="0" t="n">
        <f aca="false">SUMPRODUCT((Rules!$A$2:$A$60=J$1)*Rules!$C$2:$C$60*ISNUMBER(SEARCH(Rules!$D$2:$D$60,$D3)))</f>
        <v>0</v>
      </c>
      <c r="K3" s="0" t="str">
        <f aca="false">IF(OR(MAX(E3:J3)&lt;Rules!$H$1,MAX(E3:J3)-LARGE(E3:J3,2)&lt;Rules!$H$2),"No label",INDEX($E$1:$J$1,MATCH(MAX(E3:J3),E3:J3,0)))</f>
        <v>Account Access</v>
      </c>
      <c r="L3" s="0" t="n">
        <f aca="false">SUMPRODUCT((Rules!$A$2:$A$60=L$1)*Rules!$C$2:$C$60*ISNUMBER(SEARCH(Rules!$E$2:$E$60,$D3)))</f>
        <v>0</v>
      </c>
      <c r="M3" s="0" t="n">
        <f aca="false">SUMPRODUCT((Rules!$A$2:$A$60=M$1)*Rules!$C$2:$C$60*ISNUMBER(SEARCH(Rules!$E$2:$E$60,$D3)))</f>
        <v>1</v>
      </c>
      <c r="N3" s="0" t="n">
        <f aca="false">SUMPRODUCT((Rules!$A$2:$A$60=N$1)*Rules!$C$2:$C$60*ISNUMBER(SEARCH(Rules!$E$2:$E$60,$D3)))</f>
        <v>3</v>
      </c>
      <c r="O3" s="0" t="n">
        <f aca="false">SUMPRODUCT((Rules!$A$2:$A$60=O$1)*Rules!$C$2:$C$60*ISNUMBER(SEARCH(Rules!$E$2:$E$60,$D3)))</f>
        <v>0</v>
      </c>
      <c r="P3" s="0" t="n">
        <f aca="false">SUMPRODUCT((Rules!$A$2:$A$60=P$1)*Rules!$C$2:$C$60*ISNUMBER(SEARCH(Rules!$E$2:$E$60,$D3)))</f>
        <v>0</v>
      </c>
      <c r="Q3" s="0" t="n">
        <f aca="false">SUMPRODUCT((Rules!$A$2:$A$60=Q$1)*Rules!$C$2:$C$60*ISNUMBER(SEARCH(Rules!$E$2:$E$60,$D3)))</f>
        <v>0</v>
      </c>
      <c r="R3" s="0" t="str">
        <f aca="false">IF(OR(MAX(L3:Q3)&lt;Rules!$H$1,MAX(L3:Q3)-LARGE(L3:Q3,2)&lt;Rules!$H$2),"No label",INDEX($L$1:$Q$1,MATCH(MAX(L3:Q3),L3:Q3,0)))</f>
        <v>Account Access</v>
      </c>
      <c r="S3" s="0" t="n">
        <f aca="false">SUMPRODUCT(ISNUMBER(SEARCH(" "&amp;Terms!$A$3:$A$821&amp;" ",$D3))*Terms!B$3:B$821)+Terms!B$2</f>
        <v>-2.04073429275504</v>
      </c>
      <c r="T3" s="0" t="n">
        <f aca="false">SUMPRODUCT(ISNUMBER(SEARCH(" "&amp;Terms!$A$3:$A$821&amp;" ",$D3))*Terms!C$3:C$821)+Terms!C$2</f>
        <v>-3.84947740764595</v>
      </c>
      <c r="U3" s="0" t="n">
        <f aca="false">SUMPRODUCT(ISNUMBER(SEARCH(" "&amp;Terms!$A$3:$A$821&amp;" ",$D3))*Terms!D$3:D$821)+Terms!D$2</f>
        <v>-0.25888778669944</v>
      </c>
      <c r="V3" s="0" t="n">
        <f aca="false">SUMPRODUCT(ISNUMBER(SEARCH(" "&amp;Terms!$A$3:$A$821&amp;" ",$D3))*Terms!E$3:E$821)+Terms!E$2</f>
        <v>-0.0958478227266059</v>
      </c>
      <c r="W3" s="0" t="n">
        <f aca="false">SUMPRODUCT(ISNUMBER(SEARCH(" "&amp;Terms!$A$3:$A$821&amp;" ",$D3))*Terms!F$3:F$821)+Terms!F$2</f>
        <v>-2.71574804886723</v>
      </c>
      <c r="X3" s="0" t="n">
        <f aca="false">SUMPRODUCT(ISNUMBER(SEARCH(" "&amp;Terms!$A$3:$A$821&amp;" ",$D3))*Terms!G$3:G$821)+Terms!G$2</f>
        <v>8.96069535869436</v>
      </c>
      <c r="Y3" s="0" t="str">
        <f aca="false">INDEX($S$1:$X$1,MATCH(MAX(S3:X3),S3:X3,0))</f>
        <v>Mis-selling</v>
      </c>
      <c r="Z3" s="0" t="s">
        <v>2607</v>
      </c>
    </row>
    <row r="4" customFormat="false" ht="15" hidden="false" customHeight="false" outlineLevel="0" collapsed="false">
      <c r="A4" s="0" t="str">
        <f aca="false">Complaints!A4</f>
        <v>C0003</v>
      </c>
      <c r="B4" s="0" t="str">
        <f aca="false">Complaints!B4</f>
        <v>This is the second time I have raised this. The salesperson pushed me into a plan I did not need. I could not log in to check either. I would like a response in writing.</v>
      </c>
      <c r="C4" s="0" t="str">
        <f aca="false">Complaints!C4</f>
        <v>Mis-selling</v>
      </c>
      <c r="D4" s="0" t="str">
        <f aca="false">" "&amp;TRIM(SUBSTITUTE(SUBSTITUTE(SUBSTITUTE(SUBSTITUTE(SUBSTITUTE(SUBSTITUTE(SUBSTITUTE(SUBSTITUTE(SUBSTITUTE(SUBSTITUTE(SUBSTITUTE(SUBSTITUTE(SUBSTITUTE(SUBSTITUTE(SUBSTITUTE(SUBSTITUTE(LOWER(B4),"."," "),","," "),"'"," "),"’"," "),"!"," "),"?"," "),";"," "),":"," "),"-"," "),"("," "),")"," "),"""", " "),"£"," "),"&amp;"," "),"/"," "),"%"," "))&amp;" "</f>
        <v> this is the second time i have raised this the salesperson pushed me into a plan i did not need i could not log in to check either i would like a response in writing </v>
      </c>
      <c r="E4" s="0" t="n">
        <f aca="false">SUMPRODUCT((Rules!$A$2:$A$60=E$1)*Rules!$C$2:$C$60*ISNUMBER(SEARCH(Rules!$D$2:$D$60,$D4)))</f>
        <v>0</v>
      </c>
      <c r="F4" s="0" t="n">
        <f aca="false">SUMPRODUCT((Rules!$A$2:$A$60=F$1)*Rules!$C$2:$C$60*ISNUMBER(SEARCH(Rules!$D$2:$D$60,$D4)))</f>
        <v>2</v>
      </c>
      <c r="G4" s="0" t="n">
        <f aca="false">SUMPRODUCT((Rules!$A$2:$A$60=G$1)*Rules!$C$2:$C$60*ISNUMBER(SEARCH(Rules!$D$2:$D$60,$D4)))</f>
        <v>3</v>
      </c>
      <c r="H4" s="0" t="n">
        <f aca="false">SUMPRODUCT((Rules!$A$2:$A$60=H$1)*Rules!$C$2:$C$60*ISNUMBER(SEARCH(Rules!$D$2:$D$60,$D4)))</f>
        <v>0</v>
      </c>
      <c r="I4" s="0" t="n">
        <f aca="false">SUMPRODUCT((Rules!$A$2:$A$60=I$1)*Rules!$C$2:$C$60*ISNUMBER(SEARCH(Rules!$D$2:$D$60,$D4)))</f>
        <v>0</v>
      </c>
      <c r="J4" s="0" t="n">
        <f aca="false">SUMPRODUCT((Rules!$A$2:$A$60=J$1)*Rules!$C$2:$C$60*ISNUMBER(SEARCH(Rules!$D$2:$D$60,$D4)))</f>
        <v>0</v>
      </c>
      <c r="K4" s="0" t="str">
        <f aca="false">IF(OR(MAX(E4:J4)&lt;Rules!$H$1,MAX(E4:J4)-LARGE(E4:J4,2)&lt;Rules!$H$2),"No label",INDEX($E$1:$J$1,MATCH(MAX(E4:J4),E4:J4,0)))</f>
        <v>No label</v>
      </c>
      <c r="L4" s="0" t="n">
        <f aca="false">SUMPRODUCT((Rules!$A$2:$A$60=L$1)*Rules!$C$2:$C$60*ISNUMBER(SEARCH(Rules!$E$2:$E$60,$D4)))</f>
        <v>0</v>
      </c>
      <c r="M4" s="0" t="n">
        <f aca="false">SUMPRODUCT((Rules!$A$2:$A$60=M$1)*Rules!$C$2:$C$60*ISNUMBER(SEARCH(Rules!$E$2:$E$60,$D4)))</f>
        <v>2</v>
      </c>
      <c r="N4" s="0" t="n">
        <f aca="false">SUMPRODUCT((Rules!$A$2:$A$60=N$1)*Rules!$C$2:$C$60*ISNUMBER(SEARCH(Rules!$E$2:$E$60,$D4)))</f>
        <v>3</v>
      </c>
      <c r="O4" s="0" t="n">
        <f aca="false">SUMPRODUCT((Rules!$A$2:$A$60=O$1)*Rules!$C$2:$C$60*ISNUMBER(SEARCH(Rules!$E$2:$E$60,$D4)))</f>
        <v>0</v>
      </c>
      <c r="P4" s="0" t="n">
        <f aca="false">SUMPRODUCT((Rules!$A$2:$A$60=P$1)*Rules!$C$2:$C$60*ISNUMBER(SEARCH(Rules!$E$2:$E$60,$D4)))</f>
        <v>0</v>
      </c>
      <c r="Q4" s="0" t="n">
        <f aca="false">SUMPRODUCT((Rules!$A$2:$A$60=Q$1)*Rules!$C$2:$C$60*ISNUMBER(SEARCH(Rules!$E$2:$E$60,$D4)))</f>
        <v>0</v>
      </c>
      <c r="R4" s="0" t="str">
        <f aca="false">IF(OR(MAX(L4:Q4)&lt;Rules!$H$1,MAX(L4:Q4)-LARGE(L4:Q4,2)&lt;Rules!$H$2),"No label",INDEX($L$1:$Q$1,MATCH(MAX(L4:Q4),L4:Q4,0)))</f>
        <v>No label</v>
      </c>
      <c r="S4" s="0" t="n">
        <f aca="false">SUMPRODUCT(ISNUMBER(SEARCH(" "&amp;Terms!$A$3:$A$821&amp;" ",$D4))*Terms!B$3:B$821)+Terms!B$2</f>
        <v>-5.01138281720856</v>
      </c>
      <c r="T4" s="0" t="n">
        <f aca="false">SUMPRODUCT(ISNUMBER(SEARCH(" "&amp;Terms!$A$3:$A$821&amp;" ",$D4))*Terms!C$3:C$821)+Terms!C$2</f>
        <v>1.83178240347493</v>
      </c>
      <c r="U4" s="0" t="n">
        <f aca="false">SUMPRODUCT(ISNUMBER(SEARCH(" "&amp;Terms!$A$3:$A$821&amp;" ",$D4))*Terms!D$3:D$821)+Terms!D$2</f>
        <v>-4.34978592039059</v>
      </c>
      <c r="V4" s="0" t="n">
        <f aca="false">SUMPRODUCT(ISNUMBER(SEARCH(" "&amp;Terms!$A$3:$A$821&amp;" ",$D4))*Terms!E$3:E$821)+Terms!E$2</f>
        <v>-2.15872495639984</v>
      </c>
      <c r="W4" s="0" t="n">
        <f aca="false">SUMPRODUCT(ISNUMBER(SEARCH(" "&amp;Terms!$A$3:$A$821&amp;" ",$D4))*Terms!F$3:F$821)+Terms!F$2</f>
        <v>-0.373116853640001</v>
      </c>
      <c r="X4" s="0" t="n">
        <f aca="false">SUMPRODUCT(ISNUMBER(SEARCH(" "&amp;Terms!$A$3:$A$821&amp;" ",$D4))*Terms!G$3:G$821)+Terms!G$2</f>
        <v>10.0612281441642</v>
      </c>
      <c r="Y4" s="0" t="str">
        <f aca="false">INDEX($S$1:$X$1,MATCH(MAX(S4:X4),S4:X4,0))</f>
        <v>Mis-selling</v>
      </c>
      <c r="Z4" s="0" t="s">
        <v>2608</v>
      </c>
    </row>
    <row r="5" customFormat="false" ht="15" hidden="false" customHeight="false" outlineLevel="0" collapsed="false">
      <c r="A5" s="0" t="str">
        <f aca="false">Complaints!A5</f>
        <v>C0004</v>
      </c>
      <c r="B5" s="0" t="str">
        <f aca="false">Complaints!B5</f>
        <v>I am writing to complain. It has taken six weeks to process my claim and nobody has updated me. Please sort this out.</v>
      </c>
      <c r="C5" s="0" t="str">
        <f aca="false">Complaints!C5</f>
        <v>Delays &amp; Processing</v>
      </c>
      <c r="D5" s="0" t="str">
        <f aca="false">" "&amp;TRIM(SUBSTITUTE(SUBSTITUTE(SUBSTITUTE(SUBSTITUTE(SUBSTITUTE(SUBSTITUTE(SUBSTITUTE(SUBSTITUTE(SUBSTITUTE(SUBSTITUTE(SUBSTITUTE(SUBSTITUTE(SUBSTITUTE(SUBSTITUTE(SUBSTITUTE(SUBSTITUTE(LOWER(B5),"."," "),","," "),"'"," "),"’"," "),"!"," "),"?"," "),";"," "),":"," "),"-"," "),"("," "),")"," "),"""", " "),"£"," "),"&amp;"," "),"/"," "),"%"," "))&amp;" "</f>
        <v> i am writing to complain it has taken six weeks to process my claim and nobody has updated me please sort this out </v>
      </c>
      <c r="E5" s="0" t="n">
        <f aca="false">SUMPRODUCT((Rules!$A$2:$A$60=E$1)*Rules!$C$2:$C$60*ISNUMBER(SEARCH(Rules!$D$2:$D$60,$D5)))</f>
        <v>0</v>
      </c>
      <c r="F5" s="0" t="n">
        <f aca="false">SUMPRODUCT((Rules!$A$2:$A$60=F$1)*Rules!$C$2:$C$60*ISNUMBER(SEARCH(Rules!$D$2:$D$60,$D5)))</f>
        <v>0</v>
      </c>
      <c r="G5" s="0" t="n">
        <f aca="false">SUMPRODUCT((Rules!$A$2:$A$60=G$1)*Rules!$C$2:$C$60*ISNUMBER(SEARCH(Rules!$D$2:$D$60,$D5)))</f>
        <v>0</v>
      </c>
      <c r="H5" s="0" t="n">
        <f aca="false">SUMPRODUCT((Rules!$A$2:$A$60=H$1)*Rules!$C$2:$C$60*ISNUMBER(SEARCH(Rules!$D$2:$D$60,$D5)))</f>
        <v>0</v>
      </c>
      <c r="I5" s="0" t="n">
        <f aca="false">SUMPRODUCT((Rules!$A$2:$A$60=I$1)*Rules!$C$2:$C$60*ISNUMBER(SEARCH(Rules!$D$2:$D$60,$D5)))</f>
        <v>2</v>
      </c>
      <c r="J5" s="0" t="n">
        <f aca="false">SUMPRODUCT((Rules!$A$2:$A$60=J$1)*Rules!$C$2:$C$60*ISNUMBER(SEARCH(Rules!$D$2:$D$60,$D5)))</f>
        <v>0</v>
      </c>
      <c r="K5" s="0" t="str">
        <f aca="false">IF(OR(MAX(E5:J5)&lt;Rules!$H$1,MAX(E5:J5)-LARGE(E5:J5,2)&lt;Rules!$H$2),"No label",INDEX($E$1:$J$1,MATCH(MAX(E5:J5),E5:J5,0)))</f>
        <v>No label</v>
      </c>
      <c r="L5" s="0" t="n">
        <f aca="false">SUMPRODUCT((Rules!$A$2:$A$60=L$1)*Rules!$C$2:$C$60*ISNUMBER(SEARCH(Rules!$E$2:$E$60,$D5)))</f>
        <v>0</v>
      </c>
      <c r="M5" s="0" t="n">
        <f aca="false">SUMPRODUCT((Rules!$A$2:$A$60=M$1)*Rules!$C$2:$C$60*ISNUMBER(SEARCH(Rules!$E$2:$E$60,$D5)))</f>
        <v>0</v>
      </c>
      <c r="N5" s="0" t="n">
        <f aca="false">SUMPRODUCT((Rules!$A$2:$A$60=N$1)*Rules!$C$2:$C$60*ISNUMBER(SEARCH(Rules!$E$2:$E$60,$D5)))</f>
        <v>0</v>
      </c>
      <c r="O5" s="0" t="n">
        <f aca="false">SUMPRODUCT((Rules!$A$2:$A$60=O$1)*Rules!$C$2:$C$60*ISNUMBER(SEARCH(Rules!$E$2:$E$60,$D5)))</f>
        <v>0</v>
      </c>
      <c r="P5" s="0" t="n">
        <f aca="false">SUMPRODUCT((Rules!$A$2:$A$60=P$1)*Rules!$C$2:$C$60*ISNUMBER(SEARCH(Rules!$E$2:$E$60,$D5)))</f>
        <v>2</v>
      </c>
      <c r="Q5" s="0" t="n">
        <f aca="false">SUMPRODUCT((Rules!$A$2:$A$60=Q$1)*Rules!$C$2:$C$60*ISNUMBER(SEARCH(Rules!$E$2:$E$60,$D5)))</f>
        <v>0</v>
      </c>
      <c r="R5" s="0" t="str">
        <f aca="false">IF(OR(MAX(L5:Q5)&lt;Rules!$H$1,MAX(L5:Q5)-LARGE(L5:Q5,2)&lt;Rules!$H$2),"No label",INDEX($L$1:$Q$1,MATCH(MAX(L5:Q5),L5:Q5,0)))</f>
        <v>No label</v>
      </c>
      <c r="S5" s="0" t="n">
        <f aca="false">SUMPRODUCT(ISNUMBER(SEARCH(" "&amp;Terms!$A$3:$A$821&amp;" ",$D5))*Terms!B$3:B$821)+Terms!B$2</f>
        <v>-4.39862711048145</v>
      </c>
      <c r="T5" s="0" t="n">
        <f aca="false">SUMPRODUCT(ISNUMBER(SEARCH(" "&amp;Terms!$A$3:$A$821&amp;" ",$D5))*Terms!C$3:C$821)+Terms!C$2</f>
        <v>-1.37313887420986</v>
      </c>
      <c r="U5" s="0" t="n">
        <f aca="false">SUMPRODUCT(ISNUMBER(SEARCH(" "&amp;Terms!$A$3:$A$821&amp;" ",$D5))*Terms!D$3:D$821)+Terms!D$2</f>
        <v>9.33227134357504</v>
      </c>
      <c r="V5" s="0" t="n">
        <f aca="false">SUMPRODUCT(ISNUMBER(SEARCH(" "&amp;Terms!$A$3:$A$821&amp;" ",$D5))*Terms!E$3:E$821)+Terms!E$2</f>
        <v>-0.833243160276366</v>
      </c>
      <c r="W5" s="0" t="n">
        <f aca="false">SUMPRODUCT(ISNUMBER(SEARCH(" "&amp;Terms!$A$3:$A$821&amp;" ",$D5))*Terms!F$3:F$821)+Terms!F$2</f>
        <v>-1.22600730479448</v>
      </c>
      <c r="X5" s="0" t="n">
        <f aca="false">SUMPRODUCT(ISNUMBER(SEARCH(" "&amp;Terms!$A$3:$A$821&amp;" ",$D5))*Terms!G$3:G$821)+Terms!G$2</f>
        <v>-1.50125489381281</v>
      </c>
      <c r="Y5" s="0" t="str">
        <f aca="false">INDEX($S$1:$X$1,MATCH(MAX(S5:X5),S5:X5,0))</f>
        <v>Delays &amp; Processing</v>
      </c>
      <c r="Z5" s="0" t="s">
        <v>2607</v>
      </c>
    </row>
    <row r="6" customFormat="false" ht="15" hidden="false" customHeight="false" outlineLevel="0" collapsed="false">
      <c r="A6" s="0" t="str">
        <f aca="false">Complaints!A6</f>
        <v>C0005</v>
      </c>
      <c r="B6" s="0" t="str">
        <f aca="false">Complaints!B6</f>
        <v>My mortgage switch is taking far longer than you said it would. Please escalate this.</v>
      </c>
      <c r="C6" s="0" t="str">
        <f aca="false">Complaints!C6</f>
        <v>Delays &amp; Processing</v>
      </c>
      <c r="D6" s="0" t="str">
        <f aca="false">" "&amp;TRIM(SUBSTITUTE(SUBSTITUTE(SUBSTITUTE(SUBSTITUTE(SUBSTITUTE(SUBSTITUTE(SUBSTITUTE(SUBSTITUTE(SUBSTITUTE(SUBSTITUTE(SUBSTITUTE(SUBSTITUTE(SUBSTITUTE(SUBSTITUTE(SUBSTITUTE(SUBSTITUTE(LOWER(B6),"."," "),","," "),"'"," "),"’"," "),"!"," "),"?"," "),";"," "),":"," "),"-"," "),"("," "),")"," "),"""", " "),"£"," "),"&amp;"," "),"/"," "),"%"," "))&amp;" "</f>
        <v> my mortgage switch is taking far longer than you said it would please escalate this </v>
      </c>
      <c r="E6" s="0" t="n">
        <f aca="false">SUMPRODUCT((Rules!$A$2:$A$60=E$1)*Rules!$C$2:$C$60*ISNUMBER(SEARCH(Rules!$D$2:$D$60,$D6)))</f>
        <v>0</v>
      </c>
      <c r="F6" s="0" t="n">
        <f aca="false">SUMPRODUCT((Rules!$A$2:$A$60=F$1)*Rules!$C$2:$C$60*ISNUMBER(SEARCH(Rules!$D$2:$D$60,$D6)))</f>
        <v>0</v>
      </c>
      <c r="G6" s="0" t="n">
        <f aca="false">SUMPRODUCT((Rules!$A$2:$A$60=G$1)*Rules!$C$2:$C$60*ISNUMBER(SEARCH(Rules!$D$2:$D$60,$D6)))</f>
        <v>0</v>
      </c>
      <c r="H6" s="0" t="n">
        <f aca="false">SUMPRODUCT((Rules!$A$2:$A$60=H$1)*Rules!$C$2:$C$60*ISNUMBER(SEARCH(Rules!$D$2:$D$60,$D6)))</f>
        <v>0</v>
      </c>
      <c r="I6" s="0" t="n">
        <f aca="false">SUMPRODUCT((Rules!$A$2:$A$60=I$1)*Rules!$C$2:$C$60*ISNUMBER(SEARCH(Rules!$D$2:$D$60,$D6)))</f>
        <v>2</v>
      </c>
      <c r="J6" s="0" t="n">
        <f aca="false">SUMPRODUCT((Rules!$A$2:$A$60=J$1)*Rules!$C$2:$C$60*ISNUMBER(SEARCH(Rules!$D$2:$D$60,$D6)))</f>
        <v>0</v>
      </c>
      <c r="K6" s="0" t="str">
        <f aca="false">IF(OR(MAX(E6:J6)&lt;Rules!$H$1,MAX(E6:J6)-LARGE(E6:J6,2)&lt;Rules!$H$2),"No label",INDEX($E$1:$J$1,MATCH(MAX(E6:J6),E6:J6,0)))</f>
        <v>No label</v>
      </c>
      <c r="L6" s="0" t="n">
        <f aca="false">SUMPRODUCT((Rules!$A$2:$A$60=L$1)*Rules!$C$2:$C$60*ISNUMBER(SEARCH(Rules!$E$2:$E$60,$D6)))</f>
        <v>0</v>
      </c>
      <c r="M6" s="0" t="n">
        <f aca="false">SUMPRODUCT((Rules!$A$2:$A$60=M$1)*Rules!$C$2:$C$60*ISNUMBER(SEARCH(Rules!$E$2:$E$60,$D6)))</f>
        <v>0</v>
      </c>
      <c r="N6" s="0" t="n">
        <f aca="false">SUMPRODUCT((Rules!$A$2:$A$60=N$1)*Rules!$C$2:$C$60*ISNUMBER(SEARCH(Rules!$E$2:$E$60,$D6)))</f>
        <v>0</v>
      </c>
      <c r="O6" s="0" t="n">
        <f aca="false">SUMPRODUCT((Rules!$A$2:$A$60=O$1)*Rules!$C$2:$C$60*ISNUMBER(SEARCH(Rules!$E$2:$E$60,$D6)))</f>
        <v>0</v>
      </c>
      <c r="P6" s="0" t="n">
        <f aca="false">SUMPRODUCT((Rules!$A$2:$A$60=P$1)*Rules!$C$2:$C$60*ISNUMBER(SEARCH(Rules!$E$2:$E$60,$D6)))</f>
        <v>2</v>
      </c>
      <c r="Q6" s="0" t="n">
        <f aca="false">SUMPRODUCT((Rules!$A$2:$A$60=Q$1)*Rules!$C$2:$C$60*ISNUMBER(SEARCH(Rules!$E$2:$E$60,$D6)))</f>
        <v>0</v>
      </c>
      <c r="R6" s="0" t="str">
        <f aca="false">IF(OR(MAX(L6:Q6)&lt;Rules!$H$1,MAX(L6:Q6)-LARGE(L6:Q6,2)&lt;Rules!$H$2),"No label",INDEX($L$1:$Q$1,MATCH(MAX(L6:Q6),L6:Q6,0)))</f>
        <v>No label</v>
      </c>
      <c r="S6" s="0" t="n">
        <f aca="false">SUMPRODUCT(ISNUMBER(SEARCH(" "&amp;Terms!$A$3:$A$821&amp;" ",$D6))*Terms!B$3:B$821)+Terms!B$2</f>
        <v>-4.0292659785833</v>
      </c>
      <c r="T6" s="0" t="n">
        <f aca="false">SUMPRODUCT(ISNUMBER(SEARCH(" "&amp;Terms!$A$3:$A$821&amp;" ",$D6))*Terms!C$3:C$821)+Terms!C$2</f>
        <v>-0.163346925126127</v>
      </c>
      <c r="U6" s="0" t="n">
        <f aca="false">SUMPRODUCT(ISNUMBER(SEARCH(" "&amp;Terms!$A$3:$A$821&amp;" ",$D6))*Terms!D$3:D$821)+Terms!D$2</f>
        <v>9.96840626579665</v>
      </c>
      <c r="V6" s="0" t="n">
        <f aca="false">SUMPRODUCT(ISNUMBER(SEARCH(" "&amp;Terms!$A$3:$A$821&amp;" ",$D6))*Terms!E$3:E$821)+Terms!E$2</f>
        <v>-1.53137254390644</v>
      </c>
      <c r="W6" s="0" t="n">
        <f aca="false">SUMPRODUCT(ISNUMBER(SEARCH(" "&amp;Terms!$A$3:$A$821&amp;" ",$D6))*Terms!F$3:F$821)+Terms!F$2</f>
        <v>-2.55916749521124</v>
      </c>
      <c r="X6" s="0" t="n">
        <f aca="false">SUMPRODUCT(ISNUMBER(SEARCH(" "&amp;Terms!$A$3:$A$821&amp;" ",$D6))*Terms!G$3:G$821)+Terms!G$2</f>
        <v>-1.68525332296945</v>
      </c>
      <c r="Y6" s="0" t="str">
        <f aca="false">INDEX($S$1:$X$1,MATCH(MAX(S6:X6),S6:X6,0))</f>
        <v>Delays &amp; Processing</v>
      </c>
      <c r="Z6" s="0" t="s">
        <v>2607</v>
      </c>
    </row>
    <row r="7" customFormat="false" ht="15" hidden="false" customHeight="false" outlineLevel="0" collapsed="false">
      <c r="A7" s="0" t="str">
        <f aca="false">Complaints!A7</f>
        <v>C0006</v>
      </c>
      <c r="B7" s="0" t="str">
        <f aca="false">Complaints!B7</f>
        <v>Hello, The app crashes every time I try to open my statements. There was also a fee involved. I expect compensation.</v>
      </c>
      <c r="C7" s="0" t="str">
        <f aca="false">Complaints!C7</f>
        <v>Account Access</v>
      </c>
      <c r="D7" s="0" t="str">
        <f aca="false">" "&amp;TRIM(SUBSTITUTE(SUBSTITUTE(SUBSTITUTE(SUBSTITUTE(SUBSTITUTE(SUBSTITUTE(SUBSTITUTE(SUBSTITUTE(SUBSTITUTE(SUBSTITUTE(SUBSTITUTE(SUBSTITUTE(SUBSTITUTE(SUBSTITUTE(SUBSTITUTE(SUBSTITUTE(LOWER(B7),"."," "),","," "),"'"," "),"’"," "),"!"," "),"?"," "),";"," "),":"," "),"-"," "),"("," "),")"," "),"""", " "),"£"," "),"&amp;"," "),"/"," "),"%"," "))&amp;" "</f>
        <v> hello the app crashes every time i try to open my statements there was also a fee involved i expect compensation </v>
      </c>
      <c r="E7" s="0" t="n">
        <f aca="false">SUMPRODUCT((Rules!$A$2:$A$60=E$1)*Rules!$C$2:$C$60*ISNUMBER(SEARCH(Rules!$D$2:$D$60,$D7)))</f>
        <v>0</v>
      </c>
      <c r="F7" s="0" t="n">
        <f aca="false">SUMPRODUCT((Rules!$A$2:$A$60=F$1)*Rules!$C$2:$C$60*ISNUMBER(SEARCH(Rules!$D$2:$D$60,$D7)))</f>
        <v>0</v>
      </c>
      <c r="G7" s="0" t="n">
        <f aca="false">SUMPRODUCT((Rules!$A$2:$A$60=G$1)*Rules!$C$2:$C$60*ISNUMBER(SEARCH(Rules!$D$2:$D$60,$D7)))</f>
        <v>3</v>
      </c>
      <c r="H7" s="0" t="n">
        <f aca="false">SUMPRODUCT((Rules!$A$2:$A$60=H$1)*Rules!$C$2:$C$60*ISNUMBER(SEARCH(Rules!$D$2:$D$60,$D7)))</f>
        <v>2</v>
      </c>
      <c r="I7" s="0" t="n">
        <f aca="false">SUMPRODUCT((Rules!$A$2:$A$60=I$1)*Rules!$C$2:$C$60*ISNUMBER(SEARCH(Rules!$D$2:$D$60,$D7)))</f>
        <v>0</v>
      </c>
      <c r="J7" s="0" t="n">
        <f aca="false">SUMPRODUCT((Rules!$A$2:$A$60=J$1)*Rules!$C$2:$C$60*ISNUMBER(SEARCH(Rules!$D$2:$D$60,$D7)))</f>
        <v>0</v>
      </c>
      <c r="K7" s="0" t="str">
        <f aca="false">IF(OR(MAX(E7:J7)&lt;Rules!$H$1,MAX(E7:J7)-LARGE(E7:J7,2)&lt;Rules!$H$2),"No label",INDEX($E$1:$J$1,MATCH(MAX(E7:J7),E7:J7,0)))</f>
        <v>No label</v>
      </c>
      <c r="L7" s="0" t="n">
        <f aca="false">SUMPRODUCT((Rules!$A$2:$A$60=L$1)*Rules!$C$2:$C$60*ISNUMBER(SEARCH(Rules!$E$2:$E$60,$D7)))</f>
        <v>0</v>
      </c>
      <c r="M7" s="0" t="n">
        <f aca="false">SUMPRODUCT((Rules!$A$2:$A$60=M$1)*Rules!$C$2:$C$60*ISNUMBER(SEARCH(Rules!$E$2:$E$60,$D7)))</f>
        <v>0</v>
      </c>
      <c r="N7" s="0" t="n">
        <f aca="false">SUMPRODUCT((Rules!$A$2:$A$60=N$1)*Rules!$C$2:$C$60*ISNUMBER(SEARCH(Rules!$E$2:$E$60,$D7)))</f>
        <v>3</v>
      </c>
      <c r="O7" s="0" t="n">
        <f aca="false">SUMPRODUCT((Rules!$A$2:$A$60=O$1)*Rules!$C$2:$C$60*ISNUMBER(SEARCH(Rules!$E$2:$E$60,$D7)))</f>
        <v>3</v>
      </c>
      <c r="P7" s="0" t="n">
        <f aca="false">SUMPRODUCT((Rules!$A$2:$A$60=P$1)*Rules!$C$2:$C$60*ISNUMBER(SEARCH(Rules!$E$2:$E$60,$D7)))</f>
        <v>0</v>
      </c>
      <c r="Q7" s="0" t="n">
        <f aca="false">SUMPRODUCT((Rules!$A$2:$A$60=Q$1)*Rules!$C$2:$C$60*ISNUMBER(SEARCH(Rules!$E$2:$E$60,$D7)))</f>
        <v>0</v>
      </c>
      <c r="R7" s="0" t="str">
        <f aca="false">IF(OR(MAX(L7:Q7)&lt;Rules!$H$1,MAX(L7:Q7)-LARGE(L7:Q7,2)&lt;Rules!$H$2),"No label",INDEX($L$1:$Q$1,MATCH(MAX(L7:Q7),L7:Q7,0)))</f>
        <v>No label</v>
      </c>
      <c r="S7" s="0" t="n">
        <f aca="false">SUMPRODUCT(ISNUMBER(SEARCH(" "&amp;Terms!$A$3:$A$821&amp;" ",$D7))*Terms!B$3:B$821)+Terms!B$2</f>
        <v>12.3174976225516</v>
      </c>
      <c r="T7" s="0" t="n">
        <f aca="false">SUMPRODUCT(ISNUMBER(SEARCH(" "&amp;Terms!$A$3:$A$821&amp;" ",$D7))*Terms!C$3:C$821)+Terms!C$2</f>
        <v>-2.23424865797771</v>
      </c>
      <c r="U7" s="0" t="n">
        <f aca="false">SUMPRODUCT(ISNUMBER(SEARCH(" "&amp;Terms!$A$3:$A$821&amp;" ",$D7))*Terms!D$3:D$821)+Terms!D$2</f>
        <v>-4.80368797677556</v>
      </c>
      <c r="V7" s="0" t="n">
        <f aca="false">SUMPRODUCT(ISNUMBER(SEARCH(" "&amp;Terms!$A$3:$A$821&amp;" ",$D7))*Terms!E$3:E$821)+Terms!E$2</f>
        <v>1.06081727039521</v>
      </c>
      <c r="W7" s="0" t="n">
        <f aca="false">SUMPRODUCT(ISNUMBER(SEARCH(" "&amp;Terms!$A$3:$A$821&amp;" ",$D7))*Terms!F$3:F$821)+Terms!F$2</f>
        <v>-2.26478428768</v>
      </c>
      <c r="X7" s="0" t="n">
        <f aca="false">SUMPRODUCT(ISNUMBER(SEARCH(" "&amp;Terms!$A$3:$A$821&amp;" ",$D7))*Terms!G$3:G$821)+Terms!G$2</f>
        <v>-4.07559397051341</v>
      </c>
      <c r="Y7" s="0" t="str">
        <f aca="false">INDEX($S$1:$X$1,MATCH(MAX(S7:X7),S7:X7,0))</f>
        <v>Account Access</v>
      </c>
      <c r="Z7" s="0" t="s">
        <v>2607</v>
      </c>
    </row>
    <row r="8" customFormat="false" ht="15" hidden="false" customHeight="false" outlineLevel="0" collapsed="false">
      <c r="A8" s="0" t="str">
        <f aca="false">Complaints!A8</f>
        <v>C0007</v>
      </c>
      <c r="B8" s="0" t="str">
        <f aca="false">Complaints!B8</f>
        <v>This is the second time I have raised this. The brochure said guaranteed returns and my money has lost value. I also spent ages on hold when I called about it. Please sort this out.</v>
      </c>
      <c r="C8" s="0" t="str">
        <f aca="false">Complaints!C8</f>
        <v>Mis-selling</v>
      </c>
      <c r="D8" s="0" t="str">
        <f aca="false">" "&amp;TRIM(SUBSTITUTE(SUBSTITUTE(SUBSTITUTE(SUBSTITUTE(SUBSTITUTE(SUBSTITUTE(SUBSTITUTE(SUBSTITUTE(SUBSTITUTE(SUBSTITUTE(SUBSTITUTE(SUBSTITUTE(SUBSTITUTE(SUBSTITUTE(SUBSTITUTE(SUBSTITUTE(LOWER(B8),"."," "),","," "),"'"," "),"’"," "),"!"," "),"?"," "),";"," "),":"," "),"-"," "),"("," "),")"," "),"""", " "),"£"," "),"&amp;"," "),"/"," "),"%"," "))&amp;" "</f>
        <v> this is the second time i have raised this the brochure said guaranteed returns and my money has lost value i also spent ages on hold when i called about it please sort this out </v>
      </c>
      <c r="E8" s="0" t="n">
        <f aca="false">SUMPRODUCT((Rules!$A$2:$A$60=E$1)*Rules!$C$2:$C$60*ISNUMBER(SEARCH(Rules!$D$2:$D$60,$D8)))</f>
        <v>0</v>
      </c>
      <c r="F8" s="0" t="n">
        <f aca="false">SUMPRODUCT((Rules!$A$2:$A$60=F$1)*Rules!$C$2:$C$60*ISNUMBER(SEARCH(Rules!$D$2:$D$60,$D8)))</f>
        <v>2</v>
      </c>
      <c r="G8" s="0" t="n">
        <f aca="false">SUMPRODUCT((Rules!$A$2:$A$60=G$1)*Rules!$C$2:$C$60*ISNUMBER(SEARCH(Rules!$D$2:$D$60,$D8)))</f>
        <v>0</v>
      </c>
      <c r="H8" s="0" t="n">
        <f aca="false">SUMPRODUCT((Rules!$A$2:$A$60=H$1)*Rules!$C$2:$C$60*ISNUMBER(SEARCH(Rules!$D$2:$D$60,$D8)))</f>
        <v>0</v>
      </c>
      <c r="I8" s="0" t="n">
        <f aca="false">SUMPRODUCT((Rules!$A$2:$A$60=I$1)*Rules!$C$2:$C$60*ISNUMBER(SEARCH(Rules!$D$2:$D$60,$D8)))</f>
        <v>0</v>
      </c>
      <c r="J8" s="0" t="n">
        <f aca="false">SUMPRODUCT((Rules!$A$2:$A$60=J$1)*Rules!$C$2:$C$60*ISNUMBER(SEARCH(Rules!$D$2:$D$60,$D8)))</f>
        <v>3</v>
      </c>
      <c r="K8" s="0" t="str">
        <f aca="false">IF(OR(MAX(E8:J8)&lt;Rules!$H$1,MAX(E8:J8)-LARGE(E8:J8,2)&lt;Rules!$H$2),"No label",INDEX($E$1:$J$1,MATCH(MAX(E8:J8),E8:J8,0)))</f>
        <v>No label</v>
      </c>
      <c r="L8" s="0" t="n">
        <f aca="false">SUMPRODUCT((Rules!$A$2:$A$60=L$1)*Rules!$C$2:$C$60*ISNUMBER(SEARCH(Rules!$E$2:$E$60,$D8)))</f>
        <v>0</v>
      </c>
      <c r="M8" s="0" t="n">
        <f aca="false">SUMPRODUCT((Rules!$A$2:$A$60=M$1)*Rules!$C$2:$C$60*ISNUMBER(SEARCH(Rules!$E$2:$E$60,$D8)))</f>
        <v>2</v>
      </c>
      <c r="N8" s="0" t="n">
        <f aca="false">SUMPRODUCT((Rules!$A$2:$A$60=N$1)*Rules!$C$2:$C$60*ISNUMBER(SEARCH(Rules!$E$2:$E$60,$D8)))</f>
        <v>0</v>
      </c>
      <c r="O8" s="0" t="n">
        <f aca="false">SUMPRODUCT((Rules!$A$2:$A$60=O$1)*Rules!$C$2:$C$60*ISNUMBER(SEARCH(Rules!$E$2:$E$60,$D8)))</f>
        <v>0</v>
      </c>
      <c r="P8" s="0" t="n">
        <f aca="false">SUMPRODUCT((Rules!$A$2:$A$60=P$1)*Rules!$C$2:$C$60*ISNUMBER(SEARCH(Rules!$E$2:$E$60,$D8)))</f>
        <v>0</v>
      </c>
      <c r="Q8" s="0" t="n">
        <f aca="false">SUMPRODUCT((Rules!$A$2:$A$60=Q$1)*Rules!$C$2:$C$60*ISNUMBER(SEARCH(Rules!$E$2:$E$60,$D8)))</f>
        <v>3</v>
      </c>
      <c r="R8" s="0" t="str">
        <f aca="false">IF(OR(MAX(L8:Q8)&lt;Rules!$H$1,MAX(L8:Q8)-LARGE(L8:Q8,2)&lt;Rules!$H$2),"No label",INDEX($L$1:$Q$1,MATCH(MAX(L8:Q8),L8:Q8,0)))</f>
        <v>No label</v>
      </c>
      <c r="S8" s="0" t="n">
        <f aca="false">SUMPRODUCT(ISNUMBER(SEARCH(" "&amp;Terms!$A$3:$A$821&amp;" ",$D8))*Terms!B$3:B$821)+Terms!B$2</f>
        <v>-8.53004040850943</v>
      </c>
      <c r="T8" s="0" t="n">
        <f aca="false">SUMPRODUCT(ISNUMBER(SEARCH(" "&amp;Terms!$A$3:$A$821&amp;" ",$D8))*Terms!C$3:C$821)+Terms!C$2</f>
        <v>0.0631341748662203</v>
      </c>
      <c r="U8" s="0" t="n">
        <f aca="false">SUMPRODUCT(ISNUMBER(SEARCH(" "&amp;Terms!$A$3:$A$821&amp;" ",$D8))*Terms!D$3:D$821)+Terms!D$2</f>
        <v>-1.54109990229631</v>
      </c>
      <c r="V8" s="0" t="n">
        <f aca="false">SUMPRODUCT(ISNUMBER(SEARCH(" "&amp;Terms!$A$3:$A$821&amp;" ",$D8))*Terms!E$3:E$821)+Terms!E$2</f>
        <v>-3.02999404840648</v>
      </c>
      <c r="W8" s="0" t="n">
        <f aca="false">SUMPRODUCT(ISNUMBER(SEARCH(" "&amp;Terms!$A$3:$A$821&amp;" ",$D8))*Terms!F$3:F$821)+Terms!F$2</f>
        <v>0.937127484664711</v>
      </c>
      <c r="X8" s="0" t="n">
        <f aca="false">SUMPRODUCT(ISNUMBER(SEARCH(" "&amp;Terms!$A$3:$A$821&amp;" ",$D8))*Terms!G$3:G$821)+Terms!G$2</f>
        <v>12.1008726996814</v>
      </c>
      <c r="Y8" s="0" t="str">
        <f aca="false">INDEX($S$1:$X$1,MATCH(MAX(S8:X8),S8:X8,0))</f>
        <v>Mis-selling</v>
      </c>
      <c r="Z8" s="0" t="s">
        <v>2607</v>
      </c>
    </row>
    <row r="9" customFormat="false" ht="15" hidden="false" customHeight="false" outlineLevel="0" collapsed="false">
      <c r="A9" s="0" t="str">
        <f aca="false">Complaints!A9</f>
        <v>C0008</v>
      </c>
      <c r="B9" s="0" t="str">
        <f aca="false">Complaints!B9</f>
        <v>This is the second time I have raised this. I asked for a callback and it never happened. I would like a response in writing.</v>
      </c>
      <c r="C9" s="0" t="str">
        <f aca="false">Complaints!C9</f>
        <v>Customer Service</v>
      </c>
      <c r="D9" s="0" t="str">
        <f aca="false">" "&amp;TRIM(SUBSTITUTE(SUBSTITUTE(SUBSTITUTE(SUBSTITUTE(SUBSTITUTE(SUBSTITUTE(SUBSTITUTE(SUBSTITUTE(SUBSTITUTE(SUBSTITUTE(SUBSTITUTE(SUBSTITUTE(SUBSTITUTE(SUBSTITUTE(SUBSTITUTE(SUBSTITUTE(LOWER(B9),"."," "),","," "),"'"," "),"’"," "),"!"," "),"?"," "),";"," "),":"," "),"-"," "),"("," "),")"," "),"""", " "),"£"," "),"&amp;"," "),"/"," "),"%"," "))&amp;" "</f>
        <v> this is the second time i have raised this i asked for a callback and it never happened i would like a response in writing </v>
      </c>
      <c r="E9" s="0" t="n">
        <f aca="false">SUMPRODUCT((Rules!$A$2:$A$60=E$1)*Rules!$C$2:$C$60*ISNUMBER(SEARCH(Rules!$D$2:$D$60,$D9)))</f>
        <v>0</v>
      </c>
      <c r="F9" s="0" t="n">
        <f aca="false">SUMPRODUCT((Rules!$A$2:$A$60=F$1)*Rules!$C$2:$C$60*ISNUMBER(SEARCH(Rules!$D$2:$D$60,$D9)))</f>
        <v>0</v>
      </c>
      <c r="G9" s="0" t="n">
        <f aca="false">SUMPRODUCT((Rules!$A$2:$A$60=G$1)*Rules!$C$2:$C$60*ISNUMBER(SEARCH(Rules!$D$2:$D$60,$D9)))</f>
        <v>0</v>
      </c>
      <c r="H9" s="0" t="n">
        <f aca="false">SUMPRODUCT((Rules!$A$2:$A$60=H$1)*Rules!$C$2:$C$60*ISNUMBER(SEARCH(Rules!$D$2:$D$60,$D9)))</f>
        <v>0</v>
      </c>
      <c r="I9" s="0" t="n">
        <f aca="false">SUMPRODUCT((Rules!$A$2:$A$60=I$1)*Rules!$C$2:$C$60*ISNUMBER(SEARCH(Rules!$D$2:$D$60,$D9)))</f>
        <v>0</v>
      </c>
      <c r="J9" s="0" t="n">
        <f aca="false">SUMPRODUCT((Rules!$A$2:$A$60=J$1)*Rules!$C$2:$C$60*ISNUMBER(SEARCH(Rules!$D$2:$D$60,$D9)))</f>
        <v>2</v>
      </c>
      <c r="K9" s="0" t="str">
        <f aca="false">IF(OR(MAX(E9:J9)&lt;Rules!$H$1,MAX(E9:J9)-LARGE(E9:J9,2)&lt;Rules!$H$2),"No label",INDEX($E$1:$J$1,MATCH(MAX(E9:J9),E9:J9,0)))</f>
        <v>No label</v>
      </c>
      <c r="L9" s="0" t="n">
        <f aca="false">SUMPRODUCT((Rules!$A$2:$A$60=L$1)*Rules!$C$2:$C$60*ISNUMBER(SEARCH(Rules!$E$2:$E$60,$D9)))</f>
        <v>0</v>
      </c>
      <c r="M9" s="0" t="n">
        <f aca="false">SUMPRODUCT((Rules!$A$2:$A$60=M$1)*Rules!$C$2:$C$60*ISNUMBER(SEARCH(Rules!$E$2:$E$60,$D9)))</f>
        <v>0</v>
      </c>
      <c r="N9" s="0" t="n">
        <f aca="false">SUMPRODUCT((Rules!$A$2:$A$60=N$1)*Rules!$C$2:$C$60*ISNUMBER(SEARCH(Rules!$E$2:$E$60,$D9)))</f>
        <v>0</v>
      </c>
      <c r="O9" s="0" t="n">
        <f aca="false">SUMPRODUCT((Rules!$A$2:$A$60=O$1)*Rules!$C$2:$C$60*ISNUMBER(SEARCH(Rules!$E$2:$E$60,$D9)))</f>
        <v>0</v>
      </c>
      <c r="P9" s="0" t="n">
        <f aca="false">SUMPRODUCT((Rules!$A$2:$A$60=P$1)*Rules!$C$2:$C$60*ISNUMBER(SEARCH(Rules!$E$2:$E$60,$D9)))</f>
        <v>0</v>
      </c>
      <c r="Q9" s="0" t="n">
        <f aca="false">SUMPRODUCT((Rules!$A$2:$A$60=Q$1)*Rules!$C$2:$C$60*ISNUMBER(SEARCH(Rules!$E$2:$E$60,$D9)))</f>
        <v>2</v>
      </c>
      <c r="R9" s="0" t="str">
        <f aca="false">IF(OR(MAX(L9:Q9)&lt;Rules!$H$1,MAX(L9:Q9)-LARGE(L9:Q9,2)&lt;Rules!$H$2),"No label",INDEX($L$1:$Q$1,MATCH(MAX(L9:Q9),L9:Q9,0)))</f>
        <v>No label</v>
      </c>
      <c r="S9" s="0" t="n">
        <f aca="false">SUMPRODUCT(ISNUMBER(SEARCH(" "&amp;Terms!$A$3:$A$821&amp;" ",$D9))*Terms!B$3:B$821)+Terms!B$2</f>
        <v>-2.99402445663471</v>
      </c>
      <c r="T9" s="0" t="n">
        <f aca="false">SUMPRODUCT(ISNUMBER(SEARCH(" "&amp;Terms!$A$3:$A$821&amp;" ",$D9))*Terms!C$3:C$821)+Terms!C$2</f>
        <v>6.81807256648312</v>
      </c>
      <c r="U9" s="0" t="n">
        <f aca="false">SUMPRODUCT(ISNUMBER(SEARCH(" "&amp;Terms!$A$3:$A$821&amp;" ",$D9))*Terms!D$3:D$821)+Terms!D$2</f>
        <v>-3.1056253044698</v>
      </c>
      <c r="V9" s="0" t="n">
        <f aca="false">SUMPRODUCT(ISNUMBER(SEARCH(" "&amp;Terms!$A$3:$A$821&amp;" ",$D9))*Terms!E$3:E$821)+Terms!E$2</f>
        <v>-0.81905925758882</v>
      </c>
      <c r="W9" s="0" t="n">
        <f aca="false">SUMPRODUCT(ISNUMBER(SEARCH(" "&amp;Terms!$A$3:$A$821&amp;" ",$D9))*Terms!F$3:F$821)+Terms!F$2</f>
        <v>-1.10290954766059</v>
      </c>
      <c r="X9" s="0" t="n">
        <f aca="false">SUMPRODUCT(ISNUMBER(SEARCH(" "&amp;Terms!$A$3:$A$821&amp;" ",$D9))*Terms!G$3:G$821)+Terms!G$2</f>
        <v>1.2035459998709</v>
      </c>
      <c r="Y9" s="0" t="str">
        <f aca="false">INDEX($S$1:$X$1,MATCH(MAX(S9:X9),S9:X9,0))</f>
        <v>Customer Service</v>
      </c>
      <c r="Z9" s="0" t="s">
        <v>2607</v>
      </c>
    </row>
    <row r="10" customFormat="false" ht="15" hidden="false" customHeight="false" outlineLevel="0" collapsed="false">
      <c r="A10" s="0" t="str">
        <f aca="false">Complaints!A10</f>
        <v>C0009</v>
      </c>
      <c r="B10" s="0" t="str">
        <f aca="false">Complaints!B10</f>
        <v>I am writing to complain. Why has my interest rate gone up without notice, it is costing me more every month.</v>
      </c>
      <c r="C10" s="0" t="str">
        <f aca="false">Complaints!C10</f>
        <v>Fees &amp; Charges</v>
      </c>
      <c r="D10" s="0" t="str">
        <f aca="false">" "&amp;TRIM(SUBSTITUTE(SUBSTITUTE(SUBSTITUTE(SUBSTITUTE(SUBSTITUTE(SUBSTITUTE(SUBSTITUTE(SUBSTITUTE(SUBSTITUTE(SUBSTITUTE(SUBSTITUTE(SUBSTITUTE(SUBSTITUTE(SUBSTITUTE(SUBSTITUTE(SUBSTITUTE(LOWER(B10),"."," "),","," "),"'"," "),"’"," "),"!"," "),"?"," "),";"," "),":"," "),"-"," "),"("," "),")"," "),"""", " "),"£"," "),"&amp;"," "),"/"," "),"%"," "))&amp;" "</f>
        <v> i am writing to complain why has my interest rate gone up without notice it is costing me more every month </v>
      </c>
      <c r="E10" s="0" t="n">
        <f aca="false">SUMPRODUCT((Rules!$A$2:$A$60=E$1)*Rules!$C$2:$C$60*ISNUMBER(SEARCH(Rules!$D$2:$D$60,$D10)))</f>
        <v>0</v>
      </c>
      <c r="F10" s="0" t="n">
        <f aca="false">SUMPRODUCT((Rules!$A$2:$A$60=F$1)*Rules!$C$2:$C$60*ISNUMBER(SEARCH(Rules!$D$2:$D$60,$D10)))</f>
        <v>0</v>
      </c>
      <c r="G10" s="0" t="n">
        <f aca="false">SUMPRODUCT((Rules!$A$2:$A$60=G$1)*Rules!$C$2:$C$60*ISNUMBER(SEARCH(Rules!$D$2:$D$60,$D10)))</f>
        <v>0</v>
      </c>
      <c r="H10" s="0" t="n">
        <f aca="false">SUMPRODUCT((Rules!$A$2:$A$60=H$1)*Rules!$C$2:$C$60*ISNUMBER(SEARCH(Rules!$D$2:$D$60,$D10)))</f>
        <v>2</v>
      </c>
      <c r="I10" s="0" t="n">
        <f aca="false">SUMPRODUCT((Rules!$A$2:$A$60=I$1)*Rules!$C$2:$C$60*ISNUMBER(SEARCH(Rules!$D$2:$D$60,$D10)))</f>
        <v>0</v>
      </c>
      <c r="J10" s="0" t="n">
        <f aca="false">SUMPRODUCT((Rules!$A$2:$A$60=J$1)*Rules!$C$2:$C$60*ISNUMBER(SEARCH(Rules!$D$2:$D$60,$D10)))</f>
        <v>0</v>
      </c>
      <c r="K10" s="0" t="str">
        <f aca="false">IF(OR(MAX(E10:J10)&lt;Rules!$H$1,MAX(E10:J10)-LARGE(E10:J10,2)&lt;Rules!$H$2),"No label",INDEX($E$1:$J$1,MATCH(MAX(E10:J10),E10:J10,0)))</f>
        <v>No label</v>
      </c>
      <c r="L10" s="0" t="n">
        <f aca="false">SUMPRODUCT((Rules!$A$2:$A$60=L$1)*Rules!$C$2:$C$60*ISNUMBER(SEARCH(Rules!$E$2:$E$60,$D10)))</f>
        <v>0</v>
      </c>
      <c r="M10" s="0" t="n">
        <f aca="false">SUMPRODUCT((Rules!$A$2:$A$60=M$1)*Rules!$C$2:$C$60*ISNUMBER(SEARCH(Rules!$E$2:$E$60,$D10)))</f>
        <v>0</v>
      </c>
      <c r="N10" s="0" t="n">
        <f aca="false">SUMPRODUCT((Rules!$A$2:$A$60=N$1)*Rules!$C$2:$C$60*ISNUMBER(SEARCH(Rules!$E$2:$E$60,$D10)))</f>
        <v>0</v>
      </c>
      <c r="O10" s="0" t="n">
        <f aca="false">SUMPRODUCT((Rules!$A$2:$A$60=O$1)*Rules!$C$2:$C$60*ISNUMBER(SEARCH(Rules!$E$2:$E$60,$D10)))</f>
        <v>2</v>
      </c>
      <c r="P10" s="0" t="n">
        <f aca="false">SUMPRODUCT((Rules!$A$2:$A$60=P$1)*Rules!$C$2:$C$60*ISNUMBER(SEARCH(Rules!$E$2:$E$60,$D10)))</f>
        <v>0</v>
      </c>
      <c r="Q10" s="0" t="n">
        <f aca="false">SUMPRODUCT((Rules!$A$2:$A$60=Q$1)*Rules!$C$2:$C$60*ISNUMBER(SEARCH(Rules!$E$2:$E$60,$D10)))</f>
        <v>0</v>
      </c>
      <c r="R10" s="0" t="str">
        <f aca="false">IF(OR(MAX(L10:Q10)&lt;Rules!$H$1,MAX(L10:Q10)-LARGE(L10:Q10,2)&lt;Rules!$H$2),"No label",INDEX($L$1:$Q$1,MATCH(MAX(L10:Q10),L10:Q10,0)))</f>
        <v>No label</v>
      </c>
      <c r="S10" s="0" t="n">
        <f aca="false">SUMPRODUCT(ISNUMBER(SEARCH(" "&amp;Terms!$A$3:$A$821&amp;" ",$D10))*Terms!B$3:B$821)+Terms!B$2</f>
        <v>-1.13294480655304</v>
      </c>
      <c r="T10" s="0" t="n">
        <f aca="false">SUMPRODUCT(ISNUMBER(SEARCH(" "&amp;Terms!$A$3:$A$821&amp;" ",$D10))*Terms!C$3:C$821)+Terms!C$2</f>
        <v>-1.35911125876191</v>
      </c>
      <c r="U10" s="0" t="n">
        <f aca="false">SUMPRODUCT(ISNUMBER(SEARCH(" "&amp;Terms!$A$3:$A$821&amp;" ",$D10))*Terms!D$3:D$821)+Terms!D$2</f>
        <v>1.65946501501307</v>
      </c>
      <c r="V10" s="0" t="n">
        <f aca="false">SUMPRODUCT(ISNUMBER(SEARCH(" "&amp;Terms!$A$3:$A$821&amp;" ",$D10))*Terms!E$3:E$821)+Terms!E$2</f>
        <v>5.52401091476511</v>
      </c>
      <c r="W10" s="0" t="n">
        <f aca="false">SUMPRODUCT(ISNUMBER(SEARCH(" "&amp;Terms!$A$3:$A$821&amp;" ",$D10))*Terms!F$3:F$821)+Terms!F$2</f>
        <v>-2.1333953608499</v>
      </c>
      <c r="X10" s="0" t="n">
        <f aca="false">SUMPRODUCT(ISNUMBER(SEARCH(" "&amp;Terms!$A$3:$A$821&amp;" ",$D10))*Terms!G$3:G$821)+Terms!G$2</f>
        <v>-2.55802450361323</v>
      </c>
      <c r="Y10" s="0" t="str">
        <f aca="false">INDEX($S$1:$X$1,MATCH(MAX(S10:X10),S10:X10,0))</f>
        <v>Fees &amp; Charges</v>
      </c>
      <c r="Z10" s="0" t="s">
        <v>2608</v>
      </c>
    </row>
    <row r="11" customFormat="false" ht="15" hidden="false" customHeight="false" outlineLevel="0" collapsed="false">
      <c r="A11" s="0" t="str">
        <f aca="false">Complaints!A11</f>
        <v>C0010</v>
      </c>
      <c r="B11" s="0" t="str">
        <f aca="false">Complaints!B11</f>
        <v>To whom it may concern, Someone has made payments from my account that I did not authorise. Also, the app crashes every time I try to open my statements. Please escalate this.</v>
      </c>
      <c r="C11" s="0" t="str">
        <f aca="false">Complaints!C11</f>
        <v>Fraud &amp; Scams</v>
      </c>
      <c r="D11" s="0" t="str">
        <f aca="false">" "&amp;TRIM(SUBSTITUTE(SUBSTITUTE(SUBSTITUTE(SUBSTITUTE(SUBSTITUTE(SUBSTITUTE(SUBSTITUTE(SUBSTITUTE(SUBSTITUTE(SUBSTITUTE(SUBSTITUTE(SUBSTITUTE(SUBSTITUTE(SUBSTITUTE(SUBSTITUTE(SUBSTITUTE(LOWER(B11),"."," "),","," "),"'"," "),"’"," "),"!"," "),"?"," "),";"," "),":"," "),"-"," "),"("," "),")"," "),"""", " "),"£"," "),"&amp;"," "),"/"," "),"%"," "))&amp;" "</f>
        <v> to whom it may concern someone has made payments from my account that i did not authorise also the app crashes every time i try to open my statements please escalate this </v>
      </c>
      <c r="E11" s="0" t="n">
        <f aca="false">SUMPRODUCT((Rules!$A$2:$A$60=E$1)*Rules!$C$2:$C$60*ISNUMBER(SEARCH(Rules!$D$2:$D$60,$D11)))</f>
        <v>3</v>
      </c>
      <c r="F11" s="0" t="n">
        <f aca="false">SUMPRODUCT((Rules!$A$2:$A$60=F$1)*Rules!$C$2:$C$60*ISNUMBER(SEARCH(Rules!$D$2:$D$60,$D11)))</f>
        <v>0</v>
      </c>
      <c r="G11" s="0" t="n">
        <f aca="false">SUMPRODUCT((Rules!$A$2:$A$60=G$1)*Rules!$C$2:$C$60*ISNUMBER(SEARCH(Rules!$D$2:$D$60,$D11)))</f>
        <v>3</v>
      </c>
      <c r="H11" s="0" t="n">
        <f aca="false">SUMPRODUCT((Rules!$A$2:$A$60=H$1)*Rules!$C$2:$C$60*ISNUMBER(SEARCH(Rules!$D$2:$D$60,$D11)))</f>
        <v>0</v>
      </c>
      <c r="I11" s="0" t="n">
        <f aca="false">SUMPRODUCT((Rules!$A$2:$A$60=I$1)*Rules!$C$2:$C$60*ISNUMBER(SEARCH(Rules!$D$2:$D$60,$D11)))</f>
        <v>0</v>
      </c>
      <c r="J11" s="0" t="n">
        <f aca="false">SUMPRODUCT((Rules!$A$2:$A$60=J$1)*Rules!$C$2:$C$60*ISNUMBER(SEARCH(Rules!$D$2:$D$60,$D11)))</f>
        <v>0</v>
      </c>
      <c r="K11" s="0" t="str">
        <f aca="false">IF(OR(MAX(E11:J11)&lt;Rules!$H$1,MAX(E11:J11)-LARGE(E11:J11,2)&lt;Rules!$H$2),"No label",INDEX($E$1:$J$1,MATCH(MAX(E11:J11),E11:J11,0)))</f>
        <v>No label</v>
      </c>
      <c r="L11" s="0" t="n">
        <f aca="false">SUMPRODUCT((Rules!$A$2:$A$60=L$1)*Rules!$C$2:$C$60*ISNUMBER(SEARCH(Rules!$E$2:$E$60,$D11)))</f>
        <v>3</v>
      </c>
      <c r="M11" s="0" t="n">
        <f aca="false">SUMPRODUCT((Rules!$A$2:$A$60=M$1)*Rules!$C$2:$C$60*ISNUMBER(SEARCH(Rules!$E$2:$E$60,$D11)))</f>
        <v>0</v>
      </c>
      <c r="N11" s="0" t="n">
        <f aca="false">SUMPRODUCT((Rules!$A$2:$A$60=N$1)*Rules!$C$2:$C$60*ISNUMBER(SEARCH(Rules!$E$2:$E$60,$D11)))</f>
        <v>3</v>
      </c>
      <c r="O11" s="0" t="n">
        <f aca="false">SUMPRODUCT((Rules!$A$2:$A$60=O$1)*Rules!$C$2:$C$60*ISNUMBER(SEARCH(Rules!$E$2:$E$60,$D11)))</f>
        <v>1</v>
      </c>
      <c r="P11" s="0" t="n">
        <f aca="false">SUMPRODUCT((Rules!$A$2:$A$60=P$1)*Rules!$C$2:$C$60*ISNUMBER(SEARCH(Rules!$E$2:$E$60,$D11)))</f>
        <v>0</v>
      </c>
      <c r="Q11" s="0" t="n">
        <f aca="false">SUMPRODUCT((Rules!$A$2:$A$60=Q$1)*Rules!$C$2:$C$60*ISNUMBER(SEARCH(Rules!$E$2:$E$60,$D11)))</f>
        <v>0</v>
      </c>
      <c r="R11" s="0" t="str">
        <f aca="false">IF(OR(MAX(L11:Q11)&lt;Rules!$H$1,MAX(L11:Q11)-LARGE(L11:Q11,2)&lt;Rules!$H$2),"No label",INDEX($L$1:$Q$1,MATCH(MAX(L11:Q11),L11:Q11,0)))</f>
        <v>No label</v>
      </c>
      <c r="S11" s="0" t="n">
        <f aca="false">SUMPRODUCT(ISNUMBER(SEARCH(" "&amp;Terms!$A$3:$A$821&amp;" ",$D11))*Terms!B$3:B$821)+Terms!B$2</f>
        <v>9.94433758899353</v>
      </c>
      <c r="T11" s="0" t="n">
        <f aca="false">SUMPRODUCT(ISNUMBER(SEARCH(" "&amp;Terms!$A$3:$A$821&amp;" ",$D11))*Terms!C$3:C$821)+Terms!C$2</f>
        <v>-2.11998504559566</v>
      </c>
      <c r="U11" s="0" t="n">
        <f aca="false">SUMPRODUCT(ISNUMBER(SEARCH(" "&amp;Terms!$A$3:$A$821&amp;" ",$D11))*Terms!D$3:D$821)+Terms!D$2</f>
        <v>-2.94057736510307</v>
      </c>
      <c r="V11" s="0" t="n">
        <f aca="false">SUMPRODUCT(ISNUMBER(SEARCH(" "&amp;Terms!$A$3:$A$821&amp;" ",$D11))*Terms!E$3:E$821)+Terms!E$2</f>
        <v>-1.22323048690288</v>
      </c>
      <c r="W11" s="0" t="n">
        <f aca="false">SUMPRODUCT(ISNUMBER(SEARCH(" "&amp;Terms!$A$3:$A$821&amp;" ",$D11))*Terms!F$3:F$821)+Terms!F$2</f>
        <v>0.889695734442775</v>
      </c>
      <c r="X11" s="0" t="n">
        <f aca="false">SUMPRODUCT(ISNUMBER(SEARCH(" "&amp;Terms!$A$3:$A$821&amp;" ",$D11))*Terms!G$3:G$821)+Terms!G$2</f>
        <v>-4.55024042583459</v>
      </c>
      <c r="Y11" s="0" t="str">
        <f aca="false">INDEX($S$1:$X$1,MATCH(MAX(S11:X11),S11:X11,0))</f>
        <v>Account Access</v>
      </c>
      <c r="Z11" s="0" t="s">
        <v>2608</v>
      </c>
    </row>
    <row r="12" customFormat="false" ht="15" hidden="false" customHeight="false" outlineLevel="0" collapsed="false">
      <c r="A12" s="0" t="str">
        <f aca="false">Complaints!A12</f>
        <v>C0011</v>
      </c>
      <c r="B12" s="0" t="str">
        <f aca="false">Complaints!B12</f>
        <v>I was tricked into moving savings to a safe account that was not safe. Also, my account was frozen and I cannot get in to move money.</v>
      </c>
      <c r="C12" s="0" t="str">
        <f aca="false">Complaints!C12</f>
        <v>Fraud &amp; Scams</v>
      </c>
      <c r="D12" s="0" t="str">
        <f aca="false">" "&amp;TRIM(SUBSTITUTE(SUBSTITUTE(SUBSTITUTE(SUBSTITUTE(SUBSTITUTE(SUBSTITUTE(SUBSTITUTE(SUBSTITUTE(SUBSTITUTE(SUBSTITUTE(SUBSTITUTE(SUBSTITUTE(SUBSTITUTE(SUBSTITUTE(SUBSTITUTE(SUBSTITUTE(LOWER(B12),"."," "),","," "),"'"," "),"’"," "),"!"," "),"?"," "),";"," "),":"," "),"-"," "),"("," "),")"," "),"""", " "),"£"," "),"&amp;"," "),"/"," "),"%"," "))&amp;" "</f>
        <v> i was tricked into moving savings to a safe account that was not safe also my account was frozen and i cannot get in to move money </v>
      </c>
      <c r="E12" s="0" t="n">
        <f aca="false">SUMPRODUCT((Rules!$A$2:$A$60=E$1)*Rules!$C$2:$C$60*ISNUMBER(SEARCH(Rules!$D$2:$D$60,$D12)))</f>
        <v>2</v>
      </c>
      <c r="F12" s="0" t="n">
        <f aca="false">SUMPRODUCT((Rules!$A$2:$A$60=F$1)*Rules!$C$2:$C$60*ISNUMBER(SEARCH(Rules!$D$2:$D$60,$D12)))</f>
        <v>0</v>
      </c>
      <c r="G12" s="0" t="n">
        <f aca="false">SUMPRODUCT((Rules!$A$2:$A$60=G$1)*Rules!$C$2:$C$60*ISNUMBER(SEARCH(Rules!$D$2:$D$60,$D12)))</f>
        <v>0</v>
      </c>
      <c r="H12" s="0" t="n">
        <f aca="false">SUMPRODUCT((Rules!$A$2:$A$60=H$1)*Rules!$C$2:$C$60*ISNUMBER(SEARCH(Rules!$D$2:$D$60,$D12)))</f>
        <v>0</v>
      </c>
      <c r="I12" s="0" t="n">
        <f aca="false">SUMPRODUCT((Rules!$A$2:$A$60=I$1)*Rules!$C$2:$C$60*ISNUMBER(SEARCH(Rules!$D$2:$D$60,$D12)))</f>
        <v>0</v>
      </c>
      <c r="J12" s="0" t="n">
        <f aca="false">SUMPRODUCT((Rules!$A$2:$A$60=J$1)*Rules!$C$2:$C$60*ISNUMBER(SEARCH(Rules!$D$2:$D$60,$D12)))</f>
        <v>0</v>
      </c>
      <c r="K12" s="0" t="str">
        <f aca="false">IF(OR(MAX(E12:J12)&lt;Rules!$H$1,MAX(E12:J12)-LARGE(E12:J12,2)&lt;Rules!$H$2),"No label",INDEX($E$1:$J$1,MATCH(MAX(E12:J12),E12:J12,0)))</f>
        <v>No label</v>
      </c>
      <c r="L12" s="0" t="n">
        <f aca="false">SUMPRODUCT((Rules!$A$2:$A$60=L$1)*Rules!$C$2:$C$60*ISNUMBER(SEARCH(Rules!$E$2:$E$60,$D12)))</f>
        <v>2</v>
      </c>
      <c r="M12" s="0" t="n">
        <f aca="false">SUMPRODUCT((Rules!$A$2:$A$60=M$1)*Rules!$C$2:$C$60*ISNUMBER(SEARCH(Rules!$E$2:$E$60,$D12)))</f>
        <v>0</v>
      </c>
      <c r="N12" s="0" t="n">
        <f aca="false">SUMPRODUCT((Rules!$A$2:$A$60=N$1)*Rules!$C$2:$C$60*ISNUMBER(SEARCH(Rules!$E$2:$E$60,$D12)))</f>
        <v>0</v>
      </c>
      <c r="O12" s="0" t="n">
        <f aca="false">SUMPRODUCT((Rules!$A$2:$A$60=O$1)*Rules!$C$2:$C$60*ISNUMBER(SEARCH(Rules!$E$2:$E$60,$D12)))</f>
        <v>0</v>
      </c>
      <c r="P12" s="0" t="n">
        <f aca="false">SUMPRODUCT((Rules!$A$2:$A$60=P$1)*Rules!$C$2:$C$60*ISNUMBER(SEARCH(Rules!$E$2:$E$60,$D12)))</f>
        <v>0</v>
      </c>
      <c r="Q12" s="0" t="n">
        <f aca="false">SUMPRODUCT((Rules!$A$2:$A$60=Q$1)*Rules!$C$2:$C$60*ISNUMBER(SEARCH(Rules!$E$2:$E$60,$D12)))</f>
        <v>0</v>
      </c>
      <c r="R12" s="0" t="str">
        <f aca="false">IF(OR(MAX(L12:Q12)&lt;Rules!$H$1,MAX(L12:Q12)-LARGE(L12:Q12,2)&lt;Rules!$H$2),"No label",INDEX($L$1:$Q$1,MATCH(MAX(L12:Q12),L12:Q12,0)))</f>
        <v>No label</v>
      </c>
      <c r="S12" s="0" t="n">
        <f aca="false">SUMPRODUCT(ISNUMBER(SEARCH(" "&amp;Terms!$A$3:$A$821&amp;" ",$D12))*Terms!B$3:B$821)+Terms!B$2</f>
        <v>1.78878035544943</v>
      </c>
      <c r="T12" s="0" t="n">
        <f aca="false">SUMPRODUCT(ISNUMBER(SEARCH(" "&amp;Terms!$A$3:$A$821&amp;" ",$D12))*Terms!C$3:C$821)+Terms!C$2</f>
        <v>-7.32116170974441</v>
      </c>
      <c r="U12" s="0" t="n">
        <f aca="false">SUMPRODUCT(ISNUMBER(SEARCH(" "&amp;Terms!$A$3:$A$821&amp;" ",$D12))*Terms!D$3:D$821)+Terms!D$2</f>
        <v>0.685199910343963</v>
      </c>
      <c r="V12" s="0" t="n">
        <f aca="false">SUMPRODUCT(ISNUMBER(SEARCH(" "&amp;Terms!$A$3:$A$821&amp;" ",$D12))*Terms!E$3:E$821)+Terms!E$2</f>
        <v>-2.00179049375615</v>
      </c>
      <c r="W12" s="0" t="n">
        <f aca="false">SUMPRODUCT(ISNUMBER(SEARCH(" "&amp;Terms!$A$3:$A$821&amp;" ",$D12))*Terms!F$3:F$821)+Terms!F$2</f>
        <v>10.3419147559016</v>
      </c>
      <c r="X12" s="0" t="n">
        <f aca="false">SUMPRODUCT(ISNUMBER(SEARCH(" "&amp;Terms!$A$3:$A$821&amp;" ",$D12))*Terms!G$3:G$821)+Terms!G$2</f>
        <v>-3.49294281819435</v>
      </c>
      <c r="Y12" s="0" t="str">
        <f aca="false">INDEX($S$1:$X$1,MATCH(MAX(S12:X12),S12:X12,0))</f>
        <v>Fraud &amp; Scams</v>
      </c>
      <c r="Z12" s="0" t="s">
        <v>2607</v>
      </c>
    </row>
    <row r="13" customFormat="false" ht="15" hidden="false" customHeight="false" outlineLevel="0" collapsed="false">
      <c r="A13" s="0" t="str">
        <f aca="false">Complaints!A13</f>
        <v>C0012</v>
      </c>
      <c r="B13" s="0" t="str">
        <f aca="false">Complaints!B13</f>
        <v>I asked for a callback and it never happened.</v>
      </c>
      <c r="C13" s="0" t="str">
        <f aca="false">Complaints!C13</f>
        <v>Customer Service</v>
      </c>
      <c r="D13" s="0" t="str">
        <f aca="false">" "&amp;TRIM(SUBSTITUTE(SUBSTITUTE(SUBSTITUTE(SUBSTITUTE(SUBSTITUTE(SUBSTITUTE(SUBSTITUTE(SUBSTITUTE(SUBSTITUTE(SUBSTITUTE(SUBSTITUTE(SUBSTITUTE(SUBSTITUTE(SUBSTITUTE(SUBSTITUTE(SUBSTITUTE(LOWER(B13),"."," "),","," "),"'"," "),"’"," "),"!"," "),"?"," "),";"," "),":"," "),"-"," "),"("," "),")"," "),"""", " "),"£"," "),"&amp;"," "),"/"," "),"%"," "))&amp;" "</f>
        <v> i asked for a callback and it never happened </v>
      </c>
      <c r="E13" s="0" t="n">
        <f aca="false">SUMPRODUCT((Rules!$A$2:$A$60=E$1)*Rules!$C$2:$C$60*ISNUMBER(SEARCH(Rules!$D$2:$D$60,$D13)))</f>
        <v>0</v>
      </c>
      <c r="F13" s="0" t="n">
        <f aca="false">SUMPRODUCT((Rules!$A$2:$A$60=F$1)*Rules!$C$2:$C$60*ISNUMBER(SEARCH(Rules!$D$2:$D$60,$D13)))</f>
        <v>0</v>
      </c>
      <c r="G13" s="0" t="n">
        <f aca="false">SUMPRODUCT((Rules!$A$2:$A$60=G$1)*Rules!$C$2:$C$60*ISNUMBER(SEARCH(Rules!$D$2:$D$60,$D13)))</f>
        <v>0</v>
      </c>
      <c r="H13" s="0" t="n">
        <f aca="false">SUMPRODUCT((Rules!$A$2:$A$60=H$1)*Rules!$C$2:$C$60*ISNUMBER(SEARCH(Rules!$D$2:$D$60,$D13)))</f>
        <v>0</v>
      </c>
      <c r="I13" s="0" t="n">
        <f aca="false">SUMPRODUCT((Rules!$A$2:$A$60=I$1)*Rules!$C$2:$C$60*ISNUMBER(SEARCH(Rules!$D$2:$D$60,$D13)))</f>
        <v>0</v>
      </c>
      <c r="J13" s="0" t="n">
        <f aca="false">SUMPRODUCT((Rules!$A$2:$A$60=J$1)*Rules!$C$2:$C$60*ISNUMBER(SEARCH(Rules!$D$2:$D$60,$D13)))</f>
        <v>2</v>
      </c>
      <c r="K13" s="0" t="str">
        <f aca="false">IF(OR(MAX(E13:J13)&lt;Rules!$H$1,MAX(E13:J13)-LARGE(E13:J13,2)&lt;Rules!$H$2),"No label",INDEX($E$1:$J$1,MATCH(MAX(E13:J13),E13:J13,0)))</f>
        <v>No label</v>
      </c>
      <c r="L13" s="0" t="n">
        <f aca="false">SUMPRODUCT((Rules!$A$2:$A$60=L$1)*Rules!$C$2:$C$60*ISNUMBER(SEARCH(Rules!$E$2:$E$60,$D13)))</f>
        <v>0</v>
      </c>
      <c r="M13" s="0" t="n">
        <f aca="false">SUMPRODUCT((Rules!$A$2:$A$60=M$1)*Rules!$C$2:$C$60*ISNUMBER(SEARCH(Rules!$E$2:$E$60,$D13)))</f>
        <v>0</v>
      </c>
      <c r="N13" s="0" t="n">
        <f aca="false">SUMPRODUCT((Rules!$A$2:$A$60=N$1)*Rules!$C$2:$C$60*ISNUMBER(SEARCH(Rules!$E$2:$E$60,$D13)))</f>
        <v>0</v>
      </c>
      <c r="O13" s="0" t="n">
        <f aca="false">SUMPRODUCT((Rules!$A$2:$A$60=O$1)*Rules!$C$2:$C$60*ISNUMBER(SEARCH(Rules!$E$2:$E$60,$D13)))</f>
        <v>0</v>
      </c>
      <c r="P13" s="0" t="n">
        <f aca="false">SUMPRODUCT((Rules!$A$2:$A$60=P$1)*Rules!$C$2:$C$60*ISNUMBER(SEARCH(Rules!$E$2:$E$60,$D13)))</f>
        <v>0</v>
      </c>
      <c r="Q13" s="0" t="n">
        <f aca="false">SUMPRODUCT((Rules!$A$2:$A$60=Q$1)*Rules!$C$2:$C$60*ISNUMBER(SEARCH(Rules!$E$2:$E$60,$D13)))</f>
        <v>2</v>
      </c>
      <c r="R13" s="0" t="str">
        <f aca="false">IF(OR(MAX(L13:Q13)&lt;Rules!$H$1,MAX(L13:Q13)-LARGE(L13:Q13,2)&lt;Rules!$H$2),"No label",INDEX($L$1:$Q$1,MATCH(MAX(L13:Q13),L13:Q13,0)))</f>
        <v>No label</v>
      </c>
      <c r="S13" s="0" t="n">
        <f aca="false">SUMPRODUCT(ISNUMBER(SEARCH(" "&amp;Terms!$A$3:$A$821&amp;" ",$D13))*Terms!B$3:B$821)+Terms!B$2</f>
        <v>-1.35117188756309</v>
      </c>
      <c r="T13" s="0" t="n">
        <f aca="false">SUMPRODUCT(ISNUMBER(SEARCH(" "&amp;Terms!$A$3:$A$821&amp;" ",$D13))*Terms!C$3:C$821)+Terms!C$2</f>
        <v>5.25504066059298</v>
      </c>
      <c r="U13" s="0" t="n">
        <f aca="false">SUMPRODUCT(ISNUMBER(SEARCH(" "&amp;Terms!$A$3:$A$821&amp;" ",$D13))*Terms!D$3:D$821)+Terms!D$2</f>
        <v>-2.32920274249652</v>
      </c>
      <c r="V13" s="0" t="n">
        <f aca="false">SUMPRODUCT(ISNUMBER(SEARCH(" "&amp;Terms!$A$3:$A$821&amp;" ",$D13))*Terms!E$3:E$821)+Terms!E$2</f>
        <v>-0.620185473014937</v>
      </c>
      <c r="W13" s="0" t="n">
        <f aca="false">SUMPRODUCT(ISNUMBER(SEARCH(" "&amp;Terms!$A$3:$A$821&amp;" ",$D13))*Terms!F$3:F$821)+Terms!F$2</f>
        <v>-0.767087947930722</v>
      </c>
      <c r="X13" s="0" t="n">
        <f aca="false">SUMPRODUCT(ISNUMBER(SEARCH(" "&amp;Terms!$A$3:$A$821&amp;" ",$D13))*Terms!G$3:G$821)+Terms!G$2</f>
        <v>-0.187392609587624</v>
      </c>
      <c r="Y13" s="0" t="str">
        <f aca="false">INDEX($S$1:$X$1,MATCH(MAX(S13:X13),S13:X13,0))</f>
        <v>Customer Service</v>
      </c>
      <c r="Z13" s="0" t="s">
        <v>2607</v>
      </c>
    </row>
    <row r="14" customFormat="false" ht="15" hidden="false" customHeight="false" outlineLevel="0" collapsed="false">
      <c r="A14" s="0" t="str">
        <f aca="false">Complaints!A14</f>
        <v>C0013</v>
      </c>
      <c r="B14" s="0" t="str">
        <f aca="false">Complaints!B14</f>
        <v>A late payment fee appeared and I want it refunded. It has also been takig far too long. I want this put right.</v>
      </c>
      <c r="C14" s="0" t="str">
        <f aca="false">Complaints!C14</f>
        <v>Fees &amp; Charges</v>
      </c>
      <c r="D14" s="0" t="str">
        <f aca="false">" "&amp;TRIM(SUBSTITUTE(SUBSTITUTE(SUBSTITUTE(SUBSTITUTE(SUBSTITUTE(SUBSTITUTE(SUBSTITUTE(SUBSTITUTE(SUBSTITUTE(SUBSTITUTE(SUBSTITUTE(SUBSTITUTE(SUBSTITUTE(SUBSTITUTE(SUBSTITUTE(SUBSTITUTE(LOWER(B14),"."," "),","," "),"'"," "),"’"," "),"!"," "),"?"," "),";"," "),":"," "),"-"," "),"("," "),")"," "),"""", " "),"£"," "),"&amp;"," "),"/"," "),"%"," "))&amp;" "</f>
        <v> a late payment fee appeared and i want it refunded it has also been takig far too long i want this put right </v>
      </c>
      <c r="E14" s="0" t="n">
        <f aca="false">SUMPRODUCT((Rules!$A$2:$A$60=E$1)*Rules!$C$2:$C$60*ISNUMBER(SEARCH(Rules!$D$2:$D$60,$D14)))</f>
        <v>0</v>
      </c>
      <c r="F14" s="0" t="n">
        <f aca="false">SUMPRODUCT((Rules!$A$2:$A$60=F$1)*Rules!$C$2:$C$60*ISNUMBER(SEARCH(Rules!$D$2:$D$60,$D14)))</f>
        <v>0</v>
      </c>
      <c r="G14" s="0" t="n">
        <f aca="false">SUMPRODUCT((Rules!$A$2:$A$60=G$1)*Rules!$C$2:$C$60*ISNUMBER(SEARCH(Rules!$D$2:$D$60,$D14)))</f>
        <v>0</v>
      </c>
      <c r="H14" s="0" t="n">
        <f aca="false">SUMPRODUCT((Rules!$A$2:$A$60=H$1)*Rules!$C$2:$C$60*ISNUMBER(SEARCH(Rules!$D$2:$D$60,$D14)))</f>
        <v>2</v>
      </c>
      <c r="I14" s="0" t="n">
        <f aca="false">SUMPRODUCT((Rules!$A$2:$A$60=I$1)*Rules!$C$2:$C$60*ISNUMBER(SEARCH(Rules!$D$2:$D$60,$D14)))</f>
        <v>0</v>
      </c>
      <c r="J14" s="0" t="n">
        <f aca="false">SUMPRODUCT((Rules!$A$2:$A$60=J$1)*Rules!$C$2:$C$60*ISNUMBER(SEARCH(Rules!$D$2:$D$60,$D14)))</f>
        <v>0</v>
      </c>
      <c r="K14" s="0" t="str">
        <f aca="false">IF(OR(MAX(E14:J14)&lt;Rules!$H$1,MAX(E14:J14)-LARGE(E14:J14,2)&lt;Rules!$H$2),"No label",INDEX($E$1:$J$1,MATCH(MAX(E14:J14),E14:J14,0)))</f>
        <v>No label</v>
      </c>
      <c r="L14" s="0" t="n">
        <f aca="false">SUMPRODUCT((Rules!$A$2:$A$60=L$1)*Rules!$C$2:$C$60*ISNUMBER(SEARCH(Rules!$E$2:$E$60,$D14)))</f>
        <v>0</v>
      </c>
      <c r="M14" s="0" t="n">
        <f aca="false">SUMPRODUCT((Rules!$A$2:$A$60=M$1)*Rules!$C$2:$C$60*ISNUMBER(SEARCH(Rules!$E$2:$E$60,$D14)))</f>
        <v>0</v>
      </c>
      <c r="N14" s="0" t="n">
        <f aca="false">SUMPRODUCT((Rules!$A$2:$A$60=N$1)*Rules!$C$2:$C$60*ISNUMBER(SEARCH(Rules!$E$2:$E$60,$D14)))</f>
        <v>0</v>
      </c>
      <c r="O14" s="0" t="n">
        <f aca="false">SUMPRODUCT((Rules!$A$2:$A$60=O$1)*Rules!$C$2:$C$60*ISNUMBER(SEARCH(Rules!$E$2:$E$60,$D14)))</f>
        <v>2</v>
      </c>
      <c r="P14" s="0" t="n">
        <f aca="false">SUMPRODUCT((Rules!$A$2:$A$60=P$1)*Rules!$C$2:$C$60*ISNUMBER(SEARCH(Rules!$E$2:$E$60,$D14)))</f>
        <v>0</v>
      </c>
      <c r="Q14" s="0" t="n">
        <f aca="false">SUMPRODUCT((Rules!$A$2:$A$60=Q$1)*Rules!$C$2:$C$60*ISNUMBER(SEARCH(Rules!$E$2:$E$60,$D14)))</f>
        <v>0</v>
      </c>
      <c r="R14" s="0" t="str">
        <f aca="false">IF(OR(MAX(L14:Q14)&lt;Rules!$H$1,MAX(L14:Q14)-LARGE(L14:Q14,2)&lt;Rules!$H$2),"No label",INDEX($L$1:$Q$1,MATCH(MAX(L14:Q14),L14:Q14,0)))</f>
        <v>No label</v>
      </c>
      <c r="S14" s="0" t="n">
        <f aca="false">SUMPRODUCT(ISNUMBER(SEARCH(" "&amp;Terms!$A$3:$A$821&amp;" ",$D14))*Terms!B$3:B$821)+Terms!B$2</f>
        <v>-4.37624626972195</v>
      </c>
      <c r="T14" s="0" t="n">
        <f aca="false">SUMPRODUCT(ISNUMBER(SEARCH(" "&amp;Terms!$A$3:$A$821&amp;" ",$D14))*Terms!C$3:C$821)+Terms!C$2</f>
        <v>-7.02208422956827</v>
      </c>
      <c r="U14" s="0" t="n">
        <f aca="false">SUMPRODUCT(ISNUMBER(SEARCH(" "&amp;Terms!$A$3:$A$821&amp;" ",$D14))*Terms!D$3:D$821)+Terms!D$2</f>
        <v>-0.671515989790915</v>
      </c>
      <c r="V14" s="0" t="n">
        <f aca="false">SUMPRODUCT(ISNUMBER(SEARCH(" "&amp;Terms!$A$3:$A$821&amp;" ",$D14))*Terms!E$3:E$821)+Terms!E$2</f>
        <v>15.5177348575741</v>
      </c>
      <c r="W14" s="0" t="n">
        <f aca="false">SUMPRODUCT(ISNUMBER(SEARCH(" "&amp;Terms!$A$3:$A$821&amp;" ",$D14))*Terms!F$3:F$821)+Terms!F$2</f>
        <v>1.74644564940042</v>
      </c>
      <c r="X14" s="0" t="n">
        <f aca="false">SUMPRODUCT(ISNUMBER(SEARCH(" "&amp;Terms!$A$3:$A$821&amp;" ",$D14))*Terms!G$3:G$821)+Terms!G$2</f>
        <v>-5.19433401789327</v>
      </c>
      <c r="Y14" s="0" t="str">
        <f aca="false">INDEX($S$1:$X$1,MATCH(MAX(S14:X14),S14:X14,0))</f>
        <v>Fees &amp; Charges</v>
      </c>
      <c r="Z14" s="0" t="s">
        <v>2608</v>
      </c>
    </row>
    <row r="15" customFormat="false" ht="15" hidden="false" customHeight="false" outlineLevel="0" collapsed="false">
      <c r="A15" s="0" t="str">
        <f aca="false">Complaints!A15</f>
        <v>C0014</v>
      </c>
      <c r="B15" s="0" t="str">
        <f aca="false">Complaints!B15</f>
        <v>Frankly, The complaints handler was unhelpful and talked over me. I am worried it might be fraud. I want this put right.</v>
      </c>
      <c r="C15" s="0" t="str">
        <f aca="false">Complaints!C15</f>
        <v>Customer Service</v>
      </c>
      <c r="D15" s="0" t="str">
        <f aca="false">" "&amp;TRIM(SUBSTITUTE(SUBSTITUTE(SUBSTITUTE(SUBSTITUTE(SUBSTITUTE(SUBSTITUTE(SUBSTITUTE(SUBSTITUTE(SUBSTITUTE(SUBSTITUTE(SUBSTITUTE(SUBSTITUTE(SUBSTITUTE(SUBSTITUTE(SUBSTITUTE(SUBSTITUTE(LOWER(B15),"."," "),","," "),"'"," "),"’"," "),"!"," "),"?"," "),";"," "),":"," "),"-"," "),"("," "),")"," "),"""", " "),"£"," "),"&amp;"," "),"/"," "),"%"," "))&amp;" "</f>
        <v> frankly the complaints handler was unhelpful and talked over me i am worried it might be fraud i want this put right </v>
      </c>
      <c r="E15" s="0" t="n">
        <f aca="false">SUMPRODUCT((Rules!$A$2:$A$60=E$1)*Rules!$C$2:$C$60*ISNUMBER(SEARCH(Rules!$D$2:$D$60,$D15)))</f>
        <v>3</v>
      </c>
      <c r="F15" s="0" t="n">
        <f aca="false">SUMPRODUCT((Rules!$A$2:$A$60=F$1)*Rules!$C$2:$C$60*ISNUMBER(SEARCH(Rules!$D$2:$D$60,$D15)))</f>
        <v>0</v>
      </c>
      <c r="G15" s="0" t="n">
        <f aca="false">SUMPRODUCT((Rules!$A$2:$A$60=G$1)*Rules!$C$2:$C$60*ISNUMBER(SEARCH(Rules!$D$2:$D$60,$D15)))</f>
        <v>0</v>
      </c>
      <c r="H15" s="0" t="n">
        <f aca="false">SUMPRODUCT((Rules!$A$2:$A$60=H$1)*Rules!$C$2:$C$60*ISNUMBER(SEARCH(Rules!$D$2:$D$60,$D15)))</f>
        <v>0</v>
      </c>
      <c r="I15" s="0" t="n">
        <f aca="false">SUMPRODUCT((Rules!$A$2:$A$60=I$1)*Rules!$C$2:$C$60*ISNUMBER(SEARCH(Rules!$D$2:$D$60,$D15)))</f>
        <v>0</v>
      </c>
      <c r="J15" s="0" t="n">
        <f aca="false">SUMPRODUCT((Rules!$A$2:$A$60=J$1)*Rules!$C$2:$C$60*ISNUMBER(SEARCH(Rules!$D$2:$D$60,$D15)))</f>
        <v>2</v>
      </c>
      <c r="K15" s="0" t="str">
        <f aca="false">IF(OR(MAX(E15:J15)&lt;Rules!$H$1,MAX(E15:J15)-LARGE(E15:J15,2)&lt;Rules!$H$2),"No label",INDEX($E$1:$J$1,MATCH(MAX(E15:J15),E15:J15,0)))</f>
        <v>No label</v>
      </c>
      <c r="L15" s="0" t="n">
        <f aca="false">SUMPRODUCT((Rules!$A$2:$A$60=L$1)*Rules!$C$2:$C$60*ISNUMBER(SEARCH(Rules!$E$2:$E$60,$D15)))</f>
        <v>3</v>
      </c>
      <c r="M15" s="0" t="n">
        <f aca="false">SUMPRODUCT((Rules!$A$2:$A$60=M$1)*Rules!$C$2:$C$60*ISNUMBER(SEARCH(Rules!$E$2:$E$60,$D15)))</f>
        <v>0</v>
      </c>
      <c r="N15" s="0" t="n">
        <f aca="false">SUMPRODUCT((Rules!$A$2:$A$60=N$1)*Rules!$C$2:$C$60*ISNUMBER(SEARCH(Rules!$E$2:$E$60,$D15)))</f>
        <v>0</v>
      </c>
      <c r="O15" s="0" t="n">
        <f aca="false">SUMPRODUCT((Rules!$A$2:$A$60=O$1)*Rules!$C$2:$C$60*ISNUMBER(SEARCH(Rules!$E$2:$E$60,$D15)))</f>
        <v>0</v>
      </c>
      <c r="P15" s="0" t="n">
        <f aca="false">SUMPRODUCT((Rules!$A$2:$A$60=P$1)*Rules!$C$2:$C$60*ISNUMBER(SEARCH(Rules!$E$2:$E$60,$D15)))</f>
        <v>0</v>
      </c>
      <c r="Q15" s="0" t="n">
        <f aca="false">SUMPRODUCT((Rules!$A$2:$A$60=Q$1)*Rules!$C$2:$C$60*ISNUMBER(SEARCH(Rules!$E$2:$E$60,$D15)))</f>
        <v>2</v>
      </c>
      <c r="R15" s="0" t="str">
        <f aca="false">IF(OR(MAX(L15:Q15)&lt;Rules!$H$1,MAX(L15:Q15)-LARGE(L15:Q15,2)&lt;Rules!$H$2),"No label",INDEX($L$1:$Q$1,MATCH(MAX(L15:Q15),L15:Q15,0)))</f>
        <v>No label</v>
      </c>
      <c r="S15" s="0" t="n">
        <f aca="false">SUMPRODUCT(ISNUMBER(SEARCH(" "&amp;Terms!$A$3:$A$821&amp;" ",$D15))*Terms!B$3:B$821)+Terms!B$2</f>
        <v>-1.87474169180736</v>
      </c>
      <c r="T15" s="0" t="n">
        <f aca="false">SUMPRODUCT(ISNUMBER(SEARCH(" "&amp;Terms!$A$3:$A$821&amp;" ",$D15))*Terms!C$3:C$821)+Terms!C$2</f>
        <v>6.18621857879832</v>
      </c>
      <c r="U15" s="0" t="n">
        <f aca="false">SUMPRODUCT(ISNUMBER(SEARCH(" "&amp;Terms!$A$3:$A$821&amp;" ",$D15))*Terms!D$3:D$821)+Terms!D$2</f>
        <v>-4.46273897196399</v>
      </c>
      <c r="V15" s="0" t="n">
        <f aca="false">SUMPRODUCT(ISNUMBER(SEARCH(" "&amp;Terms!$A$3:$A$821&amp;" ",$D15))*Terms!E$3:E$821)+Terms!E$2</f>
        <v>0.953506295342853</v>
      </c>
      <c r="W15" s="0" t="n">
        <f aca="false">SUMPRODUCT(ISNUMBER(SEARCH(" "&amp;Terms!$A$3:$A$821&amp;" ",$D15))*Terms!F$3:F$821)+Terms!F$2</f>
        <v>0.0384939991256653</v>
      </c>
      <c r="X15" s="0" t="n">
        <f aca="false">SUMPRODUCT(ISNUMBER(SEARCH(" "&amp;Terms!$A$3:$A$821&amp;" ",$D15))*Terms!G$3:G$821)+Terms!G$2</f>
        <v>-0.840738209495388</v>
      </c>
      <c r="Y15" s="0" t="str">
        <f aca="false">INDEX($S$1:$X$1,MATCH(MAX(S15:X15),S15:X15,0))</f>
        <v>Customer Service</v>
      </c>
      <c r="Z15" s="0" t="s">
        <v>2608</v>
      </c>
    </row>
    <row r="16" customFormat="false" ht="15" hidden="false" customHeight="false" outlineLevel="0" collapsed="false">
      <c r="A16" s="0" t="str">
        <f aca="false">Complaints!A16</f>
        <v>C0015</v>
      </c>
      <c r="B16" s="0" t="str">
        <f aca="false">Complaints!B16</f>
        <v>I am writing to complain. Nobody explained the foreign transaction charges before my holiday. Also, my account was frozen and I cannot get in to move money. I want this put right.</v>
      </c>
      <c r="C16" s="0" t="str">
        <f aca="false">Complaints!C16</f>
        <v>Fees &amp; Charges</v>
      </c>
      <c r="D16" s="0" t="str">
        <f aca="false">" "&amp;TRIM(SUBSTITUTE(SUBSTITUTE(SUBSTITUTE(SUBSTITUTE(SUBSTITUTE(SUBSTITUTE(SUBSTITUTE(SUBSTITUTE(SUBSTITUTE(SUBSTITUTE(SUBSTITUTE(SUBSTITUTE(SUBSTITUTE(SUBSTITUTE(SUBSTITUTE(SUBSTITUTE(LOWER(B16),"."," "),","," "),"'"," "),"’"," "),"!"," "),"?"," "),";"," "),":"," "),"-"," "),"("," "),")"," "),"""", " "),"£"," "),"&amp;"," "),"/"," "),"%"," "))&amp;" "</f>
        <v> i am writing to complain nobody explained the foreign transaction charges before my holiday also my account was frozen and i cannot get in to move money i want this put right </v>
      </c>
      <c r="E16" s="0" t="n">
        <f aca="false">SUMPRODUCT((Rules!$A$2:$A$60=E$1)*Rules!$C$2:$C$60*ISNUMBER(SEARCH(Rules!$D$2:$D$60,$D16)))</f>
        <v>0</v>
      </c>
      <c r="F16" s="0" t="n">
        <f aca="false">SUMPRODUCT((Rules!$A$2:$A$60=F$1)*Rules!$C$2:$C$60*ISNUMBER(SEARCH(Rules!$D$2:$D$60,$D16)))</f>
        <v>0</v>
      </c>
      <c r="G16" s="0" t="n">
        <f aca="false">SUMPRODUCT((Rules!$A$2:$A$60=G$1)*Rules!$C$2:$C$60*ISNUMBER(SEARCH(Rules!$D$2:$D$60,$D16)))</f>
        <v>0</v>
      </c>
      <c r="H16" s="0" t="n">
        <f aca="false">SUMPRODUCT((Rules!$A$2:$A$60=H$1)*Rules!$C$2:$C$60*ISNUMBER(SEARCH(Rules!$D$2:$D$60,$D16)))</f>
        <v>0</v>
      </c>
      <c r="I16" s="0" t="n">
        <f aca="false">SUMPRODUCT((Rules!$A$2:$A$60=I$1)*Rules!$C$2:$C$60*ISNUMBER(SEARCH(Rules!$D$2:$D$60,$D16)))</f>
        <v>0</v>
      </c>
      <c r="J16" s="0" t="n">
        <f aca="false">SUMPRODUCT((Rules!$A$2:$A$60=J$1)*Rules!$C$2:$C$60*ISNUMBER(SEARCH(Rules!$D$2:$D$60,$D16)))</f>
        <v>0</v>
      </c>
      <c r="K16" s="0" t="str">
        <f aca="false">IF(OR(MAX(E16:J16)&lt;Rules!$H$1,MAX(E16:J16)-LARGE(E16:J16,2)&lt;Rules!$H$2),"No label",INDEX($E$1:$J$1,MATCH(MAX(E16:J16),E16:J16,0)))</f>
        <v>No label</v>
      </c>
      <c r="L16" s="0" t="n">
        <f aca="false">SUMPRODUCT((Rules!$A$2:$A$60=L$1)*Rules!$C$2:$C$60*ISNUMBER(SEARCH(Rules!$E$2:$E$60,$D16)))</f>
        <v>0</v>
      </c>
      <c r="M16" s="0" t="n">
        <f aca="false">SUMPRODUCT((Rules!$A$2:$A$60=M$1)*Rules!$C$2:$C$60*ISNUMBER(SEARCH(Rules!$E$2:$E$60,$D16)))</f>
        <v>0</v>
      </c>
      <c r="N16" s="0" t="n">
        <f aca="false">SUMPRODUCT((Rules!$A$2:$A$60=N$1)*Rules!$C$2:$C$60*ISNUMBER(SEARCH(Rules!$E$2:$E$60,$D16)))</f>
        <v>0</v>
      </c>
      <c r="O16" s="0" t="n">
        <f aca="false">SUMPRODUCT((Rules!$A$2:$A$60=O$1)*Rules!$C$2:$C$60*ISNUMBER(SEARCH(Rules!$E$2:$E$60,$D16)))</f>
        <v>4</v>
      </c>
      <c r="P16" s="0" t="n">
        <f aca="false">SUMPRODUCT((Rules!$A$2:$A$60=P$1)*Rules!$C$2:$C$60*ISNUMBER(SEARCH(Rules!$E$2:$E$60,$D16)))</f>
        <v>0</v>
      </c>
      <c r="Q16" s="0" t="n">
        <f aca="false">SUMPRODUCT((Rules!$A$2:$A$60=Q$1)*Rules!$C$2:$C$60*ISNUMBER(SEARCH(Rules!$E$2:$E$60,$D16)))</f>
        <v>0</v>
      </c>
      <c r="R16" s="0" t="str">
        <f aca="false">IF(OR(MAX(L16:Q16)&lt;Rules!$H$1,MAX(L16:Q16)-LARGE(L16:Q16,2)&lt;Rules!$H$2),"No label",INDEX($L$1:$Q$1,MATCH(MAX(L16:Q16),L16:Q16,0)))</f>
        <v>Fees &amp; Charges</v>
      </c>
      <c r="S16" s="0" t="n">
        <f aca="false">SUMPRODUCT(ISNUMBER(SEARCH(" "&amp;Terms!$A$3:$A$821&amp;" ",$D16))*Terms!B$3:B$821)+Terms!B$2</f>
        <v>2.34553913162532</v>
      </c>
      <c r="T16" s="0" t="n">
        <f aca="false">SUMPRODUCT(ISNUMBER(SEARCH(" "&amp;Terms!$A$3:$A$821&amp;" ",$D16))*Terms!C$3:C$821)+Terms!C$2</f>
        <v>-5.75080678636439</v>
      </c>
      <c r="U16" s="0" t="n">
        <f aca="false">SUMPRODUCT(ISNUMBER(SEARCH(" "&amp;Terms!$A$3:$A$821&amp;" ",$D16))*Terms!D$3:D$821)+Terms!D$2</f>
        <v>-1.39546258537558</v>
      </c>
      <c r="V16" s="0" t="n">
        <f aca="false">SUMPRODUCT(ISNUMBER(SEARCH(" "&amp;Terms!$A$3:$A$821&amp;" ",$D16))*Terms!E$3:E$821)+Terms!E$2</f>
        <v>9.91270850108529</v>
      </c>
      <c r="W16" s="0" t="n">
        <f aca="false">SUMPRODUCT(ISNUMBER(SEARCH(" "&amp;Terms!$A$3:$A$821&amp;" ",$D16))*Terms!F$3:F$821)+Terms!F$2</f>
        <v>-0.661110850524156</v>
      </c>
      <c r="X16" s="0" t="n">
        <f aca="false">SUMPRODUCT(ISNUMBER(SEARCH(" "&amp;Terms!$A$3:$A$821&amp;" ",$D16))*Terms!G$3:G$821)+Terms!G$2</f>
        <v>-4.45086741044642</v>
      </c>
      <c r="Y16" s="0" t="str">
        <f aca="false">INDEX($S$1:$X$1,MATCH(MAX(S16:X16),S16:X16,0))</f>
        <v>Fees &amp; Charges</v>
      </c>
      <c r="Z16" s="0" t="s">
        <v>2607</v>
      </c>
    </row>
    <row r="17" customFormat="false" ht="15" hidden="false" customHeight="false" outlineLevel="0" collapsed="false">
      <c r="A17" s="0" t="str">
        <f aca="false">Complaints!A17</f>
        <v>C0016</v>
      </c>
      <c r="B17" s="0" t="str">
        <f aca="false">Complaints!B17</f>
        <v>The adviser did not explain the risks of the investment.</v>
      </c>
      <c r="C17" s="0" t="str">
        <f aca="false">Complaints!C17</f>
        <v>Mis-selling</v>
      </c>
      <c r="D17" s="0" t="str">
        <f aca="false">" "&amp;TRIM(SUBSTITUTE(SUBSTITUTE(SUBSTITUTE(SUBSTITUTE(SUBSTITUTE(SUBSTITUTE(SUBSTITUTE(SUBSTITUTE(SUBSTITUTE(SUBSTITUTE(SUBSTITUTE(SUBSTITUTE(SUBSTITUTE(SUBSTITUTE(SUBSTITUTE(SUBSTITUTE(LOWER(B17),"."," "),","," "),"'"," "),"’"," "),"!"," "),"?"," "),";"," "),":"," "),"-"," "),"("," "),")"," "),"""", " "),"£"," "),"&amp;"," "),"/"," "),"%"," "))&amp;" "</f>
        <v> the adviser did not explain the risks of the investment </v>
      </c>
      <c r="E17" s="0" t="n">
        <f aca="false">SUMPRODUCT((Rules!$A$2:$A$60=E$1)*Rules!$C$2:$C$60*ISNUMBER(SEARCH(Rules!$D$2:$D$60,$D17)))</f>
        <v>0</v>
      </c>
      <c r="F17" s="0" t="n">
        <f aca="false">SUMPRODUCT((Rules!$A$2:$A$60=F$1)*Rules!$C$2:$C$60*ISNUMBER(SEARCH(Rules!$D$2:$D$60,$D17)))</f>
        <v>4</v>
      </c>
      <c r="G17" s="0" t="n">
        <f aca="false">SUMPRODUCT((Rules!$A$2:$A$60=G$1)*Rules!$C$2:$C$60*ISNUMBER(SEARCH(Rules!$D$2:$D$60,$D17)))</f>
        <v>0</v>
      </c>
      <c r="H17" s="0" t="n">
        <f aca="false">SUMPRODUCT((Rules!$A$2:$A$60=H$1)*Rules!$C$2:$C$60*ISNUMBER(SEARCH(Rules!$D$2:$D$60,$D17)))</f>
        <v>0</v>
      </c>
      <c r="I17" s="0" t="n">
        <f aca="false">SUMPRODUCT((Rules!$A$2:$A$60=I$1)*Rules!$C$2:$C$60*ISNUMBER(SEARCH(Rules!$D$2:$D$60,$D17)))</f>
        <v>0</v>
      </c>
      <c r="J17" s="0" t="n">
        <f aca="false">SUMPRODUCT((Rules!$A$2:$A$60=J$1)*Rules!$C$2:$C$60*ISNUMBER(SEARCH(Rules!$D$2:$D$60,$D17)))</f>
        <v>0</v>
      </c>
      <c r="K17" s="0" t="str">
        <f aca="false">IF(OR(MAX(E17:J17)&lt;Rules!$H$1,MAX(E17:J17)-LARGE(E17:J17,2)&lt;Rules!$H$2),"No label",INDEX($E$1:$J$1,MATCH(MAX(E17:J17),E17:J17,0)))</f>
        <v>Mis-selling</v>
      </c>
      <c r="L17" s="0" t="n">
        <f aca="false">SUMPRODUCT((Rules!$A$2:$A$60=L$1)*Rules!$C$2:$C$60*ISNUMBER(SEARCH(Rules!$E$2:$E$60,$D17)))</f>
        <v>0</v>
      </c>
      <c r="M17" s="0" t="n">
        <f aca="false">SUMPRODUCT((Rules!$A$2:$A$60=M$1)*Rules!$C$2:$C$60*ISNUMBER(SEARCH(Rules!$E$2:$E$60,$D17)))</f>
        <v>6</v>
      </c>
      <c r="N17" s="0" t="n">
        <f aca="false">SUMPRODUCT((Rules!$A$2:$A$60=N$1)*Rules!$C$2:$C$60*ISNUMBER(SEARCH(Rules!$E$2:$E$60,$D17)))</f>
        <v>0</v>
      </c>
      <c r="O17" s="0" t="n">
        <f aca="false">SUMPRODUCT((Rules!$A$2:$A$60=O$1)*Rules!$C$2:$C$60*ISNUMBER(SEARCH(Rules!$E$2:$E$60,$D17)))</f>
        <v>0</v>
      </c>
      <c r="P17" s="0" t="n">
        <f aca="false">SUMPRODUCT((Rules!$A$2:$A$60=P$1)*Rules!$C$2:$C$60*ISNUMBER(SEARCH(Rules!$E$2:$E$60,$D17)))</f>
        <v>0</v>
      </c>
      <c r="Q17" s="0" t="n">
        <f aca="false">SUMPRODUCT((Rules!$A$2:$A$60=Q$1)*Rules!$C$2:$C$60*ISNUMBER(SEARCH(Rules!$E$2:$E$60,$D17)))</f>
        <v>1</v>
      </c>
      <c r="R17" s="0" t="str">
        <f aca="false">IF(OR(MAX(L17:Q17)&lt;Rules!$H$1,MAX(L17:Q17)-LARGE(L17:Q17,2)&lt;Rules!$H$2),"No label",INDEX($L$1:$Q$1,MATCH(MAX(L17:Q17),L17:Q17,0)))</f>
        <v>Mis-selling</v>
      </c>
      <c r="S17" s="0" t="n">
        <f aca="false">SUMPRODUCT(ISNUMBER(SEARCH(" "&amp;Terms!$A$3:$A$821&amp;" ",$D17))*Terms!B$3:B$821)+Terms!B$2</f>
        <v>-3.13168580963262</v>
      </c>
      <c r="T17" s="0" t="n">
        <f aca="false">SUMPRODUCT(ISNUMBER(SEARCH(" "&amp;Terms!$A$3:$A$821&amp;" ",$D17))*Terms!C$3:C$821)+Terms!C$2</f>
        <v>-0.518821062480782</v>
      </c>
      <c r="U17" s="0" t="n">
        <f aca="false">SUMPRODUCT(ISNUMBER(SEARCH(" "&amp;Terms!$A$3:$A$821&amp;" ",$D17))*Terms!D$3:D$821)+Terms!D$2</f>
        <v>-4.10113960753229</v>
      </c>
      <c r="V17" s="0" t="n">
        <f aca="false">SUMPRODUCT(ISNUMBER(SEARCH(" "&amp;Terms!$A$3:$A$821&amp;" ",$D17))*Terms!E$3:E$821)+Terms!E$2</f>
        <v>0.00569011914666956</v>
      </c>
      <c r="W17" s="0" t="n">
        <f aca="false">SUMPRODUCT(ISNUMBER(SEARCH(" "&amp;Terms!$A$3:$A$821&amp;" ",$D17))*Terms!F$3:F$821)+Terms!F$2</f>
        <v>-1.12568617135009</v>
      </c>
      <c r="X17" s="0" t="n">
        <f aca="false">SUMPRODUCT(ISNUMBER(SEARCH(" "&amp;Terms!$A$3:$A$821&amp;" ",$D17))*Terms!G$3:G$821)+Terms!G$2</f>
        <v>8.87164253184919</v>
      </c>
      <c r="Y17" s="0" t="str">
        <f aca="false">INDEX($S$1:$X$1,MATCH(MAX(S17:X17),S17:X17,0))</f>
        <v>Mis-selling</v>
      </c>
      <c r="Z17" s="0" t="s">
        <v>2607</v>
      </c>
    </row>
    <row r="18" customFormat="false" ht="15" hidden="false" customHeight="false" outlineLevel="0" collapsed="false">
      <c r="A18" s="0" t="str">
        <f aca="false">Complaints!A18</f>
        <v>C0017</v>
      </c>
      <c r="B18" s="0" t="str">
        <f aca="false">Complaints!B18</f>
        <v>Two factor codes are not being sent to my phone. Please sort this out.</v>
      </c>
      <c r="C18" s="0" t="str">
        <f aca="false">Complaints!C18</f>
        <v>Account Access</v>
      </c>
      <c r="D18" s="0" t="str">
        <f aca="false">" "&amp;TRIM(SUBSTITUTE(SUBSTITUTE(SUBSTITUTE(SUBSTITUTE(SUBSTITUTE(SUBSTITUTE(SUBSTITUTE(SUBSTITUTE(SUBSTITUTE(SUBSTITUTE(SUBSTITUTE(SUBSTITUTE(SUBSTITUTE(SUBSTITUTE(SUBSTITUTE(SUBSTITUTE(LOWER(B18),"."," "),","," "),"'"," "),"’"," "),"!"," "),"?"," "),";"," "),":"," "),"-"," "),"("," "),")"," "),"""", " "),"£"," "),"&amp;"," "),"/"," "),"%"," "))&amp;" "</f>
        <v> two factor codes are not being sent to my phone please sort this out </v>
      </c>
      <c r="E18" s="0" t="n">
        <f aca="false">SUMPRODUCT((Rules!$A$2:$A$60=E$1)*Rules!$C$2:$C$60*ISNUMBER(SEARCH(Rules!$D$2:$D$60,$D18)))</f>
        <v>0</v>
      </c>
      <c r="F18" s="0" t="n">
        <f aca="false">SUMPRODUCT((Rules!$A$2:$A$60=F$1)*Rules!$C$2:$C$60*ISNUMBER(SEARCH(Rules!$D$2:$D$60,$D18)))</f>
        <v>0</v>
      </c>
      <c r="G18" s="0" t="n">
        <f aca="false">SUMPRODUCT((Rules!$A$2:$A$60=G$1)*Rules!$C$2:$C$60*ISNUMBER(SEARCH(Rules!$D$2:$D$60,$D18)))</f>
        <v>3</v>
      </c>
      <c r="H18" s="0" t="n">
        <f aca="false">SUMPRODUCT((Rules!$A$2:$A$60=H$1)*Rules!$C$2:$C$60*ISNUMBER(SEARCH(Rules!$D$2:$D$60,$D18)))</f>
        <v>0</v>
      </c>
      <c r="I18" s="0" t="n">
        <f aca="false">SUMPRODUCT((Rules!$A$2:$A$60=I$1)*Rules!$C$2:$C$60*ISNUMBER(SEARCH(Rules!$D$2:$D$60,$D18)))</f>
        <v>0</v>
      </c>
      <c r="J18" s="0" t="n">
        <f aca="false">SUMPRODUCT((Rules!$A$2:$A$60=J$1)*Rules!$C$2:$C$60*ISNUMBER(SEARCH(Rules!$D$2:$D$60,$D18)))</f>
        <v>0</v>
      </c>
      <c r="K18" s="0" t="str">
        <f aca="false">IF(OR(MAX(E18:J18)&lt;Rules!$H$1,MAX(E18:J18)-LARGE(E18:J18,2)&lt;Rules!$H$2),"No label",INDEX($E$1:$J$1,MATCH(MAX(E18:J18),E18:J18,0)))</f>
        <v>Account Access</v>
      </c>
      <c r="L18" s="0" t="n">
        <f aca="false">SUMPRODUCT((Rules!$A$2:$A$60=L$1)*Rules!$C$2:$C$60*ISNUMBER(SEARCH(Rules!$E$2:$E$60,$D18)))</f>
        <v>0</v>
      </c>
      <c r="M18" s="0" t="n">
        <f aca="false">SUMPRODUCT((Rules!$A$2:$A$60=M$1)*Rules!$C$2:$C$60*ISNUMBER(SEARCH(Rules!$E$2:$E$60,$D18)))</f>
        <v>0</v>
      </c>
      <c r="N18" s="0" t="n">
        <f aca="false">SUMPRODUCT((Rules!$A$2:$A$60=N$1)*Rules!$C$2:$C$60*ISNUMBER(SEARCH(Rules!$E$2:$E$60,$D18)))</f>
        <v>3</v>
      </c>
      <c r="O18" s="0" t="n">
        <f aca="false">SUMPRODUCT((Rules!$A$2:$A$60=O$1)*Rules!$C$2:$C$60*ISNUMBER(SEARCH(Rules!$E$2:$E$60,$D18)))</f>
        <v>0</v>
      </c>
      <c r="P18" s="0" t="n">
        <f aca="false">SUMPRODUCT((Rules!$A$2:$A$60=P$1)*Rules!$C$2:$C$60*ISNUMBER(SEARCH(Rules!$E$2:$E$60,$D18)))</f>
        <v>0</v>
      </c>
      <c r="Q18" s="0" t="n">
        <f aca="false">SUMPRODUCT((Rules!$A$2:$A$60=Q$1)*Rules!$C$2:$C$60*ISNUMBER(SEARCH(Rules!$E$2:$E$60,$D18)))</f>
        <v>0</v>
      </c>
      <c r="R18" s="0" t="str">
        <f aca="false">IF(OR(MAX(L18:Q18)&lt;Rules!$H$1,MAX(L18:Q18)-LARGE(L18:Q18,2)&lt;Rules!$H$2),"No label",INDEX($L$1:$Q$1,MATCH(MAX(L18:Q18),L18:Q18,0)))</f>
        <v>Account Access</v>
      </c>
      <c r="S18" s="0" t="n">
        <f aca="false">SUMPRODUCT(ISNUMBER(SEARCH(" "&amp;Terms!$A$3:$A$821&amp;" ",$D18))*Terms!B$3:B$821)+Terms!B$2</f>
        <v>6.93905106360926</v>
      </c>
      <c r="T18" s="0" t="n">
        <f aca="false">SUMPRODUCT(ISNUMBER(SEARCH(" "&amp;Terms!$A$3:$A$821&amp;" ",$D18))*Terms!C$3:C$821)+Terms!C$2</f>
        <v>-2.48427332211223</v>
      </c>
      <c r="U18" s="0" t="n">
        <f aca="false">SUMPRODUCT(ISNUMBER(SEARCH(" "&amp;Terms!$A$3:$A$821&amp;" ",$D18))*Terms!D$3:D$821)+Terms!D$2</f>
        <v>2.89884180048557</v>
      </c>
      <c r="V18" s="0" t="n">
        <f aca="false">SUMPRODUCT(ISNUMBER(SEARCH(" "&amp;Terms!$A$3:$A$821&amp;" ",$D18))*Terms!E$3:E$821)+Terms!E$2</f>
        <v>-0.445852590803322</v>
      </c>
      <c r="W18" s="0" t="n">
        <f aca="false">SUMPRODUCT(ISNUMBER(SEARCH(" "&amp;Terms!$A$3:$A$821&amp;" ",$D18))*Terms!F$3:F$821)+Terms!F$2</f>
        <v>-4.2221759110976</v>
      </c>
      <c r="X18" s="0" t="n">
        <f aca="false">SUMPRODUCT(ISNUMBER(SEARCH(" "&amp;Terms!$A$3:$A$821&amp;" ",$D18))*Terms!G$3:G$821)+Terms!G$2</f>
        <v>-2.6855910400816</v>
      </c>
      <c r="Y18" s="0" t="str">
        <f aca="false">INDEX($S$1:$X$1,MATCH(MAX(S18:X18),S18:X18,0))</f>
        <v>Account Access</v>
      </c>
      <c r="Z18" s="0" t="s">
        <v>2608</v>
      </c>
    </row>
    <row r="19" customFormat="false" ht="15" hidden="false" customHeight="false" outlineLevel="0" collapsed="false">
      <c r="A19" s="0" t="str">
        <f aca="false">Complaints!A19</f>
        <v>C0018</v>
      </c>
      <c r="B19" s="0" t="str">
        <f aca="false">Complaints!B19</f>
        <v>I am writing to complain. A late payment fee appeared and I want it refunded.</v>
      </c>
      <c r="C19" s="0" t="str">
        <f aca="false">Complaints!C19</f>
        <v>Fees &amp; Charges</v>
      </c>
      <c r="D19" s="0" t="str">
        <f aca="false">" "&amp;TRIM(SUBSTITUTE(SUBSTITUTE(SUBSTITUTE(SUBSTITUTE(SUBSTITUTE(SUBSTITUTE(SUBSTITUTE(SUBSTITUTE(SUBSTITUTE(SUBSTITUTE(SUBSTITUTE(SUBSTITUTE(SUBSTITUTE(SUBSTITUTE(SUBSTITUTE(SUBSTITUTE(LOWER(B19),"."," "),","," "),"'"," "),"’"," "),"!"," "),"?"," "),";"," "),":"," "),"-"," "),"("," "),")"," "),"""", " "),"£"," "),"&amp;"," "),"/"," "),"%"," "))&amp;" "</f>
        <v> i am writing to complain a late payment fee appeared and i want it refunded </v>
      </c>
      <c r="E19" s="0" t="n">
        <f aca="false">SUMPRODUCT((Rules!$A$2:$A$60=E$1)*Rules!$C$2:$C$60*ISNUMBER(SEARCH(Rules!$D$2:$D$60,$D19)))</f>
        <v>0</v>
      </c>
      <c r="F19" s="0" t="n">
        <f aca="false">SUMPRODUCT((Rules!$A$2:$A$60=F$1)*Rules!$C$2:$C$60*ISNUMBER(SEARCH(Rules!$D$2:$D$60,$D19)))</f>
        <v>0</v>
      </c>
      <c r="G19" s="0" t="n">
        <f aca="false">SUMPRODUCT((Rules!$A$2:$A$60=G$1)*Rules!$C$2:$C$60*ISNUMBER(SEARCH(Rules!$D$2:$D$60,$D19)))</f>
        <v>0</v>
      </c>
      <c r="H19" s="0" t="n">
        <f aca="false">SUMPRODUCT((Rules!$A$2:$A$60=H$1)*Rules!$C$2:$C$60*ISNUMBER(SEARCH(Rules!$D$2:$D$60,$D19)))</f>
        <v>2</v>
      </c>
      <c r="I19" s="0" t="n">
        <f aca="false">SUMPRODUCT((Rules!$A$2:$A$60=I$1)*Rules!$C$2:$C$60*ISNUMBER(SEARCH(Rules!$D$2:$D$60,$D19)))</f>
        <v>0</v>
      </c>
      <c r="J19" s="0" t="n">
        <f aca="false">SUMPRODUCT((Rules!$A$2:$A$60=J$1)*Rules!$C$2:$C$60*ISNUMBER(SEARCH(Rules!$D$2:$D$60,$D19)))</f>
        <v>0</v>
      </c>
      <c r="K19" s="0" t="str">
        <f aca="false">IF(OR(MAX(E19:J19)&lt;Rules!$H$1,MAX(E19:J19)-LARGE(E19:J19,2)&lt;Rules!$H$2),"No label",INDEX($E$1:$J$1,MATCH(MAX(E19:J19),E19:J19,0)))</f>
        <v>No label</v>
      </c>
      <c r="L19" s="0" t="n">
        <f aca="false">SUMPRODUCT((Rules!$A$2:$A$60=L$1)*Rules!$C$2:$C$60*ISNUMBER(SEARCH(Rules!$E$2:$E$60,$D19)))</f>
        <v>0</v>
      </c>
      <c r="M19" s="0" t="n">
        <f aca="false">SUMPRODUCT((Rules!$A$2:$A$60=M$1)*Rules!$C$2:$C$60*ISNUMBER(SEARCH(Rules!$E$2:$E$60,$D19)))</f>
        <v>0</v>
      </c>
      <c r="N19" s="0" t="n">
        <f aca="false">SUMPRODUCT((Rules!$A$2:$A$60=N$1)*Rules!$C$2:$C$60*ISNUMBER(SEARCH(Rules!$E$2:$E$60,$D19)))</f>
        <v>0</v>
      </c>
      <c r="O19" s="0" t="n">
        <f aca="false">SUMPRODUCT((Rules!$A$2:$A$60=O$1)*Rules!$C$2:$C$60*ISNUMBER(SEARCH(Rules!$E$2:$E$60,$D19)))</f>
        <v>2</v>
      </c>
      <c r="P19" s="0" t="n">
        <f aca="false">SUMPRODUCT((Rules!$A$2:$A$60=P$1)*Rules!$C$2:$C$60*ISNUMBER(SEARCH(Rules!$E$2:$E$60,$D19)))</f>
        <v>0</v>
      </c>
      <c r="Q19" s="0" t="n">
        <f aca="false">SUMPRODUCT((Rules!$A$2:$A$60=Q$1)*Rules!$C$2:$C$60*ISNUMBER(SEARCH(Rules!$E$2:$E$60,$D19)))</f>
        <v>0</v>
      </c>
      <c r="R19" s="0" t="str">
        <f aca="false">IF(OR(MAX(L19:Q19)&lt;Rules!$H$1,MAX(L19:Q19)-LARGE(L19:Q19,2)&lt;Rules!$H$2),"No label",INDEX($L$1:$Q$1,MATCH(MAX(L19:Q19),L19:Q19,0)))</f>
        <v>No label</v>
      </c>
      <c r="S19" s="0" t="n">
        <f aca="false">SUMPRODUCT(ISNUMBER(SEARCH(" "&amp;Terms!$A$3:$A$821&amp;" ",$D19))*Terms!B$3:B$821)+Terms!B$2</f>
        <v>-3.82437678528826</v>
      </c>
      <c r="T19" s="0" t="n">
        <f aca="false">SUMPRODUCT(ISNUMBER(SEARCH(" "&amp;Terms!$A$3:$A$821&amp;" ",$D19))*Terms!C$3:C$821)+Terms!C$2</f>
        <v>-5.58835611886296</v>
      </c>
      <c r="U19" s="0" t="n">
        <f aca="false">SUMPRODUCT(ISNUMBER(SEARCH(" "&amp;Terms!$A$3:$A$821&amp;" ",$D19))*Terms!D$3:D$821)+Terms!D$2</f>
        <v>1.64349650939563</v>
      </c>
      <c r="V19" s="0" t="n">
        <f aca="false">SUMPRODUCT(ISNUMBER(SEARCH(" "&amp;Terms!$A$3:$A$821&amp;" ",$D19))*Terms!E$3:E$821)+Terms!E$2</f>
        <v>13.4706786087754</v>
      </c>
      <c r="W19" s="0" t="n">
        <f aca="false">SUMPRODUCT(ISNUMBER(SEARCH(" "&amp;Terms!$A$3:$A$821&amp;" ",$D19))*Terms!F$3:F$821)+Terms!F$2</f>
        <v>-0.107957522702192</v>
      </c>
      <c r="X19" s="0" t="n">
        <f aca="false">SUMPRODUCT(ISNUMBER(SEARCH(" "&amp;Terms!$A$3:$A$821&amp;" ",$D19))*Terms!G$3:G$821)+Terms!G$2</f>
        <v>-5.59348469131755</v>
      </c>
      <c r="Y19" s="0" t="str">
        <f aca="false">INDEX($S$1:$X$1,MATCH(MAX(S19:X19),S19:X19,0))</f>
        <v>Fees &amp; Charges</v>
      </c>
      <c r="Z19" s="0" t="s">
        <v>2608</v>
      </c>
    </row>
    <row r="20" customFormat="false" ht="15" hidden="false" customHeight="false" outlineLevel="0" collapsed="false">
      <c r="A20" s="0" t="str">
        <f aca="false">Complaints!A20</f>
        <v>C0019</v>
      </c>
      <c r="B20" s="0" t="str">
        <f aca="false">Complaints!B20</f>
        <v>Frankly, The branch manager would not listen to my concerns. Please escalate this.</v>
      </c>
      <c r="C20" s="0" t="str">
        <f aca="false">Complaints!C20</f>
        <v>Customer Service</v>
      </c>
      <c r="D20" s="0" t="str">
        <f aca="false">" "&amp;TRIM(SUBSTITUTE(SUBSTITUTE(SUBSTITUTE(SUBSTITUTE(SUBSTITUTE(SUBSTITUTE(SUBSTITUTE(SUBSTITUTE(SUBSTITUTE(SUBSTITUTE(SUBSTITUTE(SUBSTITUTE(SUBSTITUTE(SUBSTITUTE(SUBSTITUTE(SUBSTITUTE(LOWER(B20),"."," "),","," "),"'"," "),"’"," "),"!"," "),"?"," "),";"," "),":"," "),"-"," "),"("," "),")"," "),"""", " "),"£"," "),"&amp;"," "),"/"," "),"%"," "))&amp;" "</f>
        <v> frankly the branch manager would not listen to my concerns please escalate this </v>
      </c>
      <c r="E20" s="0" t="n">
        <f aca="false">SUMPRODUCT((Rules!$A$2:$A$60=E$1)*Rules!$C$2:$C$60*ISNUMBER(SEARCH(Rules!$D$2:$D$60,$D20)))</f>
        <v>0</v>
      </c>
      <c r="F20" s="0" t="n">
        <f aca="false">SUMPRODUCT((Rules!$A$2:$A$60=F$1)*Rules!$C$2:$C$60*ISNUMBER(SEARCH(Rules!$D$2:$D$60,$D20)))</f>
        <v>0</v>
      </c>
      <c r="G20" s="0" t="n">
        <f aca="false">SUMPRODUCT((Rules!$A$2:$A$60=G$1)*Rules!$C$2:$C$60*ISNUMBER(SEARCH(Rules!$D$2:$D$60,$D20)))</f>
        <v>0</v>
      </c>
      <c r="H20" s="0" t="n">
        <f aca="false">SUMPRODUCT((Rules!$A$2:$A$60=H$1)*Rules!$C$2:$C$60*ISNUMBER(SEARCH(Rules!$D$2:$D$60,$D20)))</f>
        <v>0</v>
      </c>
      <c r="I20" s="0" t="n">
        <f aca="false">SUMPRODUCT((Rules!$A$2:$A$60=I$1)*Rules!$C$2:$C$60*ISNUMBER(SEARCH(Rules!$D$2:$D$60,$D20)))</f>
        <v>0</v>
      </c>
      <c r="J20" s="0" t="n">
        <f aca="false">SUMPRODUCT((Rules!$A$2:$A$60=J$1)*Rules!$C$2:$C$60*ISNUMBER(SEARCH(Rules!$D$2:$D$60,$D20)))</f>
        <v>0</v>
      </c>
      <c r="K20" s="0" t="str">
        <f aca="false">IF(OR(MAX(E20:J20)&lt;Rules!$H$1,MAX(E20:J20)-LARGE(E20:J20,2)&lt;Rules!$H$2),"No label",INDEX($E$1:$J$1,MATCH(MAX(E20:J20),E20:J20,0)))</f>
        <v>No label</v>
      </c>
      <c r="L20" s="0" t="n">
        <f aca="false">SUMPRODUCT((Rules!$A$2:$A$60=L$1)*Rules!$C$2:$C$60*ISNUMBER(SEARCH(Rules!$E$2:$E$60,$D20)))</f>
        <v>0</v>
      </c>
      <c r="M20" s="0" t="n">
        <f aca="false">SUMPRODUCT((Rules!$A$2:$A$60=M$1)*Rules!$C$2:$C$60*ISNUMBER(SEARCH(Rules!$E$2:$E$60,$D20)))</f>
        <v>0</v>
      </c>
      <c r="N20" s="0" t="n">
        <f aca="false">SUMPRODUCT((Rules!$A$2:$A$60=N$1)*Rules!$C$2:$C$60*ISNUMBER(SEARCH(Rules!$E$2:$E$60,$D20)))</f>
        <v>0</v>
      </c>
      <c r="O20" s="0" t="n">
        <f aca="false">SUMPRODUCT((Rules!$A$2:$A$60=O$1)*Rules!$C$2:$C$60*ISNUMBER(SEARCH(Rules!$E$2:$E$60,$D20)))</f>
        <v>0</v>
      </c>
      <c r="P20" s="0" t="n">
        <f aca="false">SUMPRODUCT((Rules!$A$2:$A$60=P$1)*Rules!$C$2:$C$60*ISNUMBER(SEARCH(Rules!$E$2:$E$60,$D20)))</f>
        <v>0</v>
      </c>
      <c r="Q20" s="0" t="n">
        <f aca="false">SUMPRODUCT((Rules!$A$2:$A$60=Q$1)*Rules!$C$2:$C$60*ISNUMBER(SEARCH(Rules!$E$2:$E$60,$D20)))</f>
        <v>0</v>
      </c>
      <c r="R20" s="0" t="str">
        <f aca="false">IF(OR(MAX(L20:Q20)&lt;Rules!$H$1,MAX(L20:Q20)-LARGE(L20:Q20,2)&lt;Rules!$H$2),"No label",INDEX($L$1:$Q$1,MATCH(MAX(L20:Q20),L20:Q20,0)))</f>
        <v>No label</v>
      </c>
      <c r="S20" s="0" t="n">
        <f aca="false">SUMPRODUCT(ISNUMBER(SEARCH(" "&amp;Terms!$A$3:$A$821&amp;" ",$D20))*Terms!B$3:B$821)+Terms!B$2</f>
        <v>-1.7392508156626</v>
      </c>
      <c r="T20" s="0" t="n">
        <f aca="false">SUMPRODUCT(ISNUMBER(SEARCH(" "&amp;Terms!$A$3:$A$821&amp;" ",$D20))*Terms!C$3:C$821)+Terms!C$2</f>
        <v>9.9569965024889</v>
      </c>
      <c r="U20" s="0" t="n">
        <f aca="false">SUMPRODUCT(ISNUMBER(SEARCH(" "&amp;Terms!$A$3:$A$821&amp;" ",$D20))*Terms!D$3:D$821)+Terms!D$2</f>
        <v>-3.45950327188126</v>
      </c>
      <c r="V20" s="0" t="n">
        <f aca="false">SUMPRODUCT(ISNUMBER(SEARCH(" "&amp;Terms!$A$3:$A$821&amp;" ",$D20))*Terms!E$3:E$821)+Terms!E$2</f>
        <v>0.117493692795129</v>
      </c>
      <c r="W20" s="0" t="n">
        <f aca="false">SUMPRODUCT(ISNUMBER(SEARCH(" "&amp;Terms!$A$3:$A$821&amp;" ",$D20))*Terms!F$3:F$821)+Terms!F$2</f>
        <v>-2.76894080930484</v>
      </c>
      <c r="X20" s="0" t="n">
        <f aca="false">SUMPRODUCT(ISNUMBER(SEARCH(" "&amp;Terms!$A$3:$A$821&amp;" ",$D20))*Terms!G$3:G$821)+Terms!G$2</f>
        <v>-2.10679529843521</v>
      </c>
      <c r="Y20" s="0" t="str">
        <f aca="false">INDEX($S$1:$X$1,MATCH(MAX(S20:X20),S20:X20,0))</f>
        <v>Customer Service</v>
      </c>
      <c r="Z20" s="0" t="s">
        <v>2607</v>
      </c>
    </row>
    <row r="21" customFormat="false" ht="15" hidden="false" customHeight="false" outlineLevel="0" collapsed="false">
      <c r="A21" s="0" t="str">
        <f aca="false">Complaints!A21</f>
        <v>C0020</v>
      </c>
      <c r="B21" s="0" t="str">
        <f aca="false">Complaints!B21</f>
        <v>I am writing to complain. The payment still has not arrived in my account. Please escalate this.</v>
      </c>
      <c r="C21" s="0" t="str">
        <f aca="false">Complaints!C21</f>
        <v>Delays &amp; Processing</v>
      </c>
      <c r="D21" s="0" t="str">
        <f aca="false">" "&amp;TRIM(SUBSTITUTE(SUBSTITUTE(SUBSTITUTE(SUBSTITUTE(SUBSTITUTE(SUBSTITUTE(SUBSTITUTE(SUBSTITUTE(SUBSTITUTE(SUBSTITUTE(SUBSTITUTE(SUBSTITUTE(SUBSTITUTE(SUBSTITUTE(SUBSTITUTE(SUBSTITUTE(LOWER(B21),"."," "),","," "),"'"," "),"’"," "),"!"," "),"?"," "),";"," "),":"," "),"-"," "),"("," "),")"," "),"""", " "),"£"," "),"&amp;"," "),"/"," "),"%"," "))&amp;" "</f>
        <v> i am writing to complain the payment still has not arrived in my account please escalate this </v>
      </c>
      <c r="E21" s="0" t="n">
        <f aca="false">SUMPRODUCT((Rules!$A$2:$A$60=E$1)*Rules!$C$2:$C$60*ISNUMBER(SEARCH(Rules!$D$2:$D$60,$D21)))</f>
        <v>0</v>
      </c>
      <c r="F21" s="0" t="n">
        <f aca="false">SUMPRODUCT((Rules!$A$2:$A$60=F$1)*Rules!$C$2:$C$60*ISNUMBER(SEARCH(Rules!$D$2:$D$60,$D21)))</f>
        <v>0</v>
      </c>
      <c r="G21" s="0" t="n">
        <f aca="false">SUMPRODUCT((Rules!$A$2:$A$60=G$1)*Rules!$C$2:$C$60*ISNUMBER(SEARCH(Rules!$D$2:$D$60,$D21)))</f>
        <v>0</v>
      </c>
      <c r="H21" s="0" t="n">
        <f aca="false">SUMPRODUCT((Rules!$A$2:$A$60=H$1)*Rules!$C$2:$C$60*ISNUMBER(SEARCH(Rules!$D$2:$D$60,$D21)))</f>
        <v>0</v>
      </c>
      <c r="I21" s="0" t="n">
        <f aca="false">SUMPRODUCT((Rules!$A$2:$A$60=I$1)*Rules!$C$2:$C$60*ISNUMBER(SEARCH(Rules!$D$2:$D$60,$D21)))</f>
        <v>2</v>
      </c>
      <c r="J21" s="0" t="n">
        <f aca="false">SUMPRODUCT((Rules!$A$2:$A$60=J$1)*Rules!$C$2:$C$60*ISNUMBER(SEARCH(Rules!$D$2:$D$60,$D21)))</f>
        <v>0</v>
      </c>
      <c r="K21" s="0" t="str">
        <f aca="false">IF(OR(MAX(E21:J21)&lt;Rules!$H$1,MAX(E21:J21)-LARGE(E21:J21,2)&lt;Rules!$H$2),"No label",INDEX($E$1:$J$1,MATCH(MAX(E21:J21),E21:J21,0)))</f>
        <v>No label</v>
      </c>
      <c r="L21" s="0" t="n">
        <f aca="false">SUMPRODUCT((Rules!$A$2:$A$60=L$1)*Rules!$C$2:$C$60*ISNUMBER(SEARCH(Rules!$E$2:$E$60,$D21)))</f>
        <v>0</v>
      </c>
      <c r="M21" s="0" t="n">
        <f aca="false">SUMPRODUCT((Rules!$A$2:$A$60=M$1)*Rules!$C$2:$C$60*ISNUMBER(SEARCH(Rules!$E$2:$E$60,$D21)))</f>
        <v>0</v>
      </c>
      <c r="N21" s="0" t="n">
        <f aca="false">SUMPRODUCT((Rules!$A$2:$A$60=N$1)*Rules!$C$2:$C$60*ISNUMBER(SEARCH(Rules!$E$2:$E$60,$D21)))</f>
        <v>0</v>
      </c>
      <c r="O21" s="0" t="n">
        <f aca="false">SUMPRODUCT((Rules!$A$2:$A$60=O$1)*Rules!$C$2:$C$60*ISNUMBER(SEARCH(Rules!$E$2:$E$60,$D21)))</f>
        <v>0</v>
      </c>
      <c r="P21" s="0" t="n">
        <f aca="false">SUMPRODUCT((Rules!$A$2:$A$60=P$1)*Rules!$C$2:$C$60*ISNUMBER(SEARCH(Rules!$E$2:$E$60,$D21)))</f>
        <v>2</v>
      </c>
      <c r="Q21" s="0" t="n">
        <f aca="false">SUMPRODUCT((Rules!$A$2:$A$60=Q$1)*Rules!$C$2:$C$60*ISNUMBER(SEARCH(Rules!$E$2:$E$60,$D21)))</f>
        <v>0</v>
      </c>
      <c r="R21" s="0" t="str">
        <f aca="false">IF(OR(MAX(L21:Q21)&lt;Rules!$H$1,MAX(L21:Q21)-LARGE(L21:Q21,2)&lt;Rules!$H$2),"No label",INDEX($L$1:$Q$1,MATCH(MAX(L21:Q21),L21:Q21,0)))</f>
        <v>No label</v>
      </c>
      <c r="S21" s="0" t="n">
        <f aca="false">SUMPRODUCT(ISNUMBER(SEARCH(" "&amp;Terms!$A$3:$A$821&amp;" ",$D21))*Terms!B$3:B$821)+Terms!B$2</f>
        <v>0.462370256663341</v>
      </c>
      <c r="T21" s="0" t="n">
        <f aca="false">SUMPRODUCT(ISNUMBER(SEARCH(" "&amp;Terms!$A$3:$A$821&amp;" ",$D21))*Terms!C$3:C$821)+Terms!C$2</f>
        <v>-2.27080724135307</v>
      </c>
      <c r="U21" s="0" t="n">
        <f aca="false">SUMPRODUCT(ISNUMBER(SEARCH(" "&amp;Terms!$A$3:$A$821&amp;" ",$D21))*Terms!D$3:D$821)+Terms!D$2</f>
        <v>7.76855117211935</v>
      </c>
      <c r="V21" s="0" t="n">
        <f aca="false">SUMPRODUCT(ISNUMBER(SEARCH(" "&amp;Terms!$A$3:$A$821&amp;" ",$D21))*Terms!E$3:E$821)+Terms!E$2</f>
        <v>-1.40533955141482</v>
      </c>
      <c r="W21" s="0" t="n">
        <f aca="false">SUMPRODUCT(ISNUMBER(SEARCH(" "&amp;Terms!$A$3:$A$821&amp;" ",$D21))*Terms!F$3:F$821)+Terms!F$2</f>
        <v>-1.07956645584083</v>
      </c>
      <c r="X21" s="0" t="n">
        <f aca="false">SUMPRODUCT(ISNUMBER(SEARCH(" "&amp;Terms!$A$3:$A$821&amp;" ",$D21))*Terms!G$3:G$821)+Terms!G$2</f>
        <v>-3.47520818017389</v>
      </c>
      <c r="Y21" s="0" t="str">
        <f aca="false">INDEX($S$1:$X$1,MATCH(MAX(S21:X21),S21:X21,0))</f>
        <v>Delays &amp; Processing</v>
      </c>
      <c r="Z21" s="0" t="s">
        <v>2607</v>
      </c>
    </row>
    <row r="22" customFormat="false" ht="15" hidden="false" customHeight="false" outlineLevel="0" collapsed="false">
      <c r="A22" s="0" t="str">
        <f aca="false">Complaints!A22</f>
        <v>C0021</v>
      </c>
      <c r="B22" s="0" t="str">
        <f aca="false">Complaints!B22</f>
        <v>Hello, My application has been stuck for weeks with no progress.</v>
      </c>
      <c r="C22" s="0" t="str">
        <f aca="false">Complaints!C22</f>
        <v>Delays &amp; Processing</v>
      </c>
      <c r="D22" s="0" t="str">
        <f aca="false">" "&amp;TRIM(SUBSTITUTE(SUBSTITUTE(SUBSTITUTE(SUBSTITUTE(SUBSTITUTE(SUBSTITUTE(SUBSTITUTE(SUBSTITUTE(SUBSTITUTE(SUBSTITUTE(SUBSTITUTE(SUBSTITUTE(SUBSTITUTE(SUBSTITUTE(SUBSTITUTE(SUBSTITUTE(LOWER(B22),"."," "),","," "),"'"," "),"’"," "),"!"," "),"?"," "),";"," "),":"," "),"-"," "),"("," "),")"," "),"""", " "),"£"," "),"&amp;"," "),"/"," "),"%"," "))&amp;" "</f>
        <v> hello my application has been stuck for weeks with no progress </v>
      </c>
      <c r="E22" s="0" t="n">
        <f aca="false">SUMPRODUCT((Rules!$A$2:$A$60=E$1)*Rules!$C$2:$C$60*ISNUMBER(SEARCH(Rules!$D$2:$D$60,$D22)))</f>
        <v>0</v>
      </c>
      <c r="F22" s="0" t="n">
        <f aca="false">SUMPRODUCT((Rules!$A$2:$A$60=F$1)*Rules!$C$2:$C$60*ISNUMBER(SEARCH(Rules!$D$2:$D$60,$D22)))</f>
        <v>0</v>
      </c>
      <c r="G22" s="0" t="n">
        <f aca="false">SUMPRODUCT((Rules!$A$2:$A$60=G$1)*Rules!$C$2:$C$60*ISNUMBER(SEARCH(Rules!$D$2:$D$60,$D22)))</f>
        <v>0</v>
      </c>
      <c r="H22" s="0" t="n">
        <f aca="false">SUMPRODUCT((Rules!$A$2:$A$60=H$1)*Rules!$C$2:$C$60*ISNUMBER(SEARCH(Rules!$D$2:$D$60,$D22)))</f>
        <v>0</v>
      </c>
      <c r="I22" s="0" t="n">
        <f aca="false">SUMPRODUCT((Rules!$A$2:$A$60=I$1)*Rules!$C$2:$C$60*ISNUMBER(SEARCH(Rules!$D$2:$D$60,$D22)))</f>
        <v>3</v>
      </c>
      <c r="J22" s="0" t="n">
        <f aca="false">SUMPRODUCT((Rules!$A$2:$A$60=J$1)*Rules!$C$2:$C$60*ISNUMBER(SEARCH(Rules!$D$2:$D$60,$D22)))</f>
        <v>0</v>
      </c>
      <c r="K22" s="0" t="str">
        <f aca="false">IF(OR(MAX(E22:J22)&lt;Rules!$H$1,MAX(E22:J22)-LARGE(E22:J22,2)&lt;Rules!$H$2),"No label",INDEX($E$1:$J$1,MATCH(MAX(E22:J22),E22:J22,0)))</f>
        <v>Delays &amp; Processing</v>
      </c>
      <c r="L22" s="0" t="n">
        <f aca="false">SUMPRODUCT((Rules!$A$2:$A$60=L$1)*Rules!$C$2:$C$60*ISNUMBER(SEARCH(Rules!$E$2:$E$60,$D22)))</f>
        <v>0</v>
      </c>
      <c r="M22" s="0" t="n">
        <f aca="false">SUMPRODUCT((Rules!$A$2:$A$60=M$1)*Rules!$C$2:$C$60*ISNUMBER(SEARCH(Rules!$E$2:$E$60,$D22)))</f>
        <v>0</v>
      </c>
      <c r="N22" s="0" t="n">
        <f aca="false">SUMPRODUCT((Rules!$A$2:$A$60=N$1)*Rules!$C$2:$C$60*ISNUMBER(SEARCH(Rules!$E$2:$E$60,$D22)))</f>
        <v>0</v>
      </c>
      <c r="O22" s="0" t="n">
        <f aca="false">SUMPRODUCT((Rules!$A$2:$A$60=O$1)*Rules!$C$2:$C$60*ISNUMBER(SEARCH(Rules!$E$2:$E$60,$D22)))</f>
        <v>0</v>
      </c>
      <c r="P22" s="0" t="n">
        <f aca="false">SUMPRODUCT((Rules!$A$2:$A$60=P$1)*Rules!$C$2:$C$60*ISNUMBER(SEARCH(Rules!$E$2:$E$60,$D22)))</f>
        <v>3</v>
      </c>
      <c r="Q22" s="0" t="n">
        <f aca="false">SUMPRODUCT((Rules!$A$2:$A$60=Q$1)*Rules!$C$2:$C$60*ISNUMBER(SEARCH(Rules!$E$2:$E$60,$D22)))</f>
        <v>0</v>
      </c>
      <c r="R22" s="0" t="str">
        <f aca="false">IF(OR(MAX(L22:Q22)&lt;Rules!$H$1,MAX(L22:Q22)-LARGE(L22:Q22,2)&lt;Rules!$H$2),"No label",INDEX($L$1:$Q$1,MATCH(MAX(L22:Q22),L22:Q22,0)))</f>
        <v>Delays &amp; Processing</v>
      </c>
      <c r="S22" s="0" t="n">
        <f aca="false">SUMPRODUCT(ISNUMBER(SEARCH(" "&amp;Terms!$A$3:$A$821&amp;" ",$D22))*Terms!B$3:B$821)+Terms!B$2</f>
        <v>-2.27330130755606</v>
      </c>
      <c r="T22" s="0" t="n">
        <f aca="false">SUMPRODUCT(ISNUMBER(SEARCH(" "&amp;Terms!$A$3:$A$821&amp;" ",$D22))*Terms!C$3:C$821)+Terms!C$2</f>
        <v>0.477974944059759</v>
      </c>
      <c r="U22" s="0" t="n">
        <f aca="false">SUMPRODUCT(ISNUMBER(SEARCH(" "&amp;Terms!$A$3:$A$821&amp;" ",$D22))*Terms!D$3:D$821)+Terms!D$2</f>
        <v>7.00318058528371</v>
      </c>
      <c r="V22" s="0" t="n">
        <f aca="false">SUMPRODUCT(ISNUMBER(SEARCH(" "&amp;Terms!$A$3:$A$821&amp;" ",$D22))*Terms!E$3:E$821)+Terms!E$2</f>
        <v>-1.03035666016358</v>
      </c>
      <c r="W22" s="0" t="n">
        <f aca="false">SUMPRODUCT(ISNUMBER(SEARCH(" "&amp;Terms!$A$3:$A$821&amp;" ",$D22))*Terms!F$3:F$821)+Terms!F$2</f>
        <v>-2.80416922265446</v>
      </c>
      <c r="X22" s="0" t="n">
        <f aca="false">SUMPRODUCT(ISNUMBER(SEARCH(" "&amp;Terms!$A$3:$A$821&amp;" ",$D22))*Terms!G$3:G$821)+Terms!G$2</f>
        <v>-1.37332833896927</v>
      </c>
      <c r="Y22" s="0" t="str">
        <f aca="false">INDEX($S$1:$X$1,MATCH(MAX(S22:X22),S22:X22,0))</f>
        <v>Delays &amp; Processing</v>
      </c>
      <c r="Z22" s="0" t="s">
        <v>2607</v>
      </c>
    </row>
    <row r="23" customFormat="false" ht="15" hidden="false" customHeight="false" outlineLevel="0" collapsed="false">
      <c r="A23" s="0" t="str">
        <f aca="false">Complaints!A23</f>
        <v>C0022</v>
      </c>
      <c r="B23" s="0" t="str">
        <f aca="false">Complaints!B23</f>
        <v>I am extremely disappointed and want this resolved. I expect compensation.</v>
      </c>
      <c r="C23" s="0" t="str">
        <f aca="false">Complaints!C23</f>
        <v>Fraud &amp; Scams</v>
      </c>
      <c r="D23" s="0" t="str">
        <f aca="false">" "&amp;TRIM(SUBSTITUTE(SUBSTITUTE(SUBSTITUTE(SUBSTITUTE(SUBSTITUTE(SUBSTITUTE(SUBSTITUTE(SUBSTITUTE(SUBSTITUTE(SUBSTITUTE(SUBSTITUTE(SUBSTITUTE(SUBSTITUTE(SUBSTITUTE(SUBSTITUTE(SUBSTITUTE(LOWER(B23),"."," "),","," "),"'"," "),"’"," "),"!"," "),"?"," "),";"," "),":"," "),"-"," "),"("," "),")"," "),"""", " "),"£"," "),"&amp;"," "),"/"," "),"%"," "))&amp;" "</f>
        <v> i am extremely disappointed and want this resolved i expect compensation </v>
      </c>
      <c r="E23" s="0" t="n">
        <f aca="false">SUMPRODUCT((Rules!$A$2:$A$60=E$1)*Rules!$C$2:$C$60*ISNUMBER(SEARCH(Rules!$D$2:$D$60,$D23)))</f>
        <v>0</v>
      </c>
      <c r="F23" s="0" t="n">
        <f aca="false">SUMPRODUCT((Rules!$A$2:$A$60=F$1)*Rules!$C$2:$C$60*ISNUMBER(SEARCH(Rules!$D$2:$D$60,$D23)))</f>
        <v>0</v>
      </c>
      <c r="G23" s="0" t="n">
        <f aca="false">SUMPRODUCT((Rules!$A$2:$A$60=G$1)*Rules!$C$2:$C$60*ISNUMBER(SEARCH(Rules!$D$2:$D$60,$D23)))</f>
        <v>0</v>
      </c>
      <c r="H23" s="0" t="n">
        <f aca="false">SUMPRODUCT((Rules!$A$2:$A$60=H$1)*Rules!$C$2:$C$60*ISNUMBER(SEARCH(Rules!$D$2:$D$60,$D23)))</f>
        <v>0</v>
      </c>
      <c r="I23" s="0" t="n">
        <f aca="false">SUMPRODUCT((Rules!$A$2:$A$60=I$1)*Rules!$C$2:$C$60*ISNUMBER(SEARCH(Rules!$D$2:$D$60,$D23)))</f>
        <v>0</v>
      </c>
      <c r="J23" s="0" t="n">
        <f aca="false">SUMPRODUCT((Rules!$A$2:$A$60=J$1)*Rules!$C$2:$C$60*ISNUMBER(SEARCH(Rules!$D$2:$D$60,$D23)))</f>
        <v>0</v>
      </c>
      <c r="K23" s="0" t="str">
        <f aca="false">IF(OR(MAX(E23:J23)&lt;Rules!$H$1,MAX(E23:J23)-LARGE(E23:J23,2)&lt;Rules!$H$2),"No label",INDEX($E$1:$J$1,MATCH(MAX(E23:J23),E23:J23,0)))</f>
        <v>No label</v>
      </c>
      <c r="L23" s="0" t="n">
        <f aca="false">SUMPRODUCT((Rules!$A$2:$A$60=L$1)*Rules!$C$2:$C$60*ISNUMBER(SEARCH(Rules!$E$2:$E$60,$D23)))</f>
        <v>0</v>
      </c>
      <c r="M23" s="0" t="n">
        <f aca="false">SUMPRODUCT((Rules!$A$2:$A$60=M$1)*Rules!$C$2:$C$60*ISNUMBER(SEARCH(Rules!$E$2:$E$60,$D23)))</f>
        <v>0</v>
      </c>
      <c r="N23" s="0" t="n">
        <f aca="false">SUMPRODUCT((Rules!$A$2:$A$60=N$1)*Rules!$C$2:$C$60*ISNUMBER(SEARCH(Rules!$E$2:$E$60,$D23)))</f>
        <v>0</v>
      </c>
      <c r="O23" s="0" t="n">
        <f aca="false">SUMPRODUCT((Rules!$A$2:$A$60=O$1)*Rules!$C$2:$C$60*ISNUMBER(SEARCH(Rules!$E$2:$E$60,$D23)))</f>
        <v>0</v>
      </c>
      <c r="P23" s="0" t="n">
        <f aca="false">SUMPRODUCT((Rules!$A$2:$A$60=P$1)*Rules!$C$2:$C$60*ISNUMBER(SEARCH(Rules!$E$2:$E$60,$D23)))</f>
        <v>0</v>
      </c>
      <c r="Q23" s="0" t="n">
        <f aca="false">SUMPRODUCT((Rules!$A$2:$A$60=Q$1)*Rules!$C$2:$C$60*ISNUMBER(SEARCH(Rules!$E$2:$E$60,$D23)))</f>
        <v>0</v>
      </c>
      <c r="R23" s="0" t="str">
        <f aca="false">IF(OR(MAX(L23:Q23)&lt;Rules!$H$1,MAX(L23:Q23)-LARGE(L23:Q23,2)&lt;Rules!$H$2),"No label",INDEX($L$1:$Q$1,MATCH(MAX(L23:Q23),L23:Q23,0)))</f>
        <v>No label</v>
      </c>
      <c r="S23" s="0" t="n">
        <f aca="false">SUMPRODUCT(ISNUMBER(SEARCH(" "&amp;Terms!$A$3:$A$821&amp;" ",$D23))*Terms!B$3:B$821)+Terms!B$2</f>
        <v>2.48542277119107</v>
      </c>
      <c r="T23" s="0" t="n">
        <f aca="false">SUMPRODUCT(ISNUMBER(SEARCH(" "&amp;Terms!$A$3:$A$821&amp;" ",$D23))*Terms!C$3:C$821)+Terms!C$2</f>
        <v>-0.4797440261649</v>
      </c>
      <c r="U23" s="0" t="n">
        <f aca="false">SUMPRODUCT(ISNUMBER(SEARCH(" "&amp;Terms!$A$3:$A$821&amp;" ",$D23))*Terms!D$3:D$821)+Terms!D$2</f>
        <v>-3.19837977262198</v>
      </c>
      <c r="V23" s="0" t="n">
        <f aca="false">SUMPRODUCT(ISNUMBER(SEARCH(" "&amp;Terms!$A$3:$A$821&amp;" ",$D23))*Terms!E$3:E$821)+Terms!E$2</f>
        <v>-2.02103884246687</v>
      </c>
      <c r="W23" s="0" t="n">
        <f aca="false">SUMPRODUCT(ISNUMBER(SEARCH(" "&amp;Terms!$A$3:$A$821&amp;" ",$D23))*Terms!F$3:F$821)+Terms!F$2</f>
        <v>3.51225249652396</v>
      </c>
      <c r="X23" s="0" t="n">
        <f aca="false">SUMPRODUCT(ISNUMBER(SEARCH(" "&amp;Terms!$A$3:$A$821&amp;" ",$D23))*Terms!G$3:G$821)+Terms!G$2</f>
        <v>-0.298512626461182</v>
      </c>
      <c r="Y23" s="0" t="str">
        <f aca="false">INDEX($S$1:$X$1,MATCH(MAX(S23:X23),S23:X23,0))</f>
        <v>Fraud &amp; Scams</v>
      </c>
      <c r="Z23" s="0" t="s">
        <v>2607</v>
      </c>
    </row>
    <row r="24" customFormat="false" ht="15" hidden="false" customHeight="false" outlineLevel="0" collapsed="false">
      <c r="A24" s="0" t="str">
        <f aca="false">Complaints!A24</f>
        <v>C0023</v>
      </c>
      <c r="B24" s="0" t="str">
        <f aca="false">Complaints!B24</f>
        <v>Frankly, I sent the form twice and it seems to have been lost in the system.</v>
      </c>
      <c r="C24" s="0" t="str">
        <f aca="false">Complaints!C24</f>
        <v>Delays &amp; Processing</v>
      </c>
      <c r="D24" s="0" t="str">
        <f aca="false">" "&amp;TRIM(SUBSTITUTE(SUBSTITUTE(SUBSTITUTE(SUBSTITUTE(SUBSTITUTE(SUBSTITUTE(SUBSTITUTE(SUBSTITUTE(SUBSTITUTE(SUBSTITUTE(SUBSTITUTE(SUBSTITUTE(SUBSTITUTE(SUBSTITUTE(SUBSTITUTE(SUBSTITUTE(LOWER(B24),"."," "),","," "),"'"," "),"’"," "),"!"," "),"?"," "),";"," "),":"," "),"-"," "),"("," "),")"," "),"""", " "),"£"," "),"&amp;"," "),"/"," "),"%"," "))&amp;" "</f>
        <v> frankly i sent the form twice and it seems to have been lost in the system </v>
      </c>
      <c r="E24" s="0" t="n">
        <f aca="false">SUMPRODUCT((Rules!$A$2:$A$60=E$1)*Rules!$C$2:$C$60*ISNUMBER(SEARCH(Rules!$D$2:$D$60,$D24)))</f>
        <v>0</v>
      </c>
      <c r="F24" s="0" t="n">
        <f aca="false">SUMPRODUCT((Rules!$A$2:$A$60=F$1)*Rules!$C$2:$C$60*ISNUMBER(SEARCH(Rules!$D$2:$D$60,$D24)))</f>
        <v>0</v>
      </c>
      <c r="G24" s="0" t="n">
        <f aca="false">SUMPRODUCT((Rules!$A$2:$A$60=G$1)*Rules!$C$2:$C$60*ISNUMBER(SEARCH(Rules!$D$2:$D$60,$D24)))</f>
        <v>0</v>
      </c>
      <c r="H24" s="0" t="n">
        <f aca="false">SUMPRODUCT((Rules!$A$2:$A$60=H$1)*Rules!$C$2:$C$60*ISNUMBER(SEARCH(Rules!$D$2:$D$60,$D24)))</f>
        <v>0</v>
      </c>
      <c r="I24" s="0" t="n">
        <f aca="false">SUMPRODUCT((Rules!$A$2:$A$60=I$1)*Rules!$C$2:$C$60*ISNUMBER(SEARCH(Rules!$D$2:$D$60,$D24)))</f>
        <v>0</v>
      </c>
      <c r="J24" s="0" t="n">
        <f aca="false">SUMPRODUCT((Rules!$A$2:$A$60=J$1)*Rules!$C$2:$C$60*ISNUMBER(SEARCH(Rules!$D$2:$D$60,$D24)))</f>
        <v>0</v>
      </c>
      <c r="K24" s="0" t="str">
        <f aca="false">IF(OR(MAX(E24:J24)&lt;Rules!$H$1,MAX(E24:J24)-LARGE(E24:J24,2)&lt;Rules!$H$2),"No label",INDEX($E$1:$J$1,MATCH(MAX(E24:J24),E24:J24,0)))</f>
        <v>No label</v>
      </c>
      <c r="L24" s="0" t="n">
        <f aca="false">SUMPRODUCT((Rules!$A$2:$A$60=L$1)*Rules!$C$2:$C$60*ISNUMBER(SEARCH(Rules!$E$2:$E$60,$D24)))</f>
        <v>0</v>
      </c>
      <c r="M24" s="0" t="n">
        <f aca="false">SUMPRODUCT((Rules!$A$2:$A$60=M$1)*Rules!$C$2:$C$60*ISNUMBER(SEARCH(Rules!$E$2:$E$60,$D24)))</f>
        <v>0</v>
      </c>
      <c r="N24" s="0" t="n">
        <f aca="false">SUMPRODUCT((Rules!$A$2:$A$60=N$1)*Rules!$C$2:$C$60*ISNUMBER(SEARCH(Rules!$E$2:$E$60,$D24)))</f>
        <v>0</v>
      </c>
      <c r="O24" s="0" t="n">
        <f aca="false">SUMPRODUCT((Rules!$A$2:$A$60=O$1)*Rules!$C$2:$C$60*ISNUMBER(SEARCH(Rules!$E$2:$E$60,$D24)))</f>
        <v>0</v>
      </c>
      <c r="P24" s="0" t="n">
        <f aca="false">SUMPRODUCT((Rules!$A$2:$A$60=P$1)*Rules!$C$2:$C$60*ISNUMBER(SEARCH(Rules!$E$2:$E$60,$D24)))</f>
        <v>0</v>
      </c>
      <c r="Q24" s="0" t="n">
        <f aca="false">SUMPRODUCT((Rules!$A$2:$A$60=Q$1)*Rules!$C$2:$C$60*ISNUMBER(SEARCH(Rules!$E$2:$E$60,$D24)))</f>
        <v>0</v>
      </c>
      <c r="R24" s="0" t="str">
        <f aca="false">IF(OR(MAX(L24:Q24)&lt;Rules!$H$1,MAX(L24:Q24)-LARGE(L24:Q24,2)&lt;Rules!$H$2),"No label",INDEX($L$1:$Q$1,MATCH(MAX(L24:Q24),L24:Q24,0)))</f>
        <v>No label</v>
      </c>
      <c r="S24" s="0" t="n">
        <f aca="false">SUMPRODUCT(ISNUMBER(SEARCH(" "&amp;Terms!$A$3:$A$821&amp;" ",$D24))*Terms!B$3:B$821)+Terms!B$2</f>
        <v>-3.63583590012919</v>
      </c>
      <c r="T24" s="0" t="n">
        <f aca="false">SUMPRODUCT(ISNUMBER(SEARCH(" "&amp;Terms!$A$3:$A$821&amp;" ",$D24))*Terms!C$3:C$821)+Terms!C$2</f>
        <v>-0.997554081138582</v>
      </c>
      <c r="U24" s="0" t="n">
        <f aca="false">SUMPRODUCT(ISNUMBER(SEARCH(" "&amp;Terms!$A$3:$A$821&amp;" ",$D24))*Terms!D$3:D$821)+Terms!D$2</f>
        <v>8.62025151154621</v>
      </c>
      <c r="V24" s="0" t="n">
        <f aca="false">SUMPRODUCT(ISNUMBER(SEARCH(" "&amp;Terms!$A$3:$A$821&amp;" ",$D24))*Terms!E$3:E$821)+Terms!E$2</f>
        <v>0.771681456247046</v>
      </c>
      <c r="W24" s="0" t="n">
        <f aca="false">SUMPRODUCT(ISNUMBER(SEARCH(" "&amp;Terms!$A$3:$A$821&amp;" ",$D24))*Terms!F$3:F$821)+Terms!F$2</f>
        <v>-3.01183509284291</v>
      </c>
      <c r="X24" s="0" t="n">
        <f aca="false">SUMPRODUCT(ISNUMBER(SEARCH(" "&amp;Terms!$A$3:$A$821&amp;" ",$D24))*Terms!G$3:G$821)+Terms!G$2</f>
        <v>-1.74670789368249</v>
      </c>
      <c r="Y24" s="0" t="str">
        <f aca="false">INDEX($S$1:$X$1,MATCH(MAX(S24:X24),S24:X24,0))</f>
        <v>Delays &amp; Processing</v>
      </c>
      <c r="Z24" s="0" t="s">
        <v>2607</v>
      </c>
    </row>
    <row r="25" customFormat="false" ht="15" hidden="false" customHeight="false" outlineLevel="0" collapsed="false">
      <c r="A25" s="0" t="str">
        <f aca="false">Complaints!A25</f>
        <v>C0024</v>
      </c>
      <c r="B25" s="0" t="str">
        <f aca="false">Complaints!B25</f>
        <v>The salesperson pushed me into a plan I did not need. I expect compensation.</v>
      </c>
      <c r="C25" s="0" t="str">
        <f aca="false">Complaints!C25</f>
        <v>Mis-selling</v>
      </c>
      <c r="D25" s="0" t="str">
        <f aca="false">" "&amp;TRIM(SUBSTITUTE(SUBSTITUTE(SUBSTITUTE(SUBSTITUTE(SUBSTITUTE(SUBSTITUTE(SUBSTITUTE(SUBSTITUTE(SUBSTITUTE(SUBSTITUTE(SUBSTITUTE(SUBSTITUTE(SUBSTITUTE(SUBSTITUTE(SUBSTITUTE(SUBSTITUTE(LOWER(B25),"."," "),","," "),"'"," "),"’"," "),"!"," "),"?"," "),";"," "),":"," "),"-"," "),"("," "),")"," "),"""", " "),"£"," "),"&amp;"," "),"/"," "),"%"," "))&amp;" "</f>
        <v> the salesperson pushed me into a plan i did not need i expect compensation </v>
      </c>
      <c r="E25" s="0" t="n">
        <f aca="false">SUMPRODUCT((Rules!$A$2:$A$60=E$1)*Rules!$C$2:$C$60*ISNUMBER(SEARCH(Rules!$D$2:$D$60,$D25)))</f>
        <v>0</v>
      </c>
      <c r="F25" s="0" t="n">
        <f aca="false">SUMPRODUCT((Rules!$A$2:$A$60=F$1)*Rules!$C$2:$C$60*ISNUMBER(SEARCH(Rules!$D$2:$D$60,$D25)))</f>
        <v>2</v>
      </c>
      <c r="G25" s="0" t="n">
        <f aca="false">SUMPRODUCT((Rules!$A$2:$A$60=G$1)*Rules!$C$2:$C$60*ISNUMBER(SEARCH(Rules!$D$2:$D$60,$D25)))</f>
        <v>0</v>
      </c>
      <c r="H25" s="0" t="n">
        <f aca="false">SUMPRODUCT((Rules!$A$2:$A$60=H$1)*Rules!$C$2:$C$60*ISNUMBER(SEARCH(Rules!$D$2:$D$60,$D25)))</f>
        <v>0</v>
      </c>
      <c r="I25" s="0" t="n">
        <f aca="false">SUMPRODUCT((Rules!$A$2:$A$60=I$1)*Rules!$C$2:$C$60*ISNUMBER(SEARCH(Rules!$D$2:$D$60,$D25)))</f>
        <v>0</v>
      </c>
      <c r="J25" s="0" t="n">
        <f aca="false">SUMPRODUCT((Rules!$A$2:$A$60=J$1)*Rules!$C$2:$C$60*ISNUMBER(SEARCH(Rules!$D$2:$D$60,$D25)))</f>
        <v>0</v>
      </c>
      <c r="K25" s="0" t="str">
        <f aca="false">IF(OR(MAX(E25:J25)&lt;Rules!$H$1,MAX(E25:J25)-LARGE(E25:J25,2)&lt;Rules!$H$2),"No label",INDEX($E$1:$J$1,MATCH(MAX(E25:J25),E25:J25,0)))</f>
        <v>No label</v>
      </c>
      <c r="L25" s="0" t="n">
        <f aca="false">SUMPRODUCT((Rules!$A$2:$A$60=L$1)*Rules!$C$2:$C$60*ISNUMBER(SEARCH(Rules!$E$2:$E$60,$D25)))</f>
        <v>0</v>
      </c>
      <c r="M25" s="0" t="n">
        <f aca="false">SUMPRODUCT((Rules!$A$2:$A$60=M$1)*Rules!$C$2:$C$60*ISNUMBER(SEARCH(Rules!$E$2:$E$60,$D25)))</f>
        <v>2</v>
      </c>
      <c r="N25" s="0" t="n">
        <f aca="false">SUMPRODUCT((Rules!$A$2:$A$60=N$1)*Rules!$C$2:$C$60*ISNUMBER(SEARCH(Rules!$E$2:$E$60,$D25)))</f>
        <v>0</v>
      </c>
      <c r="O25" s="0" t="n">
        <f aca="false">SUMPRODUCT((Rules!$A$2:$A$60=O$1)*Rules!$C$2:$C$60*ISNUMBER(SEARCH(Rules!$E$2:$E$60,$D25)))</f>
        <v>0</v>
      </c>
      <c r="P25" s="0" t="n">
        <f aca="false">SUMPRODUCT((Rules!$A$2:$A$60=P$1)*Rules!$C$2:$C$60*ISNUMBER(SEARCH(Rules!$E$2:$E$60,$D25)))</f>
        <v>0</v>
      </c>
      <c r="Q25" s="0" t="n">
        <f aca="false">SUMPRODUCT((Rules!$A$2:$A$60=Q$1)*Rules!$C$2:$C$60*ISNUMBER(SEARCH(Rules!$E$2:$E$60,$D25)))</f>
        <v>0</v>
      </c>
      <c r="R25" s="0" t="str">
        <f aca="false">IF(OR(MAX(L25:Q25)&lt;Rules!$H$1,MAX(L25:Q25)-LARGE(L25:Q25,2)&lt;Rules!$H$2),"No label",INDEX($L$1:$Q$1,MATCH(MAX(L25:Q25),L25:Q25,0)))</f>
        <v>No label</v>
      </c>
      <c r="S25" s="0" t="n">
        <f aca="false">SUMPRODUCT(ISNUMBER(SEARCH(" "&amp;Terms!$A$3:$A$821&amp;" ",$D25))*Terms!B$3:B$821)+Terms!B$2</f>
        <v>-0.637804568993873</v>
      </c>
      <c r="T25" s="0" t="n">
        <f aca="false">SUMPRODUCT(ISNUMBER(SEARCH(" "&amp;Terms!$A$3:$A$821&amp;" ",$D25))*Terms!C$3:C$821)+Terms!C$2</f>
        <v>-0.340584839182258</v>
      </c>
      <c r="U25" s="0" t="n">
        <f aca="false">SUMPRODUCT(ISNUMBER(SEARCH(" "&amp;Terms!$A$3:$A$821&amp;" ",$D25))*Terms!D$3:D$821)+Terms!D$2</f>
        <v>-5.03313092416976</v>
      </c>
      <c r="V25" s="0" t="n">
        <f aca="false">SUMPRODUCT(ISNUMBER(SEARCH(" "&amp;Terms!$A$3:$A$821&amp;" ",$D25))*Terms!E$3:E$821)+Terms!E$2</f>
        <v>-2.92912983917923</v>
      </c>
      <c r="W25" s="0" t="n">
        <f aca="false">SUMPRODUCT(ISNUMBER(SEARCH(" "&amp;Terms!$A$3:$A$821&amp;" ",$D25))*Terms!F$3:F$821)+Terms!F$2</f>
        <v>1.78477406237975</v>
      </c>
      <c r="X25" s="0" t="n">
        <f aca="false">SUMPRODUCT(ISNUMBER(SEARCH(" "&amp;Terms!$A$3:$A$821&amp;" ",$D25))*Terms!G$3:G$821)+Terms!G$2</f>
        <v>7.15587610914546</v>
      </c>
      <c r="Y25" s="0" t="str">
        <f aca="false">INDEX($S$1:$X$1,MATCH(MAX(S25:X25),S25:X25,0))</f>
        <v>Mis-selling</v>
      </c>
      <c r="Z25" s="0" t="s">
        <v>2607</v>
      </c>
    </row>
    <row r="26" customFormat="false" ht="15" hidden="false" customHeight="false" outlineLevel="0" collapsed="false">
      <c r="A26" s="0" t="str">
        <f aca="false">Complaints!A26</f>
        <v>C0025</v>
      </c>
      <c r="B26" s="0" t="str">
        <f aca="false">Complaints!B26</f>
        <v>I have been a customer for years. A fake text message led me to a website and my money disappeared. I expect compensation.</v>
      </c>
      <c r="C26" s="0" t="str">
        <f aca="false">Complaints!C26</f>
        <v>Fraud &amp; Scams</v>
      </c>
      <c r="D26" s="0" t="str">
        <f aca="false">" "&amp;TRIM(SUBSTITUTE(SUBSTITUTE(SUBSTITUTE(SUBSTITUTE(SUBSTITUTE(SUBSTITUTE(SUBSTITUTE(SUBSTITUTE(SUBSTITUTE(SUBSTITUTE(SUBSTITUTE(SUBSTITUTE(SUBSTITUTE(SUBSTITUTE(SUBSTITUTE(SUBSTITUTE(LOWER(B26),"."," "),","," "),"'"," "),"’"," "),"!"," "),"?"," "),";"," "),":"," "),"-"," "),"("," "),")"," "),"""", " "),"£"," "),"&amp;"," "),"/"," "),"%"," "))&amp;" "</f>
        <v> i have been a customer for years a fake text message led me to a website and my money disappeared i expect compensation </v>
      </c>
      <c r="E26" s="0" t="n">
        <f aca="false">SUMPRODUCT((Rules!$A$2:$A$60=E$1)*Rules!$C$2:$C$60*ISNUMBER(SEARCH(Rules!$D$2:$D$60,$D26)))</f>
        <v>2</v>
      </c>
      <c r="F26" s="0" t="n">
        <f aca="false">SUMPRODUCT((Rules!$A$2:$A$60=F$1)*Rules!$C$2:$C$60*ISNUMBER(SEARCH(Rules!$D$2:$D$60,$D26)))</f>
        <v>0</v>
      </c>
      <c r="G26" s="0" t="n">
        <f aca="false">SUMPRODUCT((Rules!$A$2:$A$60=G$1)*Rules!$C$2:$C$60*ISNUMBER(SEARCH(Rules!$D$2:$D$60,$D26)))</f>
        <v>0</v>
      </c>
      <c r="H26" s="0" t="n">
        <f aca="false">SUMPRODUCT((Rules!$A$2:$A$60=H$1)*Rules!$C$2:$C$60*ISNUMBER(SEARCH(Rules!$D$2:$D$60,$D26)))</f>
        <v>0</v>
      </c>
      <c r="I26" s="0" t="n">
        <f aca="false">SUMPRODUCT((Rules!$A$2:$A$60=I$1)*Rules!$C$2:$C$60*ISNUMBER(SEARCH(Rules!$D$2:$D$60,$D26)))</f>
        <v>0</v>
      </c>
      <c r="J26" s="0" t="n">
        <f aca="false">SUMPRODUCT((Rules!$A$2:$A$60=J$1)*Rules!$C$2:$C$60*ISNUMBER(SEARCH(Rules!$D$2:$D$60,$D26)))</f>
        <v>0</v>
      </c>
      <c r="K26" s="0" t="str">
        <f aca="false">IF(OR(MAX(E26:J26)&lt;Rules!$H$1,MAX(E26:J26)-LARGE(E26:J26,2)&lt;Rules!$H$2),"No label",INDEX($E$1:$J$1,MATCH(MAX(E26:J26),E26:J26,0)))</f>
        <v>No label</v>
      </c>
      <c r="L26" s="0" t="n">
        <f aca="false">SUMPRODUCT((Rules!$A$2:$A$60=L$1)*Rules!$C$2:$C$60*ISNUMBER(SEARCH(Rules!$E$2:$E$60,$D26)))</f>
        <v>2</v>
      </c>
      <c r="M26" s="0" t="n">
        <f aca="false">SUMPRODUCT((Rules!$A$2:$A$60=M$1)*Rules!$C$2:$C$60*ISNUMBER(SEARCH(Rules!$E$2:$E$60,$D26)))</f>
        <v>0</v>
      </c>
      <c r="N26" s="0" t="n">
        <f aca="false">SUMPRODUCT((Rules!$A$2:$A$60=N$1)*Rules!$C$2:$C$60*ISNUMBER(SEARCH(Rules!$E$2:$E$60,$D26)))</f>
        <v>0</v>
      </c>
      <c r="O26" s="0" t="n">
        <f aca="false">SUMPRODUCT((Rules!$A$2:$A$60=O$1)*Rules!$C$2:$C$60*ISNUMBER(SEARCH(Rules!$E$2:$E$60,$D26)))</f>
        <v>0</v>
      </c>
      <c r="P26" s="0" t="n">
        <f aca="false">SUMPRODUCT((Rules!$A$2:$A$60=P$1)*Rules!$C$2:$C$60*ISNUMBER(SEARCH(Rules!$E$2:$E$60,$D26)))</f>
        <v>0</v>
      </c>
      <c r="Q26" s="0" t="n">
        <f aca="false">SUMPRODUCT((Rules!$A$2:$A$60=Q$1)*Rules!$C$2:$C$60*ISNUMBER(SEARCH(Rules!$E$2:$E$60,$D26)))</f>
        <v>0</v>
      </c>
      <c r="R26" s="0" t="str">
        <f aca="false">IF(OR(MAX(L26:Q26)&lt;Rules!$H$1,MAX(L26:Q26)-LARGE(L26:Q26,2)&lt;Rules!$H$2),"No label",INDEX($L$1:$Q$1,MATCH(MAX(L26:Q26),L26:Q26,0)))</f>
        <v>No label</v>
      </c>
      <c r="S26" s="0" t="n">
        <f aca="false">SUMPRODUCT(ISNUMBER(SEARCH(" "&amp;Terms!$A$3:$A$821&amp;" ",$D26))*Terms!B$3:B$821)+Terms!B$2</f>
        <v>3.58337353496759</v>
      </c>
      <c r="T26" s="0" t="n">
        <f aca="false">SUMPRODUCT(ISNUMBER(SEARCH(" "&amp;Terms!$A$3:$A$821&amp;" ",$D26))*Terms!C$3:C$821)+Terms!C$2</f>
        <v>-2.83725375131114</v>
      </c>
      <c r="U26" s="0" t="n">
        <f aca="false">SUMPRODUCT(ISNUMBER(SEARCH(" "&amp;Terms!$A$3:$A$821&amp;" ",$D26))*Terms!D$3:D$821)+Terms!D$2</f>
        <v>-1.75080040868869</v>
      </c>
      <c r="V26" s="0" t="n">
        <f aca="false">SUMPRODUCT(ISNUMBER(SEARCH(" "&amp;Terms!$A$3:$A$821&amp;" ",$D26))*Terms!E$3:E$821)+Terms!E$2</f>
        <v>-7.82653140246055</v>
      </c>
      <c r="W26" s="0" t="n">
        <f aca="false">SUMPRODUCT(ISNUMBER(SEARCH(" "&amp;Terms!$A$3:$A$821&amp;" ",$D26))*Terms!F$3:F$821)+Terms!F$2</f>
        <v>11.266827644586</v>
      </c>
      <c r="X26" s="0" t="n">
        <f aca="false">SUMPRODUCT(ISNUMBER(SEARCH(" "&amp;Terms!$A$3:$A$821&amp;" ",$D26))*Terms!G$3:G$821)+Terms!G$2</f>
        <v>-2.43561561709311</v>
      </c>
      <c r="Y26" s="0" t="str">
        <f aca="false">INDEX($S$1:$X$1,MATCH(MAX(S26:X26),S26:X26,0))</f>
        <v>Fraud &amp; Scams</v>
      </c>
      <c r="Z26" s="0" t="s">
        <v>2607</v>
      </c>
    </row>
    <row r="27" customFormat="false" ht="15" hidden="false" customHeight="false" outlineLevel="0" collapsed="false">
      <c r="A27" s="0" t="str">
        <f aca="false">Complaints!A27</f>
        <v>C0026</v>
      </c>
      <c r="B27" s="0" t="str">
        <f aca="false">Complaints!B27</f>
        <v>There is an unexpected charge on my statement of £120. I would like a response in writing.</v>
      </c>
      <c r="C27" s="0" t="str">
        <f aca="false">Complaints!C27</f>
        <v>Fees &amp; Charges</v>
      </c>
      <c r="D27" s="0" t="str">
        <f aca="false">" "&amp;TRIM(SUBSTITUTE(SUBSTITUTE(SUBSTITUTE(SUBSTITUTE(SUBSTITUTE(SUBSTITUTE(SUBSTITUTE(SUBSTITUTE(SUBSTITUTE(SUBSTITUTE(SUBSTITUTE(SUBSTITUTE(SUBSTITUTE(SUBSTITUTE(SUBSTITUTE(SUBSTITUTE(LOWER(B27),"."," "),","," "),"'"," "),"’"," "),"!"," "),"?"," "),";"," "),":"," "),"-"," "),"("," "),")"," "),"""", " "),"£"," "),"&amp;"," "),"/"," "),"%"," "))&amp;" "</f>
        <v> there is an unexpected charge on my statement of 120 i would like a response in writing </v>
      </c>
      <c r="E27" s="0" t="n">
        <f aca="false">SUMPRODUCT((Rules!$A$2:$A$60=E$1)*Rules!$C$2:$C$60*ISNUMBER(SEARCH(Rules!$D$2:$D$60,$D27)))</f>
        <v>0</v>
      </c>
      <c r="F27" s="0" t="n">
        <f aca="false">SUMPRODUCT((Rules!$A$2:$A$60=F$1)*Rules!$C$2:$C$60*ISNUMBER(SEARCH(Rules!$D$2:$D$60,$D27)))</f>
        <v>0</v>
      </c>
      <c r="G27" s="0" t="n">
        <f aca="false">SUMPRODUCT((Rules!$A$2:$A$60=G$1)*Rules!$C$2:$C$60*ISNUMBER(SEARCH(Rules!$D$2:$D$60,$D27)))</f>
        <v>0</v>
      </c>
      <c r="H27" s="0" t="n">
        <f aca="false">SUMPRODUCT((Rules!$A$2:$A$60=H$1)*Rules!$C$2:$C$60*ISNUMBER(SEARCH(Rules!$D$2:$D$60,$D27)))</f>
        <v>3</v>
      </c>
      <c r="I27" s="0" t="n">
        <f aca="false">SUMPRODUCT((Rules!$A$2:$A$60=I$1)*Rules!$C$2:$C$60*ISNUMBER(SEARCH(Rules!$D$2:$D$60,$D27)))</f>
        <v>0</v>
      </c>
      <c r="J27" s="0" t="n">
        <f aca="false">SUMPRODUCT((Rules!$A$2:$A$60=J$1)*Rules!$C$2:$C$60*ISNUMBER(SEARCH(Rules!$D$2:$D$60,$D27)))</f>
        <v>0</v>
      </c>
      <c r="K27" s="0" t="str">
        <f aca="false">IF(OR(MAX(E27:J27)&lt;Rules!$H$1,MAX(E27:J27)-LARGE(E27:J27,2)&lt;Rules!$H$2),"No label",INDEX($E$1:$J$1,MATCH(MAX(E27:J27),E27:J27,0)))</f>
        <v>Fees &amp; Charges</v>
      </c>
      <c r="L27" s="0" t="n">
        <f aca="false">SUMPRODUCT((Rules!$A$2:$A$60=L$1)*Rules!$C$2:$C$60*ISNUMBER(SEARCH(Rules!$E$2:$E$60,$D27)))</f>
        <v>0</v>
      </c>
      <c r="M27" s="0" t="n">
        <f aca="false">SUMPRODUCT((Rules!$A$2:$A$60=M$1)*Rules!$C$2:$C$60*ISNUMBER(SEARCH(Rules!$E$2:$E$60,$D27)))</f>
        <v>0</v>
      </c>
      <c r="N27" s="0" t="n">
        <f aca="false">SUMPRODUCT((Rules!$A$2:$A$60=N$1)*Rules!$C$2:$C$60*ISNUMBER(SEARCH(Rules!$E$2:$E$60,$D27)))</f>
        <v>0</v>
      </c>
      <c r="O27" s="0" t="n">
        <f aca="false">SUMPRODUCT((Rules!$A$2:$A$60=O$1)*Rules!$C$2:$C$60*ISNUMBER(SEARCH(Rules!$E$2:$E$60,$D27)))</f>
        <v>5</v>
      </c>
      <c r="P27" s="0" t="n">
        <f aca="false">SUMPRODUCT((Rules!$A$2:$A$60=P$1)*Rules!$C$2:$C$60*ISNUMBER(SEARCH(Rules!$E$2:$E$60,$D27)))</f>
        <v>0</v>
      </c>
      <c r="Q27" s="0" t="n">
        <f aca="false">SUMPRODUCT((Rules!$A$2:$A$60=Q$1)*Rules!$C$2:$C$60*ISNUMBER(SEARCH(Rules!$E$2:$E$60,$D27)))</f>
        <v>0</v>
      </c>
      <c r="R27" s="0" t="str">
        <f aca="false">IF(OR(MAX(L27:Q27)&lt;Rules!$H$1,MAX(L27:Q27)-LARGE(L27:Q27,2)&lt;Rules!$H$2),"No label",INDEX($L$1:$Q$1,MATCH(MAX(L27:Q27),L27:Q27,0)))</f>
        <v>Fees &amp; Charges</v>
      </c>
      <c r="S27" s="0" t="n">
        <f aca="false">SUMPRODUCT(ISNUMBER(SEARCH(" "&amp;Terms!$A$3:$A$821&amp;" ",$D27))*Terms!B$3:B$821)+Terms!B$2</f>
        <v>-2.73314959212866</v>
      </c>
      <c r="T27" s="0" t="n">
        <f aca="false">SUMPRODUCT(ISNUMBER(SEARCH(" "&amp;Terms!$A$3:$A$821&amp;" ",$D27))*Terms!C$3:C$821)+Terms!C$2</f>
        <v>-1.96818524717413</v>
      </c>
      <c r="U27" s="0" t="n">
        <f aca="false">SUMPRODUCT(ISNUMBER(SEARCH(" "&amp;Terms!$A$3:$A$821&amp;" ",$D27))*Terms!D$3:D$821)+Terms!D$2</f>
        <v>-2.26338294000098</v>
      </c>
      <c r="V27" s="0" t="n">
        <f aca="false">SUMPRODUCT(ISNUMBER(SEARCH(" "&amp;Terms!$A$3:$A$821&amp;" ",$D27))*Terms!E$3:E$821)+Terms!E$2</f>
        <v>8.37391662626666</v>
      </c>
      <c r="W27" s="0" t="n">
        <f aca="false">SUMPRODUCT(ISNUMBER(SEARCH(" "&amp;Terms!$A$3:$A$821&amp;" ",$D27))*Terms!F$3:F$821)+Terms!F$2</f>
        <v>-1.67551885248112</v>
      </c>
      <c r="X27" s="0" t="n">
        <f aca="false">SUMPRODUCT(ISNUMBER(SEARCH(" "&amp;Terms!$A$3:$A$821&amp;" ",$D27))*Terms!G$3:G$821)+Terms!G$2</f>
        <v>0.266320005518313</v>
      </c>
      <c r="Y27" s="0" t="str">
        <f aca="false">INDEX($S$1:$X$1,MATCH(MAX(S27:X27),S27:X27,0))</f>
        <v>Fees &amp; Charges</v>
      </c>
      <c r="Z27" s="0" t="s">
        <v>2607</v>
      </c>
    </row>
    <row r="28" customFormat="false" ht="15" hidden="false" customHeight="false" outlineLevel="0" collapsed="false">
      <c r="A28" s="0" t="str">
        <f aca="false">Complaints!A28</f>
        <v>C0027</v>
      </c>
      <c r="B28" s="0" t="str">
        <f aca="false">Complaints!B28</f>
        <v>The terms were very different from what I was promised at the time of sale. Also, there is an unexpected charge on my statement of £25. Please escalate this.</v>
      </c>
      <c r="C28" s="0" t="str">
        <f aca="false">Complaints!C28</f>
        <v>Mis-selling</v>
      </c>
      <c r="D28" s="0" t="str">
        <f aca="false">" "&amp;TRIM(SUBSTITUTE(SUBSTITUTE(SUBSTITUTE(SUBSTITUTE(SUBSTITUTE(SUBSTITUTE(SUBSTITUTE(SUBSTITUTE(SUBSTITUTE(SUBSTITUTE(SUBSTITUTE(SUBSTITUTE(SUBSTITUTE(SUBSTITUTE(SUBSTITUTE(SUBSTITUTE(LOWER(B28),"."," "),","," "),"'"," "),"’"," "),"!"," "),"?"," "),";"," "),":"," "),"-"," "),"("," "),")"," "),"""", " "),"£"," "),"&amp;"," "),"/"," "),"%"," "))&amp;" "</f>
        <v> the terms were very different from what i was promised at the time of sale also there is an unexpected charge on my statement of 25 please escalate this </v>
      </c>
      <c r="E28" s="0" t="n">
        <f aca="false">SUMPRODUCT((Rules!$A$2:$A$60=E$1)*Rules!$C$2:$C$60*ISNUMBER(SEARCH(Rules!$D$2:$D$60,$D28)))</f>
        <v>0</v>
      </c>
      <c r="F28" s="0" t="n">
        <f aca="false">SUMPRODUCT((Rules!$A$2:$A$60=F$1)*Rules!$C$2:$C$60*ISNUMBER(SEARCH(Rules!$D$2:$D$60,$D28)))</f>
        <v>1</v>
      </c>
      <c r="G28" s="0" t="n">
        <f aca="false">SUMPRODUCT((Rules!$A$2:$A$60=G$1)*Rules!$C$2:$C$60*ISNUMBER(SEARCH(Rules!$D$2:$D$60,$D28)))</f>
        <v>0</v>
      </c>
      <c r="H28" s="0" t="n">
        <f aca="false">SUMPRODUCT((Rules!$A$2:$A$60=H$1)*Rules!$C$2:$C$60*ISNUMBER(SEARCH(Rules!$D$2:$D$60,$D28)))</f>
        <v>3</v>
      </c>
      <c r="I28" s="0" t="n">
        <f aca="false">SUMPRODUCT((Rules!$A$2:$A$60=I$1)*Rules!$C$2:$C$60*ISNUMBER(SEARCH(Rules!$D$2:$D$60,$D28)))</f>
        <v>0</v>
      </c>
      <c r="J28" s="0" t="n">
        <f aca="false">SUMPRODUCT((Rules!$A$2:$A$60=J$1)*Rules!$C$2:$C$60*ISNUMBER(SEARCH(Rules!$D$2:$D$60,$D28)))</f>
        <v>0</v>
      </c>
      <c r="K28" s="0" t="str">
        <f aca="false">IF(OR(MAX(E28:J28)&lt;Rules!$H$1,MAX(E28:J28)-LARGE(E28:J28,2)&lt;Rules!$H$2),"No label",INDEX($E$1:$J$1,MATCH(MAX(E28:J28),E28:J28,0)))</f>
        <v>Fees &amp; Charges</v>
      </c>
      <c r="L28" s="0" t="n">
        <f aca="false">SUMPRODUCT((Rules!$A$2:$A$60=L$1)*Rules!$C$2:$C$60*ISNUMBER(SEARCH(Rules!$E$2:$E$60,$D28)))</f>
        <v>0</v>
      </c>
      <c r="M28" s="0" t="n">
        <f aca="false">SUMPRODUCT((Rules!$A$2:$A$60=M$1)*Rules!$C$2:$C$60*ISNUMBER(SEARCH(Rules!$E$2:$E$60,$D28)))</f>
        <v>1</v>
      </c>
      <c r="N28" s="0" t="n">
        <f aca="false">SUMPRODUCT((Rules!$A$2:$A$60=N$1)*Rules!$C$2:$C$60*ISNUMBER(SEARCH(Rules!$E$2:$E$60,$D28)))</f>
        <v>0</v>
      </c>
      <c r="O28" s="0" t="n">
        <f aca="false">SUMPRODUCT((Rules!$A$2:$A$60=O$1)*Rules!$C$2:$C$60*ISNUMBER(SEARCH(Rules!$E$2:$E$60,$D28)))</f>
        <v>5</v>
      </c>
      <c r="P28" s="0" t="n">
        <f aca="false">SUMPRODUCT((Rules!$A$2:$A$60=P$1)*Rules!$C$2:$C$60*ISNUMBER(SEARCH(Rules!$E$2:$E$60,$D28)))</f>
        <v>0</v>
      </c>
      <c r="Q28" s="0" t="n">
        <f aca="false">SUMPRODUCT((Rules!$A$2:$A$60=Q$1)*Rules!$C$2:$C$60*ISNUMBER(SEARCH(Rules!$E$2:$E$60,$D28)))</f>
        <v>0</v>
      </c>
      <c r="R28" s="0" t="str">
        <f aca="false">IF(OR(MAX(L28:Q28)&lt;Rules!$H$1,MAX(L28:Q28)-LARGE(L28:Q28,2)&lt;Rules!$H$2),"No label",INDEX($L$1:$Q$1,MATCH(MAX(L28:Q28),L28:Q28,0)))</f>
        <v>Fees &amp; Charges</v>
      </c>
      <c r="S28" s="0" t="n">
        <f aca="false">SUMPRODUCT(ISNUMBER(SEARCH(" "&amp;Terms!$A$3:$A$821&amp;" ",$D28))*Terms!B$3:B$821)+Terms!B$2</f>
        <v>-4.90149323046898</v>
      </c>
      <c r="T28" s="0" t="n">
        <f aca="false">SUMPRODUCT(ISNUMBER(SEARCH(" "&amp;Terms!$A$3:$A$821&amp;" ",$D28))*Terms!C$3:C$821)+Terms!C$2</f>
        <v>-3.87065748076827</v>
      </c>
      <c r="U28" s="0" t="n">
        <f aca="false">SUMPRODUCT(ISNUMBER(SEARCH(" "&amp;Terms!$A$3:$A$821&amp;" ",$D28))*Terms!D$3:D$821)+Terms!D$2</f>
        <v>-0.423318270919445</v>
      </c>
      <c r="V28" s="0" t="n">
        <f aca="false">SUMPRODUCT(ISNUMBER(SEARCH(" "&amp;Terms!$A$3:$A$821&amp;" ",$D28))*Terms!E$3:E$821)+Terms!E$2</f>
        <v>7.89699625199008</v>
      </c>
      <c r="W28" s="0" t="n">
        <f aca="false">SUMPRODUCT(ISNUMBER(SEARCH(" "&amp;Terms!$A$3:$A$821&amp;" ",$D28))*Terms!F$3:F$821)+Terms!F$2</f>
        <v>-4.49192444148397</v>
      </c>
      <c r="X28" s="0" t="n">
        <f aca="false">SUMPRODUCT(ISNUMBER(SEARCH(" "&amp;Terms!$A$3:$A$821&amp;" ",$D28))*Terms!G$3:G$821)+Terms!G$2</f>
        <v>5.79039717165067</v>
      </c>
      <c r="Y28" s="0" t="str">
        <f aca="false">INDEX($S$1:$X$1,MATCH(MAX(S28:X28),S28:X28,0))</f>
        <v>Fees &amp; Charges</v>
      </c>
      <c r="Z28" s="0" t="s">
        <v>2607</v>
      </c>
    </row>
    <row r="29" customFormat="false" ht="15" hidden="false" customHeight="false" outlineLevel="0" collapsed="false">
      <c r="A29" s="0" t="str">
        <f aca="false">Complaints!A29</f>
        <v>C0028</v>
      </c>
      <c r="B29" s="0" t="str">
        <f aca="false">Complaints!B29</f>
        <v>Hello, It has taken six weeks to process my claim and nobody has updated me. Also, i spent an hour on hold and then the call was cut off.</v>
      </c>
      <c r="C29" s="0" t="str">
        <f aca="false">Complaints!C29</f>
        <v>Delays &amp; Processing</v>
      </c>
      <c r="D29" s="0" t="str">
        <f aca="false">" "&amp;TRIM(SUBSTITUTE(SUBSTITUTE(SUBSTITUTE(SUBSTITUTE(SUBSTITUTE(SUBSTITUTE(SUBSTITUTE(SUBSTITUTE(SUBSTITUTE(SUBSTITUTE(SUBSTITUTE(SUBSTITUTE(SUBSTITUTE(SUBSTITUTE(SUBSTITUTE(SUBSTITUTE(LOWER(B29),"."," "),","," "),"'"," "),"’"," "),"!"," "),"?"," "),";"," "),":"," "),"-"," "),"("," "),")"," "),"""", " "),"£"," "),"&amp;"," "),"/"," "),"%"," "))&amp;" "</f>
        <v> hello it has taken six weeks to process my claim and nobody has updated me also i spent an hour on hold and then the call was cut off </v>
      </c>
      <c r="E29" s="0" t="n">
        <f aca="false">SUMPRODUCT((Rules!$A$2:$A$60=E$1)*Rules!$C$2:$C$60*ISNUMBER(SEARCH(Rules!$D$2:$D$60,$D29)))</f>
        <v>0</v>
      </c>
      <c r="F29" s="0" t="n">
        <f aca="false">SUMPRODUCT((Rules!$A$2:$A$60=F$1)*Rules!$C$2:$C$60*ISNUMBER(SEARCH(Rules!$D$2:$D$60,$D29)))</f>
        <v>0</v>
      </c>
      <c r="G29" s="0" t="n">
        <f aca="false">SUMPRODUCT((Rules!$A$2:$A$60=G$1)*Rules!$C$2:$C$60*ISNUMBER(SEARCH(Rules!$D$2:$D$60,$D29)))</f>
        <v>0</v>
      </c>
      <c r="H29" s="0" t="n">
        <f aca="false">SUMPRODUCT((Rules!$A$2:$A$60=H$1)*Rules!$C$2:$C$60*ISNUMBER(SEARCH(Rules!$D$2:$D$60,$D29)))</f>
        <v>0</v>
      </c>
      <c r="I29" s="0" t="n">
        <f aca="false">SUMPRODUCT((Rules!$A$2:$A$60=I$1)*Rules!$C$2:$C$60*ISNUMBER(SEARCH(Rules!$D$2:$D$60,$D29)))</f>
        <v>2</v>
      </c>
      <c r="J29" s="0" t="n">
        <f aca="false">SUMPRODUCT((Rules!$A$2:$A$60=J$1)*Rules!$C$2:$C$60*ISNUMBER(SEARCH(Rules!$D$2:$D$60,$D29)))</f>
        <v>3</v>
      </c>
      <c r="K29" s="0" t="str">
        <f aca="false">IF(OR(MAX(E29:J29)&lt;Rules!$H$1,MAX(E29:J29)-LARGE(E29:J29,2)&lt;Rules!$H$2),"No label",INDEX($E$1:$J$1,MATCH(MAX(E29:J29),E29:J29,0)))</f>
        <v>No label</v>
      </c>
      <c r="L29" s="0" t="n">
        <f aca="false">SUMPRODUCT((Rules!$A$2:$A$60=L$1)*Rules!$C$2:$C$60*ISNUMBER(SEARCH(Rules!$E$2:$E$60,$D29)))</f>
        <v>0</v>
      </c>
      <c r="M29" s="0" t="n">
        <f aca="false">SUMPRODUCT((Rules!$A$2:$A$60=M$1)*Rules!$C$2:$C$60*ISNUMBER(SEARCH(Rules!$E$2:$E$60,$D29)))</f>
        <v>0</v>
      </c>
      <c r="N29" s="0" t="n">
        <f aca="false">SUMPRODUCT((Rules!$A$2:$A$60=N$1)*Rules!$C$2:$C$60*ISNUMBER(SEARCH(Rules!$E$2:$E$60,$D29)))</f>
        <v>0</v>
      </c>
      <c r="O29" s="0" t="n">
        <f aca="false">SUMPRODUCT((Rules!$A$2:$A$60=O$1)*Rules!$C$2:$C$60*ISNUMBER(SEARCH(Rules!$E$2:$E$60,$D29)))</f>
        <v>0</v>
      </c>
      <c r="P29" s="0" t="n">
        <f aca="false">SUMPRODUCT((Rules!$A$2:$A$60=P$1)*Rules!$C$2:$C$60*ISNUMBER(SEARCH(Rules!$E$2:$E$60,$D29)))</f>
        <v>2</v>
      </c>
      <c r="Q29" s="0" t="n">
        <f aca="false">SUMPRODUCT((Rules!$A$2:$A$60=Q$1)*Rules!$C$2:$C$60*ISNUMBER(SEARCH(Rules!$E$2:$E$60,$D29)))</f>
        <v>3</v>
      </c>
      <c r="R29" s="0" t="str">
        <f aca="false">IF(OR(MAX(L29:Q29)&lt;Rules!$H$1,MAX(L29:Q29)-LARGE(L29:Q29,2)&lt;Rules!$H$2),"No label",INDEX($L$1:$Q$1,MATCH(MAX(L29:Q29),L29:Q29,0)))</f>
        <v>No label</v>
      </c>
      <c r="S29" s="0" t="n">
        <f aca="false">SUMPRODUCT(ISNUMBER(SEARCH(" "&amp;Terms!$A$3:$A$821&amp;" ",$D29))*Terms!B$3:B$821)+Terms!B$2</f>
        <v>-2.86488002296536</v>
      </c>
      <c r="T29" s="0" t="n">
        <f aca="false">SUMPRODUCT(ISNUMBER(SEARCH(" "&amp;Terms!$A$3:$A$821&amp;" ",$D29))*Terms!C$3:C$821)+Terms!C$2</f>
        <v>4.28972149760844</v>
      </c>
      <c r="U29" s="0" t="n">
        <f aca="false">SUMPRODUCT(ISNUMBER(SEARCH(" "&amp;Terms!$A$3:$A$821&amp;" ",$D29))*Terms!D$3:D$821)+Terms!D$2</f>
        <v>4.69970442320143</v>
      </c>
      <c r="V29" s="0" t="n">
        <f aca="false">SUMPRODUCT(ISNUMBER(SEARCH(" "&amp;Terms!$A$3:$A$821&amp;" ",$D29))*Terms!E$3:E$821)+Terms!E$2</f>
        <v>-3.82871431772789</v>
      </c>
      <c r="W29" s="0" t="n">
        <f aca="false">SUMPRODUCT(ISNUMBER(SEARCH(" "&amp;Terms!$A$3:$A$821&amp;" ",$D29))*Terms!F$3:F$821)+Terms!F$2</f>
        <v>-1.43749852407745</v>
      </c>
      <c r="X29" s="0" t="n">
        <f aca="false">SUMPRODUCT(ISNUMBER(SEARCH(" "&amp;Terms!$A$3:$A$821&amp;" ",$D29))*Terms!G$3:G$821)+Terms!G$2</f>
        <v>-0.858333056039065</v>
      </c>
      <c r="Y29" s="0" t="str">
        <f aca="false">INDEX($S$1:$X$1,MATCH(MAX(S29:X29),S29:X29,0))</f>
        <v>Delays &amp; Processing</v>
      </c>
      <c r="Z29" s="0" t="s">
        <v>2607</v>
      </c>
    </row>
    <row r="30" customFormat="false" ht="15" hidden="false" customHeight="false" outlineLevel="0" collapsed="false">
      <c r="A30" s="0" t="str">
        <f aca="false">Complaints!A30</f>
        <v>C0029</v>
      </c>
      <c r="B30" s="0" t="str">
        <f aca="false">Complaints!B30</f>
        <v>Frankly, The app crashes every time I try to open my statements. Also, the payment still has not arrived in my account.</v>
      </c>
      <c r="C30" s="0" t="str">
        <f aca="false">Complaints!C30</f>
        <v>Account Access</v>
      </c>
      <c r="D30" s="0" t="str">
        <f aca="false">" "&amp;TRIM(SUBSTITUTE(SUBSTITUTE(SUBSTITUTE(SUBSTITUTE(SUBSTITUTE(SUBSTITUTE(SUBSTITUTE(SUBSTITUTE(SUBSTITUTE(SUBSTITUTE(SUBSTITUTE(SUBSTITUTE(SUBSTITUTE(SUBSTITUTE(SUBSTITUTE(SUBSTITUTE(LOWER(B30),"."," "),","," "),"'"," "),"’"," "),"!"," "),"?"," "),";"," "),":"," "),"-"," "),"("," "),")"," "),"""", " "),"£"," "),"&amp;"," "),"/"," "),"%"," "))&amp;" "</f>
        <v> frankly the app crashes every time i try to open my statements also the payment still has not arrived in my account </v>
      </c>
      <c r="E30" s="0" t="n">
        <f aca="false">SUMPRODUCT((Rules!$A$2:$A$60=E$1)*Rules!$C$2:$C$60*ISNUMBER(SEARCH(Rules!$D$2:$D$60,$D30)))</f>
        <v>0</v>
      </c>
      <c r="F30" s="0" t="n">
        <f aca="false">SUMPRODUCT((Rules!$A$2:$A$60=F$1)*Rules!$C$2:$C$60*ISNUMBER(SEARCH(Rules!$D$2:$D$60,$D30)))</f>
        <v>0</v>
      </c>
      <c r="G30" s="0" t="n">
        <f aca="false">SUMPRODUCT((Rules!$A$2:$A$60=G$1)*Rules!$C$2:$C$60*ISNUMBER(SEARCH(Rules!$D$2:$D$60,$D30)))</f>
        <v>3</v>
      </c>
      <c r="H30" s="0" t="n">
        <f aca="false">SUMPRODUCT((Rules!$A$2:$A$60=H$1)*Rules!$C$2:$C$60*ISNUMBER(SEARCH(Rules!$D$2:$D$60,$D30)))</f>
        <v>0</v>
      </c>
      <c r="I30" s="0" t="n">
        <f aca="false">SUMPRODUCT((Rules!$A$2:$A$60=I$1)*Rules!$C$2:$C$60*ISNUMBER(SEARCH(Rules!$D$2:$D$60,$D30)))</f>
        <v>2</v>
      </c>
      <c r="J30" s="0" t="n">
        <f aca="false">SUMPRODUCT((Rules!$A$2:$A$60=J$1)*Rules!$C$2:$C$60*ISNUMBER(SEARCH(Rules!$D$2:$D$60,$D30)))</f>
        <v>0</v>
      </c>
      <c r="K30" s="0" t="str">
        <f aca="false">IF(OR(MAX(E30:J30)&lt;Rules!$H$1,MAX(E30:J30)-LARGE(E30:J30,2)&lt;Rules!$H$2),"No label",INDEX($E$1:$J$1,MATCH(MAX(E30:J30),E30:J30,0)))</f>
        <v>No label</v>
      </c>
      <c r="L30" s="0" t="n">
        <f aca="false">SUMPRODUCT((Rules!$A$2:$A$60=L$1)*Rules!$C$2:$C$60*ISNUMBER(SEARCH(Rules!$E$2:$E$60,$D30)))</f>
        <v>0</v>
      </c>
      <c r="M30" s="0" t="n">
        <f aca="false">SUMPRODUCT((Rules!$A$2:$A$60=M$1)*Rules!$C$2:$C$60*ISNUMBER(SEARCH(Rules!$E$2:$E$60,$D30)))</f>
        <v>0</v>
      </c>
      <c r="N30" s="0" t="n">
        <f aca="false">SUMPRODUCT((Rules!$A$2:$A$60=N$1)*Rules!$C$2:$C$60*ISNUMBER(SEARCH(Rules!$E$2:$E$60,$D30)))</f>
        <v>3</v>
      </c>
      <c r="O30" s="0" t="n">
        <f aca="false">SUMPRODUCT((Rules!$A$2:$A$60=O$1)*Rules!$C$2:$C$60*ISNUMBER(SEARCH(Rules!$E$2:$E$60,$D30)))</f>
        <v>1</v>
      </c>
      <c r="P30" s="0" t="n">
        <f aca="false">SUMPRODUCT((Rules!$A$2:$A$60=P$1)*Rules!$C$2:$C$60*ISNUMBER(SEARCH(Rules!$E$2:$E$60,$D30)))</f>
        <v>2</v>
      </c>
      <c r="Q30" s="0" t="n">
        <f aca="false">SUMPRODUCT((Rules!$A$2:$A$60=Q$1)*Rules!$C$2:$C$60*ISNUMBER(SEARCH(Rules!$E$2:$E$60,$D30)))</f>
        <v>0</v>
      </c>
      <c r="R30" s="0" t="str">
        <f aca="false">IF(OR(MAX(L30:Q30)&lt;Rules!$H$1,MAX(L30:Q30)-LARGE(L30:Q30,2)&lt;Rules!$H$2),"No label",INDEX($L$1:$Q$1,MATCH(MAX(L30:Q30),L30:Q30,0)))</f>
        <v>No label</v>
      </c>
      <c r="S30" s="0" t="n">
        <f aca="false">SUMPRODUCT(ISNUMBER(SEARCH(" "&amp;Terms!$A$3:$A$821&amp;" ",$D30))*Terms!B$3:B$821)+Terms!B$2</f>
        <v>8.92577233269878</v>
      </c>
      <c r="T30" s="0" t="n">
        <f aca="false">SUMPRODUCT(ISNUMBER(SEARCH(" "&amp;Terms!$A$3:$A$821&amp;" ",$D30))*Terms!C$3:C$821)+Terms!C$2</f>
        <v>-3.62462165232389</v>
      </c>
      <c r="U30" s="0" t="n">
        <f aca="false">SUMPRODUCT(ISNUMBER(SEARCH(" "&amp;Terms!$A$3:$A$821&amp;" ",$D30))*Terms!D$3:D$821)+Terms!D$2</f>
        <v>3.55048791590562</v>
      </c>
      <c r="V30" s="0" t="n">
        <f aca="false">SUMPRODUCT(ISNUMBER(SEARCH(" "&amp;Terms!$A$3:$A$821&amp;" ",$D30))*Terms!E$3:E$821)+Terms!E$2</f>
        <v>-0.530697492057707</v>
      </c>
      <c r="W30" s="0" t="n">
        <f aca="false">SUMPRODUCT(ISNUMBER(SEARCH(" "&amp;Terms!$A$3:$A$821&amp;" ",$D30))*Terms!F$3:F$821)+Terms!F$2</f>
        <v>-2.47572690527008</v>
      </c>
      <c r="X30" s="0" t="n">
        <f aca="false">SUMPRODUCT(ISNUMBER(SEARCH(" "&amp;Terms!$A$3:$A$821&amp;" ",$D30))*Terms!G$3:G$821)+Terms!G$2</f>
        <v>-5.84521419895262</v>
      </c>
      <c r="Y30" s="0" t="str">
        <f aca="false">INDEX($S$1:$X$1,MATCH(MAX(S30:X30),S30:X30,0))</f>
        <v>Account Access</v>
      </c>
      <c r="Z30" s="0" t="s">
        <v>2607</v>
      </c>
    </row>
    <row r="31" customFormat="false" ht="15" hidden="false" customHeight="false" outlineLevel="0" collapsed="false">
      <c r="A31" s="0" t="str">
        <f aca="false">Complaints!A31</f>
        <v>C0030</v>
      </c>
      <c r="B31" s="0" t="str">
        <f aca="false">Complaints!B31</f>
        <v>My identity was stolen and a loan was taken out in my name. Also, my transfer has been pending for over a week. Please sort this out.</v>
      </c>
      <c r="C31" s="0" t="str">
        <f aca="false">Complaints!C31</f>
        <v>Fraud &amp; Scams</v>
      </c>
      <c r="D31" s="0" t="str">
        <f aca="false">" "&amp;TRIM(SUBSTITUTE(SUBSTITUTE(SUBSTITUTE(SUBSTITUTE(SUBSTITUTE(SUBSTITUTE(SUBSTITUTE(SUBSTITUTE(SUBSTITUTE(SUBSTITUTE(SUBSTITUTE(SUBSTITUTE(SUBSTITUTE(SUBSTITUTE(SUBSTITUTE(SUBSTITUTE(LOWER(B31),"."," "),","," "),"'"," "),"’"," "),"!"," "),"?"," "),";"," "),":"," "),"-"," "),"("," "),")"," "),"""", " "),"£"," "),"&amp;"," "),"/"," "),"%"," "))&amp;" "</f>
        <v> my identity was stolen and a loan was taken out in my name also my transfer has been pending for over a week please sort this out </v>
      </c>
      <c r="E31" s="0" t="n">
        <f aca="false">SUMPRODUCT((Rules!$A$2:$A$60=E$1)*Rules!$C$2:$C$60*ISNUMBER(SEARCH(Rules!$D$2:$D$60,$D31)))</f>
        <v>2</v>
      </c>
      <c r="F31" s="0" t="n">
        <f aca="false">SUMPRODUCT((Rules!$A$2:$A$60=F$1)*Rules!$C$2:$C$60*ISNUMBER(SEARCH(Rules!$D$2:$D$60,$D31)))</f>
        <v>0</v>
      </c>
      <c r="G31" s="0" t="n">
        <f aca="false">SUMPRODUCT((Rules!$A$2:$A$60=G$1)*Rules!$C$2:$C$60*ISNUMBER(SEARCH(Rules!$D$2:$D$60,$D31)))</f>
        <v>0</v>
      </c>
      <c r="H31" s="0" t="n">
        <f aca="false">SUMPRODUCT((Rules!$A$2:$A$60=H$1)*Rules!$C$2:$C$60*ISNUMBER(SEARCH(Rules!$D$2:$D$60,$D31)))</f>
        <v>0</v>
      </c>
      <c r="I31" s="0" t="n">
        <f aca="false">SUMPRODUCT((Rules!$A$2:$A$60=I$1)*Rules!$C$2:$C$60*ISNUMBER(SEARCH(Rules!$D$2:$D$60,$D31)))</f>
        <v>2</v>
      </c>
      <c r="J31" s="0" t="n">
        <f aca="false">SUMPRODUCT((Rules!$A$2:$A$60=J$1)*Rules!$C$2:$C$60*ISNUMBER(SEARCH(Rules!$D$2:$D$60,$D31)))</f>
        <v>0</v>
      </c>
      <c r="K31" s="0" t="str">
        <f aca="false">IF(OR(MAX(E31:J31)&lt;Rules!$H$1,MAX(E31:J31)-LARGE(E31:J31,2)&lt;Rules!$H$2),"No label",INDEX($E$1:$J$1,MATCH(MAX(E31:J31),E31:J31,0)))</f>
        <v>No label</v>
      </c>
      <c r="L31" s="0" t="n">
        <f aca="false">SUMPRODUCT((Rules!$A$2:$A$60=L$1)*Rules!$C$2:$C$60*ISNUMBER(SEARCH(Rules!$E$2:$E$60,$D31)))</f>
        <v>2</v>
      </c>
      <c r="M31" s="0" t="n">
        <f aca="false">SUMPRODUCT((Rules!$A$2:$A$60=M$1)*Rules!$C$2:$C$60*ISNUMBER(SEARCH(Rules!$E$2:$E$60,$D31)))</f>
        <v>0</v>
      </c>
      <c r="N31" s="0" t="n">
        <f aca="false">SUMPRODUCT((Rules!$A$2:$A$60=N$1)*Rules!$C$2:$C$60*ISNUMBER(SEARCH(Rules!$E$2:$E$60,$D31)))</f>
        <v>0</v>
      </c>
      <c r="O31" s="0" t="n">
        <f aca="false">SUMPRODUCT((Rules!$A$2:$A$60=O$1)*Rules!$C$2:$C$60*ISNUMBER(SEARCH(Rules!$E$2:$E$60,$D31)))</f>
        <v>0</v>
      </c>
      <c r="P31" s="0" t="n">
        <f aca="false">SUMPRODUCT((Rules!$A$2:$A$60=P$1)*Rules!$C$2:$C$60*ISNUMBER(SEARCH(Rules!$E$2:$E$60,$D31)))</f>
        <v>2</v>
      </c>
      <c r="Q31" s="0" t="n">
        <f aca="false">SUMPRODUCT((Rules!$A$2:$A$60=Q$1)*Rules!$C$2:$C$60*ISNUMBER(SEARCH(Rules!$E$2:$E$60,$D31)))</f>
        <v>0</v>
      </c>
      <c r="R31" s="0" t="str">
        <f aca="false">IF(OR(MAX(L31:Q31)&lt;Rules!$H$1,MAX(L31:Q31)-LARGE(L31:Q31,2)&lt;Rules!$H$2),"No label",INDEX($L$1:$Q$1,MATCH(MAX(L31:Q31),L31:Q31,0)))</f>
        <v>No label</v>
      </c>
      <c r="S31" s="0" t="n">
        <f aca="false">SUMPRODUCT(ISNUMBER(SEARCH(" "&amp;Terms!$A$3:$A$821&amp;" ",$D31))*Terms!B$3:B$821)+Terms!B$2</f>
        <v>-5.09569652590622</v>
      </c>
      <c r="T31" s="0" t="n">
        <f aca="false">SUMPRODUCT(ISNUMBER(SEARCH(" "&amp;Terms!$A$3:$A$821&amp;" ",$D31))*Terms!C$3:C$821)+Terms!C$2</f>
        <v>-0.935659876185187</v>
      </c>
      <c r="U31" s="0" t="n">
        <f aca="false">SUMPRODUCT(ISNUMBER(SEARCH(" "&amp;Terms!$A$3:$A$821&amp;" ",$D31))*Terms!D$3:D$821)+Terms!D$2</f>
        <v>4.46395190548373</v>
      </c>
      <c r="V31" s="0" t="n">
        <f aca="false">SUMPRODUCT(ISNUMBER(SEARCH(" "&amp;Terms!$A$3:$A$821&amp;" ",$D31))*Terms!E$3:E$821)+Terms!E$2</f>
        <v>-1.54770637538209</v>
      </c>
      <c r="W31" s="0" t="n">
        <f aca="false">SUMPRODUCT(ISNUMBER(SEARCH(" "&amp;Terms!$A$3:$A$821&amp;" ",$D31))*Terms!F$3:F$821)+Terms!F$2</f>
        <v>7.00569010752182</v>
      </c>
      <c r="X31" s="0" t="n">
        <f aca="false">SUMPRODUCT(ISNUMBER(SEARCH(" "&amp;Terms!$A$3:$A$821&amp;" ",$D31))*Terms!G$3:G$821)+Terms!G$2</f>
        <v>-3.89057923553197</v>
      </c>
      <c r="Y31" s="0" t="str">
        <f aca="false">INDEX($S$1:$X$1,MATCH(MAX(S31:X31),S31:X31,0))</f>
        <v>Fraud &amp; Scams</v>
      </c>
      <c r="Z31" s="0" t="s">
        <v>2607</v>
      </c>
    </row>
    <row r="32" customFormat="false" ht="15" hidden="false" customHeight="false" outlineLevel="0" collapsed="false">
      <c r="A32" s="0" t="str">
        <f aca="false">Complaints!A32</f>
        <v>C0031</v>
      </c>
      <c r="B32" s="0" t="str">
        <f aca="false">Complaints!B32</f>
        <v>I am very unhappy with how this has been handled. I want this put right.</v>
      </c>
      <c r="C32" s="0" t="str">
        <f aca="false">Complaints!C32</f>
        <v>Fees &amp; Charges</v>
      </c>
      <c r="D32" s="0" t="str">
        <f aca="false">" "&amp;TRIM(SUBSTITUTE(SUBSTITUTE(SUBSTITUTE(SUBSTITUTE(SUBSTITUTE(SUBSTITUTE(SUBSTITUTE(SUBSTITUTE(SUBSTITUTE(SUBSTITUTE(SUBSTITUTE(SUBSTITUTE(SUBSTITUTE(SUBSTITUTE(SUBSTITUTE(SUBSTITUTE(LOWER(B32),"."," "),","," "),"'"," "),"’"," "),"!"," "),"?"," "),";"," "),":"," "),"-"," "),"("," "),")"," "),"""", " "),"£"," "),"&amp;"," "),"/"," "),"%"," "))&amp;" "</f>
        <v> i am very unhappy with how this has been handled i want this put right </v>
      </c>
      <c r="E32" s="0" t="n">
        <f aca="false">SUMPRODUCT((Rules!$A$2:$A$60=E$1)*Rules!$C$2:$C$60*ISNUMBER(SEARCH(Rules!$D$2:$D$60,$D32)))</f>
        <v>0</v>
      </c>
      <c r="F32" s="0" t="n">
        <f aca="false">SUMPRODUCT((Rules!$A$2:$A$60=F$1)*Rules!$C$2:$C$60*ISNUMBER(SEARCH(Rules!$D$2:$D$60,$D32)))</f>
        <v>0</v>
      </c>
      <c r="G32" s="0" t="n">
        <f aca="false">SUMPRODUCT((Rules!$A$2:$A$60=G$1)*Rules!$C$2:$C$60*ISNUMBER(SEARCH(Rules!$D$2:$D$60,$D32)))</f>
        <v>0</v>
      </c>
      <c r="H32" s="0" t="n">
        <f aca="false">SUMPRODUCT((Rules!$A$2:$A$60=H$1)*Rules!$C$2:$C$60*ISNUMBER(SEARCH(Rules!$D$2:$D$60,$D32)))</f>
        <v>0</v>
      </c>
      <c r="I32" s="0" t="n">
        <f aca="false">SUMPRODUCT((Rules!$A$2:$A$60=I$1)*Rules!$C$2:$C$60*ISNUMBER(SEARCH(Rules!$D$2:$D$60,$D32)))</f>
        <v>0</v>
      </c>
      <c r="J32" s="0" t="n">
        <f aca="false">SUMPRODUCT((Rules!$A$2:$A$60=J$1)*Rules!$C$2:$C$60*ISNUMBER(SEARCH(Rules!$D$2:$D$60,$D32)))</f>
        <v>0</v>
      </c>
      <c r="K32" s="0" t="str">
        <f aca="false">IF(OR(MAX(E32:J32)&lt;Rules!$H$1,MAX(E32:J32)-LARGE(E32:J32,2)&lt;Rules!$H$2),"No label",INDEX($E$1:$J$1,MATCH(MAX(E32:J32),E32:J32,0)))</f>
        <v>No label</v>
      </c>
      <c r="L32" s="0" t="n">
        <f aca="false">SUMPRODUCT((Rules!$A$2:$A$60=L$1)*Rules!$C$2:$C$60*ISNUMBER(SEARCH(Rules!$E$2:$E$60,$D32)))</f>
        <v>0</v>
      </c>
      <c r="M32" s="0" t="n">
        <f aca="false">SUMPRODUCT((Rules!$A$2:$A$60=M$1)*Rules!$C$2:$C$60*ISNUMBER(SEARCH(Rules!$E$2:$E$60,$D32)))</f>
        <v>0</v>
      </c>
      <c r="N32" s="0" t="n">
        <f aca="false">SUMPRODUCT((Rules!$A$2:$A$60=N$1)*Rules!$C$2:$C$60*ISNUMBER(SEARCH(Rules!$E$2:$E$60,$D32)))</f>
        <v>0</v>
      </c>
      <c r="O32" s="0" t="n">
        <f aca="false">SUMPRODUCT((Rules!$A$2:$A$60=O$1)*Rules!$C$2:$C$60*ISNUMBER(SEARCH(Rules!$E$2:$E$60,$D32)))</f>
        <v>0</v>
      </c>
      <c r="P32" s="0" t="n">
        <f aca="false">SUMPRODUCT((Rules!$A$2:$A$60=P$1)*Rules!$C$2:$C$60*ISNUMBER(SEARCH(Rules!$E$2:$E$60,$D32)))</f>
        <v>0</v>
      </c>
      <c r="Q32" s="0" t="n">
        <f aca="false">SUMPRODUCT((Rules!$A$2:$A$60=Q$1)*Rules!$C$2:$C$60*ISNUMBER(SEARCH(Rules!$E$2:$E$60,$D32)))</f>
        <v>0</v>
      </c>
      <c r="R32" s="0" t="str">
        <f aca="false">IF(OR(MAX(L32:Q32)&lt;Rules!$H$1,MAX(L32:Q32)-LARGE(L32:Q32,2)&lt;Rules!$H$2),"No label",INDEX($L$1:$Q$1,MATCH(MAX(L32:Q32),L32:Q32,0)))</f>
        <v>No label</v>
      </c>
      <c r="S32" s="0" t="n">
        <f aca="false">SUMPRODUCT(ISNUMBER(SEARCH(" "&amp;Terms!$A$3:$A$821&amp;" ",$D32))*Terms!B$3:B$821)+Terms!B$2</f>
        <v>1.99622833126243</v>
      </c>
      <c r="T32" s="0" t="n">
        <f aca="false">SUMPRODUCT(ISNUMBER(SEARCH(" "&amp;Terms!$A$3:$A$821&amp;" ",$D32))*Terms!C$3:C$821)+Terms!C$2</f>
        <v>-3.16903208689473</v>
      </c>
      <c r="U32" s="0" t="n">
        <f aca="false">SUMPRODUCT(ISNUMBER(SEARCH(" "&amp;Terms!$A$3:$A$821&amp;" ",$D32))*Terms!D$3:D$821)+Terms!D$2</f>
        <v>0.890547746702101</v>
      </c>
      <c r="V32" s="0" t="n">
        <f aca="false">SUMPRODUCT(ISNUMBER(SEARCH(" "&amp;Terms!$A$3:$A$821&amp;" ",$D32))*Terms!E$3:E$821)+Terms!E$2</f>
        <v>1.50622282781741</v>
      </c>
      <c r="W32" s="0" t="n">
        <f aca="false">SUMPRODUCT(ISNUMBER(SEARCH(" "&amp;Terms!$A$3:$A$821&amp;" ",$D32))*Terms!F$3:F$821)+Terms!F$2</f>
        <v>0.32038077121082</v>
      </c>
      <c r="X32" s="0" t="n">
        <f aca="false">SUMPRODUCT(ISNUMBER(SEARCH(" "&amp;Terms!$A$3:$A$821&amp;" ",$D32))*Terms!G$3:G$821)+Terms!G$2</f>
        <v>-1.54434759009794</v>
      </c>
      <c r="Y32" s="0" t="str">
        <f aca="false">INDEX($S$1:$X$1,MATCH(MAX(S32:X32),S32:X32,0))</f>
        <v>Account Access</v>
      </c>
      <c r="Z32" s="0" t="s">
        <v>2607</v>
      </c>
    </row>
    <row r="33" customFormat="false" ht="15" hidden="false" customHeight="false" outlineLevel="0" collapsed="false">
      <c r="A33" s="0" t="str">
        <f aca="false">Complaints!A33</f>
        <v>C0032</v>
      </c>
      <c r="B33" s="0" t="str">
        <f aca="false">Complaints!B33</f>
        <v>Hello, The webchat agent ended the conversation without solving anything. Please escalate this.</v>
      </c>
      <c r="C33" s="0" t="str">
        <f aca="false">Complaints!C33</f>
        <v>Customer Service</v>
      </c>
      <c r="D33" s="0" t="str">
        <f aca="false">" "&amp;TRIM(SUBSTITUTE(SUBSTITUTE(SUBSTITUTE(SUBSTITUTE(SUBSTITUTE(SUBSTITUTE(SUBSTITUTE(SUBSTITUTE(SUBSTITUTE(SUBSTITUTE(SUBSTITUTE(SUBSTITUTE(SUBSTITUTE(SUBSTITUTE(SUBSTITUTE(SUBSTITUTE(LOWER(B33),"."," "),","," "),"'"," "),"’"," "),"!"," "),"?"," "),";"," "),":"," "),"-"," "),"("," "),")"," "),"""", " "),"£"," "),"&amp;"," "),"/"," "),"%"," "))&amp;" "</f>
        <v> hello the webchat agent ended the conversation without solving anything please escalate this </v>
      </c>
      <c r="E33" s="0" t="n">
        <f aca="false">SUMPRODUCT((Rules!$A$2:$A$60=E$1)*Rules!$C$2:$C$60*ISNUMBER(SEARCH(Rules!$D$2:$D$60,$D33)))</f>
        <v>0</v>
      </c>
      <c r="F33" s="0" t="n">
        <f aca="false">SUMPRODUCT((Rules!$A$2:$A$60=F$1)*Rules!$C$2:$C$60*ISNUMBER(SEARCH(Rules!$D$2:$D$60,$D33)))</f>
        <v>0</v>
      </c>
      <c r="G33" s="0" t="n">
        <f aca="false">SUMPRODUCT((Rules!$A$2:$A$60=G$1)*Rules!$C$2:$C$60*ISNUMBER(SEARCH(Rules!$D$2:$D$60,$D33)))</f>
        <v>0</v>
      </c>
      <c r="H33" s="0" t="n">
        <f aca="false">SUMPRODUCT((Rules!$A$2:$A$60=H$1)*Rules!$C$2:$C$60*ISNUMBER(SEARCH(Rules!$D$2:$D$60,$D33)))</f>
        <v>0</v>
      </c>
      <c r="I33" s="0" t="n">
        <f aca="false">SUMPRODUCT((Rules!$A$2:$A$60=I$1)*Rules!$C$2:$C$60*ISNUMBER(SEARCH(Rules!$D$2:$D$60,$D33)))</f>
        <v>0</v>
      </c>
      <c r="J33" s="0" t="n">
        <f aca="false">SUMPRODUCT((Rules!$A$2:$A$60=J$1)*Rules!$C$2:$C$60*ISNUMBER(SEARCH(Rules!$D$2:$D$60,$D33)))</f>
        <v>2</v>
      </c>
      <c r="K33" s="0" t="str">
        <f aca="false">IF(OR(MAX(E33:J33)&lt;Rules!$H$1,MAX(E33:J33)-LARGE(E33:J33,2)&lt;Rules!$H$2),"No label",INDEX($E$1:$J$1,MATCH(MAX(E33:J33),E33:J33,0)))</f>
        <v>No label</v>
      </c>
      <c r="L33" s="0" t="n">
        <f aca="false">SUMPRODUCT((Rules!$A$2:$A$60=L$1)*Rules!$C$2:$C$60*ISNUMBER(SEARCH(Rules!$E$2:$E$60,$D33)))</f>
        <v>0</v>
      </c>
      <c r="M33" s="0" t="n">
        <f aca="false">SUMPRODUCT((Rules!$A$2:$A$60=M$1)*Rules!$C$2:$C$60*ISNUMBER(SEARCH(Rules!$E$2:$E$60,$D33)))</f>
        <v>0</v>
      </c>
      <c r="N33" s="0" t="n">
        <f aca="false">SUMPRODUCT((Rules!$A$2:$A$60=N$1)*Rules!$C$2:$C$60*ISNUMBER(SEARCH(Rules!$E$2:$E$60,$D33)))</f>
        <v>0</v>
      </c>
      <c r="O33" s="0" t="n">
        <f aca="false">SUMPRODUCT((Rules!$A$2:$A$60=O$1)*Rules!$C$2:$C$60*ISNUMBER(SEARCH(Rules!$E$2:$E$60,$D33)))</f>
        <v>0</v>
      </c>
      <c r="P33" s="0" t="n">
        <f aca="false">SUMPRODUCT((Rules!$A$2:$A$60=P$1)*Rules!$C$2:$C$60*ISNUMBER(SEARCH(Rules!$E$2:$E$60,$D33)))</f>
        <v>0</v>
      </c>
      <c r="Q33" s="0" t="n">
        <f aca="false">SUMPRODUCT((Rules!$A$2:$A$60=Q$1)*Rules!$C$2:$C$60*ISNUMBER(SEARCH(Rules!$E$2:$E$60,$D33)))</f>
        <v>2</v>
      </c>
      <c r="R33" s="0" t="str">
        <f aca="false">IF(OR(MAX(L33:Q33)&lt;Rules!$H$1,MAX(L33:Q33)-LARGE(L33:Q33,2)&lt;Rules!$H$2),"No label",INDEX($L$1:$Q$1,MATCH(MAX(L33:Q33),L33:Q33,0)))</f>
        <v>No label</v>
      </c>
      <c r="S33" s="0" t="n">
        <f aca="false">SUMPRODUCT(ISNUMBER(SEARCH(" "&amp;Terms!$A$3:$A$821&amp;" ",$D33))*Terms!B$3:B$821)+Terms!B$2</f>
        <v>-0.854464494655992</v>
      </c>
      <c r="T33" s="0" t="n">
        <f aca="false">SUMPRODUCT(ISNUMBER(SEARCH(" "&amp;Terms!$A$3:$A$821&amp;" ",$D33))*Terms!C$3:C$821)+Terms!C$2</f>
        <v>10.3692246268295</v>
      </c>
      <c r="U33" s="0" t="n">
        <f aca="false">SUMPRODUCT(ISNUMBER(SEARCH(" "&amp;Terms!$A$3:$A$821&amp;" ",$D33))*Terms!D$3:D$821)+Terms!D$2</f>
        <v>-3.8619039075055</v>
      </c>
      <c r="V33" s="0" t="n">
        <f aca="false">SUMPRODUCT(ISNUMBER(SEARCH(" "&amp;Terms!$A$3:$A$821&amp;" ",$D33))*Terms!E$3:E$821)+Terms!E$2</f>
        <v>-1.5082496289789</v>
      </c>
      <c r="W33" s="0" t="n">
        <f aca="false">SUMPRODUCT(ISNUMBER(SEARCH(" "&amp;Terms!$A$3:$A$821&amp;" ",$D33))*Terms!F$3:F$821)+Terms!F$2</f>
        <v>-2.78049064376628</v>
      </c>
      <c r="X33" s="0" t="n">
        <f aca="false">SUMPRODUCT(ISNUMBER(SEARCH(" "&amp;Terms!$A$3:$A$821&amp;" ",$D33))*Terms!G$3:G$821)+Terms!G$2</f>
        <v>-1.36411595192272</v>
      </c>
      <c r="Y33" s="0" t="str">
        <f aca="false">INDEX($S$1:$X$1,MATCH(MAX(S33:X33),S33:X33,0))</f>
        <v>Customer Service</v>
      </c>
      <c r="Z33" s="0" t="s">
        <v>2607</v>
      </c>
    </row>
    <row r="34" customFormat="false" ht="15" hidden="false" customHeight="false" outlineLevel="0" collapsed="false">
      <c r="A34" s="0" t="str">
        <f aca="false">Complaints!A34</f>
        <v>C0033</v>
      </c>
      <c r="B34" s="0" t="str">
        <f aca="false">Complaints!B34</f>
        <v>The adviser did not explain the risks of the investment. This is not acceptable.</v>
      </c>
      <c r="C34" s="0" t="str">
        <f aca="false">Complaints!C34</f>
        <v>Mis-selling</v>
      </c>
      <c r="D34" s="0" t="str">
        <f aca="false">" "&amp;TRIM(SUBSTITUTE(SUBSTITUTE(SUBSTITUTE(SUBSTITUTE(SUBSTITUTE(SUBSTITUTE(SUBSTITUTE(SUBSTITUTE(SUBSTITUTE(SUBSTITUTE(SUBSTITUTE(SUBSTITUTE(SUBSTITUTE(SUBSTITUTE(SUBSTITUTE(SUBSTITUTE(LOWER(B34),"."," "),","," "),"'"," "),"’"," "),"!"," "),"?"," "),";"," "),":"," "),"-"," "),"("," "),")"," "),"""", " "),"£"," "),"&amp;"," "),"/"," "),"%"," "))&amp;" "</f>
        <v> the adviser did not explain the risks of the investment this is not acceptable </v>
      </c>
      <c r="E34" s="0" t="n">
        <f aca="false">SUMPRODUCT((Rules!$A$2:$A$60=E$1)*Rules!$C$2:$C$60*ISNUMBER(SEARCH(Rules!$D$2:$D$60,$D34)))</f>
        <v>0</v>
      </c>
      <c r="F34" s="0" t="n">
        <f aca="false">SUMPRODUCT((Rules!$A$2:$A$60=F$1)*Rules!$C$2:$C$60*ISNUMBER(SEARCH(Rules!$D$2:$D$60,$D34)))</f>
        <v>4</v>
      </c>
      <c r="G34" s="0" t="n">
        <f aca="false">SUMPRODUCT((Rules!$A$2:$A$60=G$1)*Rules!$C$2:$C$60*ISNUMBER(SEARCH(Rules!$D$2:$D$60,$D34)))</f>
        <v>0</v>
      </c>
      <c r="H34" s="0" t="n">
        <f aca="false">SUMPRODUCT((Rules!$A$2:$A$60=H$1)*Rules!$C$2:$C$60*ISNUMBER(SEARCH(Rules!$D$2:$D$60,$D34)))</f>
        <v>0</v>
      </c>
      <c r="I34" s="0" t="n">
        <f aca="false">SUMPRODUCT((Rules!$A$2:$A$60=I$1)*Rules!$C$2:$C$60*ISNUMBER(SEARCH(Rules!$D$2:$D$60,$D34)))</f>
        <v>0</v>
      </c>
      <c r="J34" s="0" t="n">
        <f aca="false">SUMPRODUCT((Rules!$A$2:$A$60=J$1)*Rules!$C$2:$C$60*ISNUMBER(SEARCH(Rules!$D$2:$D$60,$D34)))</f>
        <v>0</v>
      </c>
      <c r="K34" s="0" t="str">
        <f aca="false">IF(OR(MAX(E34:J34)&lt;Rules!$H$1,MAX(E34:J34)-LARGE(E34:J34,2)&lt;Rules!$H$2),"No label",INDEX($E$1:$J$1,MATCH(MAX(E34:J34),E34:J34,0)))</f>
        <v>Mis-selling</v>
      </c>
      <c r="L34" s="0" t="n">
        <f aca="false">SUMPRODUCT((Rules!$A$2:$A$60=L$1)*Rules!$C$2:$C$60*ISNUMBER(SEARCH(Rules!$E$2:$E$60,$D34)))</f>
        <v>0</v>
      </c>
      <c r="M34" s="0" t="n">
        <f aca="false">SUMPRODUCT((Rules!$A$2:$A$60=M$1)*Rules!$C$2:$C$60*ISNUMBER(SEARCH(Rules!$E$2:$E$60,$D34)))</f>
        <v>6</v>
      </c>
      <c r="N34" s="0" t="n">
        <f aca="false">SUMPRODUCT((Rules!$A$2:$A$60=N$1)*Rules!$C$2:$C$60*ISNUMBER(SEARCH(Rules!$E$2:$E$60,$D34)))</f>
        <v>1</v>
      </c>
      <c r="O34" s="0" t="n">
        <f aca="false">SUMPRODUCT((Rules!$A$2:$A$60=O$1)*Rules!$C$2:$C$60*ISNUMBER(SEARCH(Rules!$E$2:$E$60,$D34)))</f>
        <v>0</v>
      </c>
      <c r="P34" s="0" t="n">
        <f aca="false">SUMPRODUCT((Rules!$A$2:$A$60=P$1)*Rules!$C$2:$C$60*ISNUMBER(SEARCH(Rules!$E$2:$E$60,$D34)))</f>
        <v>0</v>
      </c>
      <c r="Q34" s="0" t="n">
        <f aca="false">SUMPRODUCT((Rules!$A$2:$A$60=Q$1)*Rules!$C$2:$C$60*ISNUMBER(SEARCH(Rules!$E$2:$E$60,$D34)))</f>
        <v>1</v>
      </c>
      <c r="R34" s="0" t="str">
        <f aca="false">IF(OR(MAX(L34:Q34)&lt;Rules!$H$1,MAX(L34:Q34)-LARGE(L34:Q34,2)&lt;Rules!$H$2),"No label",INDEX($L$1:$Q$1,MATCH(MAX(L34:Q34),L34:Q34,0)))</f>
        <v>Mis-selling</v>
      </c>
      <c r="S34" s="0" t="n">
        <f aca="false">SUMPRODUCT(ISNUMBER(SEARCH(" "&amp;Terms!$A$3:$A$821&amp;" ",$D34))*Terms!B$3:B$821)+Terms!B$2</f>
        <v>-2.19779159733496</v>
      </c>
      <c r="T34" s="0" t="n">
        <f aca="false">SUMPRODUCT(ISNUMBER(SEARCH(" "&amp;Terms!$A$3:$A$821&amp;" ",$D34))*Terms!C$3:C$821)+Terms!C$2</f>
        <v>-1.66592146310209</v>
      </c>
      <c r="U34" s="0" t="n">
        <f aca="false">SUMPRODUCT(ISNUMBER(SEARCH(" "&amp;Terms!$A$3:$A$821&amp;" ",$D34))*Terms!D$3:D$821)+Terms!D$2</f>
        <v>-3.54994568663559</v>
      </c>
      <c r="V34" s="0" t="n">
        <f aca="false">SUMPRODUCT(ISNUMBER(SEARCH(" "&amp;Terms!$A$3:$A$821&amp;" ",$D34))*Terms!E$3:E$821)+Terms!E$2</f>
        <v>-0.786018537858147</v>
      </c>
      <c r="W34" s="0" t="n">
        <f aca="false">SUMPRODUCT(ISNUMBER(SEARCH(" "&amp;Terms!$A$3:$A$821&amp;" ",$D34))*Terms!F$3:F$821)+Terms!F$2</f>
        <v>-0.941138342085418</v>
      </c>
      <c r="X34" s="0" t="n">
        <f aca="false">SUMPRODUCT(ISNUMBER(SEARCH(" "&amp;Terms!$A$3:$A$821&amp;" ",$D34))*Terms!G$3:G$821)+Terms!G$2</f>
        <v>9.14081562701629</v>
      </c>
      <c r="Y34" s="0" t="str">
        <f aca="false">INDEX($S$1:$X$1,MATCH(MAX(S34:X34),S34:X34,0))</f>
        <v>Mis-selling</v>
      </c>
      <c r="Z34" s="0" t="s">
        <v>2607</v>
      </c>
    </row>
    <row r="35" customFormat="false" ht="15" hidden="false" customHeight="false" outlineLevel="0" collapsed="false">
      <c r="A35" s="0" t="str">
        <f aca="false">Complaints!A35</f>
        <v>C0034</v>
      </c>
      <c r="B35" s="0" t="str">
        <f aca="false">Complaints!B35</f>
        <v>Frankly, A late payment fee appeared and I want it refunded. I would like a response in writing.</v>
      </c>
      <c r="C35" s="0" t="str">
        <f aca="false">Complaints!C35</f>
        <v>Fees &amp; Charges</v>
      </c>
      <c r="D35" s="0" t="str">
        <f aca="false">" "&amp;TRIM(SUBSTITUTE(SUBSTITUTE(SUBSTITUTE(SUBSTITUTE(SUBSTITUTE(SUBSTITUTE(SUBSTITUTE(SUBSTITUTE(SUBSTITUTE(SUBSTITUTE(SUBSTITUTE(SUBSTITUTE(SUBSTITUTE(SUBSTITUTE(SUBSTITUTE(SUBSTITUTE(LOWER(B35),"."," "),","," "),"'"," "),"’"," "),"!"," "),"?"," "),";"," "),":"," "),"-"," "),"("," "),")"," "),"""", " "),"£"," "),"&amp;"," "),"/"," "),"%"," "))&amp;" "</f>
        <v> frankly a late payment fee appeared and i want it refunded i would like a response in writing </v>
      </c>
      <c r="E35" s="0" t="n">
        <f aca="false">SUMPRODUCT((Rules!$A$2:$A$60=E$1)*Rules!$C$2:$C$60*ISNUMBER(SEARCH(Rules!$D$2:$D$60,$D35)))</f>
        <v>0</v>
      </c>
      <c r="F35" s="0" t="n">
        <f aca="false">SUMPRODUCT((Rules!$A$2:$A$60=F$1)*Rules!$C$2:$C$60*ISNUMBER(SEARCH(Rules!$D$2:$D$60,$D35)))</f>
        <v>0</v>
      </c>
      <c r="G35" s="0" t="n">
        <f aca="false">SUMPRODUCT((Rules!$A$2:$A$60=G$1)*Rules!$C$2:$C$60*ISNUMBER(SEARCH(Rules!$D$2:$D$60,$D35)))</f>
        <v>0</v>
      </c>
      <c r="H35" s="0" t="n">
        <f aca="false">SUMPRODUCT((Rules!$A$2:$A$60=H$1)*Rules!$C$2:$C$60*ISNUMBER(SEARCH(Rules!$D$2:$D$60,$D35)))</f>
        <v>2</v>
      </c>
      <c r="I35" s="0" t="n">
        <f aca="false">SUMPRODUCT((Rules!$A$2:$A$60=I$1)*Rules!$C$2:$C$60*ISNUMBER(SEARCH(Rules!$D$2:$D$60,$D35)))</f>
        <v>0</v>
      </c>
      <c r="J35" s="0" t="n">
        <f aca="false">SUMPRODUCT((Rules!$A$2:$A$60=J$1)*Rules!$C$2:$C$60*ISNUMBER(SEARCH(Rules!$D$2:$D$60,$D35)))</f>
        <v>0</v>
      </c>
      <c r="K35" s="0" t="str">
        <f aca="false">IF(OR(MAX(E35:J35)&lt;Rules!$H$1,MAX(E35:J35)-LARGE(E35:J35,2)&lt;Rules!$H$2),"No label",INDEX($E$1:$J$1,MATCH(MAX(E35:J35),E35:J35,0)))</f>
        <v>No label</v>
      </c>
      <c r="L35" s="0" t="n">
        <f aca="false">SUMPRODUCT((Rules!$A$2:$A$60=L$1)*Rules!$C$2:$C$60*ISNUMBER(SEARCH(Rules!$E$2:$E$60,$D35)))</f>
        <v>0</v>
      </c>
      <c r="M35" s="0" t="n">
        <f aca="false">SUMPRODUCT((Rules!$A$2:$A$60=M$1)*Rules!$C$2:$C$60*ISNUMBER(SEARCH(Rules!$E$2:$E$60,$D35)))</f>
        <v>0</v>
      </c>
      <c r="N35" s="0" t="n">
        <f aca="false">SUMPRODUCT((Rules!$A$2:$A$60=N$1)*Rules!$C$2:$C$60*ISNUMBER(SEARCH(Rules!$E$2:$E$60,$D35)))</f>
        <v>0</v>
      </c>
      <c r="O35" s="0" t="n">
        <f aca="false">SUMPRODUCT((Rules!$A$2:$A$60=O$1)*Rules!$C$2:$C$60*ISNUMBER(SEARCH(Rules!$E$2:$E$60,$D35)))</f>
        <v>2</v>
      </c>
      <c r="P35" s="0" t="n">
        <f aca="false">SUMPRODUCT((Rules!$A$2:$A$60=P$1)*Rules!$C$2:$C$60*ISNUMBER(SEARCH(Rules!$E$2:$E$60,$D35)))</f>
        <v>0</v>
      </c>
      <c r="Q35" s="0" t="n">
        <f aca="false">SUMPRODUCT((Rules!$A$2:$A$60=Q$1)*Rules!$C$2:$C$60*ISNUMBER(SEARCH(Rules!$E$2:$E$60,$D35)))</f>
        <v>0</v>
      </c>
      <c r="R35" s="0" t="str">
        <f aca="false">IF(OR(MAX(L35:Q35)&lt;Rules!$H$1,MAX(L35:Q35)-LARGE(L35:Q35,2)&lt;Rules!$H$2),"No label",INDEX($L$1:$Q$1,MATCH(MAX(L35:Q35),L35:Q35,0)))</f>
        <v>No label</v>
      </c>
      <c r="S35" s="0" t="n">
        <f aca="false">SUMPRODUCT(ISNUMBER(SEARCH(" "&amp;Terms!$A$3:$A$821&amp;" ",$D35))*Terms!B$3:B$821)+Terms!B$2</f>
        <v>-3.90446464734839</v>
      </c>
      <c r="T35" s="0" t="n">
        <f aca="false">SUMPRODUCT(ISNUMBER(SEARCH(" "&amp;Terms!$A$3:$A$821&amp;" ",$D35))*Terms!C$3:C$821)+Terms!C$2</f>
        <v>-6.6434916325152</v>
      </c>
      <c r="U35" s="0" t="n">
        <f aca="false">SUMPRODUCT(ISNUMBER(SEARCH(" "&amp;Terms!$A$3:$A$821&amp;" ",$D35))*Terms!D$3:D$821)+Terms!D$2</f>
        <v>-0.504615259984551</v>
      </c>
      <c r="V35" s="0" t="n">
        <f aca="false">SUMPRODUCT(ISNUMBER(SEARCH(" "&amp;Terms!$A$3:$A$821&amp;" ",$D35))*Terms!E$3:E$821)+Terms!E$2</f>
        <v>14.5526023363851</v>
      </c>
      <c r="W35" s="0" t="n">
        <f aca="false">SUMPRODUCT(ISNUMBER(SEARCH(" "&amp;Terms!$A$3:$A$821&amp;" ",$D35))*Terms!F$3:F$821)+Terms!F$2</f>
        <v>-0.372038847571734</v>
      </c>
      <c r="X35" s="0" t="n">
        <f aca="false">SUMPRODUCT(ISNUMBER(SEARCH(" "&amp;Terms!$A$3:$A$821&amp;" ",$D35))*Terms!G$3:G$821)+Terms!G$2</f>
        <v>-3.12799194896513</v>
      </c>
      <c r="Y35" s="0" t="str">
        <f aca="false">INDEX($S$1:$X$1,MATCH(MAX(S35:X35),S35:X35,0))</f>
        <v>Fees &amp; Charges</v>
      </c>
      <c r="Z35" s="0" t="s">
        <v>2607</v>
      </c>
    </row>
    <row r="36" customFormat="false" ht="15" hidden="false" customHeight="false" outlineLevel="0" collapsed="false">
      <c r="A36" s="0" t="str">
        <f aca="false">Complaints!A36</f>
        <v>C0035</v>
      </c>
      <c r="B36" s="0" t="str">
        <f aca="false">Complaints!B36</f>
        <v>The closure of my old account has draggd on for months.</v>
      </c>
      <c r="C36" s="0" t="str">
        <f aca="false">Complaints!C36</f>
        <v>Delays &amp; Processing</v>
      </c>
      <c r="D36" s="0" t="str">
        <f aca="false">" "&amp;TRIM(SUBSTITUTE(SUBSTITUTE(SUBSTITUTE(SUBSTITUTE(SUBSTITUTE(SUBSTITUTE(SUBSTITUTE(SUBSTITUTE(SUBSTITUTE(SUBSTITUTE(SUBSTITUTE(SUBSTITUTE(SUBSTITUTE(SUBSTITUTE(SUBSTITUTE(SUBSTITUTE(LOWER(B36),"."," "),","," "),"'"," "),"’"," "),"!"," "),"?"," "),";"," "),":"," "),"-"," "),"("," "),")"," "),"""", " "),"£"," "),"&amp;"," "),"/"," "),"%"," "))&amp;" "</f>
        <v> the closure of my old account has draggd on for months </v>
      </c>
      <c r="E36" s="0" t="n">
        <f aca="false">SUMPRODUCT((Rules!$A$2:$A$60=E$1)*Rules!$C$2:$C$60*ISNUMBER(SEARCH(Rules!$D$2:$D$60,$D36)))</f>
        <v>0</v>
      </c>
      <c r="F36" s="0" t="n">
        <f aca="false">SUMPRODUCT((Rules!$A$2:$A$60=F$1)*Rules!$C$2:$C$60*ISNUMBER(SEARCH(Rules!$D$2:$D$60,$D36)))</f>
        <v>0</v>
      </c>
      <c r="G36" s="0" t="n">
        <f aca="false">SUMPRODUCT((Rules!$A$2:$A$60=G$1)*Rules!$C$2:$C$60*ISNUMBER(SEARCH(Rules!$D$2:$D$60,$D36)))</f>
        <v>0</v>
      </c>
      <c r="H36" s="0" t="n">
        <f aca="false">SUMPRODUCT((Rules!$A$2:$A$60=H$1)*Rules!$C$2:$C$60*ISNUMBER(SEARCH(Rules!$D$2:$D$60,$D36)))</f>
        <v>0</v>
      </c>
      <c r="I36" s="0" t="n">
        <f aca="false">SUMPRODUCT((Rules!$A$2:$A$60=I$1)*Rules!$C$2:$C$60*ISNUMBER(SEARCH(Rules!$D$2:$D$60,$D36)))</f>
        <v>0</v>
      </c>
      <c r="J36" s="0" t="n">
        <f aca="false">SUMPRODUCT((Rules!$A$2:$A$60=J$1)*Rules!$C$2:$C$60*ISNUMBER(SEARCH(Rules!$D$2:$D$60,$D36)))</f>
        <v>0</v>
      </c>
      <c r="K36" s="0" t="str">
        <f aca="false">IF(OR(MAX(E36:J36)&lt;Rules!$H$1,MAX(E36:J36)-LARGE(E36:J36,2)&lt;Rules!$H$2),"No label",INDEX($E$1:$J$1,MATCH(MAX(E36:J36),E36:J36,0)))</f>
        <v>No label</v>
      </c>
      <c r="L36" s="0" t="n">
        <f aca="false">SUMPRODUCT((Rules!$A$2:$A$60=L$1)*Rules!$C$2:$C$60*ISNUMBER(SEARCH(Rules!$E$2:$E$60,$D36)))</f>
        <v>0</v>
      </c>
      <c r="M36" s="0" t="n">
        <f aca="false">SUMPRODUCT((Rules!$A$2:$A$60=M$1)*Rules!$C$2:$C$60*ISNUMBER(SEARCH(Rules!$E$2:$E$60,$D36)))</f>
        <v>0</v>
      </c>
      <c r="N36" s="0" t="n">
        <f aca="false">SUMPRODUCT((Rules!$A$2:$A$60=N$1)*Rules!$C$2:$C$60*ISNUMBER(SEARCH(Rules!$E$2:$E$60,$D36)))</f>
        <v>0</v>
      </c>
      <c r="O36" s="0" t="n">
        <f aca="false">SUMPRODUCT((Rules!$A$2:$A$60=O$1)*Rules!$C$2:$C$60*ISNUMBER(SEARCH(Rules!$E$2:$E$60,$D36)))</f>
        <v>0</v>
      </c>
      <c r="P36" s="0" t="n">
        <f aca="false">SUMPRODUCT((Rules!$A$2:$A$60=P$1)*Rules!$C$2:$C$60*ISNUMBER(SEARCH(Rules!$E$2:$E$60,$D36)))</f>
        <v>0</v>
      </c>
      <c r="Q36" s="0" t="n">
        <f aca="false">SUMPRODUCT((Rules!$A$2:$A$60=Q$1)*Rules!$C$2:$C$60*ISNUMBER(SEARCH(Rules!$E$2:$E$60,$D36)))</f>
        <v>0</v>
      </c>
      <c r="R36" s="0" t="str">
        <f aca="false">IF(OR(MAX(L36:Q36)&lt;Rules!$H$1,MAX(L36:Q36)-LARGE(L36:Q36,2)&lt;Rules!$H$2),"No label",INDEX($L$1:$Q$1,MATCH(MAX(L36:Q36),L36:Q36,0)))</f>
        <v>No label</v>
      </c>
      <c r="S36" s="0" t="n">
        <f aca="false">SUMPRODUCT(ISNUMBER(SEARCH(" "&amp;Terms!$A$3:$A$821&amp;" ",$D36))*Terms!B$3:B$821)+Terms!B$2</f>
        <v>-0.314041222887489</v>
      </c>
      <c r="T36" s="0" t="n">
        <f aca="false">SUMPRODUCT(ISNUMBER(SEARCH(" "&amp;Terms!$A$3:$A$821&amp;" ",$D36))*Terms!C$3:C$821)+Terms!C$2</f>
        <v>-1.97537134072686</v>
      </c>
      <c r="U36" s="0" t="n">
        <f aca="false">SUMPRODUCT(ISNUMBER(SEARCH(" "&amp;Terms!$A$3:$A$821&amp;" ",$D36))*Terms!D$3:D$821)+Terms!D$2</f>
        <v>8.0703396646282</v>
      </c>
      <c r="V36" s="0" t="n">
        <f aca="false">SUMPRODUCT(ISNUMBER(SEARCH(" "&amp;Terms!$A$3:$A$821&amp;" ",$D36))*Terms!E$3:E$821)+Terms!E$2</f>
        <v>-2.38354229748459</v>
      </c>
      <c r="W36" s="0" t="n">
        <f aca="false">SUMPRODUCT(ISNUMBER(SEARCH(" "&amp;Terms!$A$3:$A$821&amp;" ",$D36))*Terms!F$3:F$821)+Terms!F$2</f>
        <v>-0.42124673226205</v>
      </c>
      <c r="X36" s="0" t="n">
        <f aca="false">SUMPRODUCT(ISNUMBER(SEARCH(" "&amp;Terms!$A$3:$A$821&amp;" ",$D36))*Terms!G$3:G$821)+Terms!G$2</f>
        <v>-2.97613807126711</v>
      </c>
      <c r="Y36" s="0" t="str">
        <f aca="false">INDEX($S$1:$X$1,MATCH(MAX(S36:X36),S36:X36,0))</f>
        <v>Delays &amp; Processing</v>
      </c>
      <c r="Z36" s="0" t="s">
        <v>2607</v>
      </c>
    </row>
    <row r="37" customFormat="false" ht="15" hidden="false" customHeight="false" outlineLevel="0" collapsed="false">
      <c r="A37" s="0" t="str">
        <f aca="false">Complaints!A37</f>
        <v>C0036</v>
      </c>
      <c r="B37" s="0" t="str">
        <f aca="false">Complaints!B37</f>
        <v>I have been a customer for years. The webchat agent ended the conversation without solving anything. Also, why has my interest rate gone up without notice, it is costing me more every month. Please sort this out.</v>
      </c>
      <c r="C37" s="0" t="str">
        <f aca="false">Complaints!C37</f>
        <v>Customer Service</v>
      </c>
      <c r="D37" s="0" t="str">
        <f aca="false">" "&amp;TRIM(SUBSTITUTE(SUBSTITUTE(SUBSTITUTE(SUBSTITUTE(SUBSTITUTE(SUBSTITUTE(SUBSTITUTE(SUBSTITUTE(SUBSTITUTE(SUBSTITUTE(SUBSTITUTE(SUBSTITUTE(SUBSTITUTE(SUBSTITUTE(SUBSTITUTE(SUBSTITUTE(LOWER(B37),"."," "),","," "),"'"," "),"’"," "),"!"," "),"?"," "),";"," "),":"," "),"-"," "),"("," "),")"," "),"""", " "),"£"," "),"&amp;"," "),"/"," "),"%"," "))&amp;" "</f>
        <v> i have been a customer for years the webchat agent ended the conversation without solving anything also why has my interest rate gone up without notice it is costing me more every month please sort this out </v>
      </c>
      <c r="E37" s="0" t="n">
        <f aca="false">SUMPRODUCT((Rules!$A$2:$A$60=E$1)*Rules!$C$2:$C$60*ISNUMBER(SEARCH(Rules!$D$2:$D$60,$D37)))</f>
        <v>0</v>
      </c>
      <c r="F37" s="0" t="n">
        <f aca="false">SUMPRODUCT((Rules!$A$2:$A$60=F$1)*Rules!$C$2:$C$60*ISNUMBER(SEARCH(Rules!$D$2:$D$60,$D37)))</f>
        <v>0</v>
      </c>
      <c r="G37" s="0" t="n">
        <f aca="false">SUMPRODUCT((Rules!$A$2:$A$60=G$1)*Rules!$C$2:$C$60*ISNUMBER(SEARCH(Rules!$D$2:$D$60,$D37)))</f>
        <v>0</v>
      </c>
      <c r="H37" s="0" t="n">
        <f aca="false">SUMPRODUCT((Rules!$A$2:$A$60=H$1)*Rules!$C$2:$C$60*ISNUMBER(SEARCH(Rules!$D$2:$D$60,$D37)))</f>
        <v>2</v>
      </c>
      <c r="I37" s="0" t="n">
        <f aca="false">SUMPRODUCT((Rules!$A$2:$A$60=I$1)*Rules!$C$2:$C$60*ISNUMBER(SEARCH(Rules!$D$2:$D$60,$D37)))</f>
        <v>0</v>
      </c>
      <c r="J37" s="0" t="n">
        <f aca="false">SUMPRODUCT((Rules!$A$2:$A$60=J$1)*Rules!$C$2:$C$60*ISNUMBER(SEARCH(Rules!$D$2:$D$60,$D37)))</f>
        <v>2</v>
      </c>
      <c r="K37" s="0" t="str">
        <f aca="false">IF(OR(MAX(E37:J37)&lt;Rules!$H$1,MAX(E37:J37)-LARGE(E37:J37,2)&lt;Rules!$H$2),"No label",INDEX($E$1:$J$1,MATCH(MAX(E37:J37),E37:J37,0)))</f>
        <v>No label</v>
      </c>
      <c r="L37" s="0" t="n">
        <f aca="false">SUMPRODUCT((Rules!$A$2:$A$60=L$1)*Rules!$C$2:$C$60*ISNUMBER(SEARCH(Rules!$E$2:$E$60,$D37)))</f>
        <v>0</v>
      </c>
      <c r="M37" s="0" t="n">
        <f aca="false">SUMPRODUCT((Rules!$A$2:$A$60=M$1)*Rules!$C$2:$C$60*ISNUMBER(SEARCH(Rules!$E$2:$E$60,$D37)))</f>
        <v>0</v>
      </c>
      <c r="N37" s="0" t="n">
        <f aca="false">SUMPRODUCT((Rules!$A$2:$A$60=N$1)*Rules!$C$2:$C$60*ISNUMBER(SEARCH(Rules!$E$2:$E$60,$D37)))</f>
        <v>0</v>
      </c>
      <c r="O37" s="0" t="n">
        <f aca="false">SUMPRODUCT((Rules!$A$2:$A$60=O$1)*Rules!$C$2:$C$60*ISNUMBER(SEARCH(Rules!$E$2:$E$60,$D37)))</f>
        <v>2</v>
      </c>
      <c r="P37" s="0" t="n">
        <f aca="false">SUMPRODUCT((Rules!$A$2:$A$60=P$1)*Rules!$C$2:$C$60*ISNUMBER(SEARCH(Rules!$E$2:$E$60,$D37)))</f>
        <v>0</v>
      </c>
      <c r="Q37" s="0" t="n">
        <f aca="false">SUMPRODUCT((Rules!$A$2:$A$60=Q$1)*Rules!$C$2:$C$60*ISNUMBER(SEARCH(Rules!$E$2:$E$60,$D37)))</f>
        <v>2</v>
      </c>
      <c r="R37" s="0" t="str">
        <f aca="false">IF(OR(MAX(L37:Q37)&lt;Rules!$H$1,MAX(L37:Q37)-LARGE(L37:Q37,2)&lt;Rules!$H$2),"No label",INDEX($L$1:$Q$1,MATCH(MAX(L37:Q37),L37:Q37,0)))</f>
        <v>No label</v>
      </c>
      <c r="S37" s="0" t="n">
        <f aca="false">SUMPRODUCT(ISNUMBER(SEARCH(" "&amp;Terms!$A$3:$A$821&amp;" ",$D37))*Terms!B$3:B$821)+Terms!B$2</f>
        <v>-3.72873979441348</v>
      </c>
      <c r="T37" s="0" t="n">
        <f aca="false">SUMPRODUCT(ISNUMBER(SEARCH(" "&amp;Terms!$A$3:$A$821&amp;" ",$D37))*Terms!C$3:C$821)+Terms!C$2</f>
        <v>9.24576383524887</v>
      </c>
      <c r="U37" s="0" t="n">
        <f aca="false">SUMPRODUCT(ISNUMBER(SEARCH(" "&amp;Terms!$A$3:$A$821&amp;" ",$D37))*Terms!D$3:D$821)+Terms!D$2</f>
        <v>-1.33971335928287</v>
      </c>
      <c r="V37" s="0" t="n">
        <f aca="false">SUMPRODUCT(ISNUMBER(SEARCH(" "&amp;Terms!$A$3:$A$821&amp;" ",$D37))*Terms!E$3:E$821)+Terms!E$2</f>
        <v>5.08733300448081</v>
      </c>
      <c r="W37" s="0" t="n">
        <f aca="false">SUMPRODUCT(ISNUMBER(SEARCH(" "&amp;Terms!$A$3:$A$821&amp;" ",$D37))*Terms!F$3:F$821)+Terms!F$2</f>
        <v>-4.00697959813444</v>
      </c>
      <c r="X37" s="0" t="n">
        <f aca="false">SUMPRODUCT(ISNUMBER(SEARCH(" "&amp;Terms!$A$3:$A$821&amp;" ",$D37))*Terms!G$3:G$821)+Terms!G$2</f>
        <v>-5.25766408789879</v>
      </c>
      <c r="Y37" s="0" t="str">
        <f aca="false">INDEX($S$1:$X$1,MATCH(MAX(S37:X37),S37:X37,0))</f>
        <v>Customer Service</v>
      </c>
      <c r="Z37" s="0" t="s">
        <v>2607</v>
      </c>
    </row>
    <row r="38" customFormat="false" ht="15" hidden="false" customHeight="false" outlineLevel="0" collapsed="false">
      <c r="A38" s="0" t="str">
        <f aca="false">Complaints!A38</f>
        <v>C0037</v>
      </c>
      <c r="B38" s="0" t="str">
        <f aca="false">Complaints!B38</f>
        <v>This has caused me a lot of stress and I want answers. I would like a response in writing.</v>
      </c>
      <c r="C38" s="0" t="str">
        <f aca="false">Complaints!C38</f>
        <v>Fraud &amp; Scams</v>
      </c>
      <c r="D38" s="0" t="str">
        <f aca="false">" "&amp;TRIM(SUBSTITUTE(SUBSTITUTE(SUBSTITUTE(SUBSTITUTE(SUBSTITUTE(SUBSTITUTE(SUBSTITUTE(SUBSTITUTE(SUBSTITUTE(SUBSTITUTE(SUBSTITUTE(SUBSTITUTE(SUBSTITUTE(SUBSTITUTE(SUBSTITUTE(SUBSTITUTE(LOWER(B38),"."," "),","," "),"'"," "),"’"," "),"!"," "),"?"," "),";"," "),":"," "),"-"," "),"("," "),")"," "),"""", " "),"£"," "),"&amp;"," "),"/"," "),"%"," "))&amp;" "</f>
        <v> this has caused me a lot of stress and i want answers i would like a response in writing </v>
      </c>
      <c r="E38" s="0" t="n">
        <f aca="false">SUMPRODUCT((Rules!$A$2:$A$60=E$1)*Rules!$C$2:$C$60*ISNUMBER(SEARCH(Rules!$D$2:$D$60,$D38)))</f>
        <v>0</v>
      </c>
      <c r="F38" s="0" t="n">
        <f aca="false">SUMPRODUCT((Rules!$A$2:$A$60=F$1)*Rules!$C$2:$C$60*ISNUMBER(SEARCH(Rules!$D$2:$D$60,$D38)))</f>
        <v>0</v>
      </c>
      <c r="G38" s="0" t="n">
        <f aca="false">SUMPRODUCT((Rules!$A$2:$A$60=G$1)*Rules!$C$2:$C$60*ISNUMBER(SEARCH(Rules!$D$2:$D$60,$D38)))</f>
        <v>0</v>
      </c>
      <c r="H38" s="0" t="n">
        <f aca="false">SUMPRODUCT((Rules!$A$2:$A$60=H$1)*Rules!$C$2:$C$60*ISNUMBER(SEARCH(Rules!$D$2:$D$60,$D38)))</f>
        <v>0</v>
      </c>
      <c r="I38" s="0" t="n">
        <f aca="false">SUMPRODUCT((Rules!$A$2:$A$60=I$1)*Rules!$C$2:$C$60*ISNUMBER(SEARCH(Rules!$D$2:$D$60,$D38)))</f>
        <v>0</v>
      </c>
      <c r="J38" s="0" t="n">
        <f aca="false">SUMPRODUCT((Rules!$A$2:$A$60=J$1)*Rules!$C$2:$C$60*ISNUMBER(SEARCH(Rules!$D$2:$D$60,$D38)))</f>
        <v>0</v>
      </c>
      <c r="K38" s="0" t="str">
        <f aca="false">IF(OR(MAX(E38:J38)&lt;Rules!$H$1,MAX(E38:J38)-LARGE(E38:J38,2)&lt;Rules!$H$2),"No label",INDEX($E$1:$J$1,MATCH(MAX(E38:J38),E38:J38,0)))</f>
        <v>No label</v>
      </c>
      <c r="L38" s="0" t="n">
        <f aca="false">SUMPRODUCT((Rules!$A$2:$A$60=L$1)*Rules!$C$2:$C$60*ISNUMBER(SEARCH(Rules!$E$2:$E$60,$D38)))</f>
        <v>0</v>
      </c>
      <c r="M38" s="0" t="n">
        <f aca="false">SUMPRODUCT((Rules!$A$2:$A$60=M$1)*Rules!$C$2:$C$60*ISNUMBER(SEARCH(Rules!$E$2:$E$60,$D38)))</f>
        <v>0</v>
      </c>
      <c r="N38" s="0" t="n">
        <f aca="false">SUMPRODUCT((Rules!$A$2:$A$60=N$1)*Rules!$C$2:$C$60*ISNUMBER(SEARCH(Rules!$E$2:$E$60,$D38)))</f>
        <v>0</v>
      </c>
      <c r="O38" s="0" t="n">
        <f aca="false">SUMPRODUCT((Rules!$A$2:$A$60=O$1)*Rules!$C$2:$C$60*ISNUMBER(SEARCH(Rules!$E$2:$E$60,$D38)))</f>
        <v>0</v>
      </c>
      <c r="P38" s="0" t="n">
        <f aca="false">SUMPRODUCT((Rules!$A$2:$A$60=P$1)*Rules!$C$2:$C$60*ISNUMBER(SEARCH(Rules!$E$2:$E$60,$D38)))</f>
        <v>0</v>
      </c>
      <c r="Q38" s="0" t="n">
        <f aca="false">SUMPRODUCT((Rules!$A$2:$A$60=Q$1)*Rules!$C$2:$C$60*ISNUMBER(SEARCH(Rules!$E$2:$E$60,$D38)))</f>
        <v>0</v>
      </c>
      <c r="R38" s="0" t="str">
        <f aca="false">IF(OR(MAX(L38:Q38)&lt;Rules!$H$1,MAX(L38:Q38)-LARGE(L38:Q38,2)&lt;Rules!$H$2),"No label",INDEX($L$1:$Q$1,MATCH(MAX(L38:Q38),L38:Q38,0)))</f>
        <v>No label</v>
      </c>
      <c r="S38" s="0" t="n">
        <f aca="false">SUMPRODUCT(ISNUMBER(SEARCH(" "&amp;Terms!$A$3:$A$821&amp;" ",$D38))*Terms!B$3:B$821)+Terms!B$2</f>
        <v>1.65974705995017</v>
      </c>
      <c r="T38" s="0" t="n">
        <f aca="false">SUMPRODUCT(ISNUMBER(SEARCH(" "&amp;Terms!$A$3:$A$821&amp;" ",$D38))*Terms!C$3:C$821)+Terms!C$2</f>
        <v>1.63106002369339</v>
      </c>
      <c r="U38" s="0" t="n">
        <f aca="false">SUMPRODUCT(ISNUMBER(SEARCH(" "&amp;Terms!$A$3:$A$821&amp;" ",$D38))*Terms!D$3:D$821)+Terms!D$2</f>
        <v>1.29792718585953</v>
      </c>
      <c r="V38" s="0" t="n">
        <f aca="false">SUMPRODUCT(ISNUMBER(SEARCH(" "&amp;Terms!$A$3:$A$821&amp;" ",$D38))*Terms!E$3:E$821)+Terms!E$2</f>
        <v>-2.13921496295399</v>
      </c>
      <c r="W38" s="0" t="n">
        <f aca="false">SUMPRODUCT(ISNUMBER(SEARCH(" "&amp;Terms!$A$3:$A$821&amp;" ",$D38))*Terms!F$3:F$821)+Terms!F$2</f>
        <v>-2.2588973711201</v>
      </c>
      <c r="X38" s="0" t="n">
        <f aca="false">SUMPRODUCT(ISNUMBER(SEARCH(" "&amp;Terms!$A$3:$A$821&amp;" ",$D38))*Terms!G$3:G$821)+Terms!G$2</f>
        <v>-0.190621935428899</v>
      </c>
      <c r="Y38" s="0" t="str">
        <f aca="false">INDEX($S$1:$X$1,MATCH(MAX(S38:X38),S38:X38,0))</f>
        <v>Account Access</v>
      </c>
      <c r="Z38" s="0" t="s">
        <v>2608</v>
      </c>
    </row>
    <row r="39" customFormat="false" ht="15" hidden="false" customHeight="false" outlineLevel="0" collapsed="false">
      <c r="A39" s="0" t="str">
        <f aca="false">Complaints!A39</f>
        <v>C0038</v>
      </c>
      <c r="B39" s="0" t="str">
        <f aca="false">Complaints!B39</f>
        <v>My card reader stopped working and I cannot approve payments. Also, the pension transfer advice I received was poor and I have lost out.</v>
      </c>
      <c r="C39" s="0" t="str">
        <f aca="false">Complaints!C39</f>
        <v>Account Access</v>
      </c>
      <c r="D39" s="0" t="str">
        <f aca="false">" "&amp;TRIM(SUBSTITUTE(SUBSTITUTE(SUBSTITUTE(SUBSTITUTE(SUBSTITUTE(SUBSTITUTE(SUBSTITUTE(SUBSTITUTE(SUBSTITUTE(SUBSTITUTE(SUBSTITUTE(SUBSTITUTE(SUBSTITUTE(SUBSTITUTE(SUBSTITUTE(SUBSTITUTE(LOWER(B39),"."," "),","," "),"'"," "),"’"," "),"!"," "),"?"," "),";"," "),":"," "),"-"," "),"("," "),")"," "),"""", " "),"£"," "),"&amp;"," "),"/"," "),"%"," "))&amp;" "</f>
        <v> my card reader stopped working and i cannot approve payments also the pension transfer advice i received was poor and i have lost out </v>
      </c>
      <c r="E39" s="0" t="n">
        <f aca="false">SUMPRODUCT((Rules!$A$2:$A$60=E$1)*Rules!$C$2:$C$60*ISNUMBER(SEARCH(Rules!$D$2:$D$60,$D39)))</f>
        <v>0</v>
      </c>
      <c r="F39" s="0" t="n">
        <f aca="false">SUMPRODUCT((Rules!$A$2:$A$60=F$1)*Rules!$C$2:$C$60*ISNUMBER(SEARCH(Rules!$D$2:$D$60,$D39)))</f>
        <v>2</v>
      </c>
      <c r="G39" s="0" t="n">
        <f aca="false">SUMPRODUCT((Rules!$A$2:$A$60=G$1)*Rules!$C$2:$C$60*ISNUMBER(SEARCH(Rules!$D$2:$D$60,$D39)))</f>
        <v>0</v>
      </c>
      <c r="H39" s="0" t="n">
        <f aca="false">SUMPRODUCT((Rules!$A$2:$A$60=H$1)*Rules!$C$2:$C$60*ISNUMBER(SEARCH(Rules!$D$2:$D$60,$D39)))</f>
        <v>0</v>
      </c>
      <c r="I39" s="0" t="n">
        <f aca="false">SUMPRODUCT((Rules!$A$2:$A$60=I$1)*Rules!$C$2:$C$60*ISNUMBER(SEARCH(Rules!$D$2:$D$60,$D39)))</f>
        <v>0</v>
      </c>
      <c r="J39" s="0" t="n">
        <f aca="false">SUMPRODUCT((Rules!$A$2:$A$60=J$1)*Rules!$C$2:$C$60*ISNUMBER(SEARCH(Rules!$D$2:$D$60,$D39)))</f>
        <v>0</v>
      </c>
      <c r="K39" s="0" t="str">
        <f aca="false">IF(OR(MAX(E39:J39)&lt;Rules!$H$1,MAX(E39:J39)-LARGE(E39:J39,2)&lt;Rules!$H$2),"No label",INDEX($E$1:$J$1,MATCH(MAX(E39:J39),E39:J39,0)))</f>
        <v>No label</v>
      </c>
      <c r="L39" s="0" t="n">
        <f aca="false">SUMPRODUCT((Rules!$A$2:$A$60=L$1)*Rules!$C$2:$C$60*ISNUMBER(SEARCH(Rules!$E$2:$E$60,$D39)))</f>
        <v>0</v>
      </c>
      <c r="M39" s="0" t="n">
        <f aca="false">SUMPRODUCT((Rules!$A$2:$A$60=M$1)*Rules!$C$2:$C$60*ISNUMBER(SEARCH(Rules!$E$2:$E$60,$D39)))</f>
        <v>2</v>
      </c>
      <c r="N39" s="0" t="n">
        <f aca="false">SUMPRODUCT((Rules!$A$2:$A$60=N$1)*Rules!$C$2:$C$60*ISNUMBER(SEARCH(Rules!$E$2:$E$60,$D39)))</f>
        <v>0</v>
      </c>
      <c r="O39" s="0" t="n">
        <f aca="false">SUMPRODUCT((Rules!$A$2:$A$60=O$1)*Rules!$C$2:$C$60*ISNUMBER(SEARCH(Rules!$E$2:$E$60,$D39)))</f>
        <v>0</v>
      </c>
      <c r="P39" s="0" t="n">
        <f aca="false">SUMPRODUCT((Rules!$A$2:$A$60=P$1)*Rules!$C$2:$C$60*ISNUMBER(SEARCH(Rules!$E$2:$E$60,$D39)))</f>
        <v>0</v>
      </c>
      <c r="Q39" s="0" t="n">
        <f aca="false">SUMPRODUCT((Rules!$A$2:$A$60=Q$1)*Rules!$C$2:$C$60*ISNUMBER(SEARCH(Rules!$E$2:$E$60,$D39)))</f>
        <v>0</v>
      </c>
      <c r="R39" s="0" t="str">
        <f aca="false">IF(OR(MAX(L39:Q39)&lt;Rules!$H$1,MAX(L39:Q39)-LARGE(L39:Q39,2)&lt;Rules!$H$2),"No label",INDEX($L$1:$Q$1,MATCH(MAX(L39:Q39),L39:Q39,0)))</f>
        <v>No label</v>
      </c>
      <c r="S39" s="0" t="n">
        <f aca="false">SUMPRODUCT(ISNUMBER(SEARCH(" "&amp;Terms!$A$3:$A$821&amp;" ",$D39))*Terms!B$3:B$821)+Terms!B$2</f>
        <v>12.4641060180432</v>
      </c>
      <c r="T39" s="0" t="n">
        <f aca="false">SUMPRODUCT(ISNUMBER(SEARCH(" "&amp;Terms!$A$3:$A$821&amp;" ",$D39))*Terms!C$3:C$821)+Terms!C$2</f>
        <v>-2.99032051638154</v>
      </c>
      <c r="U39" s="0" t="n">
        <f aca="false">SUMPRODUCT(ISNUMBER(SEARCH(" "&amp;Terms!$A$3:$A$821&amp;" ",$D39))*Terms!D$3:D$821)+Terms!D$2</f>
        <v>-0.913870982986919</v>
      </c>
      <c r="V39" s="0" t="n">
        <f aca="false">SUMPRODUCT(ISNUMBER(SEARCH(" "&amp;Terms!$A$3:$A$821&amp;" ",$D39))*Terms!E$3:E$821)+Terms!E$2</f>
        <v>-7.46232547708283</v>
      </c>
      <c r="W39" s="0" t="n">
        <f aca="false">SUMPRODUCT(ISNUMBER(SEARCH(" "&amp;Terms!$A$3:$A$821&amp;" ",$D39))*Terms!F$3:F$821)+Terms!F$2</f>
        <v>-2.68024505473511</v>
      </c>
      <c r="X39" s="0" t="n">
        <f aca="false">SUMPRODUCT(ISNUMBER(SEARCH(" "&amp;Terms!$A$3:$A$821&amp;" ",$D39))*Terms!G$3:G$821)+Terms!G$2</f>
        <v>1.58265601314327</v>
      </c>
      <c r="Y39" s="0" t="str">
        <f aca="false">INDEX($S$1:$X$1,MATCH(MAX(S39:X39),S39:X39,0))</f>
        <v>Account Access</v>
      </c>
      <c r="Z39" s="0" t="s">
        <v>2607</v>
      </c>
    </row>
    <row r="40" customFormat="false" ht="15" hidden="false" customHeight="false" outlineLevel="0" collapsed="false">
      <c r="A40" s="0" t="str">
        <f aca="false">Complaints!A40</f>
        <v>C0039</v>
      </c>
      <c r="B40" s="0" t="str">
        <f aca="false">Complaints!B40</f>
        <v>I am writing to complain. I spent an hour on hold and then the call was cut off. Also, nobody explained the foreign transaction charges before my holiday. Please escalate this.</v>
      </c>
      <c r="C40" s="0" t="str">
        <f aca="false">Complaints!C40</f>
        <v>Customer Service</v>
      </c>
      <c r="D40" s="0" t="str">
        <f aca="false">" "&amp;TRIM(SUBSTITUTE(SUBSTITUTE(SUBSTITUTE(SUBSTITUTE(SUBSTITUTE(SUBSTITUTE(SUBSTITUTE(SUBSTITUTE(SUBSTITUTE(SUBSTITUTE(SUBSTITUTE(SUBSTITUTE(SUBSTITUTE(SUBSTITUTE(SUBSTITUTE(SUBSTITUTE(LOWER(B40),"."," "),","," "),"'"," "),"’"," "),"!"," "),"?"," "),";"," "),":"," "),"-"," "),"("," "),")"," "),"""", " "),"£"," "),"&amp;"," "),"/"," "),"%"," "))&amp;" "</f>
        <v> i am writing to complain i spent an hour on hold and then the call was cut off also nobody explained the foreign transaction charges before my holiday please escalate this </v>
      </c>
      <c r="E40" s="0" t="n">
        <f aca="false">SUMPRODUCT((Rules!$A$2:$A$60=E$1)*Rules!$C$2:$C$60*ISNUMBER(SEARCH(Rules!$D$2:$D$60,$D40)))</f>
        <v>0</v>
      </c>
      <c r="F40" s="0" t="n">
        <f aca="false">SUMPRODUCT((Rules!$A$2:$A$60=F$1)*Rules!$C$2:$C$60*ISNUMBER(SEARCH(Rules!$D$2:$D$60,$D40)))</f>
        <v>0</v>
      </c>
      <c r="G40" s="0" t="n">
        <f aca="false">SUMPRODUCT((Rules!$A$2:$A$60=G$1)*Rules!$C$2:$C$60*ISNUMBER(SEARCH(Rules!$D$2:$D$60,$D40)))</f>
        <v>0</v>
      </c>
      <c r="H40" s="0" t="n">
        <f aca="false">SUMPRODUCT((Rules!$A$2:$A$60=H$1)*Rules!$C$2:$C$60*ISNUMBER(SEARCH(Rules!$D$2:$D$60,$D40)))</f>
        <v>0</v>
      </c>
      <c r="I40" s="0" t="n">
        <f aca="false">SUMPRODUCT((Rules!$A$2:$A$60=I$1)*Rules!$C$2:$C$60*ISNUMBER(SEARCH(Rules!$D$2:$D$60,$D40)))</f>
        <v>0</v>
      </c>
      <c r="J40" s="0" t="n">
        <f aca="false">SUMPRODUCT((Rules!$A$2:$A$60=J$1)*Rules!$C$2:$C$60*ISNUMBER(SEARCH(Rules!$D$2:$D$60,$D40)))</f>
        <v>3</v>
      </c>
      <c r="K40" s="0" t="str">
        <f aca="false">IF(OR(MAX(E40:J40)&lt;Rules!$H$1,MAX(E40:J40)-LARGE(E40:J40,2)&lt;Rules!$H$2),"No label",INDEX($E$1:$J$1,MATCH(MAX(E40:J40),E40:J40,0)))</f>
        <v>Customer Service</v>
      </c>
      <c r="L40" s="0" t="n">
        <f aca="false">SUMPRODUCT((Rules!$A$2:$A$60=L$1)*Rules!$C$2:$C$60*ISNUMBER(SEARCH(Rules!$E$2:$E$60,$D40)))</f>
        <v>0</v>
      </c>
      <c r="M40" s="0" t="n">
        <f aca="false">SUMPRODUCT((Rules!$A$2:$A$60=M$1)*Rules!$C$2:$C$60*ISNUMBER(SEARCH(Rules!$E$2:$E$60,$D40)))</f>
        <v>0</v>
      </c>
      <c r="N40" s="0" t="n">
        <f aca="false">SUMPRODUCT((Rules!$A$2:$A$60=N$1)*Rules!$C$2:$C$60*ISNUMBER(SEARCH(Rules!$E$2:$E$60,$D40)))</f>
        <v>0</v>
      </c>
      <c r="O40" s="0" t="n">
        <f aca="false">SUMPRODUCT((Rules!$A$2:$A$60=O$1)*Rules!$C$2:$C$60*ISNUMBER(SEARCH(Rules!$E$2:$E$60,$D40)))</f>
        <v>4</v>
      </c>
      <c r="P40" s="0" t="n">
        <f aca="false">SUMPRODUCT((Rules!$A$2:$A$60=P$1)*Rules!$C$2:$C$60*ISNUMBER(SEARCH(Rules!$E$2:$E$60,$D40)))</f>
        <v>0</v>
      </c>
      <c r="Q40" s="0" t="n">
        <f aca="false">SUMPRODUCT((Rules!$A$2:$A$60=Q$1)*Rules!$C$2:$C$60*ISNUMBER(SEARCH(Rules!$E$2:$E$60,$D40)))</f>
        <v>3</v>
      </c>
      <c r="R40" s="0" t="str">
        <f aca="false">IF(OR(MAX(L40:Q40)&lt;Rules!$H$1,MAX(L40:Q40)-LARGE(L40:Q40,2)&lt;Rules!$H$2),"No label",INDEX($L$1:$Q$1,MATCH(MAX(L40:Q40),L40:Q40,0)))</f>
        <v>No label</v>
      </c>
      <c r="S40" s="0" t="n">
        <f aca="false">SUMPRODUCT(ISNUMBER(SEARCH(" "&amp;Terms!$A$3:$A$821&amp;" ",$D40))*Terms!B$3:B$821)+Terms!B$2</f>
        <v>-2.46011215113427</v>
      </c>
      <c r="T40" s="0" t="n">
        <f aca="false">SUMPRODUCT(ISNUMBER(SEARCH(" "&amp;Terms!$A$3:$A$821&amp;" ",$D40))*Terms!C$3:C$821)+Terms!C$2</f>
        <v>6.29085639611403</v>
      </c>
      <c r="U40" s="0" t="n">
        <f aca="false">SUMPRODUCT(ISNUMBER(SEARCH(" "&amp;Terms!$A$3:$A$821&amp;" ",$D40))*Terms!D$3:D$821)+Terms!D$2</f>
        <v>-2.88535962926678</v>
      </c>
      <c r="V40" s="0" t="n">
        <f aca="false">SUMPRODUCT(ISNUMBER(SEARCH(" "&amp;Terms!$A$3:$A$821&amp;" ",$D40))*Terms!E$3:E$821)+Terms!E$2</f>
        <v>7.41054378179746</v>
      </c>
      <c r="W40" s="0" t="n">
        <f aca="false">SUMPRODUCT(ISNUMBER(SEARCH(" "&amp;Terms!$A$3:$A$821&amp;" ",$D40))*Terms!F$3:F$821)+Terms!F$2</f>
        <v>-5.01440014747331</v>
      </c>
      <c r="X40" s="0" t="n">
        <f aca="false">SUMPRODUCT(ISNUMBER(SEARCH(" "&amp;Terms!$A$3:$A$821&amp;" ",$D40))*Terms!G$3:G$821)+Terms!G$2</f>
        <v>-3.34152825003704</v>
      </c>
      <c r="Y40" s="0" t="str">
        <f aca="false">INDEX($S$1:$X$1,MATCH(MAX(S40:X40),S40:X40,0))</f>
        <v>Fees &amp; Charges</v>
      </c>
      <c r="Z40" s="0" t="s">
        <v>2607</v>
      </c>
    </row>
    <row r="41" customFormat="false" ht="15" hidden="false" customHeight="false" outlineLevel="0" collapsed="false">
      <c r="A41" s="0" t="str">
        <f aca="false">Complaints!A41</f>
        <v>C0040</v>
      </c>
      <c r="B41" s="0" t="str">
        <f aca="false">Complaints!B41</f>
        <v>Frankly, The webchat agent ended the conversation without soving anything. Please sort this out.</v>
      </c>
      <c r="C41" s="0" t="str">
        <f aca="false">Complaints!C41</f>
        <v>Customer Service</v>
      </c>
      <c r="D41" s="0" t="str">
        <f aca="false">" "&amp;TRIM(SUBSTITUTE(SUBSTITUTE(SUBSTITUTE(SUBSTITUTE(SUBSTITUTE(SUBSTITUTE(SUBSTITUTE(SUBSTITUTE(SUBSTITUTE(SUBSTITUTE(SUBSTITUTE(SUBSTITUTE(SUBSTITUTE(SUBSTITUTE(SUBSTITUTE(SUBSTITUTE(LOWER(B41),"."," "),","," "),"'"," "),"’"," "),"!"," "),"?"," "),";"," "),":"," "),"-"," "),"("," "),")"," "),"""", " "),"£"," "),"&amp;"," "),"/"," "),"%"," "))&amp;" "</f>
        <v> frankly the webchat agent ended the conversation without soving anything please sort this out </v>
      </c>
      <c r="E41" s="0" t="n">
        <f aca="false">SUMPRODUCT((Rules!$A$2:$A$60=E$1)*Rules!$C$2:$C$60*ISNUMBER(SEARCH(Rules!$D$2:$D$60,$D41)))</f>
        <v>0</v>
      </c>
      <c r="F41" s="0" t="n">
        <f aca="false">SUMPRODUCT((Rules!$A$2:$A$60=F$1)*Rules!$C$2:$C$60*ISNUMBER(SEARCH(Rules!$D$2:$D$60,$D41)))</f>
        <v>0</v>
      </c>
      <c r="G41" s="0" t="n">
        <f aca="false">SUMPRODUCT((Rules!$A$2:$A$60=G$1)*Rules!$C$2:$C$60*ISNUMBER(SEARCH(Rules!$D$2:$D$60,$D41)))</f>
        <v>0</v>
      </c>
      <c r="H41" s="0" t="n">
        <f aca="false">SUMPRODUCT((Rules!$A$2:$A$60=H$1)*Rules!$C$2:$C$60*ISNUMBER(SEARCH(Rules!$D$2:$D$60,$D41)))</f>
        <v>0</v>
      </c>
      <c r="I41" s="0" t="n">
        <f aca="false">SUMPRODUCT((Rules!$A$2:$A$60=I$1)*Rules!$C$2:$C$60*ISNUMBER(SEARCH(Rules!$D$2:$D$60,$D41)))</f>
        <v>0</v>
      </c>
      <c r="J41" s="0" t="n">
        <f aca="false">SUMPRODUCT((Rules!$A$2:$A$60=J$1)*Rules!$C$2:$C$60*ISNUMBER(SEARCH(Rules!$D$2:$D$60,$D41)))</f>
        <v>2</v>
      </c>
      <c r="K41" s="0" t="str">
        <f aca="false">IF(OR(MAX(E41:J41)&lt;Rules!$H$1,MAX(E41:J41)-LARGE(E41:J41,2)&lt;Rules!$H$2),"No label",INDEX($E$1:$J$1,MATCH(MAX(E41:J41),E41:J41,0)))</f>
        <v>No label</v>
      </c>
      <c r="L41" s="0" t="n">
        <f aca="false">SUMPRODUCT((Rules!$A$2:$A$60=L$1)*Rules!$C$2:$C$60*ISNUMBER(SEARCH(Rules!$E$2:$E$60,$D41)))</f>
        <v>0</v>
      </c>
      <c r="M41" s="0" t="n">
        <f aca="false">SUMPRODUCT((Rules!$A$2:$A$60=M$1)*Rules!$C$2:$C$60*ISNUMBER(SEARCH(Rules!$E$2:$E$60,$D41)))</f>
        <v>0</v>
      </c>
      <c r="N41" s="0" t="n">
        <f aca="false">SUMPRODUCT((Rules!$A$2:$A$60=N$1)*Rules!$C$2:$C$60*ISNUMBER(SEARCH(Rules!$E$2:$E$60,$D41)))</f>
        <v>0</v>
      </c>
      <c r="O41" s="0" t="n">
        <f aca="false">SUMPRODUCT((Rules!$A$2:$A$60=O$1)*Rules!$C$2:$C$60*ISNUMBER(SEARCH(Rules!$E$2:$E$60,$D41)))</f>
        <v>0</v>
      </c>
      <c r="P41" s="0" t="n">
        <f aca="false">SUMPRODUCT((Rules!$A$2:$A$60=P$1)*Rules!$C$2:$C$60*ISNUMBER(SEARCH(Rules!$E$2:$E$60,$D41)))</f>
        <v>0</v>
      </c>
      <c r="Q41" s="0" t="n">
        <f aca="false">SUMPRODUCT((Rules!$A$2:$A$60=Q$1)*Rules!$C$2:$C$60*ISNUMBER(SEARCH(Rules!$E$2:$E$60,$D41)))</f>
        <v>2</v>
      </c>
      <c r="R41" s="0" t="str">
        <f aca="false">IF(OR(MAX(L41:Q41)&lt;Rules!$H$1,MAX(L41:Q41)-LARGE(L41:Q41,2)&lt;Rules!$H$2),"No label",INDEX($L$1:$Q$1,MATCH(MAX(L41:Q41),L41:Q41,0)))</f>
        <v>No label</v>
      </c>
      <c r="S41" s="0" t="n">
        <f aca="false">SUMPRODUCT(ISNUMBER(SEARCH(" "&amp;Terms!$A$3:$A$821&amp;" ",$D41))*Terms!B$3:B$821)+Terms!B$2</f>
        <v>-3.62323038069076</v>
      </c>
      <c r="T41" s="0" t="n">
        <f aca="false">SUMPRODUCT(ISNUMBER(SEARCH(" "&amp;Terms!$A$3:$A$821&amp;" ",$D41))*Terms!C$3:C$821)+Terms!C$2</f>
        <v>9.25626699017418</v>
      </c>
      <c r="U41" s="0" t="n">
        <f aca="false">SUMPRODUCT(ISNUMBER(SEARCH(" "&amp;Terms!$A$3:$A$821&amp;" ",$D41))*Terms!D$3:D$821)+Terms!D$2</f>
        <v>-2.23613207807293</v>
      </c>
      <c r="V41" s="0" t="n">
        <f aca="false">SUMPRODUCT(ISNUMBER(SEARCH(" "&amp;Terms!$A$3:$A$821&amp;" ",$D41))*Terms!E$3:E$821)+Terms!E$2</f>
        <v>-0.0495533484332656</v>
      </c>
      <c r="W41" s="0" t="n">
        <f aca="false">SUMPRODUCT(ISNUMBER(SEARCH(" "&amp;Terms!$A$3:$A$821&amp;" ",$D41))*Terms!F$3:F$821)+Terms!F$2</f>
        <v>-1.42739603066762</v>
      </c>
      <c r="X41" s="0" t="n">
        <f aca="false">SUMPRODUCT(ISNUMBER(SEARCH(" "&amp;Terms!$A$3:$A$821&amp;" ",$D41))*Terms!G$3:G$821)+Terms!G$2</f>
        <v>-1.91995515230951</v>
      </c>
      <c r="Y41" s="0" t="str">
        <f aca="false">INDEX($S$1:$X$1,MATCH(MAX(S41:X41),S41:X41,0))</f>
        <v>Customer Service</v>
      </c>
      <c r="Z41" s="0" t="s">
        <v>2607</v>
      </c>
    </row>
    <row r="42" customFormat="false" ht="15" hidden="false" customHeight="false" outlineLevel="0" collapsed="false">
      <c r="A42" s="0" t="str">
        <f aca="false">Complaints!A42</f>
        <v>C0041</v>
      </c>
      <c r="B42" s="0" t="str">
        <f aca="false">Complaints!B42</f>
        <v>I have been a customer for years. My transfer has been pending for over a week. This is not acceptable.</v>
      </c>
      <c r="C42" s="0" t="str">
        <f aca="false">Complaints!C42</f>
        <v>Delays &amp; Processing</v>
      </c>
      <c r="D42" s="0" t="str">
        <f aca="false">" "&amp;TRIM(SUBSTITUTE(SUBSTITUTE(SUBSTITUTE(SUBSTITUTE(SUBSTITUTE(SUBSTITUTE(SUBSTITUTE(SUBSTITUTE(SUBSTITUTE(SUBSTITUTE(SUBSTITUTE(SUBSTITUTE(SUBSTITUTE(SUBSTITUTE(SUBSTITUTE(SUBSTITUTE(LOWER(B42),"."," "),","," "),"'"," "),"’"," "),"!"," "),"?"," "),";"," "),":"," "),"-"," "),"("," "),")"," "),"""", " "),"£"," "),"&amp;"," "),"/"," "),"%"," "))&amp;" "</f>
        <v> i have been a customer for years my transfer has been pending for over a week this is not acceptable </v>
      </c>
      <c r="E42" s="0" t="n">
        <f aca="false">SUMPRODUCT((Rules!$A$2:$A$60=E$1)*Rules!$C$2:$C$60*ISNUMBER(SEARCH(Rules!$D$2:$D$60,$D42)))</f>
        <v>0</v>
      </c>
      <c r="F42" s="0" t="n">
        <f aca="false">SUMPRODUCT((Rules!$A$2:$A$60=F$1)*Rules!$C$2:$C$60*ISNUMBER(SEARCH(Rules!$D$2:$D$60,$D42)))</f>
        <v>0</v>
      </c>
      <c r="G42" s="0" t="n">
        <f aca="false">SUMPRODUCT((Rules!$A$2:$A$60=G$1)*Rules!$C$2:$C$60*ISNUMBER(SEARCH(Rules!$D$2:$D$60,$D42)))</f>
        <v>0</v>
      </c>
      <c r="H42" s="0" t="n">
        <f aca="false">SUMPRODUCT((Rules!$A$2:$A$60=H$1)*Rules!$C$2:$C$60*ISNUMBER(SEARCH(Rules!$D$2:$D$60,$D42)))</f>
        <v>0</v>
      </c>
      <c r="I42" s="0" t="n">
        <f aca="false">SUMPRODUCT((Rules!$A$2:$A$60=I$1)*Rules!$C$2:$C$60*ISNUMBER(SEARCH(Rules!$D$2:$D$60,$D42)))</f>
        <v>2</v>
      </c>
      <c r="J42" s="0" t="n">
        <f aca="false">SUMPRODUCT((Rules!$A$2:$A$60=J$1)*Rules!$C$2:$C$60*ISNUMBER(SEARCH(Rules!$D$2:$D$60,$D42)))</f>
        <v>0</v>
      </c>
      <c r="K42" s="0" t="str">
        <f aca="false">IF(OR(MAX(E42:J42)&lt;Rules!$H$1,MAX(E42:J42)-LARGE(E42:J42,2)&lt;Rules!$H$2),"No label",INDEX($E$1:$J$1,MATCH(MAX(E42:J42),E42:J42,0)))</f>
        <v>No label</v>
      </c>
      <c r="L42" s="0" t="n">
        <f aca="false">SUMPRODUCT((Rules!$A$2:$A$60=L$1)*Rules!$C$2:$C$60*ISNUMBER(SEARCH(Rules!$E$2:$E$60,$D42)))</f>
        <v>0</v>
      </c>
      <c r="M42" s="0" t="n">
        <f aca="false">SUMPRODUCT((Rules!$A$2:$A$60=M$1)*Rules!$C$2:$C$60*ISNUMBER(SEARCH(Rules!$E$2:$E$60,$D42)))</f>
        <v>0</v>
      </c>
      <c r="N42" s="0" t="n">
        <f aca="false">SUMPRODUCT((Rules!$A$2:$A$60=N$1)*Rules!$C$2:$C$60*ISNUMBER(SEARCH(Rules!$E$2:$E$60,$D42)))</f>
        <v>1</v>
      </c>
      <c r="O42" s="0" t="n">
        <f aca="false">SUMPRODUCT((Rules!$A$2:$A$60=O$1)*Rules!$C$2:$C$60*ISNUMBER(SEARCH(Rules!$E$2:$E$60,$D42)))</f>
        <v>0</v>
      </c>
      <c r="P42" s="0" t="n">
        <f aca="false">SUMPRODUCT((Rules!$A$2:$A$60=P$1)*Rules!$C$2:$C$60*ISNUMBER(SEARCH(Rules!$E$2:$E$60,$D42)))</f>
        <v>2</v>
      </c>
      <c r="Q42" s="0" t="n">
        <f aca="false">SUMPRODUCT((Rules!$A$2:$A$60=Q$1)*Rules!$C$2:$C$60*ISNUMBER(SEARCH(Rules!$E$2:$E$60,$D42)))</f>
        <v>0</v>
      </c>
      <c r="R42" s="0" t="str">
        <f aca="false">IF(OR(MAX(L42:Q42)&lt;Rules!$H$1,MAX(L42:Q42)-LARGE(L42:Q42,2)&lt;Rules!$H$2),"No label",INDEX($L$1:$Q$1,MATCH(MAX(L42:Q42),L42:Q42,0)))</f>
        <v>No label</v>
      </c>
      <c r="S42" s="0" t="n">
        <f aca="false">SUMPRODUCT(ISNUMBER(SEARCH(" "&amp;Terms!$A$3:$A$821&amp;" ",$D42))*Terms!B$3:B$821)+Terms!B$2</f>
        <v>-0.163663858796799</v>
      </c>
      <c r="T42" s="0" t="n">
        <f aca="false">SUMPRODUCT(ISNUMBER(SEARCH(" "&amp;Terms!$A$3:$A$821&amp;" ",$D42))*Terms!C$3:C$821)+Terms!C$2</f>
        <v>-1.09704275712565</v>
      </c>
      <c r="U42" s="0" t="n">
        <f aca="false">SUMPRODUCT(ISNUMBER(SEARCH(" "&amp;Terms!$A$3:$A$821&amp;" ",$D42))*Terms!D$3:D$821)+Terms!D$2</f>
        <v>8.0031969329563</v>
      </c>
      <c r="V42" s="0" t="n">
        <f aca="false">SUMPRODUCT(ISNUMBER(SEARCH(" "&amp;Terms!$A$3:$A$821&amp;" ",$D42))*Terms!E$3:E$821)+Terms!E$2</f>
        <v>-4.21362175969605</v>
      </c>
      <c r="W42" s="0" t="n">
        <f aca="false">SUMPRODUCT(ISNUMBER(SEARCH(" "&amp;Terms!$A$3:$A$821&amp;" ",$D42))*Terms!F$3:F$821)+Terms!F$2</f>
        <v>-0.580335143795924</v>
      </c>
      <c r="X42" s="0" t="n">
        <f aca="false">SUMPRODUCT(ISNUMBER(SEARCH(" "&amp;Terms!$A$3:$A$821&amp;" ",$D42))*Terms!G$3:G$821)+Terms!G$2</f>
        <v>-1.94853341354177</v>
      </c>
      <c r="Y42" s="0" t="str">
        <f aca="false">INDEX($S$1:$X$1,MATCH(MAX(S42:X42),S42:X42,0))</f>
        <v>Delays &amp; Processing</v>
      </c>
      <c r="Z42" s="0" t="s">
        <v>2608</v>
      </c>
    </row>
    <row r="43" customFormat="false" ht="15" hidden="false" customHeight="false" outlineLevel="0" collapsed="false">
      <c r="A43" s="0" t="str">
        <f aca="false">Complaints!A43</f>
        <v>C0042</v>
      </c>
      <c r="B43" s="0" t="str">
        <f aca="false">Complaints!B43</f>
        <v>I am writing to complain. Your advisor gave me different answers on two separate calls. This is not acceptable.</v>
      </c>
      <c r="C43" s="0" t="str">
        <f aca="false">Complaints!C43</f>
        <v>Customer Service</v>
      </c>
      <c r="D43" s="0" t="str">
        <f aca="false">" "&amp;TRIM(SUBSTITUTE(SUBSTITUTE(SUBSTITUTE(SUBSTITUTE(SUBSTITUTE(SUBSTITUTE(SUBSTITUTE(SUBSTITUTE(SUBSTITUTE(SUBSTITUTE(SUBSTITUTE(SUBSTITUTE(SUBSTITUTE(SUBSTITUTE(SUBSTITUTE(SUBSTITUTE(LOWER(B43),"."," "),","," "),"'"," "),"’"," "),"!"," "),"?"," "),";"," "),":"," "),"-"," "),"("," "),")"," "),"""", " "),"£"," "),"&amp;"," "),"/"," "),"%"," "))&amp;" "</f>
        <v> i am writing to complain your advisor gave me different answers on two separate calls this is not acceptable </v>
      </c>
      <c r="E43" s="0" t="n">
        <f aca="false">SUMPRODUCT((Rules!$A$2:$A$60=E$1)*Rules!$C$2:$C$60*ISNUMBER(SEARCH(Rules!$D$2:$D$60,$D43)))</f>
        <v>0</v>
      </c>
      <c r="F43" s="0" t="n">
        <f aca="false">SUMPRODUCT((Rules!$A$2:$A$60=F$1)*Rules!$C$2:$C$60*ISNUMBER(SEARCH(Rules!$D$2:$D$60,$D43)))</f>
        <v>0</v>
      </c>
      <c r="G43" s="0" t="n">
        <f aca="false">SUMPRODUCT((Rules!$A$2:$A$60=G$1)*Rules!$C$2:$C$60*ISNUMBER(SEARCH(Rules!$D$2:$D$60,$D43)))</f>
        <v>0</v>
      </c>
      <c r="H43" s="0" t="n">
        <f aca="false">SUMPRODUCT((Rules!$A$2:$A$60=H$1)*Rules!$C$2:$C$60*ISNUMBER(SEARCH(Rules!$D$2:$D$60,$D43)))</f>
        <v>0</v>
      </c>
      <c r="I43" s="0" t="n">
        <f aca="false">SUMPRODUCT((Rules!$A$2:$A$60=I$1)*Rules!$C$2:$C$60*ISNUMBER(SEARCH(Rules!$D$2:$D$60,$D43)))</f>
        <v>0</v>
      </c>
      <c r="J43" s="0" t="n">
        <f aca="false">SUMPRODUCT((Rules!$A$2:$A$60=J$1)*Rules!$C$2:$C$60*ISNUMBER(SEARCH(Rules!$D$2:$D$60,$D43)))</f>
        <v>1</v>
      </c>
      <c r="K43" s="0" t="str">
        <f aca="false">IF(OR(MAX(E43:J43)&lt;Rules!$H$1,MAX(E43:J43)-LARGE(E43:J43,2)&lt;Rules!$H$2),"No label",INDEX($E$1:$J$1,MATCH(MAX(E43:J43),E43:J43,0)))</f>
        <v>No label</v>
      </c>
      <c r="L43" s="0" t="n">
        <f aca="false">SUMPRODUCT((Rules!$A$2:$A$60=L$1)*Rules!$C$2:$C$60*ISNUMBER(SEARCH(Rules!$E$2:$E$60,$D43)))</f>
        <v>0</v>
      </c>
      <c r="M43" s="0" t="n">
        <f aca="false">SUMPRODUCT((Rules!$A$2:$A$60=M$1)*Rules!$C$2:$C$60*ISNUMBER(SEARCH(Rules!$E$2:$E$60,$D43)))</f>
        <v>4</v>
      </c>
      <c r="N43" s="0" t="n">
        <f aca="false">SUMPRODUCT((Rules!$A$2:$A$60=N$1)*Rules!$C$2:$C$60*ISNUMBER(SEARCH(Rules!$E$2:$E$60,$D43)))</f>
        <v>1</v>
      </c>
      <c r="O43" s="0" t="n">
        <f aca="false">SUMPRODUCT((Rules!$A$2:$A$60=O$1)*Rules!$C$2:$C$60*ISNUMBER(SEARCH(Rules!$E$2:$E$60,$D43)))</f>
        <v>0</v>
      </c>
      <c r="P43" s="0" t="n">
        <f aca="false">SUMPRODUCT((Rules!$A$2:$A$60=P$1)*Rules!$C$2:$C$60*ISNUMBER(SEARCH(Rules!$E$2:$E$60,$D43)))</f>
        <v>0</v>
      </c>
      <c r="Q43" s="0" t="n">
        <f aca="false">SUMPRODUCT((Rules!$A$2:$A$60=Q$1)*Rules!$C$2:$C$60*ISNUMBER(SEARCH(Rules!$E$2:$E$60,$D43)))</f>
        <v>1</v>
      </c>
      <c r="R43" s="0" t="str">
        <f aca="false">IF(OR(MAX(L43:Q43)&lt;Rules!$H$1,MAX(L43:Q43)-LARGE(L43:Q43,2)&lt;Rules!$H$2),"No label",INDEX($L$1:$Q$1,MATCH(MAX(L43:Q43),L43:Q43,0)))</f>
        <v>Mis-selling</v>
      </c>
      <c r="S43" s="0" t="n">
        <f aca="false">SUMPRODUCT(ISNUMBER(SEARCH(" "&amp;Terms!$A$3:$A$821&amp;" ",$D43))*Terms!B$3:B$821)+Terms!B$2</f>
        <v>0.790877873574035</v>
      </c>
      <c r="T43" s="0" t="n">
        <f aca="false">SUMPRODUCT(ISNUMBER(SEARCH(" "&amp;Terms!$A$3:$A$821&amp;" ",$D43))*Terms!C$3:C$821)+Terms!C$2</f>
        <v>11.7293456683114</v>
      </c>
      <c r="U43" s="0" t="n">
        <f aca="false">SUMPRODUCT(ISNUMBER(SEARCH(" "&amp;Terms!$A$3:$A$821&amp;" ",$D43))*Terms!D$3:D$821)+Terms!D$2</f>
        <v>-0.774218963636039</v>
      </c>
      <c r="V43" s="0" t="n">
        <f aca="false">SUMPRODUCT(ISNUMBER(SEARCH(" "&amp;Terms!$A$3:$A$821&amp;" ",$D43))*Terms!E$3:E$821)+Terms!E$2</f>
        <v>-7.13917576000463</v>
      </c>
      <c r="W43" s="0" t="n">
        <f aca="false">SUMPRODUCT(ISNUMBER(SEARCH(" "&amp;Terms!$A$3:$A$821&amp;" ",$D43))*Terms!F$3:F$821)+Terms!F$2</f>
        <v>-2.30624130923351</v>
      </c>
      <c r="X43" s="0" t="n">
        <f aca="false">SUMPRODUCT(ISNUMBER(SEARCH(" "&amp;Terms!$A$3:$A$821&amp;" ",$D43))*Terms!G$3:G$821)+Terms!G$2</f>
        <v>-2.30058750901112</v>
      </c>
      <c r="Y43" s="0" t="str">
        <f aca="false">INDEX($S$1:$X$1,MATCH(MAX(S43:X43),S43:X43,0))</f>
        <v>Customer Service</v>
      </c>
      <c r="Z43" s="0" t="s">
        <v>2607</v>
      </c>
    </row>
    <row r="44" customFormat="false" ht="15" hidden="false" customHeight="false" outlineLevel="0" collapsed="false">
      <c r="A44" s="0" t="str">
        <f aca="false">Complaints!A44</f>
        <v>C0043</v>
      </c>
      <c r="B44" s="0" t="str">
        <f aca="false">Complaints!B44</f>
        <v>Frankly, I was told this policy covered me but my claim was rejected. I could not log in to check either. I would like a response in writing.</v>
      </c>
      <c r="C44" s="0" t="str">
        <f aca="false">Complaints!C44</f>
        <v>Mis-selling</v>
      </c>
      <c r="D44" s="0" t="str">
        <f aca="false">" "&amp;TRIM(SUBSTITUTE(SUBSTITUTE(SUBSTITUTE(SUBSTITUTE(SUBSTITUTE(SUBSTITUTE(SUBSTITUTE(SUBSTITUTE(SUBSTITUTE(SUBSTITUTE(SUBSTITUTE(SUBSTITUTE(SUBSTITUTE(SUBSTITUTE(SUBSTITUTE(SUBSTITUTE(LOWER(B44),"."," "),","," "),"'"," "),"’"," "),"!"," "),"?"," "),";"," "),":"," "),"-"," "),"("," "),")"," "),"""", " "),"£"," "),"&amp;"," "),"/"," "),"%"," "))&amp;" "</f>
        <v> frankly i was told this policy covered me but my claim was rejected i could not log in to check either i would like a response in writing </v>
      </c>
      <c r="E44" s="0" t="n">
        <f aca="false">SUMPRODUCT((Rules!$A$2:$A$60=E$1)*Rules!$C$2:$C$60*ISNUMBER(SEARCH(Rules!$D$2:$D$60,$D44)))</f>
        <v>0</v>
      </c>
      <c r="F44" s="0" t="n">
        <f aca="false">SUMPRODUCT((Rules!$A$2:$A$60=F$1)*Rules!$C$2:$C$60*ISNUMBER(SEARCH(Rules!$D$2:$D$60,$D44)))</f>
        <v>1</v>
      </c>
      <c r="G44" s="0" t="n">
        <f aca="false">SUMPRODUCT((Rules!$A$2:$A$60=G$1)*Rules!$C$2:$C$60*ISNUMBER(SEARCH(Rules!$D$2:$D$60,$D44)))</f>
        <v>3</v>
      </c>
      <c r="H44" s="0" t="n">
        <f aca="false">SUMPRODUCT((Rules!$A$2:$A$60=H$1)*Rules!$C$2:$C$60*ISNUMBER(SEARCH(Rules!$D$2:$D$60,$D44)))</f>
        <v>0</v>
      </c>
      <c r="I44" s="0" t="n">
        <f aca="false">SUMPRODUCT((Rules!$A$2:$A$60=I$1)*Rules!$C$2:$C$60*ISNUMBER(SEARCH(Rules!$D$2:$D$60,$D44)))</f>
        <v>0</v>
      </c>
      <c r="J44" s="0" t="n">
        <f aca="false">SUMPRODUCT((Rules!$A$2:$A$60=J$1)*Rules!$C$2:$C$60*ISNUMBER(SEARCH(Rules!$D$2:$D$60,$D44)))</f>
        <v>0</v>
      </c>
      <c r="K44" s="0" t="str">
        <f aca="false">IF(OR(MAX(E44:J44)&lt;Rules!$H$1,MAX(E44:J44)-LARGE(E44:J44,2)&lt;Rules!$H$2),"No label",INDEX($E$1:$J$1,MATCH(MAX(E44:J44),E44:J44,0)))</f>
        <v>Account Access</v>
      </c>
      <c r="L44" s="0" t="n">
        <f aca="false">SUMPRODUCT((Rules!$A$2:$A$60=L$1)*Rules!$C$2:$C$60*ISNUMBER(SEARCH(Rules!$E$2:$E$60,$D44)))</f>
        <v>0</v>
      </c>
      <c r="M44" s="0" t="n">
        <f aca="false">SUMPRODUCT((Rules!$A$2:$A$60=M$1)*Rules!$C$2:$C$60*ISNUMBER(SEARCH(Rules!$E$2:$E$60,$D44)))</f>
        <v>1</v>
      </c>
      <c r="N44" s="0" t="n">
        <f aca="false">SUMPRODUCT((Rules!$A$2:$A$60=N$1)*Rules!$C$2:$C$60*ISNUMBER(SEARCH(Rules!$E$2:$E$60,$D44)))</f>
        <v>3</v>
      </c>
      <c r="O44" s="0" t="n">
        <f aca="false">SUMPRODUCT((Rules!$A$2:$A$60=O$1)*Rules!$C$2:$C$60*ISNUMBER(SEARCH(Rules!$E$2:$E$60,$D44)))</f>
        <v>0</v>
      </c>
      <c r="P44" s="0" t="n">
        <f aca="false">SUMPRODUCT((Rules!$A$2:$A$60=P$1)*Rules!$C$2:$C$60*ISNUMBER(SEARCH(Rules!$E$2:$E$60,$D44)))</f>
        <v>0</v>
      </c>
      <c r="Q44" s="0" t="n">
        <f aca="false">SUMPRODUCT((Rules!$A$2:$A$60=Q$1)*Rules!$C$2:$C$60*ISNUMBER(SEARCH(Rules!$E$2:$E$60,$D44)))</f>
        <v>0</v>
      </c>
      <c r="R44" s="0" t="str">
        <f aca="false">IF(OR(MAX(L44:Q44)&lt;Rules!$H$1,MAX(L44:Q44)-LARGE(L44:Q44,2)&lt;Rules!$H$2),"No label",INDEX($L$1:$Q$1,MATCH(MAX(L44:Q44),L44:Q44,0)))</f>
        <v>Account Access</v>
      </c>
      <c r="S44" s="0" t="n">
        <f aca="false">SUMPRODUCT(ISNUMBER(SEARCH(" "&amp;Terms!$A$3:$A$821&amp;" ",$D44))*Terms!B$3:B$821)+Terms!B$2</f>
        <v>-2.72365811952334</v>
      </c>
      <c r="T44" s="0" t="n">
        <f aca="false">SUMPRODUCT(ISNUMBER(SEARCH(" "&amp;Terms!$A$3:$A$821&amp;" ",$D44))*Terms!C$3:C$821)+Terms!C$2</f>
        <v>-4.66358708812447</v>
      </c>
      <c r="U44" s="0" t="n">
        <f aca="false">SUMPRODUCT(ISNUMBER(SEARCH(" "&amp;Terms!$A$3:$A$821&amp;" ",$D44))*Terms!D$3:D$821)+Terms!D$2</f>
        <v>0.434158483280046</v>
      </c>
      <c r="V44" s="0" t="n">
        <f aca="false">SUMPRODUCT(ISNUMBER(SEARCH(" "&amp;Terms!$A$3:$A$821&amp;" ",$D44))*Terms!E$3:E$821)+Terms!E$2</f>
        <v>-0.647818086195094</v>
      </c>
      <c r="W44" s="0" t="n">
        <f aca="false">SUMPRODUCT(ISNUMBER(SEARCH(" "&amp;Terms!$A$3:$A$821&amp;" ",$D44))*Terms!F$3:F$821)+Terms!F$2</f>
        <v>-3.42737473552187</v>
      </c>
      <c r="X44" s="0" t="n">
        <f aca="false">SUMPRODUCT(ISNUMBER(SEARCH(" "&amp;Terms!$A$3:$A$821&amp;" ",$D44))*Terms!G$3:G$821)+Terms!G$2</f>
        <v>11.0282795460848</v>
      </c>
      <c r="Y44" s="0" t="str">
        <f aca="false">INDEX($S$1:$X$1,MATCH(MAX(S44:X44),S44:X44,0))</f>
        <v>Mis-selling</v>
      </c>
      <c r="Z44" s="0" t="s">
        <v>2607</v>
      </c>
    </row>
    <row r="45" customFormat="false" ht="15" hidden="false" customHeight="false" outlineLevel="0" collapsed="false">
      <c r="A45" s="0" t="str">
        <f aca="false">Complaints!A45</f>
        <v>C0044</v>
      </c>
      <c r="B45" s="0" t="str">
        <f aca="false">Complaints!B45</f>
        <v>Hello, A late payment fee appeared and I want it refunded. Please sort this out.</v>
      </c>
      <c r="C45" s="0" t="str">
        <f aca="false">Complaints!C45</f>
        <v>Fees &amp; Charges</v>
      </c>
      <c r="D45" s="0" t="str">
        <f aca="false">" "&amp;TRIM(SUBSTITUTE(SUBSTITUTE(SUBSTITUTE(SUBSTITUTE(SUBSTITUTE(SUBSTITUTE(SUBSTITUTE(SUBSTITUTE(SUBSTITUTE(SUBSTITUTE(SUBSTITUTE(SUBSTITUTE(SUBSTITUTE(SUBSTITUTE(SUBSTITUTE(SUBSTITUTE(LOWER(B45),"."," "),","," "),"'"," "),"’"," "),"!"," "),"?"," "),";"," "),":"," "),"-"," "),"("," "),")"," "),"""", " "),"£"," "),"&amp;"," "),"/"," "),"%"," "))&amp;" "</f>
        <v> hello a late payment fee appeared and i want it refunded please sort this out </v>
      </c>
      <c r="E45" s="0" t="n">
        <f aca="false">SUMPRODUCT((Rules!$A$2:$A$60=E$1)*Rules!$C$2:$C$60*ISNUMBER(SEARCH(Rules!$D$2:$D$60,$D45)))</f>
        <v>0</v>
      </c>
      <c r="F45" s="0" t="n">
        <f aca="false">SUMPRODUCT((Rules!$A$2:$A$60=F$1)*Rules!$C$2:$C$60*ISNUMBER(SEARCH(Rules!$D$2:$D$60,$D45)))</f>
        <v>0</v>
      </c>
      <c r="G45" s="0" t="n">
        <f aca="false">SUMPRODUCT((Rules!$A$2:$A$60=G$1)*Rules!$C$2:$C$60*ISNUMBER(SEARCH(Rules!$D$2:$D$60,$D45)))</f>
        <v>0</v>
      </c>
      <c r="H45" s="0" t="n">
        <f aca="false">SUMPRODUCT((Rules!$A$2:$A$60=H$1)*Rules!$C$2:$C$60*ISNUMBER(SEARCH(Rules!$D$2:$D$60,$D45)))</f>
        <v>2</v>
      </c>
      <c r="I45" s="0" t="n">
        <f aca="false">SUMPRODUCT((Rules!$A$2:$A$60=I$1)*Rules!$C$2:$C$60*ISNUMBER(SEARCH(Rules!$D$2:$D$60,$D45)))</f>
        <v>0</v>
      </c>
      <c r="J45" s="0" t="n">
        <f aca="false">SUMPRODUCT((Rules!$A$2:$A$60=J$1)*Rules!$C$2:$C$60*ISNUMBER(SEARCH(Rules!$D$2:$D$60,$D45)))</f>
        <v>0</v>
      </c>
      <c r="K45" s="0" t="str">
        <f aca="false">IF(OR(MAX(E45:J45)&lt;Rules!$H$1,MAX(E45:J45)-LARGE(E45:J45,2)&lt;Rules!$H$2),"No label",INDEX($E$1:$J$1,MATCH(MAX(E45:J45),E45:J45,0)))</f>
        <v>No label</v>
      </c>
      <c r="L45" s="0" t="n">
        <f aca="false">SUMPRODUCT((Rules!$A$2:$A$60=L$1)*Rules!$C$2:$C$60*ISNUMBER(SEARCH(Rules!$E$2:$E$60,$D45)))</f>
        <v>0</v>
      </c>
      <c r="M45" s="0" t="n">
        <f aca="false">SUMPRODUCT((Rules!$A$2:$A$60=M$1)*Rules!$C$2:$C$60*ISNUMBER(SEARCH(Rules!$E$2:$E$60,$D45)))</f>
        <v>0</v>
      </c>
      <c r="N45" s="0" t="n">
        <f aca="false">SUMPRODUCT((Rules!$A$2:$A$60=N$1)*Rules!$C$2:$C$60*ISNUMBER(SEARCH(Rules!$E$2:$E$60,$D45)))</f>
        <v>0</v>
      </c>
      <c r="O45" s="0" t="n">
        <f aca="false">SUMPRODUCT((Rules!$A$2:$A$60=O$1)*Rules!$C$2:$C$60*ISNUMBER(SEARCH(Rules!$E$2:$E$60,$D45)))</f>
        <v>2</v>
      </c>
      <c r="P45" s="0" t="n">
        <f aca="false">SUMPRODUCT((Rules!$A$2:$A$60=P$1)*Rules!$C$2:$C$60*ISNUMBER(SEARCH(Rules!$E$2:$E$60,$D45)))</f>
        <v>0</v>
      </c>
      <c r="Q45" s="0" t="n">
        <f aca="false">SUMPRODUCT((Rules!$A$2:$A$60=Q$1)*Rules!$C$2:$C$60*ISNUMBER(SEARCH(Rules!$E$2:$E$60,$D45)))</f>
        <v>0</v>
      </c>
      <c r="R45" s="0" t="str">
        <f aca="false">IF(OR(MAX(L45:Q45)&lt;Rules!$H$1,MAX(L45:Q45)-LARGE(L45:Q45,2)&lt;Rules!$H$2),"No label",INDEX($L$1:$Q$1,MATCH(MAX(L45:Q45),L45:Q45,0)))</f>
        <v>No label</v>
      </c>
      <c r="S45" s="0" t="n">
        <f aca="false">SUMPRODUCT(ISNUMBER(SEARCH(" "&amp;Terms!$A$3:$A$821&amp;" ",$D45))*Terms!B$3:B$821)+Terms!B$2</f>
        <v>-5.28921463544947</v>
      </c>
      <c r="T45" s="0" t="n">
        <f aca="false">SUMPRODUCT(ISNUMBER(SEARCH(" "&amp;Terms!$A$3:$A$821&amp;" ",$D45))*Terms!C$3:C$821)+Terms!C$2</f>
        <v>-5.07035846205646</v>
      </c>
      <c r="U45" s="0" t="n">
        <f aca="false">SUMPRODUCT(ISNUMBER(SEARCH(" "&amp;Terms!$A$3:$A$821&amp;" ",$D45))*Terms!D$3:D$821)+Terms!D$2</f>
        <v>-0.965989510493817</v>
      </c>
      <c r="V45" s="0" t="n">
        <f aca="false">SUMPRODUCT(ISNUMBER(SEARCH(" "&amp;Terms!$A$3:$A$821&amp;" ",$D45))*Terms!E$3:E$821)+Terms!E$2</f>
        <v>16.5006461068438</v>
      </c>
      <c r="W45" s="0" t="n">
        <f aca="false">SUMPRODUCT(ISNUMBER(SEARCH(" "&amp;Terms!$A$3:$A$821&amp;" ",$D45))*Terms!F$3:F$821)+Terms!F$2</f>
        <v>0.489209723491067</v>
      </c>
      <c r="X45" s="0" t="n">
        <f aca="false">SUMPRODUCT(ISNUMBER(SEARCH(" "&amp;Terms!$A$3:$A$821&amp;" ",$D45))*Terms!G$3:G$821)+Terms!G$2</f>
        <v>-5.66429322233501</v>
      </c>
      <c r="Y45" s="0" t="str">
        <f aca="false">INDEX($S$1:$X$1,MATCH(MAX(S45:X45),S45:X45,0))</f>
        <v>Fees &amp; Charges</v>
      </c>
      <c r="Z45" s="0" t="s">
        <v>2607</v>
      </c>
    </row>
    <row r="46" customFormat="false" ht="15" hidden="false" customHeight="false" outlineLevel="0" collapsed="false">
      <c r="A46" s="0" t="str">
        <f aca="false">Complaints!A46</f>
        <v>C0045</v>
      </c>
      <c r="B46" s="0" t="str">
        <f aca="false">Complaints!B46</f>
        <v>I am writing to complain. The fraud team closed my case without investigating properly.</v>
      </c>
      <c r="C46" s="0" t="str">
        <f aca="false">Complaints!C46</f>
        <v>Fraud &amp; Scams</v>
      </c>
      <c r="D46" s="0" t="str">
        <f aca="false">" "&amp;TRIM(SUBSTITUTE(SUBSTITUTE(SUBSTITUTE(SUBSTITUTE(SUBSTITUTE(SUBSTITUTE(SUBSTITUTE(SUBSTITUTE(SUBSTITUTE(SUBSTITUTE(SUBSTITUTE(SUBSTITUTE(SUBSTITUTE(SUBSTITUTE(SUBSTITUTE(SUBSTITUTE(LOWER(B46),"."," "),","," "),"'"," "),"’"," "),"!"," "),"?"," "),";"," "),":"," "),"-"," "),"("," "),")"," "),"""", " "),"£"," "),"&amp;"," "),"/"," "),"%"," "))&amp;" "</f>
        <v> i am writing to complain the fraud team closed my case without investigating properly </v>
      </c>
      <c r="E46" s="0" t="n">
        <f aca="false">SUMPRODUCT((Rules!$A$2:$A$60=E$1)*Rules!$C$2:$C$60*ISNUMBER(SEARCH(Rules!$D$2:$D$60,$D46)))</f>
        <v>3</v>
      </c>
      <c r="F46" s="0" t="n">
        <f aca="false">SUMPRODUCT((Rules!$A$2:$A$60=F$1)*Rules!$C$2:$C$60*ISNUMBER(SEARCH(Rules!$D$2:$D$60,$D46)))</f>
        <v>0</v>
      </c>
      <c r="G46" s="0" t="n">
        <f aca="false">SUMPRODUCT((Rules!$A$2:$A$60=G$1)*Rules!$C$2:$C$60*ISNUMBER(SEARCH(Rules!$D$2:$D$60,$D46)))</f>
        <v>0</v>
      </c>
      <c r="H46" s="0" t="n">
        <f aca="false">SUMPRODUCT((Rules!$A$2:$A$60=H$1)*Rules!$C$2:$C$60*ISNUMBER(SEARCH(Rules!$D$2:$D$60,$D46)))</f>
        <v>0</v>
      </c>
      <c r="I46" s="0" t="n">
        <f aca="false">SUMPRODUCT((Rules!$A$2:$A$60=I$1)*Rules!$C$2:$C$60*ISNUMBER(SEARCH(Rules!$D$2:$D$60,$D46)))</f>
        <v>0</v>
      </c>
      <c r="J46" s="0" t="n">
        <f aca="false">SUMPRODUCT((Rules!$A$2:$A$60=J$1)*Rules!$C$2:$C$60*ISNUMBER(SEARCH(Rules!$D$2:$D$60,$D46)))</f>
        <v>0</v>
      </c>
      <c r="K46" s="0" t="str">
        <f aca="false">IF(OR(MAX(E46:J46)&lt;Rules!$H$1,MAX(E46:J46)-LARGE(E46:J46,2)&lt;Rules!$H$2),"No label",INDEX($E$1:$J$1,MATCH(MAX(E46:J46),E46:J46,0)))</f>
        <v>Fraud &amp; Scams</v>
      </c>
      <c r="L46" s="0" t="n">
        <f aca="false">SUMPRODUCT((Rules!$A$2:$A$60=L$1)*Rules!$C$2:$C$60*ISNUMBER(SEARCH(Rules!$E$2:$E$60,$D46)))</f>
        <v>3</v>
      </c>
      <c r="M46" s="0" t="n">
        <f aca="false">SUMPRODUCT((Rules!$A$2:$A$60=M$1)*Rules!$C$2:$C$60*ISNUMBER(SEARCH(Rules!$E$2:$E$60,$D46)))</f>
        <v>0</v>
      </c>
      <c r="N46" s="0" t="n">
        <f aca="false">SUMPRODUCT((Rules!$A$2:$A$60=N$1)*Rules!$C$2:$C$60*ISNUMBER(SEARCH(Rules!$E$2:$E$60,$D46)))</f>
        <v>0</v>
      </c>
      <c r="O46" s="0" t="n">
        <f aca="false">SUMPRODUCT((Rules!$A$2:$A$60=O$1)*Rules!$C$2:$C$60*ISNUMBER(SEARCH(Rules!$E$2:$E$60,$D46)))</f>
        <v>0</v>
      </c>
      <c r="P46" s="0" t="n">
        <f aca="false">SUMPRODUCT((Rules!$A$2:$A$60=P$1)*Rules!$C$2:$C$60*ISNUMBER(SEARCH(Rules!$E$2:$E$60,$D46)))</f>
        <v>0</v>
      </c>
      <c r="Q46" s="0" t="n">
        <f aca="false">SUMPRODUCT((Rules!$A$2:$A$60=Q$1)*Rules!$C$2:$C$60*ISNUMBER(SEARCH(Rules!$E$2:$E$60,$D46)))</f>
        <v>0</v>
      </c>
      <c r="R46" s="0" t="str">
        <f aca="false">IF(OR(MAX(L46:Q46)&lt;Rules!$H$1,MAX(L46:Q46)-LARGE(L46:Q46,2)&lt;Rules!$H$2),"No label",INDEX($L$1:$Q$1,MATCH(MAX(L46:Q46),L46:Q46,0)))</f>
        <v>Fraud &amp; Scams</v>
      </c>
      <c r="S46" s="0" t="n">
        <f aca="false">SUMPRODUCT(ISNUMBER(SEARCH(" "&amp;Terms!$A$3:$A$821&amp;" ",$D46))*Terms!B$3:B$821)+Terms!B$2</f>
        <v>-3.68702627346651</v>
      </c>
      <c r="T46" s="0" t="n">
        <f aca="false">SUMPRODUCT(ISNUMBER(SEARCH(" "&amp;Terms!$A$3:$A$821&amp;" ",$D46))*Terms!C$3:C$821)+Terms!C$2</f>
        <v>0.47808924711245</v>
      </c>
      <c r="U46" s="0" t="n">
        <f aca="false">SUMPRODUCT(ISNUMBER(SEARCH(" "&amp;Terms!$A$3:$A$821&amp;" ",$D46))*Terms!D$3:D$821)+Terms!D$2</f>
        <v>-0.835806876104386</v>
      </c>
      <c r="V46" s="0" t="n">
        <f aca="false">SUMPRODUCT(ISNUMBER(SEARCH(" "&amp;Terms!$A$3:$A$821&amp;" ",$D46))*Terms!E$3:E$821)+Terms!E$2</f>
        <v>-4.3696911666543</v>
      </c>
      <c r="W46" s="0" t="n">
        <f aca="false">SUMPRODUCT(ISNUMBER(SEARCH(" "&amp;Terms!$A$3:$A$821&amp;" ",$D46))*Terms!F$3:F$821)+Terms!F$2</f>
        <v>10.6533503234285</v>
      </c>
      <c r="X46" s="0" t="n">
        <f aca="false">SUMPRODUCT(ISNUMBER(SEARCH(" "&amp;Terms!$A$3:$A$821&amp;" ",$D46))*Terms!G$3:G$821)+Terms!G$2</f>
        <v>-2.23891525431562</v>
      </c>
      <c r="Y46" s="0" t="str">
        <f aca="false">INDEX($S$1:$X$1,MATCH(MAX(S46:X46),S46:X46,0))</f>
        <v>Fraud &amp; Scams</v>
      </c>
      <c r="Z46" s="0" t="s">
        <v>2607</v>
      </c>
    </row>
    <row r="47" customFormat="false" ht="15" hidden="false" customHeight="false" outlineLevel="0" collapsed="false">
      <c r="A47" s="0" t="str">
        <f aca="false">Complaints!A47</f>
        <v>C0046</v>
      </c>
      <c r="B47" s="0" t="str">
        <f aca="false">Complaints!B47</f>
        <v>This is the second time I have raised this. I was hit with a penalty charge for a payment I made on time. Also, you promised the money within three working days and it is still outstanding. Please escalate this.</v>
      </c>
      <c r="C47" s="0" t="str">
        <f aca="false">Complaints!C47</f>
        <v>Fees &amp; Charges</v>
      </c>
      <c r="D47" s="0" t="str">
        <f aca="false">" "&amp;TRIM(SUBSTITUTE(SUBSTITUTE(SUBSTITUTE(SUBSTITUTE(SUBSTITUTE(SUBSTITUTE(SUBSTITUTE(SUBSTITUTE(SUBSTITUTE(SUBSTITUTE(SUBSTITUTE(SUBSTITUTE(SUBSTITUTE(SUBSTITUTE(SUBSTITUTE(SUBSTITUTE(LOWER(B47),"."," "),","," "),"'"," "),"’"," "),"!"," "),"?"," "),";"," "),":"," "),"-"," "),"("," "),")"," "),"""", " "),"£"," "),"&amp;"," "),"/"," "),"%"," "))&amp;" "</f>
        <v> this is the second time i have raised this i was hit with a penalty charge for a payment i made on time also you promised the money within three working days and it is still outstanding please escalate this </v>
      </c>
      <c r="E47" s="0" t="n">
        <f aca="false">SUMPRODUCT((Rules!$A$2:$A$60=E$1)*Rules!$C$2:$C$60*ISNUMBER(SEARCH(Rules!$D$2:$D$60,$D47)))</f>
        <v>0</v>
      </c>
      <c r="F47" s="0" t="n">
        <f aca="false">SUMPRODUCT((Rules!$A$2:$A$60=F$1)*Rules!$C$2:$C$60*ISNUMBER(SEARCH(Rules!$D$2:$D$60,$D47)))</f>
        <v>1</v>
      </c>
      <c r="G47" s="0" t="n">
        <f aca="false">SUMPRODUCT((Rules!$A$2:$A$60=G$1)*Rules!$C$2:$C$60*ISNUMBER(SEARCH(Rules!$D$2:$D$60,$D47)))</f>
        <v>0</v>
      </c>
      <c r="H47" s="0" t="n">
        <f aca="false">SUMPRODUCT((Rules!$A$2:$A$60=H$1)*Rules!$C$2:$C$60*ISNUMBER(SEARCH(Rules!$D$2:$D$60,$D47)))</f>
        <v>4</v>
      </c>
      <c r="I47" s="0" t="n">
        <f aca="false">SUMPRODUCT((Rules!$A$2:$A$60=I$1)*Rules!$C$2:$C$60*ISNUMBER(SEARCH(Rules!$D$2:$D$60,$D47)))</f>
        <v>2</v>
      </c>
      <c r="J47" s="0" t="n">
        <f aca="false">SUMPRODUCT((Rules!$A$2:$A$60=J$1)*Rules!$C$2:$C$60*ISNUMBER(SEARCH(Rules!$D$2:$D$60,$D47)))</f>
        <v>0</v>
      </c>
      <c r="K47" s="0" t="str">
        <f aca="false">IF(OR(MAX(E47:J47)&lt;Rules!$H$1,MAX(E47:J47)-LARGE(E47:J47,2)&lt;Rules!$H$2),"No label",INDEX($E$1:$J$1,MATCH(MAX(E47:J47),E47:J47,0)))</f>
        <v>Fees &amp; Charges</v>
      </c>
      <c r="L47" s="0" t="n">
        <f aca="false">SUMPRODUCT((Rules!$A$2:$A$60=L$1)*Rules!$C$2:$C$60*ISNUMBER(SEARCH(Rules!$E$2:$E$60,$D47)))</f>
        <v>0</v>
      </c>
      <c r="M47" s="0" t="n">
        <f aca="false">SUMPRODUCT((Rules!$A$2:$A$60=M$1)*Rules!$C$2:$C$60*ISNUMBER(SEARCH(Rules!$E$2:$E$60,$D47)))</f>
        <v>1</v>
      </c>
      <c r="N47" s="0" t="n">
        <f aca="false">SUMPRODUCT((Rules!$A$2:$A$60=N$1)*Rules!$C$2:$C$60*ISNUMBER(SEARCH(Rules!$E$2:$E$60,$D47)))</f>
        <v>0</v>
      </c>
      <c r="O47" s="0" t="n">
        <f aca="false">SUMPRODUCT((Rules!$A$2:$A$60=O$1)*Rules!$C$2:$C$60*ISNUMBER(SEARCH(Rules!$E$2:$E$60,$D47)))</f>
        <v>6</v>
      </c>
      <c r="P47" s="0" t="n">
        <f aca="false">SUMPRODUCT((Rules!$A$2:$A$60=P$1)*Rules!$C$2:$C$60*ISNUMBER(SEARCH(Rules!$E$2:$E$60,$D47)))</f>
        <v>2</v>
      </c>
      <c r="Q47" s="0" t="n">
        <f aca="false">SUMPRODUCT((Rules!$A$2:$A$60=Q$1)*Rules!$C$2:$C$60*ISNUMBER(SEARCH(Rules!$E$2:$E$60,$D47)))</f>
        <v>0</v>
      </c>
      <c r="R47" s="0" t="str">
        <f aca="false">IF(OR(MAX(L47:Q47)&lt;Rules!$H$1,MAX(L47:Q47)-LARGE(L47:Q47,2)&lt;Rules!$H$2),"No label",INDEX($L$1:$Q$1,MATCH(MAX(L47:Q47),L47:Q47,0)))</f>
        <v>Fees &amp; Charges</v>
      </c>
      <c r="S47" s="0" t="n">
        <f aca="false">SUMPRODUCT(ISNUMBER(SEARCH(" "&amp;Terms!$A$3:$A$821&amp;" ",$D47))*Terms!B$3:B$821)+Terms!B$2</f>
        <v>-4.27406281417263</v>
      </c>
      <c r="T47" s="0" t="n">
        <f aca="false">SUMPRODUCT(ISNUMBER(SEARCH(" "&amp;Terms!$A$3:$A$821&amp;" ",$D47))*Terms!C$3:C$821)+Terms!C$2</f>
        <v>-2.18846294716771</v>
      </c>
      <c r="U47" s="0" t="n">
        <f aca="false">SUMPRODUCT(ISNUMBER(SEARCH(" "&amp;Terms!$A$3:$A$821&amp;" ",$D47))*Terms!D$3:D$821)+Terms!D$2</f>
        <v>5.0679297764639</v>
      </c>
      <c r="V47" s="0" t="n">
        <f aca="false">SUMPRODUCT(ISNUMBER(SEARCH(" "&amp;Terms!$A$3:$A$821&amp;" ",$D47))*Terms!E$3:E$821)+Terms!E$2</f>
        <v>7.52969555408039</v>
      </c>
      <c r="W47" s="0" t="n">
        <f aca="false">SUMPRODUCT(ISNUMBER(SEARCH(" "&amp;Terms!$A$3:$A$821&amp;" ",$D47))*Terms!F$3:F$821)+Terms!F$2</f>
        <v>-2.22543593543473</v>
      </c>
      <c r="X47" s="0" t="n">
        <f aca="false">SUMPRODUCT(ISNUMBER(SEARCH(" "&amp;Terms!$A$3:$A$821&amp;" ",$D47))*Terms!G$3:G$821)+Terms!G$2</f>
        <v>-3.90966363376915</v>
      </c>
      <c r="Y47" s="0" t="str">
        <f aca="false">INDEX($S$1:$X$1,MATCH(MAX(S47:X47),S47:X47,0))</f>
        <v>Fees &amp; Charges</v>
      </c>
      <c r="Z47" s="0" t="s">
        <v>2607</v>
      </c>
    </row>
    <row r="48" customFormat="false" ht="15" hidden="false" customHeight="false" outlineLevel="0" collapsed="false">
      <c r="A48" s="0" t="str">
        <f aca="false">Complaints!A48</f>
        <v>C0047</v>
      </c>
      <c r="B48" s="0" t="str">
        <f aca="false">Complaints!B48</f>
        <v>Frankly, The complaints handler was unhelpful and talked over me. There was also a fee involved.</v>
      </c>
      <c r="C48" s="0" t="str">
        <f aca="false">Complaints!C48</f>
        <v>Customer Service</v>
      </c>
      <c r="D48" s="0" t="str">
        <f aca="false">" "&amp;TRIM(SUBSTITUTE(SUBSTITUTE(SUBSTITUTE(SUBSTITUTE(SUBSTITUTE(SUBSTITUTE(SUBSTITUTE(SUBSTITUTE(SUBSTITUTE(SUBSTITUTE(SUBSTITUTE(SUBSTITUTE(SUBSTITUTE(SUBSTITUTE(SUBSTITUTE(SUBSTITUTE(LOWER(B48),"."," "),","," "),"'"," "),"’"," "),"!"," "),"?"," "),";"," "),":"," "),"-"," "),"("," "),")"," "),"""", " "),"£"," "),"&amp;"," "),"/"," "),"%"," "))&amp;" "</f>
        <v> frankly the complaints handler was unhelpful and talked over me there was also a fee involved </v>
      </c>
      <c r="E48" s="0" t="n">
        <f aca="false">SUMPRODUCT((Rules!$A$2:$A$60=E$1)*Rules!$C$2:$C$60*ISNUMBER(SEARCH(Rules!$D$2:$D$60,$D48)))</f>
        <v>0</v>
      </c>
      <c r="F48" s="0" t="n">
        <f aca="false">SUMPRODUCT((Rules!$A$2:$A$60=F$1)*Rules!$C$2:$C$60*ISNUMBER(SEARCH(Rules!$D$2:$D$60,$D48)))</f>
        <v>0</v>
      </c>
      <c r="G48" s="0" t="n">
        <f aca="false">SUMPRODUCT((Rules!$A$2:$A$60=G$1)*Rules!$C$2:$C$60*ISNUMBER(SEARCH(Rules!$D$2:$D$60,$D48)))</f>
        <v>0</v>
      </c>
      <c r="H48" s="0" t="n">
        <f aca="false">SUMPRODUCT((Rules!$A$2:$A$60=H$1)*Rules!$C$2:$C$60*ISNUMBER(SEARCH(Rules!$D$2:$D$60,$D48)))</f>
        <v>2</v>
      </c>
      <c r="I48" s="0" t="n">
        <f aca="false">SUMPRODUCT((Rules!$A$2:$A$60=I$1)*Rules!$C$2:$C$60*ISNUMBER(SEARCH(Rules!$D$2:$D$60,$D48)))</f>
        <v>0</v>
      </c>
      <c r="J48" s="0" t="n">
        <f aca="false">SUMPRODUCT((Rules!$A$2:$A$60=J$1)*Rules!$C$2:$C$60*ISNUMBER(SEARCH(Rules!$D$2:$D$60,$D48)))</f>
        <v>2</v>
      </c>
      <c r="K48" s="0" t="str">
        <f aca="false">IF(OR(MAX(E48:J48)&lt;Rules!$H$1,MAX(E48:J48)-LARGE(E48:J48,2)&lt;Rules!$H$2),"No label",INDEX($E$1:$J$1,MATCH(MAX(E48:J48),E48:J48,0)))</f>
        <v>No label</v>
      </c>
      <c r="L48" s="0" t="n">
        <f aca="false">SUMPRODUCT((Rules!$A$2:$A$60=L$1)*Rules!$C$2:$C$60*ISNUMBER(SEARCH(Rules!$E$2:$E$60,$D48)))</f>
        <v>0</v>
      </c>
      <c r="M48" s="0" t="n">
        <f aca="false">SUMPRODUCT((Rules!$A$2:$A$60=M$1)*Rules!$C$2:$C$60*ISNUMBER(SEARCH(Rules!$E$2:$E$60,$D48)))</f>
        <v>0</v>
      </c>
      <c r="N48" s="0" t="n">
        <f aca="false">SUMPRODUCT((Rules!$A$2:$A$60=N$1)*Rules!$C$2:$C$60*ISNUMBER(SEARCH(Rules!$E$2:$E$60,$D48)))</f>
        <v>0</v>
      </c>
      <c r="O48" s="0" t="n">
        <f aca="false">SUMPRODUCT((Rules!$A$2:$A$60=O$1)*Rules!$C$2:$C$60*ISNUMBER(SEARCH(Rules!$E$2:$E$60,$D48)))</f>
        <v>2</v>
      </c>
      <c r="P48" s="0" t="n">
        <f aca="false">SUMPRODUCT((Rules!$A$2:$A$60=P$1)*Rules!$C$2:$C$60*ISNUMBER(SEARCH(Rules!$E$2:$E$60,$D48)))</f>
        <v>0</v>
      </c>
      <c r="Q48" s="0" t="n">
        <f aca="false">SUMPRODUCT((Rules!$A$2:$A$60=Q$1)*Rules!$C$2:$C$60*ISNUMBER(SEARCH(Rules!$E$2:$E$60,$D48)))</f>
        <v>2</v>
      </c>
      <c r="R48" s="0" t="str">
        <f aca="false">IF(OR(MAX(L48:Q48)&lt;Rules!$H$1,MAX(L48:Q48)-LARGE(L48:Q48,2)&lt;Rules!$H$2),"No label",INDEX($L$1:$Q$1,MATCH(MAX(L48:Q48),L48:Q48,0)))</f>
        <v>No label</v>
      </c>
      <c r="S48" s="0" t="n">
        <f aca="false">SUMPRODUCT(ISNUMBER(SEARCH(" "&amp;Terms!$A$3:$A$821&amp;" ",$D48))*Terms!B$3:B$821)+Terms!B$2</f>
        <v>-0.826563599828924</v>
      </c>
      <c r="T48" s="0" t="n">
        <f aca="false">SUMPRODUCT(ISNUMBER(SEARCH(" "&amp;Terms!$A$3:$A$821&amp;" ",$D48))*Terms!C$3:C$821)+Terms!C$2</f>
        <v>6.63788132722441</v>
      </c>
      <c r="U48" s="0" t="n">
        <f aca="false">SUMPRODUCT(ISNUMBER(SEARCH(" "&amp;Terms!$A$3:$A$821&amp;" ",$D48))*Terms!D$3:D$821)+Terms!D$2</f>
        <v>-4.01711981109547</v>
      </c>
      <c r="V48" s="0" t="n">
        <f aca="false">SUMPRODUCT(ISNUMBER(SEARCH(" "&amp;Terms!$A$3:$A$821&amp;" ",$D48))*Terms!E$3:E$821)+Terms!E$2</f>
        <v>1.53789720968945</v>
      </c>
      <c r="W48" s="0" t="n">
        <f aca="false">SUMPRODUCT(ISNUMBER(SEARCH(" "&amp;Terms!$A$3:$A$821&amp;" ",$D48))*Terms!F$3:F$821)+Terms!F$2</f>
        <v>-2.65501791579069</v>
      </c>
      <c r="X48" s="0" t="n">
        <f aca="false">SUMPRODUCT(ISNUMBER(SEARCH(" "&amp;Terms!$A$3:$A$821&amp;" ",$D48))*Terms!G$3:G$821)+Terms!G$2</f>
        <v>-0.677077210198675</v>
      </c>
      <c r="Y48" s="0" t="str">
        <f aca="false">INDEX($S$1:$X$1,MATCH(MAX(S48:X48),S48:X48,0))</f>
        <v>Customer Service</v>
      </c>
      <c r="Z48" s="0" t="s">
        <v>2607</v>
      </c>
    </row>
    <row r="49" customFormat="false" ht="15" hidden="false" customHeight="false" outlineLevel="0" collapsed="false">
      <c r="A49" s="0" t="str">
        <f aca="false">Complaints!A49</f>
        <v>C0048</v>
      </c>
      <c r="B49" s="0" t="str">
        <f aca="false">Complaints!B49</f>
        <v>I am very unhappy with how this has been handled. I expect compensation.</v>
      </c>
      <c r="C49" s="0" t="str">
        <f aca="false">Complaints!C49</f>
        <v>Account Access</v>
      </c>
      <c r="D49" s="0" t="str">
        <f aca="false">" "&amp;TRIM(SUBSTITUTE(SUBSTITUTE(SUBSTITUTE(SUBSTITUTE(SUBSTITUTE(SUBSTITUTE(SUBSTITUTE(SUBSTITUTE(SUBSTITUTE(SUBSTITUTE(SUBSTITUTE(SUBSTITUTE(SUBSTITUTE(SUBSTITUTE(SUBSTITUTE(SUBSTITUTE(LOWER(B49),"."," "),","," "),"'"," "),"’"," "),"!"," "),"?"," "),";"," "),":"," "),"-"," "),"("," "),")"," "),"""", " "),"£"," "),"&amp;"," "),"/"," "),"%"," "))&amp;" "</f>
        <v> i am very unhappy with how this has been handled i expect compensation </v>
      </c>
      <c r="E49" s="0" t="n">
        <f aca="false">SUMPRODUCT((Rules!$A$2:$A$60=E$1)*Rules!$C$2:$C$60*ISNUMBER(SEARCH(Rules!$D$2:$D$60,$D49)))</f>
        <v>0</v>
      </c>
      <c r="F49" s="0" t="n">
        <f aca="false">SUMPRODUCT((Rules!$A$2:$A$60=F$1)*Rules!$C$2:$C$60*ISNUMBER(SEARCH(Rules!$D$2:$D$60,$D49)))</f>
        <v>0</v>
      </c>
      <c r="G49" s="0" t="n">
        <f aca="false">SUMPRODUCT((Rules!$A$2:$A$60=G$1)*Rules!$C$2:$C$60*ISNUMBER(SEARCH(Rules!$D$2:$D$60,$D49)))</f>
        <v>0</v>
      </c>
      <c r="H49" s="0" t="n">
        <f aca="false">SUMPRODUCT((Rules!$A$2:$A$60=H$1)*Rules!$C$2:$C$60*ISNUMBER(SEARCH(Rules!$D$2:$D$60,$D49)))</f>
        <v>0</v>
      </c>
      <c r="I49" s="0" t="n">
        <f aca="false">SUMPRODUCT((Rules!$A$2:$A$60=I$1)*Rules!$C$2:$C$60*ISNUMBER(SEARCH(Rules!$D$2:$D$60,$D49)))</f>
        <v>0</v>
      </c>
      <c r="J49" s="0" t="n">
        <f aca="false">SUMPRODUCT((Rules!$A$2:$A$60=J$1)*Rules!$C$2:$C$60*ISNUMBER(SEARCH(Rules!$D$2:$D$60,$D49)))</f>
        <v>0</v>
      </c>
      <c r="K49" s="0" t="str">
        <f aca="false">IF(OR(MAX(E49:J49)&lt;Rules!$H$1,MAX(E49:J49)-LARGE(E49:J49,2)&lt;Rules!$H$2),"No label",INDEX($E$1:$J$1,MATCH(MAX(E49:J49),E49:J49,0)))</f>
        <v>No label</v>
      </c>
      <c r="L49" s="0" t="n">
        <f aca="false">SUMPRODUCT((Rules!$A$2:$A$60=L$1)*Rules!$C$2:$C$60*ISNUMBER(SEARCH(Rules!$E$2:$E$60,$D49)))</f>
        <v>0</v>
      </c>
      <c r="M49" s="0" t="n">
        <f aca="false">SUMPRODUCT((Rules!$A$2:$A$60=M$1)*Rules!$C$2:$C$60*ISNUMBER(SEARCH(Rules!$E$2:$E$60,$D49)))</f>
        <v>0</v>
      </c>
      <c r="N49" s="0" t="n">
        <f aca="false">SUMPRODUCT((Rules!$A$2:$A$60=N$1)*Rules!$C$2:$C$60*ISNUMBER(SEARCH(Rules!$E$2:$E$60,$D49)))</f>
        <v>0</v>
      </c>
      <c r="O49" s="0" t="n">
        <f aca="false">SUMPRODUCT((Rules!$A$2:$A$60=O$1)*Rules!$C$2:$C$60*ISNUMBER(SEARCH(Rules!$E$2:$E$60,$D49)))</f>
        <v>0</v>
      </c>
      <c r="P49" s="0" t="n">
        <f aca="false">SUMPRODUCT((Rules!$A$2:$A$60=P$1)*Rules!$C$2:$C$60*ISNUMBER(SEARCH(Rules!$E$2:$E$60,$D49)))</f>
        <v>0</v>
      </c>
      <c r="Q49" s="0" t="n">
        <f aca="false">SUMPRODUCT((Rules!$A$2:$A$60=Q$1)*Rules!$C$2:$C$60*ISNUMBER(SEARCH(Rules!$E$2:$E$60,$D49)))</f>
        <v>0</v>
      </c>
      <c r="R49" s="0" t="str">
        <f aca="false">IF(OR(MAX(L49:Q49)&lt;Rules!$H$1,MAX(L49:Q49)-LARGE(L49:Q49,2)&lt;Rules!$H$2),"No label",INDEX($L$1:$Q$1,MATCH(MAX(L49:Q49),L49:Q49,0)))</f>
        <v>No label</v>
      </c>
      <c r="S49" s="0" t="n">
        <f aca="false">SUMPRODUCT(ISNUMBER(SEARCH(" "&amp;Terms!$A$3:$A$821&amp;" ",$D49))*Terms!B$3:B$821)+Terms!B$2</f>
        <v>5.42289788447638</v>
      </c>
      <c r="T49" s="0" t="n">
        <f aca="false">SUMPRODUCT(ISNUMBER(SEARCH(" "&amp;Terms!$A$3:$A$821&amp;" ",$D49))*Terms!C$3:C$821)+Terms!C$2</f>
        <v>-2.23075369203014</v>
      </c>
      <c r="U49" s="0" t="n">
        <f aca="false">SUMPRODUCT(ISNUMBER(SEARCH(" "&amp;Terms!$A$3:$A$821&amp;" ",$D49))*Terms!D$3:D$821)+Terms!D$2</f>
        <v>0.655777280574913</v>
      </c>
      <c r="V49" s="0" t="n">
        <f aca="false">SUMPRODUCT(ISNUMBER(SEARCH(" "&amp;Terms!$A$3:$A$821&amp;" ",$D49))*Terms!E$3:E$821)+Terms!E$2</f>
        <v>-0.410706093625315</v>
      </c>
      <c r="W49" s="0" t="n">
        <f aca="false">SUMPRODUCT(ISNUMBER(SEARCH(" "&amp;Terms!$A$3:$A$821&amp;" ",$D49))*Terms!F$3:F$821)+Terms!F$2</f>
        <v>-0.438972799165492</v>
      </c>
      <c r="X49" s="0" t="n">
        <f aca="false">SUMPRODUCT(ISNUMBER(SEARCH(" "&amp;Terms!$A$3:$A$821&amp;" ",$D49))*Terms!G$3:G$821)+Terms!G$2</f>
        <v>-2.99824258023025</v>
      </c>
      <c r="Y49" s="0" t="str">
        <f aca="false">INDEX($S$1:$X$1,MATCH(MAX(S49:X49),S49:X49,0))</f>
        <v>Account Access</v>
      </c>
      <c r="Z49" s="0" t="s">
        <v>2607</v>
      </c>
    </row>
    <row r="50" customFormat="false" ht="15" hidden="false" customHeight="false" outlineLevel="0" collapsed="false">
      <c r="A50" s="0" t="str">
        <f aca="false">Complaints!A50</f>
        <v>C0049</v>
      </c>
      <c r="B50" s="0" t="str">
        <f aca="false">Complaints!B50</f>
        <v>Hello, My account was frozen and I cannot get in to move money. Also, the paperwork was submitted a month ago and I am still waiting.</v>
      </c>
      <c r="C50" s="0" t="str">
        <f aca="false">Complaints!C50</f>
        <v>Account Access</v>
      </c>
      <c r="D50" s="0" t="str">
        <f aca="false">" "&amp;TRIM(SUBSTITUTE(SUBSTITUTE(SUBSTITUTE(SUBSTITUTE(SUBSTITUTE(SUBSTITUTE(SUBSTITUTE(SUBSTITUTE(SUBSTITUTE(SUBSTITUTE(SUBSTITUTE(SUBSTITUTE(SUBSTITUTE(SUBSTITUTE(SUBSTITUTE(SUBSTITUTE(LOWER(B50),"."," "),","," "),"'"," "),"’"," "),"!"," "),"?"," "),";"," "),":"," "),"-"," "),"("," "),")"," "),"""", " "),"£"," "),"&amp;"," "),"/"," "),"%"," "))&amp;" "</f>
        <v> hello my account was frozen and i cannot get in to move money also the paperwork was submitted a month ago and i am still waiting </v>
      </c>
      <c r="E50" s="0" t="n">
        <f aca="false">SUMPRODUCT((Rules!$A$2:$A$60=E$1)*Rules!$C$2:$C$60*ISNUMBER(SEARCH(Rules!$D$2:$D$60,$D50)))</f>
        <v>0</v>
      </c>
      <c r="F50" s="0" t="n">
        <f aca="false">SUMPRODUCT((Rules!$A$2:$A$60=F$1)*Rules!$C$2:$C$60*ISNUMBER(SEARCH(Rules!$D$2:$D$60,$D50)))</f>
        <v>0</v>
      </c>
      <c r="G50" s="0" t="n">
        <f aca="false">SUMPRODUCT((Rules!$A$2:$A$60=G$1)*Rules!$C$2:$C$60*ISNUMBER(SEARCH(Rules!$D$2:$D$60,$D50)))</f>
        <v>0</v>
      </c>
      <c r="H50" s="0" t="n">
        <f aca="false">SUMPRODUCT((Rules!$A$2:$A$60=H$1)*Rules!$C$2:$C$60*ISNUMBER(SEARCH(Rules!$D$2:$D$60,$D50)))</f>
        <v>0</v>
      </c>
      <c r="I50" s="0" t="n">
        <f aca="false">SUMPRODUCT((Rules!$A$2:$A$60=I$1)*Rules!$C$2:$C$60*ISNUMBER(SEARCH(Rules!$D$2:$D$60,$D50)))</f>
        <v>2</v>
      </c>
      <c r="J50" s="0" t="n">
        <f aca="false">SUMPRODUCT((Rules!$A$2:$A$60=J$1)*Rules!$C$2:$C$60*ISNUMBER(SEARCH(Rules!$D$2:$D$60,$D50)))</f>
        <v>0</v>
      </c>
      <c r="K50" s="0" t="str">
        <f aca="false">IF(OR(MAX(E50:J50)&lt;Rules!$H$1,MAX(E50:J50)-LARGE(E50:J50,2)&lt;Rules!$H$2),"No label",INDEX($E$1:$J$1,MATCH(MAX(E50:J50),E50:J50,0)))</f>
        <v>No label</v>
      </c>
      <c r="L50" s="0" t="n">
        <f aca="false">SUMPRODUCT((Rules!$A$2:$A$60=L$1)*Rules!$C$2:$C$60*ISNUMBER(SEARCH(Rules!$E$2:$E$60,$D50)))</f>
        <v>0</v>
      </c>
      <c r="M50" s="0" t="n">
        <f aca="false">SUMPRODUCT((Rules!$A$2:$A$60=M$1)*Rules!$C$2:$C$60*ISNUMBER(SEARCH(Rules!$E$2:$E$60,$D50)))</f>
        <v>0</v>
      </c>
      <c r="N50" s="0" t="n">
        <f aca="false">SUMPRODUCT((Rules!$A$2:$A$60=N$1)*Rules!$C$2:$C$60*ISNUMBER(SEARCH(Rules!$E$2:$E$60,$D50)))</f>
        <v>0</v>
      </c>
      <c r="O50" s="0" t="n">
        <f aca="false">SUMPRODUCT((Rules!$A$2:$A$60=O$1)*Rules!$C$2:$C$60*ISNUMBER(SEARCH(Rules!$E$2:$E$60,$D50)))</f>
        <v>0</v>
      </c>
      <c r="P50" s="0" t="n">
        <f aca="false">SUMPRODUCT((Rules!$A$2:$A$60=P$1)*Rules!$C$2:$C$60*ISNUMBER(SEARCH(Rules!$E$2:$E$60,$D50)))</f>
        <v>2</v>
      </c>
      <c r="Q50" s="0" t="n">
        <f aca="false">SUMPRODUCT((Rules!$A$2:$A$60=Q$1)*Rules!$C$2:$C$60*ISNUMBER(SEARCH(Rules!$E$2:$E$60,$D50)))</f>
        <v>0</v>
      </c>
      <c r="R50" s="0" t="str">
        <f aca="false">IF(OR(MAX(L50:Q50)&lt;Rules!$H$1,MAX(L50:Q50)-LARGE(L50:Q50,2)&lt;Rules!$H$2),"No label",INDEX($L$1:$Q$1,MATCH(MAX(L50:Q50),L50:Q50,0)))</f>
        <v>No label</v>
      </c>
      <c r="S50" s="0" t="n">
        <f aca="false">SUMPRODUCT(ISNUMBER(SEARCH(" "&amp;Terms!$A$3:$A$821&amp;" ",$D50))*Terms!B$3:B$821)+Terms!B$2</f>
        <v>4.76128599979367</v>
      </c>
      <c r="T50" s="0" t="n">
        <f aca="false">SUMPRODUCT(ISNUMBER(SEARCH(" "&amp;Terms!$A$3:$A$821&amp;" ",$D50))*Terms!C$3:C$821)+Terms!C$2</f>
        <v>-4.05900575697719</v>
      </c>
      <c r="U50" s="0" t="n">
        <f aca="false">SUMPRODUCT(ISNUMBER(SEARCH(" "&amp;Terms!$A$3:$A$821&amp;" ",$D50))*Terms!D$3:D$821)+Terms!D$2</f>
        <v>5.87817215402063</v>
      </c>
      <c r="V50" s="0" t="n">
        <f aca="false">SUMPRODUCT(ISNUMBER(SEARCH(" "&amp;Terms!$A$3:$A$821&amp;" ",$D50))*Terms!E$3:E$821)+Terms!E$2</f>
        <v>-1.73730278822915</v>
      </c>
      <c r="W50" s="0" t="n">
        <f aca="false">SUMPRODUCT(ISNUMBER(SEARCH(" "&amp;Terms!$A$3:$A$821&amp;" ",$D50))*Terms!F$3:F$821)+Terms!F$2</f>
        <v>-2.44195026622491</v>
      </c>
      <c r="X50" s="0" t="n">
        <f aca="false">SUMPRODUCT(ISNUMBER(SEARCH(" "&amp;Terms!$A$3:$A$821&amp;" ",$D50))*Terms!G$3:G$821)+Terms!G$2</f>
        <v>-2.40119934238297</v>
      </c>
      <c r="Y50" s="0" t="str">
        <f aca="false">INDEX($S$1:$X$1,MATCH(MAX(S50:X50),S50:X50,0))</f>
        <v>Delays &amp; Processing</v>
      </c>
      <c r="Z50" s="0" t="s">
        <v>2607</v>
      </c>
    </row>
    <row r="51" customFormat="false" ht="15" hidden="false" customHeight="false" outlineLevel="0" collapsed="false">
      <c r="A51" s="0" t="str">
        <f aca="false">Complaints!A51</f>
        <v>C0050</v>
      </c>
      <c r="B51" s="0" t="str">
        <f aca="false">Complaints!B51</f>
        <v>I have been a customer for years. The app crashes every time I try to open my statements. This is not acceptable.</v>
      </c>
      <c r="C51" s="0" t="str">
        <f aca="false">Complaints!C51</f>
        <v>Account Access</v>
      </c>
      <c r="D51" s="0" t="str">
        <f aca="false">" "&amp;TRIM(SUBSTITUTE(SUBSTITUTE(SUBSTITUTE(SUBSTITUTE(SUBSTITUTE(SUBSTITUTE(SUBSTITUTE(SUBSTITUTE(SUBSTITUTE(SUBSTITUTE(SUBSTITUTE(SUBSTITUTE(SUBSTITUTE(SUBSTITUTE(SUBSTITUTE(SUBSTITUTE(LOWER(B51),"."," "),","," "),"'"," "),"’"," "),"!"," "),"?"," "),";"," "),":"," "),"-"," "),"("," "),")"," "),"""", " "),"£"," "),"&amp;"," "),"/"," "),"%"," "))&amp;" "</f>
        <v> i have been a customer for years the app crashes every time i try to open my statements this is not acceptable </v>
      </c>
      <c r="E51" s="0" t="n">
        <f aca="false">SUMPRODUCT((Rules!$A$2:$A$60=E$1)*Rules!$C$2:$C$60*ISNUMBER(SEARCH(Rules!$D$2:$D$60,$D51)))</f>
        <v>0</v>
      </c>
      <c r="F51" s="0" t="n">
        <f aca="false">SUMPRODUCT((Rules!$A$2:$A$60=F$1)*Rules!$C$2:$C$60*ISNUMBER(SEARCH(Rules!$D$2:$D$60,$D51)))</f>
        <v>0</v>
      </c>
      <c r="G51" s="0" t="n">
        <f aca="false">SUMPRODUCT((Rules!$A$2:$A$60=G$1)*Rules!$C$2:$C$60*ISNUMBER(SEARCH(Rules!$D$2:$D$60,$D51)))</f>
        <v>3</v>
      </c>
      <c r="H51" s="0" t="n">
        <f aca="false">SUMPRODUCT((Rules!$A$2:$A$60=H$1)*Rules!$C$2:$C$60*ISNUMBER(SEARCH(Rules!$D$2:$D$60,$D51)))</f>
        <v>0</v>
      </c>
      <c r="I51" s="0" t="n">
        <f aca="false">SUMPRODUCT((Rules!$A$2:$A$60=I$1)*Rules!$C$2:$C$60*ISNUMBER(SEARCH(Rules!$D$2:$D$60,$D51)))</f>
        <v>0</v>
      </c>
      <c r="J51" s="0" t="n">
        <f aca="false">SUMPRODUCT((Rules!$A$2:$A$60=J$1)*Rules!$C$2:$C$60*ISNUMBER(SEARCH(Rules!$D$2:$D$60,$D51)))</f>
        <v>0</v>
      </c>
      <c r="K51" s="0" t="str">
        <f aca="false">IF(OR(MAX(E51:J51)&lt;Rules!$H$1,MAX(E51:J51)-LARGE(E51:J51,2)&lt;Rules!$H$2),"No label",INDEX($E$1:$J$1,MATCH(MAX(E51:J51),E51:J51,0)))</f>
        <v>Account Access</v>
      </c>
      <c r="L51" s="0" t="n">
        <f aca="false">SUMPRODUCT((Rules!$A$2:$A$60=L$1)*Rules!$C$2:$C$60*ISNUMBER(SEARCH(Rules!$E$2:$E$60,$D51)))</f>
        <v>0</v>
      </c>
      <c r="M51" s="0" t="n">
        <f aca="false">SUMPRODUCT((Rules!$A$2:$A$60=M$1)*Rules!$C$2:$C$60*ISNUMBER(SEARCH(Rules!$E$2:$E$60,$D51)))</f>
        <v>0</v>
      </c>
      <c r="N51" s="0" t="n">
        <f aca="false">SUMPRODUCT((Rules!$A$2:$A$60=N$1)*Rules!$C$2:$C$60*ISNUMBER(SEARCH(Rules!$E$2:$E$60,$D51)))</f>
        <v>4</v>
      </c>
      <c r="O51" s="0" t="n">
        <f aca="false">SUMPRODUCT((Rules!$A$2:$A$60=O$1)*Rules!$C$2:$C$60*ISNUMBER(SEARCH(Rules!$E$2:$E$60,$D51)))</f>
        <v>1</v>
      </c>
      <c r="P51" s="0" t="n">
        <f aca="false">SUMPRODUCT((Rules!$A$2:$A$60=P$1)*Rules!$C$2:$C$60*ISNUMBER(SEARCH(Rules!$E$2:$E$60,$D51)))</f>
        <v>0</v>
      </c>
      <c r="Q51" s="0" t="n">
        <f aca="false">SUMPRODUCT((Rules!$A$2:$A$60=Q$1)*Rules!$C$2:$C$60*ISNUMBER(SEARCH(Rules!$E$2:$E$60,$D51)))</f>
        <v>0</v>
      </c>
      <c r="R51" s="0" t="str">
        <f aca="false">IF(OR(MAX(L51:Q51)&lt;Rules!$H$1,MAX(L51:Q51)-LARGE(L51:Q51,2)&lt;Rules!$H$2),"No label",INDEX($L$1:$Q$1,MATCH(MAX(L51:Q51),L51:Q51,0)))</f>
        <v>Account Access</v>
      </c>
      <c r="S51" s="0" t="n">
        <f aca="false">SUMPRODUCT(ISNUMBER(SEARCH(" "&amp;Terms!$A$3:$A$821&amp;" ",$D51))*Terms!B$3:B$821)+Terms!B$2</f>
        <v>10.5613180981364</v>
      </c>
      <c r="T51" s="0" t="n">
        <f aca="false">SUMPRODUCT(ISNUMBER(SEARCH(" "&amp;Terms!$A$3:$A$821&amp;" ",$D51))*Terms!C$3:C$821)+Terms!C$2</f>
        <v>-0.693992067920749</v>
      </c>
      <c r="U51" s="0" t="n">
        <f aca="false">SUMPRODUCT(ISNUMBER(SEARCH(" "&amp;Terms!$A$3:$A$821&amp;" ",$D51))*Terms!D$3:D$821)+Terms!D$2</f>
        <v>-1.00546194159959</v>
      </c>
      <c r="V51" s="0" t="n">
        <f aca="false">SUMPRODUCT(ISNUMBER(SEARCH(" "&amp;Terms!$A$3:$A$821&amp;" ",$D51))*Terms!E$3:E$821)+Terms!E$2</f>
        <v>-2.21464145398704</v>
      </c>
      <c r="W51" s="0" t="n">
        <f aca="false">SUMPRODUCT(ISNUMBER(SEARCH(" "&amp;Terms!$A$3:$A$821&amp;" ",$D51))*Terms!F$3:F$821)+Terms!F$2</f>
        <v>-3.6962712886866</v>
      </c>
      <c r="X51" s="0" t="n">
        <f aca="false">SUMPRODUCT(ISNUMBER(SEARCH(" "&amp;Terms!$A$3:$A$821&amp;" ",$D51))*Terms!G$3:G$821)+Terms!G$2</f>
        <v>-2.95095134594226</v>
      </c>
      <c r="Y51" s="0" t="str">
        <f aca="false">INDEX($S$1:$X$1,MATCH(MAX(S51:X51),S51:X51,0))</f>
        <v>Account Access</v>
      </c>
      <c r="Z51" s="0" t="s">
        <v>2607</v>
      </c>
    </row>
    <row r="52" customFormat="false" ht="15" hidden="false" customHeight="false" outlineLevel="0" collapsed="false">
      <c r="A52" s="0" t="str">
        <f aca="false">Complaints!A52</f>
        <v>C0051</v>
      </c>
      <c r="B52" s="0" t="str">
        <f aca="false">Complaints!B52</f>
        <v>Hello, Nobody explained the foreign transaction charges before my holiday. Also, the salesperson pushed me into a plan I did not need.</v>
      </c>
      <c r="C52" s="0" t="str">
        <f aca="false">Complaints!C52</f>
        <v>Fees &amp; Charges</v>
      </c>
      <c r="D52" s="0" t="str">
        <f aca="false">" "&amp;TRIM(SUBSTITUTE(SUBSTITUTE(SUBSTITUTE(SUBSTITUTE(SUBSTITUTE(SUBSTITUTE(SUBSTITUTE(SUBSTITUTE(SUBSTITUTE(SUBSTITUTE(SUBSTITUTE(SUBSTITUTE(SUBSTITUTE(SUBSTITUTE(SUBSTITUTE(SUBSTITUTE(LOWER(B52),"."," "),","," "),"'"," "),"’"," "),"!"," "),"?"," "),";"," "),":"," "),"-"," "),"("," "),")"," "),"""", " "),"£"," "),"&amp;"," "),"/"," "),"%"," "))&amp;" "</f>
        <v> hello nobody explained the foreign transaction charges before my holiday also the salesperson pushed me into a plan i did not need </v>
      </c>
      <c r="E52" s="0" t="n">
        <f aca="false">SUMPRODUCT((Rules!$A$2:$A$60=E$1)*Rules!$C$2:$C$60*ISNUMBER(SEARCH(Rules!$D$2:$D$60,$D52)))</f>
        <v>0</v>
      </c>
      <c r="F52" s="0" t="n">
        <f aca="false">SUMPRODUCT((Rules!$A$2:$A$60=F$1)*Rules!$C$2:$C$60*ISNUMBER(SEARCH(Rules!$D$2:$D$60,$D52)))</f>
        <v>2</v>
      </c>
      <c r="G52" s="0" t="n">
        <f aca="false">SUMPRODUCT((Rules!$A$2:$A$60=G$1)*Rules!$C$2:$C$60*ISNUMBER(SEARCH(Rules!$D$2:$D$60,$D52)))</f>
        <v>0</v>
      </c>
      <c r="H52" s="0" t="n">
        <f aca="false">SUMPRODUCT((Rules!$A$2:$A$60=H$1)*Rules!$C$2:$C$60*ISNUMBER(SEARCH(Rules!$D$2:$D$60,$D52)))</f>
        <v>0</v>
      </c>
      <c r="I52" s="0" t="n">
        <f aca="false">SUMPRODUCT((Rules!$A$2:$A$60=I$1)*Rules!$C$2:$C$60*ISNUMBER(SEARCH(Rules!$D$2:$D$60,$D52)))</f>
        <v>0</v>
      </c>
      <c r="J52" s="0" t="n">
        <f aca="false">SUMPRODUCT((Rules!$A$2:$A$60=J$1)*Rules!$C$2:$C$60*ISNUMBER(SEARCH(Rules!$D$2:$D$60,$D52)))</f>
        <v>0</v>
      </c>
      <c r="K52" s="0" t="str">
        <f aca="false">IF(OR(MAX(E52:J52)&lt;Rules!$H$1,MAX(E52:J52)-LARGE(E52:J52,2)&lt;Rules!$H$2),"No label",INDEX($E$1:$J$1,MATCH(MAX(E52:J52),E52:J52,0)))</f>
        <v>No label</v>
      </c>
      <c r="L52" s="0" t="n">
        <f aca="false">SUMPRODUCT((Rules!$A$2:$A$60=L$1)*Rules!$C$2:$C$60*ISNUMBER(SEARCH(Rules!$E$2:$E$60,$D52)))</f>
        <v>0</v>
      </c>
      <c r="M52" s="0" t="n">
        <f aca="false">SUMPRODUCT((Rules!$A$2:$A$60=M$1)*Rules!$C$2:$C$60*ISNUMBER(SEARCH(Rules!$E$2:$E$60,$D52)))</f>
        <v>2</v>
      </c>
      <c r="N52" s="0" t="n">
        <f aca="false">SUMPRODUCT((Rules!$A$2:$A$60=N$1)*Rules!$C$2:$C$60*ISNUMBER(SEARCH(Rules!$E$2:$E$60,$D52)))</f>
        <v>0</v>
      </c>
      <c r="O52" s="0" t="n">
        <f aca="false">SUMPRODUCT((Rules!$A$2:$A$60=O$1)*Rules!$C$2:$C$60*ISNUMBER(SEARCH(Rules!$E$2:$E$60,$D52)))</f>
        <v>4</v>
      </c>
      <c r="P52" s="0" t="n">
        <f aca="false">SUMPRODUCT((Rules!$A$2:$A$60=P$1)*Rules!$C$2:$C$60*ISNUMBER(SEARCH(Rules!$E$2:$E$60,$D52)))</f>
        <v>0</v>
      </c>
      <c r="Q52" s="0" t="n">
        <f aca="false">SUMPRODUCT((Rules!$A$2:$A$60=Q$1)*Rules!$C$2:$C$60*ISNUMBER(SEARCH(Rules!$E$2:$E$60,$D52)))</f>
        <v>0</v>
      </c>
      <c r="R52" s="0" t="str">
        <f aca="false">IF(OR(MAX(L52:Q52)&lt;Rules!$H$1,MAX(L52:Q52)-LARGE(L52:Q52,2)&lt;Rules!$H$2),"No label",INDEX($L$1:$Q$1,MATCH(MAX(L52:Q52),L52:Q52,0)))</f>
        <v>Fees &amp; Charges</v>
      </c>
      <c r="S52" s="0" t="n">
        <f aca="false">SUMPRODUCT(ISNUMBER(SEARCH(" "&amp;Terms!$A$3:$A$821&amp;" ",$D52))*Terms!B$3:B$821)+Terms!B$2</f>
        <v>-3.93348723936338</v>
      </c>
      <c r="T52" s="0" t="n">
        <f aca="false">SUMPRODUCT(ISNUMBER(SEARCH(" "&amp;Terms!$A$3:$A$821&amp;" ",$D52))*Terms!C$3:C$821)+Terms!C$2</f>
        <v>-0.391554710638344</v>
      </c>
      <c r="U52" s="0" t="n">
        <f aca="false">SUMPRODUCT(ISNUMBER(SEARCH(" "&amp;Terms!$A$3:$A$821&amp;" ",$D52))*Terms!D$3:D$821)+Terms!D$2</f>
        <v>-8.0706601104236</v>
      </c>
      <c r="V52" s="0" t="n">
        <f aca="false">SUMPRODUCT(ISNUMBER(SEARCH(" "&amp;Terms!$A$3:$A$821&amp;" ",$D52))*Terms!E$3:E$821)+Terms!E$2</f>
        <v>9.73585403200522</v>
      </c>
      <c r="W52" s="0" t="n">
        <f aca="false">SUMPRODUCT(ISNUMBER(SEARCH(" "&amp;Terms!$A$3:$A$821&amp;" ",$D52))*Terms!F$3:F$821)+Terms!F$2</f>
        <v>-2.941727477331</v>
      </c>
      <c r="X52" s="0" t="n">
        <f aca="false">SUMPRODUCT(ISNUMBER(SEARCH(" "&amp;Terms!$A$3:$A$821&amp;" ",$D52))*Terms!G$3:G$821)+Terms!G$2</f>
        <v>5.6015755057512</v>
      </c>
      <c r="Y52" s="0" t="str">
        <f aca="false">INDEX($S$1:$X$1,MATCH(MAX(S52:X52),S52:X52,0))</f>
        <v>Fees &amp; Charges</v>
      </c>
      <c r="Z52" s="0" t="s">
        <v>2608</v>
      </c>
    </row>
    <row r="53" customFormat="false" ht="15" hidden="false" customHeight="false" outlineLevel="0" collapsed="false">
      <c r="A53" s="0" t="str">
        <f aca="false">Complaints!A53</f>
        <v>C0052</v>
      </c>
      <c r="B53" s="0" t="str">
        <f aca="false">Complaints!B53</f>
        <v>Hello, It has taken six weeks to process my claim and nobody has updated me. I also spent ages on hold when I called about it. I would like a response in writing.</v>
      </c>
      <c r="C53" s="0" t="str">
        <f aca="false">Complaints!C53</f>
        <v>Delays &amp; Processing</v>
      </c>
      <c r="D53" s="0" t="str">
        <f aca="false">" "&amp;TRIM(SUBSTITUTE(SUBSTITUTE(SUBSTITUTE(SUBSTITUTE(SUBSTITUTE(SUBSTITUTE(SUBSTITUTE(SUBSTITUTE(SUBSTITUTE(SUBSTITUTE(SUBSTITUTE(SUBSTITUTE(SUBSTITUTE(SUBSTITUTE(SUBSTITUTE(SUBSTITUTE(LOWER(B53),"."," "),","," "),"'"," "),"’"," "),"!"," "),"?"," "),";"," "),":"," "),"-"," "),"("," "),")"," "),"""", " "),"£"," "),"&amp;"," "),"/"," "),"%"," "))&amp;" "</f>
        <v> hello it has taken six weeks to process my claim and nobody has updated me i also spent ages on hold when i called about it i would like a response in writing </v>
      </c>
      <c r="E53" s="0" t="n">
        <f aca="false">SUMPRODUCT((Rules!$A$2:$A$60=E$1)*Rules!$C$2:$C$60*ISNUMBER(SEARCH(Rules!$D$2:$D$60,$D53)))</f>
        <v>0</v>
      </c>
      <c r="F53" s="0" t="n">
        <f aca="false">SUMPRODUCT((Rules!$A$2:$A$60=F$1)*Rules!$C$2:$C$60*ISNUMBER(SEARCH(Rules!$D$2:$D$60,$D53)))</f>
        <v>0</v>
      </c>
      <c r="G53" s="0" t="n">
        <f aca="false">SUMPRODUCT((Rules!$A$2:$A$60=G$1)*Rules!$C$2:$C$60*ISNUMBER(SEARCH(Rules!$D$2:$D$60,$D53)))</f>
        <v>0</v>
      </c>
      <c r="H53" s="0" t="n">
        <f aca="false">SUMPRODUCT((Rules!$A$2:$A$60=H$1)*Rules!$C$2:$C$60*ISNUMBER(SEARCH(Rules!$D$2:$D$60,$D53)))</f>
        <v>0</v>
      </c>
      <c r="I53" s="0" t="n">
        <f aca="false">SUMPRODUCT((Rules!$A$2:$A$60=I$1)*Rules!$C$2:$C$60*ISNUMBER(SEARCH(Rules!$D$2:$D$60,$D53)))</f>
        <v>2</v>
      </c>
      <c r="J53" s="0" t="n">
        <f aca="false">SUMPRODUCT((Rules!$A$2:$A$60=J$1)*Rules!$C$2:$C$60*ISNUMBER(SEARCH(Rules!$D$2:$D$60,$D53)))</f>
        <v>3</v>
      </c>
      <c r="K53" s="0" t="str">
        <f aca="false">IF(OR(MAX(E53:J53)&lt;Rules!$H$1,MAX(E53:J53)-LARGE(E53:J53,2)&lt;Rules!$H$2),"No label",INDEX($E$1:$J$1,MATCH(MAX(E53:J53),E53:J53,0)))</f>
        <v>No label</v>
      </c>
      <c r="L53" s="0" t="n">
        <f aca="false">SUMPRODUCT((Rules!$A$2:$A$60=L$1)*Rules!$C$2:$C$60*ISNUMBER(SEARCH(Rules!$E$2:$E$60,$D53)))</f>
        <v>0</v>
      </c>
      <c r="M53" s="0" t="n">
        <f aca="false">SUMPRODUCT((Rules!$A$2:$A$60=M$1)*Rules!$C$2:$C$60*ISNUMBER(SEARCH(Rules!$E$2:$E$60,$D53)))</f>
        <v>0</v>
      </c>
      <c r="N53" s="0" t="n">
        <f aca="false">SUMPRODUCT((Rules!$A$2:$A$60=N$1)*Rules!$C$2:$C$60*ISNUMBER(SEARCH(Rules!$E$2:$E$60,$D53)))</f>
        <v>0</v>
      </c>
      <c r="O53" s="0" t="n">
        <f aca="false">SUMPRODUCT((Rules!$A$2:$A$60=O$1)*Rules!$C$2:$C$60*ISNUMBER(SEARCH(Rules!$E$2:$E$60,$D53)))</f>
        <v>0</v>
      </c>
      <c r="P53" s="0" t="n">
        <f aca="false">SUMPRODUCT((Rules!$A$2:$A$60=P$1)*Rules!$C$2:$C$60*ISNUMBER(SEARCH(Rules!$E$2:$E$60,$D53)))</f>
        <v>2</v>
      </c>
      <c r="Q53" s="0" t="n">
        <f aca="false">SUMPRODUCT((Rules!$A$2:$A$60=Q$1)*Rules!$C$2:$C$60*ISNUMBER(SEARCH(Rules!$E$2:$E$60,$D53)))</f>
        <v>3</v>
      </c>
      <c r="R53" s="0" t="str">
        <f aca="false">IF(OR(MAX(L53:Q53)&lt;Rules!$H$1,MAX(L53:Q53)-LARGE(L53:Q53,2)&lt;Rules!$H$2),"No label",INDEX($L$1:$Q$1,MATCH(MAX(L53:Q53),L53:Q53,0)))</f>
        <v>No label</v>
      </c>
      <c r="S53" s="0" t="n">
        <f aca="false">SUMPRODUCT(ISNUMBER(SEARCH(" "&amp;Terms!$A$3:$A$821&amp;" ",$D53))*Terms!B$3:B$821)+Terms!B$2</f>
        <v>-1.83833788033889</v>
      </c>
      <c r="T53" s="0" t="n">
        <f aca="false">SUMPRODUCT(ISNUMBER(SEARCH(" "&amp;Terms!$A$3:$A$821&amp;" ",$D53))*Terms!C$3:C$821)+Terms!C$2</f>
        <v>-1.22465242305629</v>
      </c>
      <c r="U53" s="0" t="n">
        <f aca="false">SUMPRODUCT(ISNUMBER(SEARCH(" "&amp;Terms!$A$3:$A$821&amp;" ",$D53))*Terms!D$3:D$821)+Terms!D$2</f>
        <v>5.60870061535887</v>
      </c>
      <c r="V53" s="0" t="n">
        <f aca="false">SUMPRODUCT(ISNUMBER(SEARCH(" "&amp;Terms!$A$3:$A$821&amp;" ",$D53))*Terms!E$3:E$821)+Terms!E$2</f>
        <v>-1.89146573666796</v>
      </c>
      <c r="W53" s="0" t="n">
        <f aca="false">SUMPRODUCT(ISNUMBER(SEARCH(" "&amp;Terms!$A$3:$A$821&amp;" ",$D53))*Terms!F$3:F$821)+Terms!F$2</f>
        <v>-2.70242912952366</v>
      </c>
      <c r="X53" s="0" t="n">
        <f aca="false">SUMPRODUCT(ISNUMBER(SEARCH(" "&amp;Terms!$A$3:$A$821&amp;" ",$D53))*Terms!G$3:G$821)+Terms!G$2</f>
        <v>2.04818455422802</v>
      </c>
      <c r="Y53" s="0" t="str">
        <f aca="false">INDEX($S$1:$X$1,MATCH(MAX(S53:X53),S53:X53,0))</f>
        <v>Delays &amp; Processing</v>
      </c>
      <c r="Z53" s="0" t="s">
        <v>2607</v>
      </c>
    </row>
    <row r="54" customFormat="false" ht="15" hidden="false" customHeight="false" outlineLevel="0" collapsed="false">
      <c r="A54" s="0" t="str">
        <f aca="false">Complaints!A54</f>
        <v>C0053</v>
      </c>
      <c r="B54" s="0" t="str">
        <f aca="false">Complaints!B54</f>
        <v>Frankly, You promised the money within three working days and it is still outstanding. I want this put right.</v>
      </c>
      <c r="C54" s="0" t="str">
        <f aca="false">Complaints!C54</f>
        <v>Delays &amp; Processing</v>
      </c>
      <c r="D54" s="0" t="str">
        <f aca="false">" "&amp;TRIM(SUBSTITUTE(SUBSTITUTE(SUBSTITUTE(SUBSTITUTE(SUBSTITUTE(SUBSTITUTE(SUBSTITUTE(SUBSTITUTE(SUBSTITUTE(SUBSTITUTE(SUBSTITUTE(SUBSTITUTE(SUBSTITUTE(SUBSTITUTE(SUBSTITUTE(SUBSTITUTE(LOWER(B54),"."," "),","," "),"'"," "),"’"," "),"!"," "),"?"," "),";"," "),":"," "),"-"," "),"("," "),")"," "),"""", " "),"£"," "),"&amp;"," "),"/"," "),"%"," "))&amp;" "</f>
        <v> frankly you promised the money within three working days and it is still outstanding i want this put right </v>
      </c>
      <c r="E54" s="0" t="n">
        <f aca="false">SUMPRODUCT((Rules!$A$2:$A$60=E$1)*Rules!$C$2:$C$60*ISNUMBER(SEARCH(Rules!$D$2:$D$60,$D54)))</f>
        <v>0</v>
      </c>
      <c r="F54" s="0" t="n">
        <f aca="false">SUMPRODUCT((Rules!$A$2:$A$60=F$1)*Rules!$C$2:$C$60*ISNUMBER(SEARCH(Rules!$D$2:$D$60,$D54)))</f>
        <v>1</v>
      </c>
      <c r="G54" s="0" t="n">
        <f aca="false">SUMPRODUCT((Rules!$A$2:$A$60=G$1)*Rules!$C$2:$C$60*ISNUMBER(SEARCH(Rules!$D$2:$D$60,$D54)))</f>
        <v>0</v>
      </c>
      <c r="H54" s="0" t="n">
        <f aca="false">SUMPRODUCT((Rules!$A$2:$A$60=H$1)*Rules!$C$2:$C$60*ISNUMBER(SEARCH(Rules!$D$2:$D$60,$D54)))</f>
        <v>0</v>
      </c>
      <c r="I54" s="0" t="n">
        <f aca="false">SUMPRODUCT((Rules!$A$2:$A$60=I$1)*Rules!$C$2:$C$60*ISNUMBER(SEARCH(Rules!$D$2:$D$60,$D54)))</f>
        <v>2</v>
      </c>
      <c r="J54" s="0" t="n">
        <f aca="false">SUMPRODUCT((Rules!$A$2:$A$60=J$1)*Rules!$C$2:$C$60*ISNUMBER(SEARCH(Rules!$D$2:$D$60,$D54)))</f>
        <v>0</v>
      </c>
      <c r="K54" s="0" t="str">
        <f aca="false">IF(OR(MAX(E54:J54)&lt;Rules!$H$1,MAX(E54:J54)-LARGE(E54:J54,2)&lt;Rules!$H$2),"No label",INDEX($E$1:$J$1,MATCH(MAX(E54:J54),E54:J54,0)))</f>
        <v>No label</v>
      </c>
      <c r="L54" s="0" t="n">
        <f aca="false">SUMPRODUCT((Rules!$A$2:$A$60=L$1)*Rules!$C$2:$C$60*ISNUMBER(SEARCH(Rules!$E$2:$E$60,$D54)))</f>
        <v>0</v>
      </c>
      <c r="M54" s="0" t="n">
        <f aca="false">SUMPRODUCT((Rules!$A$2:$A$60=M$1)*Rules!$C$2:$C$60*ISNUMBER(SEARCH(Rules!$E$2:$E$60,$D54)))</f>
        <v>1</v>
      </c>
      <c r="N54" s="0" t="n">
        <f aca="false">SUMPRODUCT((Rules!$A$2:$A$60=N$1)*Rules!$C$2:$C$60*ISNUMBER(SEARCH(Rules!$E$2:$E$60,$D54)))</f>
        <v>0</v>
      </c>
      <c r="O54" s="0" t="n">
        <f aca="false">SUMPRODUCT((Rules!$A$2:$A$60=O$1)*Rules!$C$2:$C$60*ISNUMBER(SEARCH(Rules!$E$2:$E$60,$D54)))</f>
        <v>0</v>
      </c>
      <c r="P54" s="0" t="n">
        <f aca="false">SUMPRODUCT((Rules!$A$2:$A$60=P$1)*Rules!$C$2:$C$60*ISNUMBER(SEARCH(Rules!$E$2:$E$60,$D54)))</f>
        <v>2</v>
      </c>
      <c r="Q54" s="0" t="n">
        <f aca="false">SUMPRODUCT((Rules!$A$2:$A$60=Q$1)*Rules!$C$2:$C$60*ISNUMBER(SEARCH(Rules!$E$2:$E$60,$D54)))</f>
        <v>0</v>
      </c>
      <c r="R54" s="0" t="str">
        <f aca="false">IF(OR(MAX(L54:Q54)&lt;Rules!$H$1,MAX(L54:Q54)-LARGE(L54:Q54,2)&lt;Rules!$H$2),"No label",INDEX($L$1:$Q$1,MATCH(MAX(L54:Q54),L54:Q54,0)))</f>
        <v>No label</v>
      </c>
      <c r="S54" s="0" t="n">
        <f aca="false">SUMPRODUCT(ISNUMBER(SEARCH(" "&amp;Terms!$A$3:$A$821&amp;" ",$D54))*Terms!B$3:B$821)+Terms!B$2</f>
        <v>0.00951329620288224</v>
      </c>
      <c r="T54" s="0" t="n">
        <f aca="false">SUMPRODUCT(ISNUMBER(SEARCH(" "&amp;Terms!$A$3:$A$821&amp;" ",$D54))*Terms!C$3:C$821)+Terms!C$2</f>
        <v>-5.64293411920219</v>
      </c>
      <c r="U54" s="0" t="n">
        <f aca="false">SUMPRODUCT(ISNUMBER(SEARCH(" "&amp;Terms!$A$3:$A$821&amp;" ",$D54))*Terms!D$3:D$821)+Terms!D$2</f>
        <v>5.75717453522759</v>
      </c>
      <c r="V54" s="0" t="n">
        <f aca="false">SUMPRODUCT(ISNUMBER(SEARCH(" "&amp;Terms!$A$3:$A$821&amp;" ",$D54))*Terms!E$3:E$821)+Terms!E$2</f>
        <v>-0.187890066001823</v>
      </c>
      <c r="W54" s="0" t="n">
        <f aca="false">SUMPRODUCT(ISNUMBER(SEARCH(" "&amp;Terms!$A$3:$A$821&amp;" ",$D54))*Terms!F$3:F$821)+Terms!F$2</f>
        <v>0.763729124261503</v>
      </c>
      <c r="X54" s="0" t="n">
        <f aca="false">SUMPRODUCT(ISNUMBER(SEARCH(" "&amp;Terms!$A$3:$A$821&amp;" ",$D54))*Terms!G$3:G$821)+Terms!G$2</f>
        <v>-0.699592770487869</v>
      </c>
      <c r="Y54" s="0" t="str">
        <f aca="false">INDEX($S$1:$X$1,MATCH(MAX(S54:X54),S54:X54,0))</f>
        <v>Delays &amp; Processing</v>
      </c>
      <c r="Z54" s="0" t="s">
        <v>2607</v>
      </c>
    </row>
    <row r="55" customFormat="false" ht="15" hidden="false" customHeight="false" outlineLevel="0" collapsed="false">
      <c r="A55" s="0" t="str">
        <f aca="false">Complaints!A55</f>
        <v>C0054</v>
      </c>
      <c r="B55" s="0" t="str">
        <f aca="false">Complaints!B55</f>
        <v>I am writing to complain. The brochure said guaanteed returns and my money has lost value. Also, my identity was stolen and a loan was taken out in my name.</v>
      </c>
      <c r="C55" s="0" t="str">
        <f aca="false">Complaints!C55</f>
        <v>Mis-selling</v>
      </c>
      <c r="D55" s="0" t="str">
        <f aca="false">" "&amp;TRIM(SUBSTITUTE(SUBSTITUTE(SUBSTITUTE(SUBSTITUTE(SUBSTITUTE(SUBSTITUTE(SUBSTITUTE(SUBSTITUTE(SUBSTITUTE(SUBSTITUTE(SUBSTITUTE(SUBSTITUTE(SUBSTITUTE(SUBSTITUTE(SUBSTITUTE(SUBSTITUTE(LOWER(B55),"."," "),","," "),"'"," "),"’"," "),"!"," "),"?"," "),";"," "),":"," "),"-"," "),"("," "),")"," "),"""", " "),"£"," "),"&amp;"," "),"/"," "),"%"," "))&amp;" "</f>
        <v> i am writing to complain the brochure said guaanteed returns and my money has lost value also my identity was stolen and a loan was taken out in my name </v>
      </c>
      <c r="E55" s="0" t="n">
        <f aca="false">SUMPRODUCT((Rules!$A$2:$A$60=E$1)*Rules!$C$2:$C$60*ISNUMBER(SEARCH(Rules!$D$2:$D$60,$D55)))</f>
        <v>2</v>
      </c>
      <c r="F55" s="0" t="n">
        <f aca="false">SUMPRODUCT((Rules!$A$2:$A$60=F$1)*Rules!$C$2:$C$60*ISNUMBER(SEARCH(Rules!$D$2:$D$60,$D55)))</f>
        <v>0</v>
      </c>
      <c r="G55" s="0" t="n">
        <f aca="false">SUMPRODUCT((Rules!$A$2:$A$60=G$1)*Rules!$C$2:$C$60*ISNUMBER(SEARCH(Rules!$D$2:$D$60,$D55)))</f>
        <v>0</v>
      </c>
      <c r="H55" s="0" t="n">
        <f aca="false">SUMPRODUCT((Rules!$A$2:$A$60=H$1)*Rules!$C$2:$C$60*ISNUMBER(SEARCH(Rules!$D$2:$D$60,$D55)))</f>
        <v>0</v>
      </c>
      <c r="I55" s="0" t="n">
        <f aca="false">SUMPRODUCT((Rules!$A$2:$A$60=I$1)*Rules!$C$2:$C$60*ISNUMBER(SEARCH(Rules!$D$2:$D$60,$D55)))</f>
        <v>0</v>
      </c>
      <c r="J55" s="0" t="n">
        <f aca="false">SUMPRODUCT((Rules!$A$2:$A$60=J$1)*Rules!$C$2:$C$60*ISNUMBER(SEARCH(Rules!$D$2:$D$60,$D55)))</f>
        <v>0</v>
      </c>
      <c r="K55" s="0" t="str">
        <f aca="false">IF(OR(MAX(E55:J55)&lt;Rules!$H$1,MAX(E55:J55)-LARGE(E55:J55,2)&lt;Rules!$H$2),"No label",INDEX($E$1:$J$1,MATCH(MAX(E55:J55),E55:J55,0)))</f>
        <v>No label</v>
      </c>
      <c r="L55" s="0" t="n">
        <f aca="false">SUMPRODUCT((Rules!$A$2:$A$60=L$1)*Rules!$C$2:$C$60*ISNUMBER(SEARCH(Rules!$E$2:$E$60,$D55)))</f>
        <v>2</v>
      </c>
      <c r="M55" s="0" t="n">
        <f aca="false">SUMPRODUCT((Rules!$A$2:$A$60=M$1)*Rules!$C$2:$C$60*ISNUMBER(SEARCH(Rules!$E$2:$E$60,$D55)))</f>
        <v>0</v>
      </c>
      <c r="N55" s="0" t="n">
        <f aca="false">SUMPRODUCT((Rules!$A$2:$A$60=N$1)*Rules!$C$2:$C$60*ISNUMBER(SEARCH(Rules!$E$2:$E$60,$D55)))</f>
        <v>0</v>
      </c>
      <c r="O55" s="0" t="n">
        <f aca="false">SUMPRODUCT((Rules!$A$2:$A$60=O$1)*Rules!$C$2:$C$60*ISNUMBER(SEARCH(Rules!$E$2:$E$60,$D55)))</f>
        <v>0</v>
      </c>
      <c r="P55" s="0" t="n">
        <f aca="false">SUMPRODUCT((Rules!$A$2:$A$60=P$1)*Rules!$C$2:$C$60*ISNUMBER(SEARCH(Rules!$E$2:$E$60,$D55)))</f>
        <v>0</v>
      </c>
      <c r="Q55" s="0" t="n">
        <f aca="false">SUMPRODUCT((Rules!$A$2:$A$60=Q$1)*Rules!$C$2:$C$60*ISNUMBER(SEARCH(Rules!$E$2:$E$60,$D55)))</f>
        <v>0</v>
      </c>
      <c r="R55" s="0" t="str">
        <f aca="false">IF(OR(MAX(L55:Q55)&lt;Rules!$H$1,MAX(L55:Q55)-LARGE(L55:Q55,2)&lt;Rules!$H$2),"No label",INDEX($L$1:$Q$1,MATCH(MAX(L55:Q55),L55:Q55,0)))</f>
        <v>No label</v>
      </c>
      <c r="S55" s="0" t="n">
        <f aca="false">SUMPRODUCT(ISNUMBER(SEARCH(" "&amp;Terms!$A$3:$A$821&amp;" ",$D55))*Terms!B$3:B$821)+Terms!B$2</f>
        <v>-4.42086515463661</v>
      </c>
      <c r="T55" s="0" t="n">
        <f aca="false">SUMPRODUCT(ISNUMBER(SEARCH(" "&amp;Terms!$A$3:$A$821&amp;" ",$D55))*Terms!C$3:C$821)+Terms!C$2</f>
        <v>-3.52808460585004</v>
      </c>
      <c r="U55" s="0" t="n">
        <f aca="false">SUMPRODUCT(ISNUMBER(SEARCH(" "&amp;Terms!$A$3:$A$821&amp;" ",$D55))*Terms!D$3:D$821)+Terms!D$2</f>
        <v>-0.513013241758601</v>
      </c>
      <c r="V55" s="0" t="n">
        <f aca="false">SUMPRODUCT(ISNUMBER(SEARCH(" "&amp;Terms!$A$3:$A$821&amp;" ",$D55))*Terms!E$3:E$821)+Terms!E$2</f>
        <v>-4.92853826654625</v>
      </c>
      <c r="W55" s="0" t="n">
        <f aca="false">SUMPRODUCT(ISNUMBER(SEARCH(" "&amp;Terms!$A$3:$A$821&amp;" ",$D55))*Terms!F$3:F$821)+Terms!F$2</f>
        <v>5.11750033823767</v>
      </c>
      <c r="X55" s="0" t="n">
        <f aca="false">SUMPRODUCT(ISNUMBER(SEARCH(" "&amp;Terms!$A$3:$A$821&amp;" ",$D55))*Terms!G$3:G$821)+Terms!G$2</f>
        <v>8.27300093055393</v>
      </c>
      <c r="Y55" s="0" t="str">
        <f aca="false">INDEX($S$1:$X$1,MATCH(MAX(S55:X55),S55:X55,0))</f>
        <v>Mis-selling</v>
      </c>
      <c r="Z55" s="0" t="s">
        <v>2607</v>
      </c>
    </row>
    <row r="56" customFormat="false" ht="15" hidden="false" customHeight="false" outlineLevel="0" collapsed="false">
      <c r="A56" s="0" t="str">
        <f aca="false">Complaints!A56</f>
        <v>C0055</v>
      </c>
      <c r="B56" s="0" t="str">
        <f aca="false">Complaints!B56</f>
        <v>Hello, I was tricked into moving savings to a safe account that was not safe. I expect compensation.</v>
      </c>
      <c r="C56" s="0" t="str">
        <f aca="false">Complaints!C56</f>
        <v>Fraud &amp; Scams</v>
      </c>
      <c r="D56" s="0" t="str">
        <f aca="false">" "&amp;TRIM(SUBSTITUTE(SUBSTITUTE(SUBSTITUTE(SUBSTITUTE(SUBSTITUTE(SUBSTITUTE(SUBSTITUTE(SUBSTITUTE(SUBSTITUTE(SUBSTITUTE(SUBSTITUTE(SUBSTITUTE(SUBSTITUTE(SUBSTITUTE(SUBSTITUTE(SUBSTITUTE(LOWER(B56),"."," "),","," "),"'"," "),"’"," "),"!"," "),"?"," "),";"," "),":"," "),"-"," "),"("," "),")"," "),"""", " "),"£"," "),"&amp;"," "),"/"," "),"%"," "))&amp;" "</f>
        <v> hello i was tricked into moving savings to a safe account that was not safe i expect compensation </v>
      </c>
      <c r="E56" s="0" t="n">
        <f aca="false">SUMPRODUCT((Rules!$A$2:$A$60=E$1)*Rules!$C$2:$C$60*ISNUMBER(SEARCH(Rules!$D$2:$D$60,$D56)))</f>
        <v>2</v>
      </c>
      <c r="F56" s="0" t="n">
        <f aca="false">SUMPRODUCT((Rules!$A$2:$A$60=F$1)*Rules!$C$2:$C$60*ISNUMBER(SEARCH(Rules!$D$2:$D$60,$D56)))</f>
        <v>0</v>
      </c>
      <c r="G56" s="0" t="n">
        <f aca="false">SUMPRODUCT((Rules!$A$2:$A$60=G$1)*Rules!$C$2:$C$60*ISNUMBER(SEARCH(Rules!$D$2:$D$60,$D56)))</f>
        <v>0</v>
      </c>
      <c r="H56" s="0" t="n">
        <f aca="false">SUMPRODUCT((Rules!$A$2:$A$60=H$1)*Rules!$C$2:$C$60*ISNUMBER(SEARCH(Rules!$D$2:$D$60,$D56)))</f>
        <v>0</v>
      </c>
      <c r="I56" s="0" t="n">
        <f aca="false">SUMPRODUCT((Rules!$A$2:$A$60=I$1)*Rules!$C$2:$C$60*ISNUMBER(SEARCH(Rules!$D$2:$D$60,$D56)))</f>
        <v>0</v>
      </c>
      <c r="J56" s="0" t="n">
        <f aca="false">SUMPRODUCT((Rules!$A$2:$A$60=J$1)*Rules!$C$2:$C$60*ISNUMBER(SEARCH(Rules!$D$2:$D$60,$D56)))</f>
        <v>0</v>
      </c>
      <c r="K56" s="0" t="str">
        <f aca="false">IF(OR(MAX(E56:J56)&lt;Rules!$H$1,MAX(E56:J56)-LARGE(E56:J56,2)&lt;Rules!$H$2),"No label",INDEX($E$1:$J$1,MATCH(MAX(E56:J56),E56:J56,0)))</f>
        <v>No label</v>
      </c>
      <c r="L56" s="0" t="n">
        <f aca="false">SUMPRODUCT((Rules!$A$2:$A$60=L$1)*Rules!$C$2:$C$60*ISNUMBER(SEARCH(Rules!$E$2:$E$60,$D56)))</f>
        <v>2</v>
      </c>
      <c r="M56" s="0" t="n">
        <f aca="false">SUMPRODUCT((Rules!$A$2:$A$60=M$1)*Rules!$C$2:$C$60*ISNUMBER(SEARCH(Rules!$E$2:$E$60,$D56)))</f>
        <v>0</v>
      </c>
      <c r="N56" s="0" t="n">
        <f aca="false">SUMPRODUCT((Rules!$A$2:$A$60=N$1)*Rules!$C$2:$C$60*ISNUMBER(SEARCH(Rules!$E$2:$E$60,$D56)))</f>
        <v>0</v>
      </c>
      <c r="O56" s="0" t="n">
        <f aca="false">SUMPRODUCT((Rules!$A$2:$A$60=O$1)*Rules!$C$2:$C$60*ISNUMBER(SEARCH(Rules!$E$2:$E$60,$D56)))</f>
        <v>0</v>
      </c>
      <c r="P56" s="0" t="n">
        <f aca="false">SUMPRODUCT((Rules!$A$2:$A$60=P$1)*Rules!$C$2:$C$60*ISNUMBER(SEARCH(Rules!$E$2:$E$60,$D56)))</f>
        <v>0</v>
      </c>
      <c r="Q56" s="0" t="n">
        <f aca="false">SUMPRODUCT((Rules!$A$2:$A$60=Q$1)*Rules!$C$2:$C$60*ISNUMBER(SEARCH(Rules!$E$2:$E$60,$D56)))</f>
        <v>0</v>
      </c>
      <c r="R56" s="0" t="str">
        <f aca="false">IF(OR(MAX(L56:Q56)&lt;Rules!$H$1,MAX(L56:Q56)-LARGE(L56:Q56,2)&lt;Rules!$H$2),"No label",INDEX($L$1:$Q$1,MATCH(MAX(L56:Q56),L56:Q56,0)))</f>
        <v>No label</v>
      </c>
      <c r="S56" s="0" t="n">
        <f aca="false">SUMPRODUCT(ISNUMBER(SEARCH(" "&amp;Terms!$A$3:$A$821&amp;" ",$D56))*Terms!B$3:B$821)+Terms!B$2</f>
        <v>1.46858057640297</v>
      </c>
      <c r="T56" s="0" t="n">
        <f aca="false">SUMPRODUCT(ISNUMBER(SEARCH(" "&amp;Terms!$A$3:$A$821&amp;" ",$D56))*Terms!C$3:C$821)+Terms!C$2</f>
        <v>-5.93587818560935</v>
      </c>
      <c r="U56" s="0" t="n">
        <f aca="false">SUMPRODUCT(ISNUMBER(SEARCH(" "&amp;Terms!$A$3:$A$821&amp;" ",$D56))*Terms!D$3:D$821)+Terms!D$2</f>
        <v>0.0946008288682902</v>
      </c>
      <c r="V56" s="0" t="n">
        <f aca="false">SUMPRODUCT(ISNUMBER(SEARCH(" "&amp;Terms!$A$3:$A$821&amp;" ",$D56))*Terms!E$3:E$821)+Terms!E$2</f>
        <v>-1.19348523995654</v>
      </c>
      <c r="W56" s="0" t="n">
        <f aca="false">SUMPRODUCT(ISNUMBER(SEARCH(" "&amp;Terms!$A$3:$A$821&amp;" ",$D56))*Terms!F$3:F$821)+Terms!F$2</f>
        <v>10.9232671934357</v>
      </c>
      <c r="X56" s="0" t="n">
        <f aca="false">SUMPRODUCT(ISNUMBER(SEARCH(" "&amp;Terms!$A$3:$A$821&amp;" ",$D56))*Terms!G$3:G$821)+Terms!G$2</f>
        <v>-5.35708517314101</v>
      </c>
      <c r="Y56" s="0" t="str">
        <f aca="false">INDEX($S$1:$X$1,MATCH(MAX(S56:X56),S56:X56,0))</f>
        <v>Fraud &amp; Scams</v>
      </c>
      <c r="Z56" s="0" t="s">
        <v>2607</v>
      </c>
    </row>
    <row r="57" customFormat="false" ht="15" hidden="false" customHeight="false" outlineLevel="0" collapsed="false">
      <c r="A57" s="0" t="str">
        <f aca="false">Complaints!A57</f>
        <v>C0056</v>
      </c>
      <c r="B57" s="0" t="str">
        <f aca="false">Complaints!B57</f>
        <v>You promised the money within three working days and it is still outstanding. Also, the staff member was rude and dismissive when I called.</v>
      </c>
      <c r="C57" s="0" t="str">
        <f aca="false">Complaints!C57</f>
        <v>Delays &amp; Processing</v>
      </c>
      <c r="D57" s="0" t="str">
        <f aca="false">" "&amp;TRIM(SUBSTITUTE(SUBSTITUTE(SUBSTITUTE(SUBSTITUTE(SUBSTITUTE(SUBSTITUTE(SUBSTITUTE(SUBSTITUTE(SUBSTITUTE(SUBSTITUTE(SUBSTITUTE(SUBSTITUTE(SUBSTITUTE(SUBSTITUTE(SUBSTITUTE(SUBSTITUTE(LOWER(B57),"."," "),","," "),"'"," "),"’"," "),"!"," "),"?"," "),";"," "),":"," "),"-"," "),"("," "),")"," "),"""", " "),"£"," "),"&amp;"," "),"/"," "),"%"," "))&amp;" "</f>
        <v> you promised the money within three working days and it is still outstanding also the staff member was rude and dismissive when i called </v>
      </c>
      <c r="E57" s="0" t="n">
        <f aca="false">SUMPRODUCT((Rules!$A$2:$A$60=E$1)*Rules!$C$2:$C$60*ISNUMBER(SEARCH(Rules!$D$2:$D$60,$D57)))</f>
        <v>0</v>
      </c>
      <c r="F57" s="0" t="n">
        <f aca="false">SUMPRODUCT((Rules!$A$2:$A$60=F$1)*Rules!$C$2:$C$60*ISNUMBER(SEARCH(Rules!$D$2:$D$60,$D57)))</f>
        <v>1</v>
      </c>
      <c r="G57" s="0" t="n">
        <f aca="false">SUMPRODUCT((Rules!$A$2:$A$60=G$1)*Rules!$C$2:$C$60*ISNUMBER(SEARCH(Rules!$D$2:$D$60,$D57)))</f>
        <v>0</v>
      </c>
      <c r="H57" s="0" t="n">
        <f aca="false">SUMPRODUCT((Rules!$A$2:$A$60=H$1)*Rules!$C$2:$C$60*ISNUMBER(SEARCH(Rules!$D$2:$D$60,$D57)))</f>
        <v>0</v>
      </c>
      <c r="I57" s="0" t="n">
        <f aca="false">SUMPRODUCT((Rules!$A$2:$A$60=I$1)*Rules!$C$2:$C$60*ISNUMBER(SEARCH(Rules!$D$2:$D$60,$D57)))</f>
        <v>2</v>
      </c>
      <c r="J57" s="0" t="n">
        <f aca="false">SUMPRODUCT((Rules!$A$2:$A$60=J$1)*Rules!$C$2:$C$60*ISNUMBER(SEARCH(Rules!$D$2:$D$60,$D57)))</f>
        <v>4</v>
      </c>
      <c r="K57" s="0" t="str">
        <f aca="false">IF(OR(MAX(E57:J57)&lt;Rules!$H$1,MAX(E57:J57)-LARGE(E57:J57,2)&lt;Rules!$H$2),"No label",INDEX($E$1:$J$1,MATCH(MAX(E57:J57),E57:J57,0)))</f>
        <v>Customer Service</v>
      </c>
      <c r="L57" s="0" t="n">
        <f aca="false">SUMPRODUCT((Rules!$A$2:$A$60=L$1)*Rules!$C$2:$C$60*ISNUMBER(SEARCH(Rules!$E$2:$E$60,$D57)))</f>
        <v>0</v>
      </c>
      <c r="M57" s="0" t="n">
        <f aca="false">SUMPRODUCT((Rules!$A$2:$A$60=M$1)*Rules!$C$2:$C$60*ISNUMBER(SEARCH(Rules!$E$2:$E$60,$D57)))</f>
        <v>1</v>
      </c>
      <c r="N57" s="0" t="n">
        <f aca="false">SUMPRODUCT((Rules!$A$2:$A$60=N$1)*Rules!$C$2:$C$60*ISNUMBER(SEARCH(Rules!$E$2:$E$60,$D57)))</f>
        <v>0</v>
      </c>
      <c r="O57" s="0" t="n">
        <f aca="false">SUMPRODUCT((Rules!$A$2:$A$60=O$1)*Rules!$C$2:$C$60*ISNUMBER(SEARCH(Rules!$E$2:$E$60,$D57)))</f>
        <v>0</v>
      </c>
      <c r="P57" s="0" t="n">
        <f aca="false">SUMPRODUCT((Rules!$A$2:$A$60=P$1)*Rules!$C$2:$C$60*ISNUMBER(SEARCH(Rules!$E$2:$E$60,$D57)))</f>
        <v>2</v>
      </c>
      <c r="Q57" s="0" t="n">
        <f aca="false">SUMPRODUCT((Rules!$A$2:$A$60=Q$1)*Rules!$C$2:$C$60*ISNUMBER(SEARCH(Rules!$E$2:$E$60,$D57)))</f>
        <v>4</v>
      </c>
      <c r="R57" s="0" t="str">
        <f aca="false">IF(OR(MAX(L57:Q57)&lt;Rules!$H$1,MAX(L57:Q57)-LARGE(L57:Q57,2)&lt;Rules!$H$2),"No label",INDEX($L$1:$Q$1,MATCH(MAX(L57:Q57),L57:Q57,0)))</f>
        <v>Customer Service</v>
      </c>
      <c r="S57" s="0" t="n">
        <f aca="false">SUMPRODUCT(ISNUMBER(SEARCH(" "&amp;Terms!$A$3:$A$821&amp;" ",$D57))*Terms!B$3:B$821)+Terms!B$2</f>
        <v>-2.40556656900004</v>
      </c>
      <c r="T57" s="0" t="n">
        <f aca="false">SUMPRODUCT(ISNUMBER(SEARCH(" "&amp;Terms!$A$3:$A$821&amp;" ",$D57))*Terms!C$3:C$821)+Terms!C$2</f>
        <v>5.43082659508745</v>
      </c>
      <c r="U57" s="0" t="n">
        <f aca="false">SUMPRODUCT(ISNUMBER(SEARCH(" "&amp;Terms!$A$3:$A$821&amp;" ",$D57))*Terms!D$3:D$821)+Terms!D$2</f>
        <v>6.18433266422931</v>
      </c>
      <c r="V57" s="0" t="n">
        <f aca="false">SUMPRODUCT(ISNUMBER(SEARCH(" "&amp;Terms!$A$3:$A$821&amp;" ",$D57))*Terms!E$3:E$821)+Terms!E$2</f>
        <v>-1.5579706177721</v>
      </c>
      <c r="W57" s="0" t="n">
        <f aca="false">SUMPRODUCT(ISNUMBER(SEARCH(" "&amp;Terms!$A$3:$A$821&amp;" ",$D57))*Terms!F$3:F$821)+Terms!F$2</f>
        <v>-3.7219208366465</v>
      </c>
      <c r="X57" s="0" t="n">
        <f aca="false">SUMPRODUCT(ISNUMBER(SEARCH(" "&amp;Terms!$A$3:$A$821&amp;" ",$D57))*Terms!G$3:G$821)+Terms!G$2</f>
        <v>-3.92970123589804</v>
      </c>
      <c r="Y57" s="0" t="str">
        <f aca="false">INDEX($S$1:$X$1,MATCH(MAX(S57:X57),S57:X57,0))</f>
        <v>Delays &amp; Processing</v>
      </c>
      <c r="Z57" s="0" t="s">
        <v>2607</v>
      </c>
    </row>
    <row r="58" customFormat="false" ht="15" hidden="false" customHeight="false" outlineLevel="0" collapsed="false">
      <c r="A58" s="0" t="str">
        <f aca="false">Complaints!A58</f>
        <v>C0057</v>
      </c>
      <c r="B58" s="0" t="str">
        <f aca="false">Complaints!B58</f>
        <v>The pension transfer advice I received was poor and I have lost out. Also, i cannot log in to the mobile app since the update. I expect compensation.</v>
      </c>
      <c r="C58" s="0" t="str">
        <f aca="false">Complaints!C58</f>
        <v>Mis-selling</v>
      </c>
      <c r="D58" s="0" t="str">
        <f aca="false">" "&amp;TRIM(SUBSTITUTE(SUBSTITUTE(SUBSTITUTE(SUBSTITUTE(SUBSTITUTE(SUBSTITUTE(SUBSTITUTE(SUBSTITUTE(SUBSTITUTE(SUBSTITUTE(SUBSTITUTE(SUBSTITUTE(SUBSTITUTE(SUBSTITUTE(SUBSTITUTE(SUBSTITUTE(LOWER(B58),"."," "),","," "),"'"," "),"’"," "),"!"," "),"?"," "),";"," "),":"," "),"-"," "),"("," "),")"," "),"""", " "),"£"," "),"&amp;"," "),"/"," "),"%"," "))&amp;" "</f>
        <v> the pension transfer advice i received was poor and i have lost out also i cannot log in to the mobile app since the update i expect compensation </v>
      </c>
      <c r="E58" s="0" t="n">
        <f aca="false">SUMPRODUCT((Rules!$A$2:$A$60=E$1)*Rules!$C$2:$C$60*ISNUMBER(SEARCH(Rules!$D$2:$D$60,$D58)))</f>
        <v>0</v>
      </c>
      <c r="F58" s="0" t="n">
        <f aca="false">SUMPRODUCT((Rules!$A$2:$A$60=F$1)*Rules!$C$2:$C$60*ISNUMBER(SEARCH(Rules!$D$2:$D$60,$D58)))</f>
        <v>2</v>
      </c>
      <c r="G58" s="0" t="n">
        <f aca="false">SUMPRODUCT((Rules!$A$2:$A$60=G$1)*Rules!$C$2:$C$60*ISNUMBER(SEARCH(Rules!$D$2:$D$60,$D58)))</f>
        <v>4</v>
      </c>
      <c r="H58" s="0" t="n">
        <f aca="false">SUMPRODUCT((Rules!$A$2:$A$60=H$1)*Rules!$C$2:$C$60*ISNUMBER(SEARCH(Rules!$D$2:$D$60,$D58)))</f>
        <v>0</v>
      </c>
      <c r="I58" s="0" t="n">
        <f aca="false">SUMPRODUCT((Rules!$A$2:$A$60=I$1)*Rules!$C$2:$C$60*ISNUMBER(SEARCH(Rules!$D$2:$D$60,$D58)))</f>
        <v>0</v>
      </c>
      <c r="J58" s="0" t="n">
        <f aca="false">SUMPRODUCT((Rules!$A$2:$A$60=J$1)*Rules!$C$2:$C$60*ISNUMBER(SEARCH(Rules!$D$2:$D$60,$D58)))</f>
        <v>0</v>
      </c>
      <c r="K58" s="0" t="str">
        <f aca="false">IF(OR(MAX(E58:J58)&lt;Rules!$H$1,MAX(E58:J58)-LARGE(E58:J58,2)&lt;Rules!$H$2),"No label",INDEX($E$1:$J$1,MATCH(MAX(E58:J58),E58:J58,0)))</f>
        <v>Account Access</v>
      </c>
      <c r="L58" s="0" t="n">
        <f aca="false">SUMPRODUCT((Rules!$A$2:$A$60=L$1)*Rules!$C$2:$C$60*ISNUMBER(SEARCH(Rules!$E$2:$E$60,$D58)))</f>
        <v>0</v>
      </c>
      <c r="M58" s="0" t="n">
        <f aca="false">SUMPRODUCT((Rules!$A$2:$A$60=M$1)*Rules!$C$2:$C$60*ISNUMBER(SEARCH(Rules!$E$2:$E$60,$D58)))</f>
        <v>2</v>
      </c>
      <c r="N58" s="0" t="n">
        <f aca="false">SUMPRODUCT((Rules!$A$2:$A$60=N$1)*Rules!$C$2:$C$60*ISNUMBER(SEARCH(Rules!$E$2:$E$60,$D58)))</f>
        <v>4</v>
      </c>
      <c r="O58" s="0" t="n">
        <f aca="false">SUMPRODUCT((Rules!$A$2:$A$60=O$1)*Rules!$C$2:$C$60*ISNUMBER(SEARCH(Rules!$E$2:$E$60,$D58)))</f>
        <v>0</v>
      </c>
      <c r="P58" s="0" t="n">
        <f aca="false">SUMPRODUCT((Rules!$A$2:$A$60=P$1)*Rules!$C$2:$C$60*ISNUMBER(SEARCH(Rules!$E$2:$E$60,$D58)))</f>
        <v>0</v>
      </c>
      <c r="Q58" s="0" t="n">
        <f aca="false">SUMPRODUCT((Rules!$A$2:$A$60=Q$1)*Rules!$C$2:$C$60*ISNUMBER(SEARCH(Rules!$E$2:$E$60,$D58)))</f>
        <v>0</v>
      </c>
      <c r="R58" s="0" t="str">
        <f aca="false">IF(OR(MAX(L58:Q58)&lt;Rules!$H$1,MAX(L58:Q58)-LARGE(L58:Q58,2)&lt;Rules!$H$2),"No label",INDEX($L$1:$Q$1,MATCH(MAX(L58:Q58),L58:Q58,0)))</f>
        <v>Account Access</v>
      </c>
      <c r="S58" s="0" t="n">
        <f aca="false">SUMPRODUCT(ISNUMBER(SEARCH(" "&amp;Terms!$A$3:$A$821&amp;" ",$D58))*Terms!B$3:B$821)+Terms!B$2</f>
        <v>7.74901105396264</v>
      </c>
      <c r="T58" s="0" t="n">
        <f aca="false">SUMPRODUCT(ISNUMBER(SEARCH(" "&amp;Terms!$A$3:$A$821&amp;" ",$D58))*Terms!C$3:C$821)+Terms!C$2</f>
        <v>-5.1434894292645</v>
      </c>
      <c r="U58" s="0" t="n">
        <f aca="false">SUMPRODUCT(ISNUMBER(SEARCH(" "&amp;Terms!$A$3:$A$821&amp;" ",$D58))*Terms!D$3:D$821)+Terms!D$2</f>
        <v>-0.443719600749456</v>
      </c>
      <c r="V58" s="0" t="n">
        <f aca="false">SUMPRODUCT(ISNUMBER(SEARCH(" "&amp;Terms!$A$3:$A$821&amp;" ",$D58))*Terms!E$3:E$821)+Terms!E$2</f>
        <v>-5.18688551068501</v>
      </c>
      <c r="W58" s="0" t="n">
        <f aca="false">SUMPRODUCT(ISNUMBER(SEARCH(" "&amp;Terms!$A$3:$A$821&amp;" ",$D58))*Terms!F$3:F$821)+Terms!F$2</f>
        <v>-5.33451851532807</v>
      </c>
      <c r="X58" s="0" t="n">
        <f aca="false">SUMPRODUCT(ISNUMBER(SEARCH(" "&amp;Terms!$A$3:$A$821&amp;" ",$D58))*Terms!G$3:G$821)+Terms!G$2</f>
        <v>8.35960200206448</v>
      </c>
      <c r="Y58" s="0" t="str">
        <f aca="false">INDEX($S$1:$X$1,MATCH(MAX(S58:X58),S58:X58,0))</f>
        <v>Mis-selling</v>
      </c>
      <c r="Z58" s="0" t="s">
        <v>2607</v>
      </c>
    </row>
    <row r="59" customFormat="false" ht="15" hidden="false" customHeight="false" outlineLevel="0" collapsed="false">
      <c r="A59" s="0" t="str">
        <f aca="false">Complaints!A59</f>
        <v>C0058</v>
      </c>
      <c r="B59" s="0" t="str">
        <f aca="false">Complaints!B59</f>
        <v>Why has my interest rate gone up without notice, it is costing me more every month. I want this put right.</v>
      </c>
      <c r="C59" s="0" t="str">
        <f aca="false">Complaints!C59</f>
        <v>Fees &amp; Charges</v>
      </c>
      <c r="D59" s="0" t="str">
        <f aca="false">" "&amp;TRIM(SUBSTITUTE(SUBSTITUTE(SUBSTITUTE(SUBSTITUTE(SUBSTITUTE(SUBSTITUTE(SUBSTITUTE(SUBSTITUTE(SUBSTITUTE(SUBSTITUTE(SUBSTITUTE(SUBSTITUTE(SUBSTITUTE(SUBSTITUTE(SUBSTITUTE(SUBSTITUTE(LOWER(B59),"."," "),","," "),"'"," "),"’"," "),"!"," "),"?"," "),";"," "),":"," "),"-"," "),"("," "),")"," "),"""", " "),"£"," "),"&amp;"," "),"/"," "),"%"," "))&amp;" "</f>
        <v> why has my interest rate gone up without notice it is costing me more every month i want this put right </v>
      </c>
      <c r="E59" s="0" t="n">
        <f aca="false">SUMPRODUCT((Rules!$A$2:$A$60=E$1)*Rules!$C$2:$C$60*ISNUMBER(SEARCH(Rules!$D$2:$D$60,$D59)))</f>
        <v>0</v>
      </c>
      <c r="F59" s="0" t="n">
        <f aca="false">SUMPRODUCT((Rules!$A$2:$A$60=F$1)*Rules!$C$2:$C$60*ISNUMBER(SEARCH(Rules!$D$2:$D$60,$D59)))</f>
        <v>0</v>
      </c>
      <c r="G59" s="0" t="n">
        <f aca="false">SUMPRODUCT((Rules!$A$2:$A$60=G$1)*Rules!$C$2:$C$60*ISNUMBER(SEARCH(Rules!$D$2:$D$60,$D59)))</f>
        <v>0</v>
      </c>
      <c r="H59" s="0" t="n">
        <f aca="false">SUMPRODUCT((Rules!$A$2:$A$60=H$1)*Rules!$C$2:$C$60*ISNUMBER(SEARCH(Rules!$D$2:$D$60,$D59)))</f>
        <v>2</v>
      </c>
      <c r="I59" s="0" t="n">
        <f aca="false">SUMPRODUCT((Rules!$A$2:$A$60=I$1)*Rules!$C$2:$C$60*ISNUMBER(SEARCH(Rules!$D$2:$D$60,$D59)))</f>
        <v>0</v>
      </c>
      <c r="J59" s="0" t="n">
        <f aca="false">SUMPRODUCT((Rules!$A$2:$A$60=J$1)*Rules!$C$2:$C$60*ISNUMBER(SEARCH(Rules!$D$2:$D$60,$D59)))</f>
        <v>0</v>
      </c>
      <c r="K59" s="0" t="str">
        <f aca="false">IF(OR(MAX(E59:J59)&lt;Rules!$H$1,MAX(E59:J59)-LARGE(E59:J59,2)&lt;Rules!$H$2),"No label",INDEX($E$1:$J$1,MATCH(MAX(E59:J59),E59:J59,0)))</f>
        <v>No label</v>
      </c>
      <c r="L59" s="0" t="n">
        <f aca="false">SUMPRODUCT((Rules!$A$2:$A$60=L$1)*Rules!$C$2:$C$60*ISNUMBER(SEARCH(Rules!$E$2:$E$60,$D59)))</f>
        <v>0</v>
      </c>
      <c r="M59" s="0" t="n">
        <f aca="false">SUMPRODUCT((Rules!$A$2:$A$60=M$1)*Rules!$C$2:$C$60*ISNUMBER(SEARCH(Rules!$E$2:$E$60,$D59)))</f>
        <v>0</v>
      </c>
      <c r="N59" s="0" t="n">
        <f aca="false">SUMPRODUCT((Rules!$A$2:$A$60=N$1)*Rules!$C$2:$C$60*ISNUMBER(SEARCH(Rules!$E$2:$E$60,$D59)))</f>
        <v>0</v>
      </c>
      <c r="O59" s="0" t="n">
        <f aca="false">SUMPRODUCT((Rules!$A$2:$A$60=O$1)*Rules!$C$2:$C$60*ISNUMBER(SEARCH(Rules!$E$2:$E$60,$D59)))</f>
        <v>2</v>
      </c>
      <c r="P59" s="0" t="n">
        <f aca="false">SUMPRODUCT((Rules!$A$2:$A$60=P$1)*Rules!$C$2:$C$60*ISNUMBER(SEARCH(Rules!$E$2:$E$60,$D59)))</f>
        <v>0</v>
      </c>
      <c r="Q59" s="0" t="n">
        <f aca="false">SUMPRODUCT((Rules!$A$2:$A$60=Q$1)*Rules!$C$2:$C$60*ISNUMBER(SEARCH(Rules!$E$2:$E$60,$D59)))</f>
        <v>0</v>
      </c>
      <c r="R59" s="0" t="str">
        <f aca="false">IF(OR(MAX(L59:Q59)&lt;Rules!$H$1,MAX(L59:Q59)-LARGE(L59:Q59,2)&lt;Rules!$H$2),"No label",INDEX($L$1:$Q$1,MATCH(MAX(L59:Q59),L59:Q59,0)))</f>
        <v>No label</v>
      </c>
      <c r="S59" s="0" t="n">
        <f aca="false">SUMPRODUCT(ISNUMBER(SEARCH(" "&amp;Terms!$A$3:$A$821&amp;" ",$D59))*Terms!B$3:B$821)+Terms!B$2</f>
        <v>-1.97716925040388</v>
      </c>
      <c r="T59" s="0" t="n">
        <f aca="false">SUMPRODUCT(ISNUMBER(SEARCH(" "&amp;Terms!$A$3:$A$821&amp;" ",$D59))*Terms!C$3:C$821)+Terms!C$2</f>
        <v>-3.77702962934062</v>
      </c>
      <c r="U59" s="0" t="n">
        <f aca="false">SUMPRODUCT(ISNUMBER(SEARCH(" "&amp;Terms!$A$3:$A$821&amp;" ",$D59))*Terms!D$3:D$821)+Terms!D$2</f>
        <v>-0.671747470045964</v>
      </c>
      <c r="V59" s="0" t="n">
        <f aca="false">SUMPRODUCT(ISNUMBER(SEARCH(" "&amp;Terms!$A$3:$A$821&amp;" ",$D59))*Terms!E$3:E$821)+Terms!E$2</f>
        <v>7.96935379093086</v>
      </c>
      <c r="W59" s="0" t="n">
        <f aca="false">SUMPRODUCT(ISNUMBER(SEARCH(" "&amp;Terms!$A$3:$A$821&amp;" ",$D59))*Terms!F$3:F$821)+Terms!F$2</f>
        <v>0.699259653570882</v>
      </c>
      <c r="X59" s="0" t="n">
        <f aca="false">SUMPRODUCT(ISNUMBER(SEARCH(" "&amp;Terms!$A$3:$A$821&amp;" ",$D59))*Terms!G$3:G$821)+Terms!G$2</f>
        <v>-2.24266709471118</v>
      </c>
      <c r="Y59" s="0" t="str">
        <f aca="false">INDEX($S$1:$X$1,MATCH(MAX(S59:X59),S59:X59,0))</f>
        <v>Fees &amp; Charges</v>
      </c>
      <c r="Z59" s="0" t="s">
        <v>2607</v>
      </c>
    </row>
    <row r="60" customFormat="false" ht="15" hidden="false" customHeight="false" outlineLevel="0" collapsed="false">
      <c r="A60" s="0" t="str">
        <f aca="false">Complaints!A60</f>
        <v>C0059</v>
      </c>
      <c r="B60" s="0" t="str">
        <f aca="false">Complaints!B60</f>
        <v>Frankly, The account maintenance fee was taken twice this month. It has also been taking far too long.</v>
      </c>
      <c r="C60" s="0" t="str">
        <f aca="false">Complaints!C60</f>
        <v>Fees &amp; Charges</v>
      </c>
      <c r="D60" s="0" t="str">
        <f aca="false">" "&amp;TRIM(SUBSTITUTE(SUBSTITUTE(SUBSTITUTE(SUBSTITUTE(SUBSTITUTE(SUBSTITUTE(SUBSTITUTE(SUBSTITUTE(SUBSTITUTE(SUBSTITUTE(SUBSTITUTE(SUBSTITUTE(SUBSTITUTE(SUBSTITUTE(SUBSTITUTE(SUBSTITUTE(LOWER(B60),"."," "),","," "),"'"," "),"’"," "),"!"," "),"?"," "),";"," "),":"," "),"-"," "),"("," "),")"," "),"""", " "),"£"," "),"&amp;"," "),"/"," "),"%"," "))&amp;" "</f>
        <v> frankly the account maintenance fee was taken twice this month it has also been taking far too long </v>
      </c>
      <c r="E60" s="0" t="n">
        <f aca="false">SUMPRODUCT((Rules!$A$2:$A$60=E$1)*Rules!$C$2:$C$60*ISNUMBER(SEARCH(Rules!$D$2:$D$60,$D60)))</f>
        <v>0</v>
      </c>
      <c r="F60" s="0" t="n">
        <f aca="false">SUMPRODUCT((Rules!$A$2:$A$60=F$1)*Rules!$C$2:$C$60*ISNUMBER(SEARCH(Rules!$D$2:$D$60,$D60)))</f>
        <v>0</v>
      </c>
      <c r="G60" s="0" t="n">
        <f aca="false">SUMPRODUCT((Rules!$A$2:$A$60=G$1)*Rules!$C$2:$C$60*ISNUMBER(SEARCH(Rules!$D$2:$D$60,$D60)))</f>
        <v>0</v>
      </c>
      <c r="H60" s="0" t="n">
        <f aca="false">SUMPRODUCT((Rules!$A$2:$A$60=H$1)*Rules!$C$2:$C$60*ISNUMBER(SEARCH(Rules!$D$2:$D$60,$D60)))</f>
        <v>2</v>
      </c>
      <c r="I60" s="0" t="n">
        <f aca="false">SUMPRODUCT((Rules!$A$2:$A$60=I$1)*Rules!$C$2:$C$60*ISNUMBER(SEARCH(Rules!$D$2:$D$60,$D60)))</f>
        <v>0</v>
      </c>
      <c r="J60" s="0" t="n">
        <f aca="false">SUMPRODUCT((Rules!$A$2:$A$60=J$1)*Rules!$C$2:$C$60*ISNUMBER(SEARCH(Rules!$D$2:$D$60,$D60)))</f>
        <v>0</v>
      </c>
      <c r="K60" s="0" t="str">
        <f aca="false">IF(OR(MAX(E60:J60)&lt;Rules!$H$1,MAX(E60:J60)-LARGE(E60:J60,2)&lt;Rules!$H$2),"No label",INDEX($E$1:$J$1,MATCH(MAX(E60:J60),E60:J60,0)))</f>
        <v>No label</v>
      </c>
      <c r="L60" s="0" t="n">
        <f aca="false">SUMPRODUCT((Rules!$A$2:$A$60=L$1)*Rules!$C$2:$C$60*ISNUMBER(SEARCH(Rules!$E$2:$E$60,$D60)))</f>
        <v>0</v>
      </c>
      <c r="M60" s="0" t="n">
        <f aca="false">SUMPRODUCT((Rules!$A$2:$A$60=M$1)*Rules!$C$2:$C$60*ISNUMBER(SEARCH(Rules!$E$2:$E$60,$D60)))</f>
        <v>0</v>
      </c>
      <c r="N60" s="0" t="n">
        <f aca="false">SUMPRODUCT((Rules!$A$2:$A$60=N$1)*Rules!$C$2:$C$60*ISNUMBER(SEARCH(Rules!$E$2:$E$60,$D60)))</f>
        <v>0</v>
      </c>
      <c r="O60" s="0" t="n">
        <f aca="false">SUMPRODUCT((Rules!$A$2:$A$60=O$1)*Rules!$C$2:$C$60*ISNUMBER(SEARCH(Rules!$E$2:$E$60,$D60)))</f>
        <v>2</v>
      </c>
      <c r="P60" s="0" t="n">
        <f aca="false">SUMPRODUCT((Rules!$A$2:$A$60=P$1)*Rules!$C$2:$C$60*ISNUMBER(SEARCH(Rules!$E$2:$E$60,$D60)))</f>
        <v>0</v>
      </c>
      <c r="Q60" s="0" t="n">
        <f aca="false">SUMPRODUCT((Rules!$A$2:$A$60=Q$1)*Rules!$C$2:$C$60*ISNUMBER(SEARCH(Rules!$E$2:$E$60,$D60)))</f>
        <v>0</v>
      </c>
      <c r="R60" s="0" t="str">
        <f aca="false">IF(OR(MAX(L60:Q60)&lt;Rules!$H$1,MAX(L60:Q60)-LARGE(L60:Q60,2)&lt;Rules!$H$2),"No label",INDEX($L$1:$Q$1,MATCH(MAX(L60:Q60),L60:Q60,0)))</f>
        <v>No label</v>
      </c>
      <c r="S60" s="0" t="n">
        <f aca="false">SUMPRODUCT(ISNUMBER(SEARCH(" "&amp;Terms!$A$3:$A$821&amp;" ",$D60))*Terms!B$3:B$821)+Terms!B$2</f>
        <v>-2.35322376642688</v>
      </c>
      <c r="T60" s="0" t="n">
        <f aca="false">SUMPRODUCT(ISNUMBER(SEARCH(" "&amp;Terms!$A$3:$A$821&amp;" ",$D60))*Terms!C$3:C$821)+Terms!C$2</f>
        <v>-2.78567129246715</v>
      </c>
      <c r="U60" s="0" t="n">
        <f aca="false">SUMPRODUCT(ISNUMBER(SEARCH(" "&amp;Terms!$A$3:$A$821&amp;" ",$D60))*Terms!D$3:D$821)+Terms!D$2</f>
        <v>0.394423099717545</v>
      </c>
      <c r="V60" s="0" t="n">
        <f aca="false">SUMPRODUCT(ISNUMBER(SEARCH(" "&amp;Terms!$A$3:$A$821&amp;" ",$D60))*Terms!E$3:E$821)+Terms!E$2</f>
        <v>13.0326034028493</v>
      </c>
      <c r="W60" s="0" t="n">
        <f aca="false">SUMPRODUCT(ISNUMBER(SEARCH(" "&amp;Terms!$A$3:$A$821&amp;" ",$D60))*Terms!F$3:F$821)+Terms!F$2</f>
        <v>-2.20120717873733</v>
      </c>
      <c r="X60" s="0" t="n">
        <f aca="false">SUMPRODUCT(ISNUMBER(SEARCH(" "&amp;Terms!$A$3:$A$821&amp;" ",$D60))*Terms!G$3:G$821)+Terms!G$2</f>
        <v>-6.08692426493545</v>
      </c>
      <c r="Y60" s="0" t="str">
        <f aca="false">INDEX($S$1:$X$1,MATCH(MAX(S60:X60),S60:X60,0))</f>
        <v>Fees &amp; Charges</v>
      </c>
      <c r="Z60" s="0" t="s">
        <v>2607</v>
      </c>
    </row>
    <row r="61" customFormat="false" ht="15" hidden="false" customHeight="false" outlineLevel="0" collapsed="false">
      <c r="A61" s="0" t="str">
        <f aca="false">Complaints!A61</f>
        <v>C0060</v>
      </c>
      <c r="B61" s="0" t="str">
        <f aca="false">Complaints!B61</f>
        <v>I feel I was treated badly because of my age.</v>
      </c>
      <c r="C61" s="0" t="str">
        <f aca="false">Complaints!C61</f>
        <v>Customer Service</v>
      </c>
      <c r="D61" s="0" t="str">
        <f aca="false">" "&amp;TRIM(SUBSTITUTE(SUBSTITUTE(SUBSTITUTE(SUBSTITUTE(SUBSTITUTE(SUBSTITUTE(SUBSTITUTE(SUBSTITUTE(SUBSTITUTE(SUBSTITUTE(SUBSTITUTE(SUBSTITUTE(SUBSTITUTE(SUBSTITUTE(SUBSTITUTE(SUBSTITUTE(LOWER(B61),"."," "),","," "),"'"," "),"’"," "),"!"," "),"?"," "),";"," "),":"," "),"-"," "),"("," "),")"," "),"""", " "),"£"," "),"&amp;"," "),"/"," "),"%"," "))&amp;" "</f>
        <v> i feel i was treated badly because of my age </v>
      </c>
      <c r="E61" s="0" t="n">
        <f aca="false">SUMPRODUCT((Rules!$A$2:$A$60=E$1)*Rules!$C$2:$C$60*ISNUMBER(SEARCH(Rules!$D$2:$D$60,$D61)))</f>
        <v>0</v>
      </c>
      <c r="F61" s="0" t="n">
        <f aca="false">SUMPRODUCT((Rules!$A$2:$A$60=F$1)*Rules!$C$2:$C$60*ISNUMBER(SEARCH(Rules!$D$2:$D$60,$D61)))</f>
        <v>0</v>
      </c>
      <c r="G61" s="0" t="n">
        <f aca="false">SUMPRODUCT((Rules!$A$2:$A$60=G$1)*Rules!$C$2:$C$60*ISNUMBER(SEARCH(Rules!$D$2:$D$60,$D61)))</f>
        <v>0</v>
      </c>
      <c r="H61" s="0" t="n">
        <f aca="false">SUMPRODUCT((Rules!$A$2:$A$60=H$1)*Rules!$C$2:$C$60*ISNUMBER(SEARCH(Rules!$D$2:$D$60,$D61)))</f>
        <v>0</v>
      </c>
      <c r="I61" s="0" t="n">
        <f aca="false">SUMPRODUCT((Rules!$A$2:$A$60=I$1)*Rules!$C$2:$C$60*ISNUMBER(SEARCH(Rules!$D$2:$D$60,$D61)))</f>
        <v>0</v>
      </c>
      <c r="J61" s="0" t="n">
        <f aca="false">SUMPRODUCT((Rules!$A$2:$A$60=J$1)*Rules!$C$2:$C$60*ISNUMBER(SEARCH(Rules!$D$2:$D$60,$D61)))</f>
        <v>3</v>
      </c>
      <c r="K61" s="0" t="str">
        <f aca="false">IF(OR(MAX(E61:J61)&lt;Rules!$H$1,MAX(E61:J61)-LARGE(E61:J61,2)&lt;Rules!$H$2),"No label",INDEX($E$1:$J$1,MATCH(MAX(E61:J61),E61:J61,0)))</f>
        <v>Customer Service</v>
      </c>
      <c r="L61" s="0" t="n">
        <f aca="false">SUMPRODUCT((Rules!$A$2:$A$60=L$1)*Rules!$C$2:$C$60*ISNUMBER(SEARCH(Rules!$E$2:$E$60,$D61)))</f>
        <v>0</v>
      </c>
      <c r="M61" s="0" t="n">
        <f aca="false">SUMPRODUCT((Rules!$A$2:$A$60=M$1)*Rules!$C$2:$C$60*ISNUMBER(SEARCH(Rules!$E$2:$E$60,$D61)))</f>
        <v>0</v>
      </c>
      <c r="N61" s="0" t="n">
        <f aca="false">SUMPRODUCT((Rules!$A$2:$A$60=N$1)*Rules!$C$2:$C$60*ISNUMBER(SEARCH(Rules!$E$2:$E$60,$D61)))</f>
        <v>0</v>
      </c>
      <c r="O61" s="0" t="n">
        <f aca="false">SUMPRODUCT((Rules!$A$2:$A$60=O$1)*Rules!$C$2:$C$60*ISNUMBER(SEARCH(Rules!$E$2:$E$60,$D61)))</f>
        <v>0</v>
      </c>
      <c r="P61" s="0" t="n">
        <f aca="false">SUMPRODUCT((Rules!$A$2:$A$60=P$1)*Rules!$C$2:$C$60*ISNUMBER(SEARCH(Rules!$E$2:$E$60,$D61)))</f>
        <v>0</v>
      </c>
      <c r="Q61" s="0" t="n">
        <f aca="false">SUMPRODUCT((Rules!$A$2:$A$60=Q$1)*Rules!$C$2:$C$60*ISNUMBER(SEARCH(Rules!$E$2:$E$60,$D61)))</f>
        <v>3</v>
      </c>
      <c r="R61" s="0" t="str">
        <f aca="false">IF(OR(MAX(L61:Q61)&lt;Rules!$H$1,MAX(L61:Q61)-LARGE(L61:Q61,2)&lt;Rules!$H$2),"No label",INDEX($L$1:$Q$1,MATCH(MAX(L61:Q61),L61:Q61,0)))</f>
        <v>Customer Service</v>
      </c>
      <c r="S61" s="0" t="n">
        <f aca="false">SUMPRODUCT(ISNUMBER(SEARCH(" "&amp;Terms!$A$3:$A$821&amp;" ",$D61))*Terms!B$3:B$821)+Terms!B$2</f>
        <v>-0.0907034220303899</v>
      </c>
      <c r="T61" s="0" t="n">
        <f aca="false">SUMPRODUCT(ISNUMBER(SEARCH(" "&amp;Terms!$A$3:$A$821&amp;" ",$D61))*Terms!C$3:C$821)+Terms!C$2</f>
        <v>8.8689746475802</v>
      </c>
      <c r="U61" s="0" t="n">
        <f aca="false">SUMPRODUCT(ISNUMBER(SEARCH(" "&amp;Terms!$A$3:$A$821&amp;" ",$D61))*Terms!D$3:D$821)+Terms!D$2</f>
        <v>-3.23726593665695</v>
      </c>
      <c r="V61" s="0" t="n">
        <f aca="false">SUMPRODUCT(ISNUMBER(SEARCH(" "&amp;Terms!$A$3:$A$821&amp;" ",$D61))*Terms!E$3:E$821)+Terms!E$2</f>
        <v>-3.21845980985427</v>
      </c>
      <c r="W61" s="0" t="n">
        <f aca="false">SUMPRODUCT(ISNUMBER(SEARCH(" "&amp;Terms!$A$3:$A$821&amp;" ",$D61))*Terms!F$3:F$821)+Terms!F$2</f>
        <v>-1.89803584063372</v>
      </c>
      <c r="X61" s="0" t="n">
        <f aca="false">SUMPRODUCT(ISNUMBER(SEARCH(" "&amp;Terms!$A$3:$A$821&amp;" ",$D61))*Terms!G$3:G$821)+Terms!G$2</f>
        <v>-0.424509638404761</v>
      </c>
      <c r="Y61" s="0" t="str">
        <f aca="false">INDEX($S$1:$X$1,MATCH(MAX(S61:X61),S61:X61,0))</f>
        <v>Customer Service</v>
      </c>
      <c r="Z61" s="0" t="s">
        <v>2607</v>
      </c>
    </row>
    <row r="62" customFormat="false" ht="15" hidden="false" customHeight="false" outlineLevel="0" collapsed="false">
      <c r="A62" s="0" t="str">
        <f aca="false">Complaints!A62</f>
        <v>C0061</v>
      </c>
      <c r="B62" s="0" t="str">
        <f aca="false">Complaints!B62</f>
        <v>I have been a customer for years. I asked for a callback and it never happened. Also, you promised the money within three working days and it is still outstanding.</v>
      </c>
      <c r="C62" s="0" t="str">
        <f aca="false">Complaints!C62</f>
        <v>Customer Service</v>
      </c>
      <c r="D62" s="0" t="str">
        <f aca="false">" "&amp;TRIM(SUBSTITUTE(SUBSTITUTE(SUBSTITUTE(SUBSTITUTE(SUBSTITUTE(SUBSTITUTE(SUBSTITUTE(SUBSTITUTE(SUBSTITUTE(SUBSTITUTE(SUBSTITUTE(SUBSTITUTE(SUBSTITUTE(SUBSTITUTE(SUBSTITUTE(SUBSTITUTE(LOWER(B62),"."," "),","," "),"'"," "),"’"," "),"!"," "),"?"," "),";"," "),":"," "),"-"," "),"("," "),")"," "),"""", " "),"£"," "),"&amp;"," "),"/"," "),"%"," "))&amp;" "</f>
        <v> i have been a customer for years i asked for a callback and it never happened also you promised the money within three working days and it is still outstanding </v>
      </c>
      <c r="E62" s="0" t="n">
        <f aca="false">SUMPRODUCT((Rules!$A$2:$A$60=E$1)*Rules!$C$2:$C$60*ISNUMBER(SEARCH(Rules!$D$2:$D$60,$D62)))</f>
        <v>0</v>
      </c>
      <c r="F62" s="0" t="n">
        <f aca="false">SUMPRODUCT((Rules!$A$2:$A$60=F$1)*Rules!$C$2:$C$60*ISNUMBER(SEARCH(Rules!$D$2:$D$60,$D62)))</f>
        <v>1</v>
      </c>
      <c r="G62" s="0" t="n">
        <f aca="false">SUMPRODUCT((Rules!$A$2:$A$60=G$1)*Rules!$C$2:$C$60*ISNUMBER(SEARCH(Rules!$D$2:$D$60,$D62)))</f>
        <v>0</v>
      </c>
      <c r="H62" s="0" t="n">
        <f aca="false">SUMPRODUCT((Rules!$A$2:$A$60=H$1)*Rules!$C$2:$C$60*ISNUMBER(SEARCH(Rules!$D$2:$D$60,$D62)))</f>
        <v>0</v>
      </c>
      <c r="I62" s="0" t="n">
        <f aca="false">SUMPRODUCT((Rules!$A$2:$A$60=I$1)*Rules!$C$2:$C$60*ISNUMBER(SEARCH(Rules!$D$2:$D$60,$D62)))</f>
        <v>2</v>
      </c>
      <c r="J62" s="0" t="n">
        <f aca="false">SUMPRODUCT((Rules!$A$2:$A$60=J$1)*Rules!$C$2:$C$60*ISNUMBER(SEARCH(Rules!$D$2:$D$60,$D62)))</f>
        <v>2</v>
      </c>
      <c r="K62" s="0" t="str">
        <f aca="false">IF(OR(MAX(E62:J62)&lt;Rules!$H$1,MAX(E62:J62)-LARGE(E62:J62,2)&lt;Rules!$H$2),"No label",INDEX($E$1:$J$1,MATCH(MAX(E62:J62),E62:J62,0)))</f>
        <v>No label</v>
      </c>
      <c r="L62" s="0" t="n">
        <f aca="false">SUMPRODUCT((Rules!$A$2:$A$60=L$1)*Rules!$C$2:$C$60*ISNUMBER(SEARCH(Rules!$E$2:$E$60,$D62)))</f>
        <v>0</v>
      </c>
      <c r="M62" s="0" t="n">
        <f aca="false">SUMPRODUCT((Rules!$A$2:$A$60=M$1)*Rules!$C$2:$C$60*ISNUMBER(SEARCH(Rules!$E$2:$E$60,$D62)))</f>
        <v>1</v>
      </c>
      <c r="N62" s="0" t="n">
        <f aca="false">SUMPRODUCT((Rules!$A$2:$A$60=N$1)*Rules!$C$2:$C$60*ISNUMBER(SEARCH(Rules!$E$2:$E$60,$D62)))</f>
        <v>0</v>
      </c>
      <c r="O62" s="0" t="n">
        <f aca="false">SUMPRODUCT((Rules!$A$2:$A$60=O$1)*Rules!$C$2:$C$60*ISNUMBER(SEARCH(Rules!$E$2:$E$60,$D62)))</f>
        <v>0</v>
      </c>
      <c r="P62" s="0" t="n">
        <f aca="false">SUMPRODUCT((Rules!$A$2:$A$60=P$1)*Rules!$C$2:$C$60*ISNUMBER(SEARCH(Rules!$E$2:$E$60,$D62)))</f>
        <v>2</v>
      </c>
      <c r="Q62" s="0" t="n">
        <f aca="false">SUMPRODUCT((Rules!$A$2:$A$60=Q$1)*Rules!$C$2:$C$60*ISNUMBER(SEARCH(Rules!$E$2:$E$60,$D62)))</f>
        <v>2</v>
      </c>
      <c r="R62" s="0" t="str">
        <f aca="false">IF(OR(MAX(L62:Q62)&lt;Rules!$H$1,MAX(L62:Q62)-LARGE(L62:Q62,2)&lt;Rules!$H$2),"No label",INDEX($L$1:$Q$1,MATCH(MAX(L62:Q62),L62:Q62,0)))</f>
        <v>No label</v>
      </c>
      <c r="S62" s="0" t="n">
        <f aca="false">SUMPRODUCT(ISNUMBER(SEARCH(" "&amp;Terms!$A$3:$A$821&amp;" ",$D62))*Terms!B$3:B$821)+Terms!B$2</f>
        <v>0.716730851975045</v>
      </c>
      <c r="T62" s="0" t="n">
        <f aca="false">SUMPRODUCT(ISNUMBER(SEARCH(" "&amp;Terms!$A$3:$A$821&amp;" ",$D62))*Terms!C$3:C$821)+Terms!C$2</f>
        <v>2.11026170623066</v>
      </c>
      <c r="U62" s="0" t="n">
        <f aca="false">SUMPRODUCT(ISNUMBER(SEARCH(" "&amp;Terms!$A$3:$A$821&amp;" ",$D62))*Terms!D$3:D$821)+Terms!D$2</f>
        <v>5.3257464535628</v>
      </c>
      <c r="V62" s="0" t="n">
        <f aca="false">SUMPRODUCT(ISNUMBER(SEARCH(" "&amp;Terms!$A$3:$A$821&amp;" ",$D62))*Terms!E$3:E$821)+Terms!E$2</f>
        <v>-3.35228362132993</v>
      </c>
      <c r="W62" s="0" t="n">
        <f aca="false">SUMPRODUCT(ISNUMBER(SEARCH(" "&amp;Terms!$A$3:$A$821&amp;" ",$D62))*Terms!F$3:F$821)+Terms!F$2</f>
        <v>-3.03983158108745</v>
      </c>
      <c r="X62" s="0" t="n">
        <f aca="false">SUMPRODUCT(ISNUMBER(SEARCH(" "&amp;Terms!$A$3:$A$821&amp;" ",$D62))*Terms!G$3:G$821)+Terms!G$2</f>
        <v>-1.76062380935104</v>
      </c>
      <c r="Y62" s="0" t="str">
        <f aca="false">INDEX($S$1:$X$1,MATCH(MAX(S62:X62),S62:X62,0))</f>
        <v>Delays &amp; Processing</v>
      </c>
      <c r="Z62" s="0" t="s">
        <v>2607</v>
      </c>
    </row>
    <row r="63" customFormat="false" ht="15" hidden="false" customHeight="false" outlineLevel="0" collapsed="false">
      <c r="A63" s="0" t="str">
        <f aca="false">Complaints!A63</f>
        <v>C0062</v>
      </c>
      <c r="B63" s="0" t="str">
        <f aca="false">Complaints!B63</f>
        <v>To whom it may concern, Why has my interest rate gone up without notice, it is costing me more every month. Please escalate this.</v>
      </c>
      <c r="C63" s="0" t="str">
        <f aca="false">Complaints!C63</f>
        <v>Fees &amp; Charges</v>
      </c>
      <c r="D63" s="0" t="str">
        <f aca="false">" "&amp;TRIM(SUBSTITUTE(SUBSTITUTE(SUBSTITUTE(SUBSTITUTE(SUBSTITUTE(SUBSTITUTE(SUBSTITUTE(SUBSTITUTE(SUBSTITUTE(SUBSTITUTE(SUBSTITUTE(SUBSTITUTE(SUBSTITUTE(SUBSTITUTE(SUBSTITUTE(SUBSTITUTE(LOWER(B63),"."," "),","," "),"'"," "),"’"," "),"!"," "),"?"," "),";"," "),":"," "),"-"," "),"("," "),")"," "),"""", " "),"£"," "),"&amp;"," "),"/"," "),"%"," "))&amp;" "</f>
        <v> to whom it may concern why has my interest rate gone up without notice it is costing me more every month please escalate this </v>
      </c>
      <c r="E63" s="0" t="n">
        <f aca="false">SUMPRODUCT((Rules!$A$2:$A$60=E$1)*Rules!$C$2:$C$60*ISNUMBER(SEARCH(Rules!$D$2:$D$60,$D63)))</f>
        <v>0</v>
      </c>
      <c r="F63" s="0" t="n">
        <f aca="false">SUMPRODUCT((Rules!$A$2:$A$60=F$1)*Rules!$C$2:$C$60*ISNUMBER(SEARCH(Rules!$D$2:$D$60,$D63)))</f>
        <v>0</v>
      </c>
      <c r="G63" s="0" t="n">
        <f aca="false">SUMPRODUCT((Rules!$A$2:$A$60=G$1)*Rules!$C$2:$C$60*ISNUMBER(SEARCH(Rules!$D$2:$D$60,$D63)))</f>
        <v>0</v>
      </c>
      <c r="H63" s="0" t="n">
        <f aca="false">SUMPRODUCT((Rules!$A$2:$A$60=H$1)*Rules!$C$2:$C$60*ISNUMBER(SEARCH(Rules!$D$2:$D$60,$D63)))</f>
        <v>2</v>
      </c>
      <c r="I63" s="0" t="n">
        <f aca="false">SUMPRODUCT((Rules!$A$2:$A$60=I$1)*Rules!$C$2:$C$60*ISNUMBER(SEARCH(Rules!$D$2:$D$60,$D63)))</f>
        <v>0</v>
      </c>
      <c r="J63" s="0" t="n">
        <f aca="false">SUMPRODUCT((Rules!$A$2:$A$60=J$1)*Rules!$C$2:$C$60*ISNUMBER(SEARCH(Rules!$D$2:$D$60,$D63)))</f>
        <v>0</v>
      </c>
      <c r="K63" s="0" t="str">
        <f aca="false">IF(OR(MAX(E63:J63)&lt;Rules!$H$1,MAX(E63:J63)-LARGE(E63:J63,2)&lt;Rules!$H$2),"No label",INDEX($E$1:$J$1,MATCH(MAX(E63:J63),E63:J63,0)))</f>
        <v>No label</v>
      </c>
      <c r="L63" s="0" t="n">
        <f aca="false">SUMPRODUCT((Rules!$A$2:$A$60=L$1)*Rules!$C$2:$C$60*ISNUMBER(SEARCH(Rules!$E$2:$E$60,$D63)))</f>
        <v>0</v>
      </c>
      <c r="M63" s="0" t="n">
        <f aca="false">SUMPRODUCT((Rules!$A$2:$A$60=M$1)*Rules!$C$2:$C$60*ISNUMBER(SEARCH(Rules!$E$2:$E$60,$D63)))</f>
        <v>0</v>
      </c>
      <c r="N63" s="0" t="n">
        <f aca="false">SUMPRODUCT((Rules!$A$2:$A$60=N$1)*Rules!$C$2:$C$60*ISNUMBER(SEARCH(Rules!$E$2:$E$60,$D63)))</f>
        <v>0</v>
      </c>
      <c r="O63" s="0" t="n">
        <f aca="false">SUMPRODUCT((Rules!$A$2:$A$60=O$1)*Rules!$C$2:$C$60*ISNUMBER(SEARCH(Rules!$E$2:$E$60,$D63)))</f>
        <v>2</v>
      </c>
      <c r="P63" s="0" t="n">
        <f aca="false">SUMPRODUCT((Rules!$A$2:$A$60=P$1)*Rules!$C$2:$C$60*ISNUMBER(SEARCH(Rules!$E$2:$E$60,$D63)))</f>
        <v>0</v>
      </c>
      <c r="Q63" s="0" t="n">
        <f aca="false">SUMPRODUCT((Rules!$A$2:$A$60=Q$1)*Rules!$C$2:$C$60*ISNUMBER(SEARCH(Rules!$E$2:$E$60,$D63)))</f>
        <v>0</v>
      </c>
      <c r="R63" s="0" t="str">
        <f aca="false">IF(OR(MAX(L63:Q63)&lt;Rules!$H$1,MAX(L63:Q63)-LARGE(L63:Q63,2)&lt;Rules!$H$2),"No label",INDEX($L$1:$Q$1,MATCH(MAX(L63:Q63),L63:Q63,0)))</f>
        <v>No label</v>
      </c>
      <c r="S63" s="0" t="n">
        <f aca="false">SUMPRODUCT(ISNUMBER(SEARCH(" "&amp;Terms!$A$3:$A$821&amp;" ",$D63))*Terms!B$3:B$821)+Terms!B$2</f>
        <v>-1.01069761359481</v>
      </c>
      <c r="T63" s="0" t="n">
        <f aca="false">SUMPRODUCT(ISNUMBER(SEARCH(" "&amp;Terms!$A$3:$A$821&amp;" ",$D63))*Terms!C$3:C$821)+Terms!C$2</f>
        <v>-1.75154680818075</v>
      </c>
      <c r="U63" s="0" t="n">
        <f aca="false">SUMPRODUCT(ISNUMBER(SEARCH(" "&amp;Terms!$A$3:$A$821&amp;" ",$D63))*Terms!D$3:D$821)+Terms!D$2</f>
        <v>-0.473586749860727</v>
      </c>
      <c r="V63" s="0" t="n">
        <f aca="false">SUMPRODUCT(ISNUMBER(SEARCH(" "&amp;Terms!$A$3:$A$821&amp;" ",$D63))*Terms!E$3:E$821)+Terms!E$2</f>
        <v>8.20938853625702</v>
      </c>
      <c r="W63" s="0" t="n">
        <f aca="false">SUMPRODUCT(ISNUMBER(SEARCH(" "&amp;Terms!$A$3:$A$821&amp;" ",$D63))*Terms!F$3:F$821)+Terms!F$2</f>
        <v>-2.47406233068514</v>
      </c>
      <c r="X63" s="0" t="n">
        <f aca="false">SUMPRODUCT(ISNUMBER(SEARCH(" "&amp;Terms!$A$3:$A$821&amp;" ",$D63))*Terms!G$3:G$821)+Terms!G$2</f>
        <v>-2.49949503393549</v>
      </c>
      <c r="Y63" s="0" t="str">
        <f aca="false">INDEX($S$1:$X$1,MATCH(MAX(S63:X63),S63:X63,0))</f>
        <v>Fees &amp; Charges</v>
      </c>
      <c r="Z63" s="0" t="s">
        <v>2607</v>
      </c>
    </row>
    <row r="64" customFormat="false" ht="15" hidden="false" customHeight="false" outlineLevel="0" collapsed="false">
      <c r="A64" s="0" t="str">
        <f aca="false">Complaints!A64</f>
        <v>C0063</v>
      </c>
      <c r="B64" s="0" t="str">
        <f aca="false">Complaints!B64</f>
        <v>To whom it may concern, The account maintenance fee was taken twice this month. Also, the paperwork was submitted a month ago and I am still waiting. Please escalate this.</v>
      </c>
      <c r="C64" s="0" t="str">
        <f aca="false">Complaints!C64</f>
        <v>Fees &amp; Charges</v>
      </c>
      <c r="D64" s="0" t="str">
        <f aca="false">" "&amp;TRIM(SUBSTITUTE(SUBSTITUTE(SUBSTITUTE(SUBSTITUTE(SUBSTITUTE(SUBSTITUTE(SUBSTITUTE(SUBSTITUTE(SUBSTITUTE(SUBSTITUTE(SUBSTITUTE(SUBSTITUTE(SUBSTITUTE(SUBSTITUTE(SUBSTITUTE(SUBSTITUTE(LOWER(B64),"."," "),","," "),"'"," "),"’"," "),"!"," "),"?"," "),";"," "),":"," "),"-"," "),"("," "),")"," "),"""", " "),"£"," "),"&amp;"," "),"/"," "),"%"," "))&amp;" "</f>
        <v> to whom it may concern the account maintenance fee was taken twice this month also the paperwork was submitted a month ago and i am still waiting please escalate this </v>
      </c>
      <c r="E64" s="0" t="n">
        <f aca="false">SUMPRODUCT((Rules!$A$2:$A$60=E$1)*Rules!$C$2:$C$60*ISNUMBER(SEARCH(Rules!$D$2:$D$60,$D64)))</f>
        <v>0</v>
      </c>
      <c r="F64" s="0" t="n">
        <f aca="false">SUMPRODUCT((Rules!$A$2:$A$60=F$1)*Rules!$C$2:$C$60*ISNUMBER(SEARCH(Rules!$D$2:$D$60,$D64)))</f>
        <v>0</v>
      </c>
      <c r="G64" s="0" t="n">
        <f aca="false">SUMPRODUCT((Rules!$A$2:$A$60=G$1)*Rules!$C$2:$C$60*ISNUMBER(SEARCH(Rules!$D$2:$D$60,$D64)))</f>
        <v>0</v>
      </c>
      <c r="H64" s="0" t="n">
        <f aca="false">SUMPRODUCT((Rules!$A$2:$A$60=H$1)*Rules!$C$2:$C$60*ISNUMBER(SEARCH(Rules!$D$2:$D$60,$D64)))</f>
        <v>2</v>
      </c>
      <c r="I64" s="0" t="n">
        <f aca="false">SUMPRODUCT((Rules!$A$2:$A$60=I$1)*Rules!$C$2:$C$60*ISNUMBER(SEARCH(Rules!$D$2:$D$60,$D64)))</f>
        <v>2</v>
      </c>
      <c r="J64" s="0" t="n">
        <f aca="false">SUMPRODUCT((Rules!$A$2:$A$60=J$1)*Rules!$C$2:$C$60*ISNUMBER(SEARCH(Rules!$D$2:$D$60,$D64)))</f>
        <v>0</v>
      </c>
      <c r="K64" s="0" t="str">
        <f aca="false">IF(OR(MAX(E64:J64)&lt;Rules!$H$1,MAX(E64:J64)-LARGE(E64:J64,2)&lt;Rules!$H$2),"No label",INDEX($E$1:$J$1,MATCH(MAX(E64:J64),E64:J64,0)))</f>
        <v>No label</v>
      </c>
      <c r="L64" s="0" t="n">
        <f aca="false">SUMPRODUCT((Rules!$A$2:$A$60=L$1)*Rules!$C$2:$C$60*ISNUMBER(SEARCH(Rules!$E$2:$E$60,$D64)))</f>
        <v>0</v>
      </c>
      <c r="M64" s="0" t="n">
        <f aca="false">SUMPRODUCT((Rules!$A$2:$A$60=M$1)*Rules!$C$2:$C$60*ISNUMBER(SEARCH(Rules!$E$2:$E$60,$D64)))</f>
        <v>0</v>
      </c>
      <c r="N64" s="0" t="n">
        <f aca="false">SUMPRODUCT((Rules!$A$2:$A$60=N$1)*Rules!$C$2:$C$60*ISNUMBER(SEARCH(Rules!$E$2:$E$60,$D64)))</f>
        <v>0</v>
      </c>
      <c r="O64" s="0" t="n">
        <f aca="false">SUMPRODUCT((Rules!$A$2:$A$60=O$1)*Rules!$C$2:$C$60*ISNUMBER(SEARCH(Rules!$E$2:$E$60,$D64)))</f>
        <v>2</v>
      </c>
      <c r="P64" s="0" t="n">
        <f aca="false">SUMPRODUCT((Rules!$A$2:$A$60=P$1)*Rules!$C$2:$C$60*ISNUMBER(SEARCH(Rules!$E$2:$E$60,$D64)))</f>
        <v>2</v>
      </c>
      <c r="Q64" s="0" t="n">
        <f aca="false">SUMPRODUCT((Rules!$A$2:$A$60=Q$1)*Rules!$C$2:$C$60*ISNUMBER(SEARCH(Rules!$E$2:$E$60,$D64)))</f>
        <v>0</v>
      </c>
      <c r="R64" s="0" t="str">
        <f aca="false">IF(OR(MAX(L64:Q64)&lt;Rules!$H$1,MAX(L64:Q64)-LARGE(L64:Q64,2)&lt;Rules!$H$2),"No label",INDEX($L$1:$Q$1,MATCH(MAX(L64:Q64),L64:Q64,0)))</f>
        <v>No label</v>
      </c>
      <c r="S64" s="0" t="n">
        <f aca="false">SUMPRODUCT(ISNUMBER(SEARCH(" "&amp;Terms!$A$3:$A$821&amp;" ",$D64))*Terms!B$3:B$821)+Terms!B$2</f>
        <v>-1.40290809625484</v>
      </c>
      <c r="T64" s="0" t="n">
        <f aca="false">SUMPRODUCT(ISNUMBER(SEARCH(" "&amp;Terms!$A$3:$A$821&amp;" ",$D64))*Terms!C$3:C$821)+Terms!C$2</f>
        <v>-3.35961226666737</v>
      </c>
      <c r="U64" s="0" t="n">
        <f aca="false">SUMPRODUCT(ISNUMBER(SEARCH(" "&amp;Terms!$A$3:$A$821&amp;" ",$D64))*Terms!D$3:D$821)+Terms!D$2</f>
        <v>5.91659980812822</v>
      </c>
      <c r="V64" s="0" t="n">
        <f aca="false">SUMPRODUCT(ISNUMBER(SEARCH(" "&amp;Terms!$A$3:$A$821&amp;" ",$D64))*Terms!E$3:E$821)+Terms!E$2</f>
        <v>11.3403648497525</v>
      </c>
      <c r="W64" s="0" t="n">
        <f aca="false">SUMPRODUCT(ISNUMBER(SEARCH(" "&amp;Terms!$A$3:$A$821&amp;" ",$D64))*Terms!F$3:F$821)+Terms!F$2</f>
        <v>-5.83853698993805</v>
      </c>
      <c r="X64" s="0" t="n">
        <f aca="false">SUMPRODUCT(ISNUMBER(SEARCH(" "&amp;Terms!$A$3:$A$821&amp;" ",$D64))*Terms!G$3:G$821)+Terms!G$2</f>
        <v>-6.65590730502037</v>
      </c>
      <c r="Y64" s="0" t="str">
        <f aca="false">INDEX($S$1:$X$1,MATCH(MAX(S64:X64),S64:X64,0))</f>
        <v>Fees &amp; Charges</v>
      </c>
      <c r="Z64" s="0" t="s">
        <v>2607</v>
      </c>
    </row>
    <row r="65" customFormat="false" ht="15" hidden="false" customHeight="false" outlineLevel="0" collapsed="false">
      <c r="A65" s="0" t="str">
        <f aca="false">Complaints!A65</f>
        <v>C0064</v>
      </c>
      <c r="B65" s="0" t="str">
        <f aca="false">Complaints!B65</f>
        <v>The website will not let me register for online access.</v>
      </c>
      <c r="C65" s="0" t="str">
        <f aca="false">Complaints!C65</f>
        <v>Account Access</v>
      </c>
      <c r="D65" s="0" t="str">
        <f aca="false">" "&amp;TRIM(SUBSTITUTE(SUBSTITUTE(SUBSTITUTE(SUBSTITUTE(SUBSTITUTE(SUBSTITUTE(SUBSTITUTE(SUBSTITUTE(SUBSTITUTE(SUBSTITUTE(SUBSTITUTE(SUBSTITUTE(SUBSTITUTE(SUBSTITUTE(SUBSTITUTE(SUBSTITUTE(LOWER(B65),"."," "),","," "),"'"," "),"’"," "),"!"," "),"?"," "),";"," "),":"," "),"-"," "),"("," "),")"," "),"""", " "),"£"," "),"&amp;"," "),"/"," "),"%"," "))&amp;" "</f>
        <v> the website will not let me register for online access </v>
      </c>
      <c r="E65" s="0" t="n">
        <f aca="false">SUMPRODUCT((Rules!$A$2:$A$60=E$1)*Rules!$C$2:$C$60*ISNUMBER(SEARCH(Rules!$D$2:$D$60,$D65)))</f>
        <v>0</v>
      </c>
      <c r="F65" s="0" t="n">
        <f aca="false">SUMPRODUCT((Rules!$A$2:$A$60=F$1)*Rules!$C$2:$C$60*ISNUMBER(SEARCH(Rules!$D$2:$D$60,$D65)))</f>
        <v>0</v>
      </c>
      <c r="G65" s="0" t="n">
        <f aca="false">SUMPRODUCT((Rules!$A$2:$A$60=G$1)*Rules!$C$2:$C$60*ISNUMBER(SEARCH(Rules!$D$2:$D$60,$D65)))</f>
        <v>1</v>
      </c>
      <c r="H65" s="0" t="n">
        <f aca="false">SUMPRODUCT((Rules!$A$2:$A$60=H$1)*Rules!$C$2:$C$60*ISNUMBER(SEARCH(Rules!$D$2:$D$60,$D65)))</f>
        <v>0</v>
      </c>
      <c r="I65" s="0" t="n">
        <f aca="false">SUMPRODUCT((Rules!$A$2:$A$60=I$1)*Rules!$C$2:$C$60*ISNUMBER(SEARCH(Rules!$D$2:$D$60,$D65)))</f>
        <v>0</v>
      </c>
      <c r="J65" s="0" t="n">
        <f aca="false">SUMPRODUCT((Rules!$A$2:$A$60=J$1)*Rules!$C$2:$C$60*ISNUMBER(SEARCH(Rules!$D$2:$D$60,$D65)))</f>
        <v>0</v>
      </c>
      <c r="K65" s="0" t="str">
        <f aca="false">IF(OR(MAX(E65:J65)&lt;Rules!$H$1,MAX(E65:J65)-LARGE(E65:J65,2)&lt;Rules!$H$2),"No label",INDEX($E$1:$J$1,MATCH(MAX(E65:J65),E65:J65,0)))</f>
        <v>No label</v>
      </c>
      <c r="L65" s="0" t="n">
        <f aca="false">SUMPRODUCT((Rules!$A$2:$A$60=L$1)*Rules!$C$2:$C$60*ISNUMBER(SEARCH(Rules!$E$2:$E$60,$D65)))</f>
        <v>0</v>
      </c>
      <c r="M65" s="0" t="n">
        <f aca="false">SUMPRODUCT((Rules!$A$2:$A$60=M$1)*Rules!$C$2:$C$60*ISNUMBER(SEARCH(Rules!$E$2:$E$60,$D65)))</f>
        <v>0</v>
      </c>
      <c r="N65" s="0" t="n">
        <f aca="false">SUMPRODUCT((Rules!$A$2:$A$60=N$1)*Rules!$C$2:$C$60*ISNUMBER(SEARCH(Rules!$E$2:$E$60,$D65)))</f>
        <v>1</v>
      </c>
      <c r="O65" s="0" t="n">
        <f aca="false">SUMPRODUCT((Rules!$A$2:$A$60=O$1)*Rules!$C$2:$C$60*ISNUMBER(SEARCH(Rules!$E$2:$E$60,$D65)))</f>
        <v>0</v>
      </c>
      <c r="P65" s="0" t="n">
        <f aca="false">SUMPRODUCT((Rules!$A$2:$A$60=P$1)*Rules!$C$2:$C$60*ISNUMBER(SEARCH(Rules!$E$2:$E$60,$D65)))</f>
        <v>0</v>
      </c>
      <c r="Q65" s="0" t="n">
        <f aca="false">SUMPRODUCT((Rules!$A$2:$A$60=Q$1)*Rules!$C$2:$C$60*ISNUMBER(SEARCH(Rules!$E$2:$E$60,$D65)))</f>
        <v>0</v>
      </c>
      <c r="R65" s="0" t="str">
        <f aca="false">IF(OR(MAX(L65:Q65)&lt;Rules!$H$1,MAX(L65:Q65)-LARGE(L65:Q65,2)&lt;Rules!$H$2),"No label",INDEX($L$1:$Q$1,MATCH(MAX(L65:Q65),L65:Q65,0)))</f>
        <v>No label</v>
      </c>
      <c r="S65" s="0" t="n">
        <f aca="false">SUMPRODUCT(ISNUMBER(SEARCH(" "&amp;Terms!$A$3:$A$821&amp;" ",$D65))*Terms!B$3:B$821)+Terms!B$2</f>
        <v>9.49881459532799</v>
      </c>
      <c r="T65" s="0" t="n">
        <f aca="false">SUMPRODUCT(ISNUMBER(SEARCH(" "&amp;Terms!$A$3:$A$821&amp;" ",$D65))*Terms!C$3:C$821)+Terms!C$2</f>
        <v>-4.08614726864611</v>
      </c>
      <c r="U65" s="0" t="n">
        <f aca="false">SUMPRODUCT(ISNUMBER(SEARCH(" "&amp;Terms!$A$3:$A$821&amp;" ",$D65))*Terms!D$3:D$821)+Terms!D$2</f>
        <v>-1.68085550934076</v>
      </c>
      <c r="V65" s="0" t="n">
        <f aca="false">SUMPRODUCT(ISNUMBER(SEARCH(" "&amp;Terms!$A$3:$A$821&amp;" ",$D65))*Terms!E$3:E$821)+Terms!E$2</f>
        <v>-2.61118003822842</v>
      </c>
      <c r="W65" s="0" t="n">
        <f aca="false">SUMPRODUCT(ISNUMBER(SEARCH(" "&amp;Terms!$A$3:$A$821&amp;" ",$D65))*Terms!F$3:F$821)+Terms!F$2</f>
        <v>-1.53640535265043</v>
      </c>
      <c r="X65" s="0" t="n">
        <f aca="false">SUMPRODUCT(ISNUMBER(SEARCH(" "&amp;Terms!$A$3:$A$821&amp;" ",$D65))*Terms!G$3:G$821)+Terms!G$2</f>
        <v>0.415773573537819</v>
      </c>
      <c r="Y65" s="0" t="str">
        <f aca="false">INDEX($S$1:$X$1,MATCH(MAX(S65:X65),S65:X65,0))</f>
        <v>Account Access</v>
      </c>
      <c r="Z65" s="0" t="s">
        <v>2607</v>
      </c>
    </row>
    <row r="66" customFormat="false" ht="15" hidden="false" customHeight="false" outlineLevel="0" collapsed="false">
      <c r="A66" s="0" t="str">
        <f aca="false">Complaints!A66</f>
        <v>C0065</v>
      </c>
      <c r="B66" s="0" t="str">
        <f aca="false">Complaints!B66</f>
        <v>Hello, The password reset keeps failing and I am locked out. There was also a fee involved.</v>
      </c>
      <c r="C66" s="0" t="str">
        <f aca="false">Complaints!C66</f>
        <v>Account Access</v>
      </c>
      <c r="D66" s="0" t="str">
        <f aca="false">" "&amp;TRIM(SUBSTITUTE(SUBSTITUTE(SUBSTITUTE(SUBSTITUTE(SUBSTITUTE(SUBSTITUTE(SUBSTITUTE(SUBSTITUTE(SUBSTITUTE(SUBSTITUTE(SUBSTITUTE(SUBSTITUTE(SUBSTITUTE(SUBSTITUTE(SUBSTITUTE(SUBSTITUTE(LOWER(B66),"."," "),","," "),"'"," "),"’"," "),"!"," "),"?"," "),";"," "),":"," "),"-"," "),"("," "),")"," "),"""", " "),"£"," "),"&amp;"," "),"/"," "),"%"," "))&amp;" "</f>
        <v> hello the password reset keeps failing and i am locked out there was also a fee involved </v>
      </c>
      <c r="E66" s="0" t="n">
        <f aca="false">SUMPRODUCT((Rules!$A$2:$A$60=E$1)*Rules!$C$2:$C$60*ISNUMBER(SEARCH(Rules!$D$2:$D$60,$D66)))</f>
        <v>0</v>
      </c>
      <c r="F66" s="0" t="n">
        <f aca="false">SUMPRODUCT((Rules!$A$2:$A$60=F$1)*Rules!$C$2:$C$60*ISNUMBER(SEARCH(Rules!$D$2:$D$60,$D66)))</f>
        <v>0</v>
      </c>
      <c r="G66" s="0" t="n">
        <f aca="false">SUMPRODUCT((Rules!$A$2:$A$60=G$1)*Rules!$C$2:$C$60*ISNUMBER(SEARCH(Rules!$D$2:$D$60,$D66)))</f>
        <v>8</v>
      </c>
      <c r="H66" s="0" t="n">
        <f aca="false">SUMPRODUCT((Rules!$A$2:$A$60=H$1)*Rules!$C$2:$C$60*ISNUMBER(SEARCH(Rules!$D$2:$D$60,$D66)))</f>
        <v>2</v>
      </c>
      <c r="I66" s="0" t="n">
        <f aca="false">SUMPRODUCT((Rules!$A$2:$A$60=I$1)*Rules!$C$2:$C$60*ISNUMBER(SEARCH(Rules!$D$2:$D$60,$D66)))</f>
        <v>0</v>
      </c>
      <c r="J66" s="0" t="n">
        <f aca="false">SUMPRODUCT((Rules!$A$2:$A$60=J$1)*Rules!$C$2:$C$60*ISNUMBER(SEARCH(Rules!$D$2:$D$60,$D66)))</f>
        <v>0</v>
      </c>
      <c r="K66" s="0" t="str">
        <f aca="false">IF(OR(MAX(E66:J66)&lt;Rules!$H$1,MAX(E66:J66)-LARGE(E66:J66,2)&lt;Rules!$H$2),"No label",INDEX($E$1:$J$1,MATCH(MAX(E66:J66),E66:J66,0)))</f>
        <v>Account Access</v>
      </c>
      <c r="L66" s="0" t="n">
        <f aca="false">SUMPRODUCT((Rules!$A$2:$A$60=L$1)*Rules!$C$2:$C$60*ISNUMBER(SEARCH(Rules!$E$2:$E$60,$D66)))</f>
        <v>0</v>
      </c>
      <c r="M66" s="0" t="n">
        <f aca="false">SUMPRODUCT((Rules!$A$2:$A$60=M$1)*Rules!$C$2:$C$60*ISNUMBER(SEARCH(Rules!$E$2:$E$60,$D66)))</f>
        <v>0</v>
      </c>
      <c r="N66" s="0" t="n">
        <f aca="false">SUMPRODUCT((Rules!$A$2:$A$60=N$1)*Rules!$C$2:$C$60*ISNUMBER(SEARCH(Rules!$E$2:$E$60,$D66)))</f>
        <v>8</v>
      </c>
      <c r="O66" s="0" t="n">
        <f aca="false">SUMPRODUCT((Rules!$A$2:$A$60=O$1)*Rules!$C$2:$C$60*ISNUMBER(SEARCH(Rules!$E$2:$E$60,$D66)))</f>
        <v>2</v>
      </c>
      <c r="P66" s="0" t="n">
        <f aca="false">SUMPRODUCT((Rules!$A$2:$A$60=P$1)*Rules!$C$2:$C$60*ISNUMBER(SEARCH(Rules!$E$2:$E$60,$D66)))</f>
        <v>0</v>
      </c>
      <c r="Q66" s="0" t="n">
        <f aca="false">SUMPRODUCT((Rules!$A$2:$A$60=Q$1)*Rules!$C$2:$C$60*ISNUMBER(SEARCH(Rules!$E$2:$E$60,$D66)))</f>
        <v>0</v>
      </c>
      <c r="R66" s="0" t="str">
        <f aca="false">IF(OR(MAX(L66:Q66)&lt;Rules!$H$1,MAX(L66:Q66)-LARGE(L66:Q66,2)&lt;Rules!$H$2),"No label",INDEX($L$1:$Q$1,MATCH(MAX(L66:Q66),L66:Q66,0)))</f>
        <v>Account Access</v>
      </c>
      <c r="S66" s="0" t="n">
        <f aca="false">SUMPRODUCT(ISNUMBER(SEARCH(" "&amp;Terms!$A$3:$A$821&amp;" ",$D66))*Terms!B$3:B$821)+Terms!B$2</f>
        <v>12.2307139898127</v>
      </c>
      <c r="T66" s="0" t="n">
        <f aca="false">SUMPRODUCT(ISNUMBER(SEARCH(" "&amp;Terms!$A$3:$A$821&amp;" ",$D66))*Terms!C$3:C$821)+Terms!C$2</f>
        <v>-5.99109389139028</v>
      </c>
      <c r="U66" s="0" t="n">
        <f aca="false">SUMPRODUCT(ISNUMBER(SEARCH(" "&amp;Terms!$A$3:$A$821&amp;" ",$D66))*Terms!D$3:D$821)+Terms!D$2</f>
        <v>-3.64218155695242</v>
      </c>
      <c r="V66" s="0" t="n">
        <f aca="false">SUMPRODUCT(ISNUMBER(SEARCH(" "&amp;Terms!$A$3:$A$821&amp;" ",$D66))*Terms!E$3:E$821)+Terms!E$2</f>
        <v>0.62925361052202</v>
      </c>
      <c r="W66" s="0" t="n">
        <f aca="false">SUMPRODUCT(ISNUMBER(SEARCH(" "&amp;Terms!$A$3:$A$821&amp;" ",$D66))*Terms!F$3:F$821)+Terms!F$2</f>
        <v>-2.81596137657817</v>
      </c>
      <c r="X66" s="0" t="n">
        <f aca="false">SUMPRODUCT(ISNUMBER(SEARCH(" "&amp;Terms!$A$3:$A$821&amp;" ",$D66))*Terms!G$3:G$821)+Terms!G$2</f>
        <v>-0.410730775413728</v>
      </c>
      <c r="Y66" s="0" t="str">
        <f aca="false">INDEX($S$1:$X$1,MATCH(MAX(S66:X66),S66:X66,0))</f>
        <v>Account Access</v>
      </c>
      <c r="Z66" s="0" t="s">
        <v>2607</v>
      </c>
    </row>
    <row r="67" customFormat="false" ht="15" hidden="false" customHeight="false" outlineLevel="0" collapsed="false">
      <c r="A67" s="0" t="str">
        <f aca="false">Complaints!A67</f>
        <v>C0066</v>
      </c>
      <c r="B67" s="0" t="str">
        <f aca="false">Complaints!B67</f>
        <v>The password reset keeps failing and I am locked out. Also, i was advised to take out cover that duplicates what I already had. I expect compensation.</v>
      </c>
      <c r="C67" s="0" t="str">
        <f aca="false">Complaints!C67</f>
        <v>Account Access</v>
      </c>
      <c r="D67" s="0" t="str">
        <f aca="false">" "&amp;TRIM(SUBSTITUTE(SUBSTITUTE(SUBSTITUTE(SUBSTITUTE(SUBSTITUTE(SUBSTITUTE(SUBSTITUTE(SUBSTITUTE(SUBSTITUTE(SUBSTITUTE(SUBSTITUTE(SUBSTITUTE(SUBSTITUTE(SUBSTITUTE(SUBSTITUTE(SUBSTITUTE(LOWER(B67),"."," "),","," "),"'"," "),"’"," "),"!"," "),"?"," "),";"," "),":"," "),"-"," "),"("," "),")"," "),"""", " "),"£"," "),"&amp;"," "),"/"," "),"%"," "))&amp;" "</f>
        <v> the password reset keeps failing and i am locked out also i was advised to take out cover that duplicates what i already had i expect compensation </v>
      </c>
      <c r="E67" s="0" t="n">
        <f aca="false">SUMPRODUCT((Rules!$A$2:$A$60=E$1)*Rules!$C$2:$C$60*ISNUMBER(SEARCH(Rules!$D$2:$D$60,$D67)))</f>
        <v>0</v>
      </c>
      <c r="F67" s="0" t="n">
        <f aca="false">SUMPRODUCT((Rules!$A$2:$A$60=F$1)*Rules!$C$2:$C$60*ISNUMBER(SEARCH(Rules!$D$2:$D$60,$D67)))</f>
        <v>0</v>
      </c>
      <c r="G67" s="0" t="n">
        <f aca="false">SUMPRODUCT((Rules!$A$2:$A$60=G$1)*Rules!$C$2:$C$60*ISNUMBER(SEARCH(Rules!$D$2:$D$60,$D67)))</f>
        <v>8</v>
      </c>
      <c r="H67" s="0" t="n">
        <f aca="false">SUMPRODUCT((Rules!$A$2:$A$60=H$1)*Rules!$C$2:$C$60*ISNUMBER(SEARCH(Rules!$D$2:$D$60,$D67)))</f>
        <v>0</v>
      </c>
      <c r="I67" s="0" t="n">
        <f aca="false">SUMPRODUCT((Rules!$A$2:$A$60=I$1)*Rules!$C$2:$C$60*ISNUMBER(SEARCH(Rules!$D$2:$D$60,$D67)))</f>
        <v>0</v>
      </c>
      <c r="J67" s="0" t="n">
        <f aca="false">SUMPRODUCT((Rules!$A$2:$A$60=J$1)*Rules!$C$2:$C$60*ISNUMBER(SEARCH(Rules!$D$2:$D$60,$D67)))</f>
        <v>0</v>
      </c>
      <c r="K67" s="0" t="str">
        <f aca="false">IF(OR(MAX(E67:J67)&lt;Rules!$H$1,MAX(E67:J67)-LARGE(E67:J67,2)&lt;Rules!$H$2),"No label",INDEX($E$1:$J$1,MATCH(MAX(E67:J67),E67:J67,0)))</f>
        <v>Account Access</v>
      </c>
      <c r="L67" s="0" t="n">
        <f aca="false">SUMPRODUCT((Rules!$A$2:$A$60=L$1)*Rules!$C$2:$C$60*ISNUMBER(SEARCH(Rules!$E$2:$E$60,$D67)))</f>
        <v>0</v>
      </c>
      <c r="M67" s="0" t="n">
        <f aca="false">SUMPRODUCT((Rules!$A$2:$A$60=M$1)*Rules!$C$2:$C$60*ISNUMBER(SEARCH(Rules!$E$2:$E$60,$D67)))</f>
        <v>4</v>
      </c>
      <c r="N67" s="0" t="n">
        <f aca="false">SUMPRODUCT((Rules!$A$2:$A$60=N$1)*Rules!$C$2:$C$60*ISNUMBER(SEARCH(Rules!$E$2:$E$60,$D67)))</f>
        <v>8</v>
      </c>
      <c r="O67" s="0" t="n">
        <f aca="false">SUMPRODUCT((Rules!$A$2:$A$60=O$1)*Rules!$C$2:$C$60*ISNUMBER(SEARCH(Rules!$E$2:$E$60,$D67)))</f>
        <v>0</v>
      </c>
      <c r="P67" s="0" t="n">
        <f aca="false">SUMPRODUCT((Rules!$A$2:$A$60=P$1)*Rules!$C$2:$C$60*ISNUMBER(SEARCH(Rules!$E$2:$E$60,$D67)))</f>
        <v>0</v>
      </c>
      <c r="Q67" s="0" t="n">
        <f aca="false">SUMPRODUCT((Rules!$A$2:$A$60=Q$1)*Rules!$C$2:$C$60*ISNUMBER(SEARCH(Rules!$E$2:$E$60,$D67)))</f>
        <v>1</v>
      </c>
      <c r="R67" s="0" t="str">
        <f aca="false">IF(OR(MAX(L67:Q67)&lt;Rules!$H$1,MAX(L67:Q67)-LARGE(L67:Q67,2)&lt;Rules!$H$2),"No label",INDEX($L$1:$Q$1,MATCH(MAX(L67:Q67),L67:Q67,0)))</f>
        <v>Account Access</v>
      </c>
      <c r="S67" s="0" t="n">
        <f aca="false">SUMPRODUCT(ISNUMBER(SEARCH(" "&amp;Terms!$A$3:$A$821&amp;" ",$D67))*Terms!B$3:B$821)+Terms!B$2</f>
        <v>12.5973774193307</v>
      </c>
      <c r="T67" s="0" t="n">
        <f aca="false">SUMPRODUCT(ISNUMBER(SEARCH(" "&amp;Terms!$A$3:$A$821&amp;" ",$D67))*Terms!C$3:C$821)+Terms!C$2</f>
        <v>-6.4531953241204</v>
      </c>
      <c r="U67" s="0" t="n">
        <f aca="false">SUMPRODUCT(ISNUMBER(SEARCH(" "&amp;Terms!$A$3:$A$821&amp;" ",$D67))*Terms!D$3:D$821)+Terms!D$2</f>
        <v>-4.80219372208024</v>
      </c>
      <c r="V67" s="0" t="n">
        <f aca="false">SUMPRODUCT(ISNUMBER(SEARCH(" "&amp;Terms!$A$3:$A$821&amp;" ",$D67))*Terms!E$3:E$821)+Terms!E$2</f>
        <v>-3.60958684270816</v>
      </c>
      <c r="W67" s="0" t="n">
        <f aca="false">SUMPRODUCT(ISNUMBER(SEARCH(" "&amp;Terms!$A$3:$A$821&amp;" ",$D67))*Terms!F$3:F$821)+Terms!F$2</f>
        <v>-1.87170765361099</v>
      </c>
      <c r="X67" s="0" t="n">
        <f aca="false">SUMPRODUCT(ISNUMBER(SEARCH(" "&amp;Terms!$A$3:$A$821&amp;" ",$D67))*Terms!G$3:G$821)+Terms!G$2</f>
        <v>4.13930612318918</v>
      </c>
      <c r="Y67" s="0" t="str">
        <f aca="false">INDEX($S$1:$X$1,MATCH(MAX(S67:X67),S67:X67,0))</f>
        <v>Account Access</v>
      </c>
      <c r="Z67" s="0" t="s">
        <v>2607</v>
      </c>
    </row>
    <row r="68" customFormat="false" ht="15" hidden="false" customHeight="false" outlineLevel="0" collapsed="false">
      <c r="A68" s="0" t="str">
        <f aca="false">Complaints!A68</f>
        <v>C0067</v>
      </c>
      <c r="B68" s="0" t="str">
        <f aca="false">Complaints!B68</f>
        <v>A person pretending to be from your bank phoned me and I gave them details.</v>
      </c>
      <c r="C68" s="0" t="str">
        <f aca="false">Complaints!C68</f>
        <v>Fraud &amp; Scams</v>
      </c>
      <c r="D68" s="0" t="str">
        <f aca="false">" "&amp;TRIM(SUBSTITUTE(SUBSTITUTE(SUBSTITUTE(SUBSTITUTE(SUBSTITUTE(SUBSTITUTE(SUBSTITUTE(SUBSTITUTE(SUBSTITUTE(SUBSTITUTE(SUBSTITUTE(SUBSTITUTE(SUBSTITUTE(SUBSTITUTE(SUBSTITUTE(SUBSTITUTE(LOWER(B68),"."," "),","," "),"'"," "),"’"," "),"!"," "),"?"," "),";"," "),":"," "),"-"," "),"("," "),")"," "),"""", " "),"£"," "),"&amp;"," "),"/"," "),"%"," "))&amp;" "</f>
        <v> a person pretending to be from your bank phoned me and i gave them details </v>
      </c>
      <c r="E68" s="0" t="n">
        <f aca="false">SUMPRODUCT((Rules!$A$2:$A$60=E$1)*Rules!$C$2:$C$60*ISNUMBER(SEARCH(Rules!$D$2:$D$60,$D68)))</f>
        <v>0</v>
      </c>
      <c r="F68" s="0" t="n">
        <f aca="false">SUMPRODUCT((Rules!$A$2:$A$60=F$1)*Rules!$C$2:$C$60*ISNUMBER(SEARCH(Rules!$D$2:$D$60,$D68)))</f>
        <v>0</v>
      </c>
      <c r="G68" s="0" t="n">
        <f aca="false">SUMPRODUCT((Rules!$A$2:$A$60=G$1)*Rules!$C$2:$C$60*ISNUMBER(SEARCH(Rules!$D$2:$D$60,$D68)))</f>
        <v>0</v>
      </c>
      <c r="H68" s="0" t="n">
        <f aca="false">SUMPRODUCT((Rules!$A$2:$A$60=H$1)*Rules!$C$2:$C$60*ISNUMBER(SEARCH(Rules!$D$2:$D$60,$D68)))</f>
        <v>0</v>
      </c>
      <c r="I68" s="0" t="n">
        <f aca="false">SUMPRODUCT((Rules!$A$2:$A$60=I$1)*Rules!$C$2:$C$60*ISNUMBER(SEARCH(Rules!$D$2:$D$60,$D68)))</f>
        <v>0</v>
      </c>
      <c r="J68" s="0" t="n">
        <f aca="false">SUMPRODUCT((Rules!$A$2:$A$60=J$1)*Rules!$C$2:$C$60*ISNUMBER(SEARCH(Rules!$D$2:$D$60,$D68)))</f>
        <v>0</v>
      </c>
      <c r="K68" s="0" t="str">
        <f aca="false">IF(OR(MAX(E68:J68)&lt;Rules!$H$1,MAX(E68:J68)-LARGE(E68:J68,2)&lt;Rules!$H$2),"No label",INDEX($E$1:$J$1,MATCH(MAX(E68:J68),E68:J68,0)))</f>
        <v>No label</v>
      </c>
      <c r="L68" s="0" t="n">
        <f aca="false">SUMPRODUCT((Rules!$A$2:$A$60=L$1)*Rules!$C$2:$C$60*ISNUMBER(SEARCH(Rules!$E$2:$E$60,$D68)))</f>
        <v>0</v>
      </c>
      <c r="M68" s="0" t="n">
        <f aca="false">SUMPRODUCT((Rules!$A$2:$A$60=M$1)*Rules!$C$2:$C$60*ISNUMBER(SEARCH(Rules!$E$2:$E$60,$D68)))</f>
        <v>0</v>
      </c>
      <c r="N68" s="0" t="n">
        <f aca="false">SUMPRODUCT((Rules!$A$2:$A$60=N$1)*Rules!$C$2:$C$60*ISNUMBER(SEARCH(Rules!$E$2:$E$60,$D68)))</f>
        <v>0</v>
      </c>
      <c r="O68" s="0" t="n">
        <f aca="false">SUMPRODUCT((Rules!$A$2:$A$60=O$1)*Rules!$C$2:$C$60*ISNUMBER(SEARCH(Rules!$E$2:$E$60,$D68)))</f>
        <v>0</v>
      </c>
      <c r="P68" s="0" t="n">
        <f aca="false">SUMPRODUCT((Rules!$A$2:$A$60=P$1)*Rules!$C$2:$C$60*ISNUMBER(SEARCH(Rules!$E$2:$E$60,$D68)))</f>
        <v>0</v>
      </c>
      <c r="Q68" s="0" t="n">
        <f aca="false">SUMPRODUCT((Rules!$A$2:$A$60=Q$1)*Rules!$C$2:$C$60*ISNUMBER(SEARCH(Rules!$E$2:$E$60,$D68)))</f>
        <v>0</v>
      </c>
      <c r="R68" s="0" t="str">
        <f aca="false">IF(OR(MAX(L68:Q68)&lt;Rules!$H$1,MAX(L68:Q68)-LARGE(L68:Q68,2)&lt;Rules!$H$2),"No label",INDEX($L$1:$Q$1,MATCH(MAX(L68:Q68),L68:Q68,0)))</f>
        <v>No label</v>
      </c>
      <c r="S68" s="0" t="n">
        <f aca="false">SUMPRODUCT(ISNUMBER(SEARCH(" "&amp;Terms!$A$3:$A$821&amp;" ",$D68))*Terms!B$3:B$821)+Terms!B$2</f>
        <v>-0.521559907861352</v>
      </c>
      <c r="T68" s="0" t="n">
        <f aca="false">SUMPRODUCT(ISNUMBER(SEARCH(" "&amp;Terms!$A$3:$A$821&amp;" ",$D68))*Terms!C$3:C$821)+Terms!C$2</f>
        <v>-2.63739369024367</v>
      </c>
      <c r="U68" s="0" t="n">
        <f aca="false">SUMPRODUCT(ISNUMBER(SEARCH(" "&amp;Terms!$A$3:$A$821&amp;" ",$D68))*Terms!D$3:D$821)+Terms!D$2</f>
        <v>-4.66714331052035</v>
      </c>
      <c r="V68" s="0" t="n">
        <f aca="false">SUMPRODUCT(ISNUMBER(SEARCH(" "&amp;Terms!$A$3:$A$821&amp;" ",$D68))*Terms!E$3:E$821)+Terms!E$2</f>
        <v>-2.47004205789638</v>
      </c>
      <c r="W68" s="0" t="n">
        <f aca="false">SUMPRODUCT(ISNUMBER(SEARCH(" "&amp;Terms!$A$3:$A$821&amp;" ",$D68))*Terms!F$3:F$821)+Terms!F$2</f>
        <v>10.2494333729928</v>
      </c>
      <c r="X68" s="0" t="n">
        <f aca="false">SUMPRODUCT(ISNUMBER(SEARCH(" "&amp;Terms!$A$3:$A$821&amp;" ",$D68))*Terms!G$3:G$821)+Terms!G$2</f>
        <v>0.0467055935290235</v>
      </c>
      <c r="Y68" s="0" t="str">
        <f aca="false">INDEX($S$1:$X$1,MATCH(MAX(S68:X68),S68:X68,0))</f>
        <v>Fraud &amp; Scams</v>
      </c>
      <c r="Z68" s="0" t="s">
        <v>2607</v>
      </c>
    </row>
    <row r="69" customFormat="false" ht="15" hidden="false" customHeight="false" outlineLevel="0" collapsed="false">
      <c r="A69" s="0" t="str">
        <f aca="false">Complaints!A69</f>
        <v>C0068</v>
      </c>
      <c r="B69" s="0" t="str">
        <f aca="false">Complaints!B69</f>
        <v>I am writing to complain. I was tricked into moving savings to a safe account that was not safe. Also, the complaints handler was unhelpful and talked over me. I expect compensation.</v>
      </c>
      <c r="C69" s="0" t="str">
        <f aca="false">Complaints!C69</f>
        <v>Fraud &amp; Scams</v>
      </c>
      <c r="D69" s="0" t="str">
        <f aca="false">" "&amp;TRIM(SUBSTITUTE(SUBSTITUTE(SUBSTITUTE(SUBSTITUTE(SUBSTITUTE(SUBSTITUTE(SUBSTITUTE(SUBSTITUTE(SUBSTITUTE(SUBSTITUTE(SUBSTITUTE(SUBSTITUTE(SUBSTITUTE(SUBSTITUTE(SUBSTITUTE(SUBSTITUTE(LOWER(B69),"."," "),","," "),"'"," "),"’"," "),"!"," "),"?"," "),";"," "),":"," "),"-"," "),"("," "),")"," "),"""", " "),"£"," "),"&amp;"," "),"/"," "),"%"," "))&amp;" "</f>
        <v> i am writing to complain i was tricked into moving savings to a safe account that was not safe also the complaints handler was unhelpful and talked over me i expect compensation </v>
      </c>
      <c r="E69" s="0" t="n">
        <f aca="false">SUMPRODUCT((Rules!$A$2:$A$60=E$1)*Rules!$C$2:$C$60*ISNUMBER(SEARCH(Rules!$D$2:$D$60,$D69)))</f>
        <v>2</v>
      </c>
      <c r="F69" s="0" t="n">
        <f aca="false">SUMPRODUCT((Rules!$A$2:$A$60=F$1)*Rules!$C$2:$C$60*ISNUMBER(SEARCH(Rules!$D$2:$D$60,$D69)))</f>
        <v>0</v>
      </c>
      <c r="G69" s="0" t="n">
        <f aca="false">SUMPRODUCT((Rules!$A$2:$A$60=G$1)*Rules!$C$2:$C$60*ISNUMBER(SEARCH(Rules!$D$2:$D$60,$D69)))</f>
        <v>0</v>
      </c>
      <c r="H69" s="0" t="n">
        <f aca="false">SUMPRODUCT((Rules!$A$2:$A$60=H$1)*Rules!$C$2:$C$60*ISNUMBER(SEARCH(Rules!$D$2:$D$60,$D69)))</f>
        <v>0</v>
      </c>
      <c r="I69" s="0" t="n">
        <f aca="false">SUMPRODUCT((Rules!$A$2:$A$60=I$1)*Rules!$C$2:$C$60*ISNUMBER(SEARCH(Rules!$D$2:$D$60,$D69)))</f>
        <v>0</v>
      </c>
      <c r="J69" s="0" t="n">
        <f aca="false">SUMPRODUCT((Rules!$A$2:$A$60=J$1)*Rules!$C$2:$C$60*ISNUMBER(SEARCH(Rules!$D$2:$D$60,$D69)))</f>
        <v>2</v>
      </c>
      <c r="K69" s="0" t="str">
        <f aca="false">IF(OR(MAX(E69:J69)&lt;Rules!$H$1,MAX(E69:J69)-LARGE(E69:J69,2)&lt;Rules!$H$2),"No label",INDEX($E$1:$J$1,MATCH(MAX(E69:J69),E69:J69,0)))</f>
        <v>No label</v>
      </c>
      <c r="L69" s="0" t="n">
        <f aca="false">SUMPRODUCT((Rules!$A$2:$A$60=L$1)*Rules!$C$2:$C$60*ISNUMBER(SEARCH(Rules!$E$2:$E$60,$D69)))</f>
        <v>2</v>
      </c>
      <c r="M69" s="0" t="n">
        <f aca="false">SUMPRODUCT((Rules!$A$2:$A$60=M$1)*Rules!$C$2:$C$60*ISNUMBER(SEARCH(Rules!$E$2:$E$60,$D69)))</f>
        <v>0</v>
      </c>
      <c r="N69" s="0" t="n">
        <f aca="false">SUMPRODUCT((Rules!$A$2:$A$60=N$1)*Rules!$C$2:$C$60*ISNUMBER(SEARCH(Rules!$E$2:$E$60,$D69)))</f>
        <v>0</v>
      </c>
      <c r="O69" s="0" t="n">
        <f aca="false">SUMPRODUCT((Rules!$A$2:$A$60=O$1)*Rules!$C$2:$C$60*ISNUMBER(SEARCH(Rules!$E$2:$E$60,$D69)))</f>
        <v>0</v>
      </c>
      <c r="P69" s="0" t="n">
        <f aca="false">SUMPRODUCT((Rules!$A$2:$A$60=P$1)*Rules!$C$2:$C$60*ISNUMBER(SEARCH(Rules!$E$2:$E$60,$D69)))</f>
        <v>0</v>
      </c>
      <c r="Q69" s="0" t="n">
        <f aca="false">SUMPRODUCT((Rules!$A$2:$A$60=Q$1)*Rules!$C$2:$C$60*ISNUMBER(SEARCH(Rules!$E$2:$E$60,$D69)))</f>
        <v>2</v>
      </c>
      <c r="R69" s="0" t="str">
        <f aca="false">IF(OR(MAX(L69:Q69)&lt;Rules!$H$1,MAX(L69:Q69)-LARGE(L69:Q69,2)&lt;Rules!$H$2),"No label",INDEX($L$1:$Q$1,MATCH(MAX(L69:Q69),L69:Q69,0)))</f>
        <v>No label</v>
      </c>
      <c r="S69" s="0" t="n">
        <f aca="false">SUMPRODUCT(ISNUMBER(SEARCH(" "&amp;Terms!$A$3:$A$821&amp;" ",$D69))*Terms!B$3:B$821)+Terms!B$2</f>
        <v>-0.251253994852608</v>
      </c>
      <c r="T69" s="0" t="n">
        <f aca="false">SUMPRODUCT(ISNUMBER(SEARCH(" "&amp;Terms!$A$3:$A$821&amp;" ",$D69))*Terms!C$3:C$821)+Terms!C$2</f>
        <v>2.37254413028301</v>
      </c>
      <c r="U69" s="0" t="n">
        <f aca="false">SUMPRODUCT(ISNUMBER(SEARCH(" "&amp;Terms!$A$3:$A$821&amp;" ",$D69))*Terms!D$3:D$821)+Terms!D$2</f>
        <v>-0.537626918476294</v>
      </c>
      <c r="V69" s="0" t="n">
        <f aca="false">SUMPRODUCT(ISNUMBER(SEARCH(" "&amp;Terms!$A$3:$A$821&amp;" ",$D69))*Terms!E$3:E$821)+Terms!E$2</f>
        <v>-3.66878922174944</v>
      </c>
      <c r="W69" s="0" t="n">
        <f aca="false">SUMPRODUCT(ISNUMBER(SEARCH(" "&amp;Terms!$A$3:$A$821&amp;" ",$D69))*Terms!F$3:F$821)+Terms!F$2</f>
        <v>8.27657695061232</v>
      </c>
      <c r="X69" s="0" t="n">
        <f aca="false">SUMPRODUCT(ISNUMBER(SEARCH(" "&amp;Terms!$A$3:$A$821&amp;" ",$D69))*Terms!G$3:G$821)+Terms!G$2</f>
        <v>-6.19145094581691</v>
      </c>
      <c r="Y69" s="0" t="str">
        <f aca="false">INDEX($S$1:$X$1,MATCH(MAX(S69:X69),S69:X69,0))</f>
        <v>Fraud &amp; Scams</v>
      </c>
      <c r="Z69" s="0" t="s">
        <v>2607</v>
      </c>
    </row>
    <row r="70" customFormat="false" ht="15" hidden="false" customHeight="false" outlineLevel="0" collapsed="false">
      <c r="A70" s="0" t="str">
        <f aca="false">Complaints!A70</f>
        <v>C0069</v>
      </c>
      <c r="B70" s="0" t="str">
        <f aca="false">Complaints!B70</f>
        <v>I was misled about what the insurance actually included. I expect compensation.</v>
      </c>
      <c r="C70" s="0" t="str">
        <f aca="false">Complaints!C70</f>
        <v>Mis-selling</v>
      </c>
      <c r="D70" s="0" t="str">
        <f aca="false">" "&amp;TRIM(SUBSTITUTE(SUBSTITUTE(SUBSTITUTE(SUBSTITUTE(SUBSTITUTE(SUBSTITUTE(SUBSTITUTE(SUBSTITUTE(SUBSTITUTE(SUBSTITUTE(SUBSTITUTE(SUBSTITUTE(SUBSTITUTE(SUBSTITUTE(SUBSTITUTE(SUBSTITUTE(LOWER(B70),"."," "),","," "),"'"," "),"’"," "),"!"," "),"?"," "),";"," "),":"," "),"-"," "),"("," "),")"," "),"""", " "),"£"," "),"&amp;"," "),"/"," "),"%"," "))&amp;" "</f>
        <v> i was misled about what the insurance actually included i expect compensation </v>
      </c>
      <c r="E70" s="0" t="n">
        <f aca="false">SUMPRODUCT((Rules!$A$2:$A$60=E$1)*Rules!$C$2:$C$60*ISNUMBER(SEARCH(Rules!$D$2:$D$60,$D70)))</f>
        <v>0</v>
      </c>
      <c r="F70" s="0" t="n">
        <f aca="false">SUMPRODUCT((Rules!$A$2:$A$60=F$1)*Rules!$C$2:$C$60*ISNUMBER(SEARCH(Rules!$D$2:$D$60,$D70)))</f>
        <v>4</v>
      </c>
      <c r="G70" s="0" t="n">
        <f aca="false">SUMPRODUCT((Rules!$A$2:$A$60=G$1)*Rules!$C$2:$C$60*ISNUMBER(SEARCH(Rules!$D$2:$D$60,$D70)))</f>
        <v>0</v>
      </c>
      <c r="H70" s="0" t="n">
        <f aca="false">SUMPRODUCT((Rules!$A$2:$A$60=H$1)*Rules!$C$2:$C$60*ISNUMBER(SEARCH(Rules!$D$2:$D$60,$D70)))</f>
        <v>0</v>
      </c>
      <c r="I70" s="0" t="n">
        <f aca="false">SUMPRODUCT((Rules!$A$2:$A$60=I$1)*Rules!$C$2:$C$60*ISNUMBER(SEARCH(Rules!$D$2:$D$60,$D70)))</f>
        <v>0</v>
      </c>
      <c r="J70" s="0" t="n">
        <f aca="false">SUMPRODUCT((Rules!$A$2:$A$60=J$1)*Rules!$C$2:$C$60*ISNUMBER(SEARCH(Rules!$D$2:$D$60,$D70)))</f>
        <v>0</v>
      </c>
      <c r="K70" s="0" t="str">
        <f aca="false">IF(OR(MAX(E70:J70)&lt;Rules!$H$1,MAX(E70:J70)-LARGE(E70:J70,2)&lt;Rules!$H$2),"No label",INDEX($E$1:$J$1,MATCH(MAX(E70:J70),E70:J70,0)))</f>
        <v>Mis-selling</v>
      </c>
      <c r="L70" s="0" t="n">
        <f aca="false">SUMPRODUCT((Rules!$A$2:$A$60=L$1)*Rules!$C$2:$C$60*ISNUMBER(SEARCH(Rules!$E$2:$E$60,$D70)))</f>
        <v>0</v>
      </c>
      <c r="M70" s="0" t="n">
        <f aca="false">SUMPRODUCT((Rules!$A$2:$A$60=M$1)*Rules!$C$2:$C$60*ISNUMBER(SEARCH(Rules!$E$2:$E$60,$D70)))</f>
        <v>4</v>
      </c>
      <c r="N70" s="0" t="n">
        <f aca="false">SUMPRODUCT((Rules!$A$2:$A$60=N$1)*Rules!$C$2:$C$60*ISNUMBER(SEARCH(Rules!$E$2:$E$60,$D70)))</f>
        <v>0</v>
      </c>
      <c r="O70" s="0" t="n">
        <f aca="false">SUMPRODUCT((Rules!$A$2:$A$60=O$1)*Rules!$C$2:$C$60*ISNUMBER(SEARCH(Rules!$E$2:$E$60,$D70)))</f>
        <v>0</v>
      </c>
      <c r="P70" s="0" t="n">
        <f aca="false">SUMPRODUCT((Rules!$A$2:$A$60=P$1)*Rules!$C$2:$C$60*ISNUMBER(SEARCH(Rules!$E$2:$E$60,$D70)))</f>
        <v>0</v>
      </c>
      <c r="Q70" s="0" t="n">
        <f aca="false">SUMPRODUCT((Rules!$A$2:$A$60=Q$1)*Rules!$C$2:$C$60*ISNUMBER(SEARCH(Rules!$E$2:$E$60,$D70)))</f>
        <v>0</v>
      </c>
      <c r="R70" s="0" t="str">
        <f aca="false">IF(OR(MAX(L70:Q70)&lt;Rules!$H$1,MAX(L70:Q70)-LARGE(L70:Q70,2)&lt;Rules!$H$2),"No label",INDEX($L$1:$Q$1,MATCH(MAX(L70:Q70),L70:Q70,0)))</f>
        <v>Mis-selling</v>
      </c>
      <c r="S70" s="0" t="n">
        <f aca="false">SUMPRODUCT(ISNUMBER(SEARCH(" "&amp;Terms!$A$3:$A$821&amp;" ",$D70))*Terms!B$3:B$821)+Terms!B$2</f>
        <v>0.250386707808261</v>
      </c>
      <c r="T70" s="0" t="n">
        <f aca="false">SUMPRODUCT(ISNUMBER(SEARCH(" "&amp;Terms!$A$3:$A$821&amp;" ",$D70))*Terms!C$3:C$821)+Terms!C$2</f>
        <v>-4.53060156452163</v>
      </c>
      <c r="U70" s="0" t="n">
        <f aca="false">SUMPRODUCT(ISNUMBER(SEARCH(" "&amp;Terms!$A$3:$A$821&amp;" ",$D70))*Terms!D$3:D$821)+Terms!D$2</f>
        <v>-1.97386543735461</v>
      </c>
      <c r="V70" s="0" t="n">
        <f aca="false">SUMPRODUCT(ISNUMBER(SEARCH(" "&amp;Terms!$A$3:$A$821&amp;" ",$D70))*Terms!E$3:E$821)+Terms!E$2</f>
        <v>-1.11558235005264</v>
      </c>
      <c r="W70" s="0" t="n">
        <f aca="false">SUMPRODUCT(ISNUMBER(SEARCH(" "&amp;Terms!$A$3:$A$821&amp;" ",$D70))*Terms!F$3:F$821)+Terms!F$2</f>
        <v>-3.09876791498185</v>
      </c>
      <c r="X70" s="0" t="n">
        <f aca="false">SUMPRODUCT(ISNUMBER(SEARCH(" "&amp;Terms!$A$3:$A$821&amp;" ",$D70))*Terms!G$3:G$821)+Terms!G$2</f>
        <v>10.4684305591026</v>
      </c>
      <c r="Y70" s="0" t="str">
        <f aca="false">INDEX($S$1:$X$1,MATCH(MAX(S70:X70),S70:X70,0))</f>
        <v>Mis-selling</v>
      </c>
      <c r="Z70" s="0" t="s">
        <v>2608</v>
      </c>
    </row>
    <row r="71" customFormat="false" ht="15" hidden="false" customHeight="false" outlineLevel="0" collapsed="false">
      <c r="A71" s="0" t="str">
        <f aca="false">Complaints!A71</f>
        <v>C0070</v>
      </c>
      <c r="B71" s="0" t="str">
        <f aca="false">Complaints!B71</f>
        <v>There are transactions on my card I do not recognise. I want this put right.</v>
      </c>
      <c r="C71" s="0" t="str">
        <f aca="false">Complaints!C71</f>
        <v>Fraud &amp; Scams</v>
      </c>
      <c r="D71" s="0" t="str">
        <f aca="false">" "&amp;TRIM(SUBSTITUTE(SUBSTITUTE(SUBSTITUTE(SUBSTITUTE(SUBSTITUTE(SUBSTITUTE(SUBSTITUTE(SUBSTITUTE(SUBSTITUTE(SUBSTITUTE(SUBSTITUTE(SUBSTITUTE(SUBSTITUTE(SUBSTITUTE(SUBSTITUTE(SUBSTITUTE(LOWER(B71),"."," "),","," "),"'"," "),"’"," "),"!"," "),"?"," "),";"," "),":"," "),"-"," "),"("," "),")"," "),"""", " "),"£"," "),"&amp;"," "),"/"," "),"%"," "))&amp;" "</f>
        <v> there are transactions on my card i do not recognise i want this put right </v>
      </c>
      <c r="E71" s="0" t="n">
        <f aca="false">SUMPRODUCT((Rules!$A$2:$A$60=E$1)*Rules!$C$2:$C$60*ISNUMBER(SEARCH(Rules!$D$2:$D$60,$D71)))</f>
        <v>2</v>
      </c>
      <c r="F71" s="0" t="n">
        <f aca="false">SUMPRODUCT((Rules!$A$2:$A$60=F$1)*Rules!$C$2:$C$60*ISNUMBER(SEARCH(Rules!$D$2:$D$60,$D71)))</f>
        <v>0</v>
      </c>
      <c r="G71" s="0" t="n">
        <f aca="false">SUMPRODUCT((Rules!$A$2:$A$60=G$1)*Rules!$C$2:$C$60*ISNUMBER(SEARCH(Rules!$D$2:$D$60,$D71)))</f>
        <v>0</v>
      </c>
      <c r="H71" s="0" t="n">
        <f aca="false">SUMPRODUCT((Rules!$A$2:$A$60=H$1)*Rules!$C$2:$C$60*ISNUMBER(SEARCH(Rules!$D$2:$D$60,$D71)))</f>
        <v>0</v>
      </c>
      <c r="I71" s="0" t="n">
        <f aca="false">SUMPRODUCT((Rules!$A$2:$A$60=I$1)*Rules!$C$2:$C$60*ISNUMBER(SEARCH(Rules!$D$2:$D$60,$D71)))</f>
        <v>0</v>
      </c>
      <c r="J71" s="0" t="n">
        <f aca="false">SUMPRODUCT((Rules!$A$2:$A$60=J$1)*Rules!$C$2:$C$60*ISNUMBER(SEARCH(Rules!$D$2:$D$60,$D71)))</f>
        <v>0</v>
      </c>
      <c r="K71" s="0" t="str">
        <f aca="false">IF(OR(MAX(E71:J71)&lt;Rules!$H$1,MAX(E71:J71)-LARGE(E71:J71,2)&lt;Rules!$H$2),"No label",INDEX($E$1:$J$1,MATCH(MAX(E71:J71),E71:J71,0)))</f>
        <v>No label</v>
      </c>
      <c r="L71" s="0" t="n">
        <f aca="false">SUMPRODUCT((Rules!$A$2:$A$60=L$1)*Rules!$C$2:$C$60*ISNUMBER(SEARCH(Rules!$E$2:$E$60,$D71)))</f>
        <v>2</v>
      </c>
      <c r="M71" s="0" t="n">
        <f aca="false">SUMPRODUCT((Rules!$A$2:$A$60=M$1)*Rules!$C$2:$C$60*ISNUMBER(SEARCH(Rules!$E$2:$E$60,$D71)))</f>
        <v>0</v>
      </c>
      <c r="N71" s="0" t="n">
        <f aca="false">SUMPRODUCT((Rules!$A$2:$A$60=N$1)*Rules!$C$2:$C$60*ISNUMBER(SEARCH(Rules!$E$2:$E$60,$D71)))</f>
        <v>0</v>
      </c>
      <c r="O71" s="0" t="n">
        <f aca="false">SUMPRODUCT((Rules!$A$2:$A$60=O$1)*Rules!$C$2:$C$60*ISNUMBER(SEARCH(Rules!$E$2:$E$60,$D71)))</f>
        <v>0</v>
      </c>
      <c r="P71" s="0" t="n">
        <f aca="false">SUMPRODUCT((Rules!$A$2:$A$60=P$1)*Rules!$C$2:$C$60*ISNUMBER(SEARCH(Rules!$E$2:$E$60,$D71)))</f>
        <v>0</v>
      </c>
      <c r="Q71" s="0" t="n">
        <f aca="false">SUMPRODUCT((Rules!$A$2:$A$60=Q$1)*Rules!$C$2:$C$60*ISNUMBER(SEARCH(Rules!$E$2:$E$60,$D71)))</f>
        <v>0</v>
      </c>
      <c r="R71" s="0" t="str">
        <f aca="false">IF(OR(MAX(L71:Q71)&lt;Rules!$H$1,MAX(L71:Q71)-LARGE(L71:Q71,2)&lt;Rules!$H$2),"No label",INDEX($L$1:$Q$1,MATCH(MAX(L71:Q71),L71:Q71,0)))</f>
        <v>No label</v>
      </c>
      <c r="S71" s="0" t="n">
        <f aca="false">SUMPRODUCT(ISNUMBER(SEARCH(" "&amp;Terms!$A$3:$A$821&amp;" ",$D71))*Terms!B$3:B$821)+Terms!B$2</f>
        <v>-0.575652589554154</v>
      </c>
      <c r="T71" s="0" t="n">
        <f aca="false">SUMPRODUCT(ISNUMBER(SEARCH(" "&amp;Terms!$A$3:$A$821&amp;" ",$D71))*Terms!C$3:C$821)+Terms!C$2</f>
        <v>-2.11986972105404</v>
      </c>
      <c r="U71" s="0" t="n">
        <f aca="false">SUMPRODUCT(ISNUMBER(SEARCH(" "&amp;Terms!$A$3:$A$821&amp;" ",$D71))*Terms!D$3:D$821)+Terms!D$2</f>
        <v>-2.48781807120899</v>
      </c>
      <c r="V71" s="0" t="n">
        <f aca="false">SUMPRODUCT(ISNUMBER(SEARCH(" "&amp;Terms!$A$3:$A$821&amp;" ",$D71))*Terms!E$3:E$821)+Terms!E$2</f>
        <v>-1.01570046192571</v>
      </c>
      <c r="W71" s="0" t="n">
        <f aca="false">SUMPRODUCT(ISNUMBER(SEARCH(" "&amp;Terms!$A$3:$A$821&amp;" ",$D71))*Terms!F$3:F$821)+Terms!F$2</f>
        <v>7.96403979457354</v>
      </c>
      <c r="X71" s="0" t="n">
        <f aca="false">SUMPRODUCT(ISNUMBER(SEARCH(" "&amp;Terms!$A$3:$A$821&amp;" ",$D71))*Terms!G$3:G$821)+Terms!G$2</f>
        <v>-1.76499895083054</v>
      </c>
      <c r="Y71" s="0" t="str">
        <f aca="false">INDEX($S$1:$X$1,MATCH(MAX(S71:X71),S71:X71,0))</f>
        <v>Fraud &amp; Scams</v>
      </c>
      <c r="Z71" s="0" t="s">
        <v>2607</v>
      </c>
    </row>
    <row r="72" customFormat="false" ht="15" hidden="false" customHeight="false" outlineLevel="0" collapsed="false">
      <c r="A72" s="0" t="str">
        <f aca="false">Complaints!A72</f>
        <v>C0071</v>
      </c>
      <c r="B72" s="0" t="str">
        <f aca="false">Complaints!B72</f>
        <v>To whom it may concern, Nobody explained the foreign transaction charges before my holiday. Also, i reported the unauthorised payment but you refused to reimburse me. I expect compensation.</v>
      </c>
      <c r="C72" s="0" t="str">
        <f aca="false">Complaints!C72</f>
        <v>Fees &amp; Charges</v>
      </c>
      <c r="D72" s="0" t="str">
        <f aca="false">" "&amp;TRIM(SUBSTITUTE(SUBSTITUTE(SUBSTITUTE(SUBSTITUTE(SUBSTITUTE(SUBSTITUTE(SUBSTITUTE(SUBSTITUTE(SUBSTITUTE(SUBSTITUTE(SUBSTITUTE(SUBSTITUTE(SUBSTITUTE(SUBSTITUTE(SUBSTITUTE(SUBSTITUTE(LOWER(B72),"."," "),","," "),"'"," "),"’"," "),"!"," "),"?"," "),";"," "),":"," "),"-"," "),"("," "),")"," "),"""", " "),"£"," "),"&amp;"," "),"/"," "),"%"," "))&amp;" "</f>
        <v> to whom it may concern nobody explained the foreign transaction charges before my holiday also i reported the unauthorised payment but you refused to reimburse me i expect compensation </v>
      </c>
      <c r="E72" s="0" t="n">
        <f aca="false">SUMPRODUCT((Rules!$A$2:$A$60=E$1)*Rules!$C$2:$C$60*ISNUMBER(SEARCH(Rules!$D$2:$D$60,$D72)))</f>
        <v>3</v>
      </c>
      <c r="F72" s="0" t="n">
        <f aca="false">SUMPRODUCT((Rules!$A$2:$A$60=F$1)*Rules!$C$2:$C$60*ISNUMBER(SEARCH(Rules!$D$2:$D$60,$D72)))</f>
        <v>0</v>
      </c>
      <c r="G72" s="0" t="n">
        <f aca="false">SUMPRODUCT((Rules!$A$2:$A$60=G$1)*Rules!$C$2:$C$60*ISNUMBER(SEARCH(Rules!$D$2:$D$60,$D72)))</f>
        <v>0</v>
      </c>
      <c r="H72" s="0" t="n">
        <f aca="false">SUMPRODUCT((Rules!$A$2:$A$60=H$1)*Rules!$C$2:$C$60*ISNUMBER(SEARCH(Rules!$D$2:$D$60,$D72)))</f>
        <v>0</v>
      </c>
      <c r="I72" s="0" t="n">
        <f aca="false">SUMPRODUCT((Rules!$A$2:$A$60=I$1)*Rules!$C$2:$C$60*ISNUMBER(SEARCH(Rules!$D$2:$D$60,$D72)))</f>
        <v>0</v>
      </c>
      <c r="J72" s="0" t="n">
        <f aca="false">SUMPRODUCT((Rules!$A$2:$A$60=J$1)*Rules!$C$2:$C$60*ISNUMBER(SEARCH(Rules!$D$2:$D$60,$D72)))</f>
        <v>0</v>
      </c>
      <c r="K72" s="0" t="str">
        <f aca="false">IF(OR(MAX(E72:J72)&lt;Rules!$H$1,MAX(E72:J72)-LARGE(E72:J72,2)&lt;Rules!$H$2),"No label",INDEX($E$1:$J$1,MATCH(MAX(E72:J72),E72:J72,0)))</f>
        <v>Fraud &amp; Scams</v>
      </c>
      <c r="L72" s="0" t="n">
        <f aca="false">SUMPRODUCT((Rules!$A$2:$A$60=L$1)*Rules!$C$2:$C$60*ISNUMBER(SEARCH(Rules!$E$2:$E$60,$D72)))</f>
        <v>3</v>
      </c>
      <c r="M72" s="0" t="n">
        <f aca="false">SUMPRODUCT((Rules!$A$2:$A$60=M$1)*Rules!$C$2:$C$60*ISNUMBER(SEARCH(Rules!$E$2:$E$60,$D72)))</f>
        <v>0</v>
      </c>
      <c r="N72" s="0" t="n">
        <f aca="false">SUMPRODUCT((Rules!$A$2:$A$60=N$1)*Rules!$C$2:$C$60*ISNUMBER(SEARCH(Rules!$E$2:$E$60,$D72)))</f>
        <v>0</v>
      </c>
      <c r="O72" s="0" t="n">
        <f aca="false">SUMPRODUCT((Rules!$A$2:$A$60=O$1)*Rules!$C$2:$C$60*ISNUMBER(SEARCH(Rules!$E$2:$E$60,$D72)))</f>
        <v>4</v>
      </c>
      <c r="P72" s="0" t="n">
        <f aca="false">SUMPRODUCT((Rules!$A$2:$A$60=P$1)*Rules!$C$2:$C$60*ISNUMBER(SEARCH(Rules!$E$2:$E$60,$D72)))</f>
        <v>0</v>
      </c>
      <c r="Q72" s="0" t="n">
        <f aca="false">SUMPRODUCT((Rules!$A$2:$A$60=Q$1)*Rules!$C$2:$C$60*ISNUMBER(SEARCH(Rules!$E$2:$E$60,$D72)))</f>
        <v>0</v>
      </c>
      <c r="R72" s="0" t="str">
        <f aca="false">IF(OR(MAX(L72:Q72)&lt;Rules!$H$1,MAX(L72:Q72)-LARGE(L72:Q72,2)&lt;Rules!$H$2),"No label",INDEX($L$1:$Q$1,MATCH(MAX(L72:Q72),L72:Q72,0)))</f>
        <v>No label</v>
      </c>
      <c r="S72" s="0" t="n">
        <f aca="false">SUMPRODUCT(ISNUMBER(SEARCH(" "&amp;Terms!$A$3:$A$821&amp;" ",$D72))*Terms!B$3:B$821)+Terms!B$2</f>
        <v>0.809202736072228</v>
      </c>
      <c r="T72" s="0" t="n">
        <f aca="false">SUMPRODUCT(ISNUMBER(SEARCH(" "&amp;Terms!$A$3:$A$821&amp;" ",$D72))*Terms!C$3:C$821)+Terms!C$2</f>
        <v>-5.93094156966892</v>
      </c>
      <c r="U72" s="0" t="n">
        <f aca="false">SUMPRODUCT(ISNUMBER(SEARCH(" "&amp;Terms!$A$3:$A$821&amp;" ",$D72))*Terms!D$3:D$821)+Terms!D$2</f>
        <v>-4.64676154318716</v>
      </c>
      <c r="V72" s="0" t="n">
        <f aca="false">SUMPRODUCT(ISNUMBER(SEARCH(" "&amp;Terms!$A$3:$A$821&amp;" ",$D72))*Terms!E$3:E$821)+Terms!E$2</f>
        <v>10.2385440006531</v>
      </c>
      <c r="W72" s="0" t="n">
        <f aca="false">SUMPRODUCT(ISNUMBER(SEARCH(" "&amp;Terms!$A$3:$A$821&amp;" ",$D72))*Terms!F$3:F$821)+Terms!F$2</f>
        <v>6.97696591321277</v>
      </c>
      <c r="X72" s="0" t="n">
        <f aca="false">SUMPRODUCT(ISNUMBER(SEARCH(" "&amp;Terms!$A$3:$A$821&amp;" ",$D72))*Terms!G$3:G$821)+Terms!G$2</f>
        <v>-7.44700953708196</v>
      </c>
      <c r="Y72" s="0" t="str">
        <f aca="false">INDEX($S$1:$X$1,MATCH(MAX(S72:X72),S72:X72,0))</f>
        <v>Fees &amp; Charges</v>
      </c>
      <c r="Z72" s="0" t="s">
        <v>2607</v>
      </c>
    </row>
    <row r="73" customFormat="false" ht="15" hidden="false" customHeight="false" outlineLevel="0" collapsed="false">
      <c r="A73" s="0" t="str">
        <f aca="false">Complaints!A73</f>
        <v>C0072</v>
      </c>
      <c r="B73" s="0" t="str">
        <f aca="false">Complaints!B73</f>
        <v>I feel I was treated badly becaus of my age. I would like a response in writing.</v>
      </c>
      <c r="C73" s="0" t="str">
        <f aca="false">Complaints!C73</f>
        <v>Customer Service</v>
      </c>
      <c r="D73" s="0" t="str">
        <f aca="false">" "&amp;TRIM(SUBSTITUTE(SUBSTITUTE(SUBSTITUTE(SUBSTITUTE(SUBSTITUTE(SUBSTITUTE(SUBSTITUTE(SUBSTITUTE(SUBSTITUTE(SUBSTITUTE(SUBSTITUTE(SUBSTITUTE(SUBSTITUTE(SUBSTITUTE(SUBSTITUTE(SUBSTITUTE(LOWER(B73),"."," "),","," "),"'"," "),"’"," "),"!"," "),"?"," "),";"," "),":"," "),"-"," "),"("," "),")"," "),"""", " "),"£"," "),"&amp;"," "),"/"," "),"%"," "))&amp;" "</f>
        <v> i feel i was treated badly becaus of my age i would like a response in writing </v>
      </c>
      <c r="E73" s="0" t="n">
        <f aca="false">SUMPRODUCT((Rules!$A$2:$A$60=E$1)*Rules!$C$2:$C$60*ISNUMBER(SEARCH(Rules!$D$2:$D$60,$D73)))</f>
        <v>0</v>
      </c>
      <c r="F73" s="0" t="n">
        <f aca="false">SUMPRODUCT((Rules!$A$2:$A$60=F$1)*Rules!$C$2:$C$60*ISNUMBER(SEARCH(Rules!$D$2:$D$60,$D73)))</f>
        <v>0</v>
      </c>
      <c r="G73" s="0" t="n">
        <f aca="false">SUMPRODUCT((Rules!$A$2:$A$60=G$1)*Rules!$C$2:$C$60*ISNUMBER(SEARCH(Rules!$D$2:$D$60,$D73)))</f>
        <v>0</v>
      </c>
      <c r="H73" s="0" t="n">
        <f aca="false">SUMPRODUCT((Rules!$A$2:$A$60=H$1)*Rules!$C$2:$C$60*ISNUMBER(SEARCH(Rules!$D$2:$D$60,$D73)))</f>
        <v>0</v>
      </c>
      <c r="I73" s="0" t="n">
        <f aca="false">SUMPRODUCT((Rules!$A$2:$A$60=I$1)*Rules!$C$2:$C$60*ISNUMBER(SEARCH(Rules!$D$2:$D$60,$D73)))</f>
        <v>0</v>
      </c>
      <c r="J73" s="0" t="n">
        <f aca="false">SUMPRODUCT((Rules!$A$2:$A$60=J$1)*Rules!$C$2:$C$60*ISNUMBER(SEARCH(Rules!$D$2:$D$60,$D73)))</f>
        <v>3</v>
      </c>
      <c r="K73" s="0" t="str">
        <f aca="false">IF(OR(MAX(E73:J73)&lt;Rules!$H$1,MAX(E73:J73)-LARGE(E73:J73,2)&lt;Rules!$H$2),"No label",INDEX($E$1:$J$1,MATCH(MAX(E73:J73),E73:J73,0)))</f>
        <v>Customer Service</v>
      </c>
      <c r="L73" s="0" t="n">
        <f aca="false">SUMPRODUCT((Rules!$A$2:$A$60=L$1)*Rules!$C$2:$C$60*ISNUMBER(SEARCH(Rules!$E$2:$E$60,$D73)))</f>
        <v>0</v>
      </c>
      <c r="M73" s="0" t="n">
        <f aca="false">SUMPRODUCT((Rules!$A$2:$A$60=M$1)*Rules!$C$2:$C$60*ISNUMBER(SEARCH(Rules!$E$2:$E$60,$D73)))</f>
        <v>0</v>
      </c>
      <c r="N73" s="0" t="n">
        <f aca="false">SUMPRODUCT((Rules!$A$2:$A$60=N$1)*Rules!$C$2:$C$60*ISNUMBER(SEARCH(Rules!$E$2:$E$60,$D73)))</f>
        <v>0</v>
      </c>
      <c r="O73" s="0" t="n">
        <f aca="false">SUMPRODUCT((Rules!$A$2:$A$60=O$1)*Rules!$C$2:$C$60*ISNUMBER(SEARCH(Rules!$E$2:$E$60,$D73)))</f>
        <v>0</v>
      </c>
      <c r="P73" s="0" t="n">
        <f aca="false">SUMPRODUCT((Rules!$A$2:$A$60=P$1)*Rules!$C$2:$C$60*ISNUMBER(SEARCH(Rules!$E$2:$E$60,$D73)))</f>
        <v>0</v>
      </c>
      <c r="Q73" s="0" t="n">
        <f aca="false">SUMPRODUCT((Rules!$A$2:$A$60=Q$1)*Rules!$C$2:$C$60*ISNUMBER(SEARCH(Rules!$E$2:$E$60,$D73)))</f>
        <v>3</v>
      </c>
      <c r="R73" s="0" t="str">
        <f aca="false">IF(OR(MAX(L73:Q73)&lt;Rules!$H$1,MAX(L73:Q73)-LARGE(L73:Q73,2)&lt;Rules!$H$2),"No label",INDEX($L$1:$Q$1,MATCH(MAX(L73:Q73),L73:Q73,0)))</f>
        <v>Customer Service</v>
      </c>
      <c r="S73" s="0" t="n">
        <f aca="false">SUMPRODUCT(ISNUMBER(SEARCH(" "&amp;Terms!$A$3:$A$821&amp;" ",$D73))*Terms!B$3:B$821)+Terms!B$2</f>
        <v>0.0786031060561386</v>
      </c>
      <c r="T73" s="0" t="n">
        <f aca="false">SUMPRODUCT(ISNUMBER(SEARCH(" "&amp;Terms!$A$3:$A$821&amp;" ",$D73))*Terms!C$3:C$821)+Terms!C$2</f>
        <v>8.55009930329548</v>
      </c>
      <c r="U73" s="0" t="n">
        <f aca="false">SUMPRODUCT(ISNUMBER(SEARCH(" "&amp;Terms!$A$3:$A$821&amp;" ",$D73))*Terms!D$3:D$821)+Terms!D$2</f>
        <v>-3.3873284474141</v>
      </c>
      <c r="V73" s="0" t="n">
        <f aca="false">SUMPRODUCT(ISNUMBER(SEARCH(" "&amp;Terms!$A$3:$A$821&amp;" ",$D73))*Terms!E$3:E$821)+Terms!E$2</f>
        <v>-3.91216631838173</v>
      </c>
      <c r="W73" s="0" t="n">
        <f aca="false">SUMPRODUCT(ISNUMBER(SEARCH(" "&amp;Terms!$A$3:$A$821&amp;" ",$D73))*Terms!F$3:F$821)+Terms!F$2</f>
        <v>-3.04312573115997</v>
      </c>
      <c r="X73" s="0" t="n">
        <f aca="false">SUMPRODUCT(ISNUMBER(SEARCH(" "&amp;Terms!$A$3:$A$821&amp;" ",$D73))*Terms!G$3:G$821)+Terms!G$2</f>
        <v>1.71391808760428</v>
      </c>
      <c r="Y73" s="0" t="str">
        <f aca="false">INDEX($S$1:$X$1,MATCH(MAX(S73:X73),S73:X73,0))</f>
        <v>Customer Service</v>
      </c>
      <c r="Z73" s="0" t="s">
        <v>2608</v>
      </c>
    </row>
    <row r="74" customFormat="false" ht="15" hidden="false" customHeight="false" outlineLevel="0" collapsed="false">
      <c r="A74" s="0" t="str">
        <f aca="false">Complaints!A74</f>
        <v>C0073</v>
      </c>
      <c r="B74" s="0" t="str">
        <f aca="false">Complaints!B74</f>
        <v>This is the second time I have raised this. I was sold a product that was not suitable for my circumstances. This is not acceptable.</v>
      </c>
      <c r="C74" s="0" t="str">
        <f aca="false">Complaints!C74</f>
        <v>Mis-selling</v>
      </c>
      <c r="D74" s="0" t="str">
        <f aca="false">" "&amp;TRIM(SUBSTITUTE(SUBSTITUTE(SUBSTITUTE(SUBSTITUTE(SUBSTITUTE(SUBSTITUTE(SUBSTITUTE(SUBSTITUTE(SUBSTITUTE(SUBSTITUTE(SUBSTITUTE(SUBSTITUTE(SUBSTITUTE(SUBSTITUTE(SUBSTITUTE(SUBSTITUTE(LOWER(B74),"."," "),","," "),"'"," "),"’"," "),"!"," "),"?"," "),";"," "),":"," "),"-"," "),"("," "),")"," "),"""", " "),"£"," "),"&amp;"," "),"/"," "),"%"," "))&amp;" "</f>
        <v> this is the second time i have raised this i was sold a product that was not suitable for my circumstances this is not acceptable </v>
      </c>
      <c r="E74" s="0" t="n">
        <f aca="false">SUMPRODUCT((Rules!$A$2:$A$60=E$1)*Rules!$C$2:$C$60*ISNUMBER(SEARCH(Rules!$D$2:$D$60,$D74)))</f>
        <v>0</v>
      </c>
      <c r="F74" s="0" t="n">
        <f aca="false">SUMPRODUCT((Rules!$A$2:$A$60=F$1)*Rules!$C$2:$C$60*ISNUMBER(SEARCH(Rules!$D$2:$D$60,$D74)))</f>
        <v>5</v>
      </c>
      <c r="G74" s="0" t="n">
        <f aca="false">SUMPRODUCT((Rules!$A$2:$A$60=G$1)*Rules!$C$2:$C$60*ISNUMBER(SEARCH(Rules!$D$2:$D$60,$D74)))</f>
        <v>0</v>
      </c>
      <c r="H74" s="0" t="n">
        <f aca="false">SUMPRODUCT((Rules!$A$2:$A$60=H$1)*Rules!$C$2:$C$60*ISNUMBER(SEARCH(Rules!$D$2:$D$60,$D74)))</f>
        <v>0</v>
      </c>
      <c r="I74" s="0" t="n">
        <f aca="false">SUMPRODUCT((Rules!$A$2:$A$60=I$1)*Rules!$C$2:$C$60*ISNUMBER(SEARCH(Rules!$D$2:$D$60,$D74)))</f>
        <v>0</v>
      </c>
      <c r="J74" s="0" t="n">
        <f aca="false">SUMPRODUCT((Rules!$A$2:$A$60=J$1)*Rules!$C$2:$C$60*ISNUMBER(SEARCH(Rules!$D$2:$D$60,$D74)))</f>
        <v>0</v>
      </c>
      <c r="K74" s="0" t="str">
        <f aca="false">IF(OR(MAX(E74:J74)&lt;Rules!$H$1,MAX(E74:J74)-LARGE(E74:J74,2)&lt;Rules!$H$2),"No label",INDEX($E$1:$J$1,MATCH(MAX(E74:J74),E74:J74,0)))</f>
        <v>Mis-selling</v>
      </c>
      <c r="L74" s="0" t="n">
        <f aca="false">SUMPRODUCT((Rules!$A$2:$A$60=L$1)*Rules!$C$2:$C$60*ISNUMBER(SEARCH(Rules!$E$2:$E$60,$D74)))</f>
        <v>0</v>
      </c>
      <c r="M74" s="0" t="n">
        <f aca="false">SUMPRODUCT((Rules!$A$2:$A$60=M$1)*Rules!$C$2:$C$60*ISNUMBER(SEARCH(Rules!$E$2:$E$60,$D74)))</f>
        <v>5</v>
      </c>
      <c r="N74" s="0" t="n">
        <f aca="false">SUMPRODUCT((Rules!$A$2:$A$60=N$1)*Rules!$C$2:$C$60*ISNUMBER(SEARCH(Rules!$E$2:$E$60,$D74)))</f>
        <v>1</v>
      </c>
      <c r="O74" s="0" t="n">
        <f aca="false">SUMPRODUCT((Rules!$A$2:$A$60=O$1)*Rules!$C$2:$C$60*ISNUMBER(SEARCH(Rules!$E$2:$E$60,$D74)))</f>
        <v>0</v>
      </c>
      <c r="P74" s="0" t="n">
        <f aca="false">SUMPRODUCT((Rules!$A$2:$A$60=P$1)*Rules!$C$2:$C$60*ISNUMBER(SEARCH(Rules!$E$2:$E$60,$D74)))</f>
        <v>0</v>
      </c>
      <c r="Q74" s="0" t="n">
        <f aca="false">SUMPRODUCT((Rules!$A$2:$A$60=Q$1)*Rules!$C$2:$C$60*ISNUMBER(SEARCH(Rules!$E$2:$E$60,$D74)))</f>
        <v>0</v>
      </c>
      <c r="R74" s="0" t="str">
        <f aca="false">IF(OR(MAX(L74:Q74)&lt;Rules!$H$1,MAX(L74:Q74)-LARGE(L74:Q74,2)&lt;Rules!$H$2),"No label",INDEX($L$1:$Q$1,MATCH(MAX(L74:Q74),L74:Q74,0)))</f>
        <v>Mis-selling</v>
      </c>
      <c r="S74" s="0" t="n">
        <f aca="false">SUMPRODUCT(ISNUMBER(SEARCH(" "&amp;Terms!$A$3:$A$821&amp;" ",$D74))*Terms!B$3:B$821)+Terms!B$2</f>
        <v>-2.18690037965562</v>
      </c>
      <c r="T74" s="0" t="n">
        <f aca="false">SUMPRODUCT(ISNUMBER(SEARCH(" "&amp;Terms!$A$3:$A$821&amp;" ",$D74))*Terms!C$3:C$821)+Terms!C$2</f>
        <v>-0.827850755414552</v>
      </c>
      <c r="U74" s="0" t="n">
        <f aca="false">SUMPRODUCT(ISNUMBER(SEARCH(" "&amp;Terms!$A$3:$A$821&amp;" ",$D74))*Terms!D$3:D$821)+Terms!D$2</f>
        <v>-0.358018931785019</v>
      </c>
      <c r="V74" s="0" t="n">
        <f aca="false">SUMPRODUCT(ISNUMBER(SEARCH(" "&amp;Terms!$A$3:$A$821&amp;" ",$D74))*Terms!E$3:E$821)+Terms!E$2</f>
        <v>-2.00250228803813</v>
      </c>
      <c r="W74" s="0" t="n">
        <f aca="false">SUMPRODUCT(ISNUMBER(SEARCH(" "&amp;Terms!$A$3:$A$821&amp;" ",$D74))*Terms!F$3:F$821)+Terms!F$2</f>
        <v>-0.784414743077866</v>
      </c>
      <c r="X74" s="0" t="n">
        <f aca="false">SUMPRODUCT(ISNUMBER(SEARCH(" "&amp;Terms!$A$3:$A$821&amp;" ",$D74))*Terms!G$3:G$821)+Terms!G$2</f>
        <v>6.15968709797128</v>
      </c>
      <c r="Y74" s="0" t="str">
        <f aca="false">INDEX($S$1:$X$1,MATCH(MAX(S74:X74),S74:X74,0))</f>
        <v>Mis-selling</v>
      </c>
      <c r="Z74" s="0" t="s">
        <v>2607</v>
      </c>
    </row>
    <row r="75" customFormat="false" ht="15" hidden="false" customHeight="false" outlineLevel="0" collapsed="false">
      <c r="A75" s="0" t="str">
        <f aca="false">Complaints!A75</f>
        <v>C0074</v>
      </c>
      <c r="B75" s="0" t="str">
        <f aca="false">Complaints!B75</f>
        <v>I was sold a product that was not suitable for my circumstances. It has also been taking far too long. I would like a response in writing.</v>
      </c>
      <c r="C75" s="0" t="str">
        <f aca="false">Complaints!C75</f>
        <v>Mis-selling</v>
      </c>
      <c r="D75" s="0" t="str">
        <f aca="false">" "&amp;TRIM(SUBSTITUTE(SUBSTITUTE(SUBSTITUTE(SUBSTITUTE(SUBSTITUTE(SUBSTITUTE(SUBSTITUTE(SUBSTITUTE(SUBSTITUTE(SUBSTITUTE(SUBSTITUTE(SUBSTITUTE(SUBSTITUTE(SUBSTITUTE(SUBSTITUTE(SUBSTITUTE(LOWER(B75),"."," "),","," "),"'"," "),"’"," "),"!"," "),"?"," "),";"," "),":"," "),"-"," "),"("," "),")"," "),"""", " "),"£"," "),"&amp;"," "),"/"," "),"%"," "))&amp;" "</f>
        <v> i was sold a product that was not suitable for my circumstances it has also been taking far too long i would like a response in writing </v>
      </c>
      <c r="E75" s="0" t="n">
        <f aca="false">SUMPRODUCT((Rules!$A$2:$A$60=E$1)*Rules!$C$2:$C$60*ISNUMBER(SEARCH(Rules!$D$2:$D$60,$D75)))</f>
        <v>0</v>
      </c>
      <c r="F75" s="0" t="n">
        <f aca="false">SUMPRODUCT((Rules!$A$2:$A$60=F$1)*Rules!$C$2:$C$60*ISNUMBER(SEARCH(Rules!$D$2:$D$60,$D75)))</f>
        <v>5</v>
      </c>
      <c r="G75" s="0" t="n">
        <f aca="false">SUMPRODUCT((Rules!$A$2:$A$60=G$1)*Rules!$C$2:$C$60*ISNUMBER(SEARCH(Rules!$D$2:$D$60,$D75)))</f>
        <v>0</v>
      </c>
      <c r="H75" s="0" t="n">
        <f aca="false">SUMPRODUCT((Rules!$A$2:$A$60=H$1)*Rules!$C$2:$C$60*ISNUMBER(SEARCH(Rules!$D$2:$D$60,$D75)))</f>
        <v>0</v>
      </c>
      <c r="I75" s="0" t="n">
        <f aca="false">SUMPRODUCT((Rules!$A$2:$A$60=I$1)*Rules!$C$2:$C$60*ISNUMBER(SEARCH(Rules!$D$2:$D$60,$D75)))</f>
        <v>0</v>
      </c>
      <c r="J75" s="0" t="n">
        <f aca="false">SUMPRODUCT((Rules!$A$2:$A$60=J$1)*Rules!$C$2:$C$60*ISNUMBER(SEARCH(Rules!$D$2:$D$60,$D75)))</f>
        <v>0</v>
      </c>
      <c r="K75" s="0" t="str">
        <f aca="false">IF(OR(MAX(E75:J75)&lt;Rules!$H$1,MAX(E75:J75)-LARGE(E75:J75,2)&lt;Rules!$H$2),"No label",INDEX($E$1:$J$1,MATCH(MAX(E75:J75),E75:J75,0)))</f>
        <v>Mis-selling</v>
      </c>
      <c r="L75" s="0" t="n">
        <f aca="false">SUMPRODUCT((Rules!$A$2:$A$60=L$1)*Rules!$C$2:$C$60*ISNUMBER(SEARCH(Rules!$E$2:$E$60,$D75)))</f>
        <v>0</v>
      </c>
      <c r="M75" s="0" t="n">
        <f aca="false">SUMPRODUCT((Rules!$A$2:$A$60=M$1)*Rules!$C$2:$C$60*ISNUMBER(SEARCH(Rules!$E$2:$E$60,$D75)))</f>
        <v>5</v>
      </c>
      <c r="N75" s="0" t="n">
        <f aca="false">SUMPRODUCT((Rules!$A$2:$A$60=N$1)*Rules!$C$2:$C$60*ISNUMBER(SEARCH(Rules!$E$2:$E$60,$D75)))</f>
        <v>0</v>
      </c>
      <c r="O75" s="0" t="n">
        <f aca="false">SUMPRODUCT((Rules!$A$2:$A$60=O$1)*Rules!$C$2:$C$60*ISNUMBER(SEARCH(Rules!$E$2:$E$60,$D75)))</f>
        <v>0</v>
      </c>
      <c r="P75" s="0" t="n">
        <f aca="false">SUMPRODUCT((Rules!$A$2:$A$60=P$1)*Rules!$C$2:$C$60*ISNUMBER(SEARCH(Rules!$E$2:$E$60,$D75)))</f>
        <v>0</v>
      </c>
      <c r="Q75" s="0" t="n">
        <f aca="false">SUMPRODUCT((Rules!$A$2:$A$60=Q$1)*Rules!$C$2:$C$60*ISNUMBER(SEARCH(Rules!$E$2:$E$60,$D75)))</f>
        <v>0</v>
      </c>
      <c r="R75" s="0" t="str">
        <f aca="false">IF(OR(MAX(L75:Q75)&lt;Rules!$H$1,MAX(L75:Q75)-LARGE(L75:Q75,2)&lt;Rules!$H$2),"No label",INDEX($L$1:$Q$1,MATCH(MAX(L75:Q75),L75:Q75,0)))</f>
        <v>Mis-selling</v>
      </c>
      <c r="S75" s="0" t="n">
        <f aca="false">SUMPRODUCT(ISNUMBER(SEARCH(" "&amp;Terms!$A$3:$A$821&amp;" ",$D75))*Terms!B$3:B$821)+Terms!B$2</f>
        <v>-1.89343107479139</v>
      </c>
      <c r="T75" s="0" t="n">
        <f aca="false">SUMPRODUCT(ISNUMBER(SEARCH(" "&amp;Terms!$A$3:$A$821&amp;" ",$D75))*Terms!C$3:C$821)+Terms!C$2</f>
        <v>-1.72264149519858</v>
      </c>
      <c r="U75" s="0" t="n">
        <f aca="false">SUMPRODUCT(ISNUMBER(SEARCH(" "&amp;Terms!$A$3:$A$821&amp;" ",$D75))*Terms!D$3:D$821)+Terms!D$2</f>
        <v>0.111965339697505</v>
      </c>
      <c r="V75" s="0" t="n">
        <f aca="false">SUMPRODUCT(ISNUMBER(SEARCH(" "&amp;Terms!$A$3:$A$821&amp;" ",$D75))*Terms!E$3:E$821)+Terms!E$2</f>
        <v>-1.70570608673168</v>
      </c>
      <c r="W75" s="0" t="n">
        <f aca="false">SUMPRODUCT(ISNUMBER(SEARCH(" "&amp;Terms!$A$3:$A$821&amp;" ",$D75))*Terms!F$3:F$821)+Terms!F$2</f>
        <v>-3.01199473547818</v>
      </c>
      <c r="X75" s="0" t="n">
        <f aca="false">SUMPRODUCT(ISNUMBER(SEARCH(" "&amp;Terms!$A$3:$A$821&amp;" ",$D75))*Terms!G$3:G$821)+Terms!G$2</f>
        <v>8.22180805250241</v>
      </c>
      <c r="Y75" s="0" t="str">
        <f aca="false">INDEX($S$1:$X$1,MATCH(MAX(S75:X75),S75:X75,0))</f>
        <v>Mis-selling</v>
      </c>
      <c r="Z75" s="0" t="s">
        <v>2607</v>
      </c>
    </row>
    <row r="76" customFormat="false" ht="15" hidden="false" customHeight="false" outlineLevel="0" collapsed="false">
      <c r="A76" s="0" t="str">
        <f aca="false">Complaints!A76</f>
        <v>C0075</v>
      </c>
      <c r="B76" s="0" t="str">
        <f aca="false">Complaints!B76</f>
        <v>The pension transfer advice I received was poor and I have lost out.</v>
      </c>
      <c r="C76" s="0" t="str">
        <f aca="false">Complaints!C76</f>
        <v>Mis-selling</v>
      </c>
      <c r="D76" s="0" t="str">
        <f aca="false">" "&amp;TRIM(SUBSTITUTE(SUBSTITUTE(SUBSTITUTE(SUBSTITUTE(SUBSTITUTE(SUBSTITUTE(SUBSTITUTE(SUBSTITUTE(SUBSTITUTE(SUBSTITUTE(SUBSTITUTE(SUBSTITUTE(SUBSTITUTE(SUBSTITUTE(SUBSTITUTE(SUBSTITUTE(LOWER(B76),"."," "),","," "),"'"," "),"’"," "),"!"," "),"?"," "),";"," "),":"," "),"-"," "),"("," "),")"," "),"""", " "),"£"," "),"&amp;"," "),"/"," "),"%"," "))&amp;" "</f>
        <v> the pension transfer advice i received was poor and i have lost out </v>
      </c>
      <c r="E76" s="0" t="n">
        <f aca="false">SUMPRODUCT((Rules!$A$2:$A$60=E$1)*Rules!$C$2:$C$60*ISNUMBER(SEARCH(Rules!$D$2:$D$60,$D76)))</f>
        <v>0</v>
      </c>
      <c r="F76" s="0" t="n">
        <f aca="false">SUMPRODUCT((Rules!$A$2:$A$60=F$1)*Rules!$C$2:$C$60*ISNUMBER(SEARCH(Rules!$D$2:$D$60,$D76)))</f>
        <v>2</v>
      </c>
      <c r="G76" s="0" t="n">
        <f aca="false">SUMPRODUCT((Rules!$A$2:$A$60=G$1)*Rules!$C$2:$C$60*ISNUMBER(SEARCH(Rules!$D$2:$D$60,$D76)))</f>
        <v>0</v>
      </c>
      <c r="H76" s="0" t="n">
        <f aca="false">SUMPRODUCT((Rules!$A$2:$A$60=H$1)*Rules!$C$2:$C$60*ISNUMBER(SEARCH(Rules!$D$2:$D$60,$D76)))</f>
        <v>0</v>
      </c>
      <c r="I76" s="0" t="n">
        <f aca="false">SUMPRODUCT((Rules!$A$2:$A$60=I$1)*Rules!$C$2:$C$60*ISNUMBER(SEARCH(Rules!$D$2:$D$60,$D76)))</f>
        <v>0</v>
      </c>
      <c r="J76" s="0" t="n">
        <f aca="false">SUMPRODUCT((Rules!$A$2:$A$60=J$1)*Rules!$C$2:$C$60*ISNUMBER(SEARCH(Rules!$D$2:$D$60,$D76)))</f>
        <v>0</v>
      </c>
      <c r="K76" s="0" t="str">
        <f aca="false">IF(OR(MAX(E76:J76)&lt;Rules!$H$1,MAX(E76:J76)-LARGE(E76:J76,2)&lt;Rules!$H$2),"No label",INDEX($E$1:$J$1,MATCH(MAX(E76:J76),E76:J76,0)))</f>
        <v>No label</v>
      </c>
      <c r="L76" s="0" t="n">
        <f aca="false">SUMPRODUCT((Rules!$A$2:$A$60=L$1)*Rules!$C$2:$C$60*ISNUMBER(SEARCH(Rules!$E$2:$E$60,$D76)))</f>
        <v>0</v>
      </c>
      <c r="M76" s="0" t="n">
        <f aca="false">SUMPRODUCT((Rules!$A$2:$A$60=M$1)*Rules!$C$2:$C$60*ISNUMBER(SEARCH(Rules!$E$2:$E$60,$D76)))</f>
        <v>2</v>
      </c>
      <c r="N76" s="0" t="n">
        <f aca="false">SUMPRODUCT((Rules!$A$2:$A$60=N$1)*Rules!$C$2:$C$60*ISNUMBER(SEARCH(Rules!$E$2:$E$60,$D76)))</f>
        <v>0</v>
      </c>
      <c r="O76" s="0" t="n">
        <f aca="false">SUMPRODUCT((Rules!$A$2:$A$60=O$1)*Rules!$C$2:$C$60*ISNUMBER(SEARCH(Rules!$E$2:$E$60,$D76)))</f>
        <v>0</v>
      </c>
      <c r="P76" s="0" t="n">
        <f aca="false">SUMPRODUCT((Rules!$A$2:$A$60=P$1)*Rules!$C$2:$C$60*ISNUMBER(SEARCH(Rules!$E$2:$E$60,$D76)))</f>
        <v>0</v>
      </c>
      <c r="Q76" s="0" t="n">
        <f aca="false">SUMPRODUCT((Rules!$A$2:$A$60=Q$1)*Rules!$C$2:$C$60*ISNUMBER(SEARCH(Rules!$E$2:$E$60,$D76)))</f>
        <v>0</v>
      </c>
      <c r="R76" s="0" t="str">
        <f aca="false">IF(OR(MAX(L76:Q76)&lt;Rules!$H$1,MAX(L76:Q76)-LARGE(L76:Q76,2)&lt;Rules!$H$2),"No label",INDEX($L$1:$Q$1,MATCH(MAX(L76:Q76),L76:Q76,0)))</f>
        <v>No label</v>
      </c>
      <c r="S76" s="0" t="n">
        <f aca="false">SUMPRODUCT(ISNUMBER(SEARCH(" "&amp;Terms!$A$3:$A$821&amp;" ",$D76))*Terms!B$3:B$821)+Terms!B$2</f>
        <v>-3.19025091388655</v>
      </c>
      <c r="T76" s="0" t="n">
        <f aca="false">SUMPRODUCT(ISNUMBER(SEARCH(" "&amp;Terms!$A$3:$A$821&amp;" ",$D76))*Terms!C$3:C$821)+Terms!C$2</f>
        <v>-2.90678645703635</v>
      </c>
      <c r="U76" s="0" t="n">
        <f aca="false">SUMPRODUCT(ISNUMBER(SEARCH(" "&amp;Terms!$A$3:$A$821&amp;" ",$D76))*Terms!D$3:D$821)+Terms!D$2</f>
        <v>2.07628840885965</v>
      </c>
      <c r="V76" s="0" t="n">
        <f aca="false">SUMPRODUCT(ISNUMBER(SEARCH(" "&amp;Terms!$A$3:$A$821&amp;" ",$D76))*Terms!E$3:E$821)+Terms!E$2</f>
        <v>-2.63380190476934</v>
      </c>
      <c r="W76" s="0" t="n">
        <f aca="false">SUMPRODUCT(ISNUMBER(SEARCH(" "&amp;Terms!$A$3:$A$821&amp;" ",$D76))*Terms!F$3:F$821)+Terms!F$2</f>
        <v>-2.8455558511236</v>
      </c>
      <c r="X76" s="0" t="n">
        <f aca="false">SUMPRODUCT(ISNUMBER(SEARCH(" "&amp;Terms!$A$3:$A$821&amp;" ",$D76))*Terms!G$3:G$821)+Terms!G$2</f>
        <v>9.50010671795629</v>
      </c>
      <c r="Y76" s="0" t="str">
        <f aca="false">INDEX($S$1:$X$1,MATCH(MAX(S76:X76),S76:X76,0))</f>
        <v>Mis-selling</v>
      </c>
      <c r="Z76" s="0" t="s">
        <v>2607</v>
      </c>
    </row>
    <row r="77" customFormat="false" ht="15" hidden="false" customHeight="false" outlineLevel="0" collapsed="false">
      <c r="A77" s="0" t="str">
        <f aca="false">Complaints!A77</f>
        <v>C0076</v>
      </c>
      <c r="B77" s="0" t="str">
        <f aca="false">Complaints!B77</f>
        <v>Hello, I am unable to access my account to see my balance. Please sort this out.</v>
      </c>
      <c r="C77" s="0" t="str">
        <f aca="false">Complaints!C77</f>
        <v>Account Access</v>
      </c>
      <c r="D77" s="0" t="str">
        <f aca="false">" "&amp;TRIM(SUBSTITUTE(SUBSTITUTE(SUBSTITUTE(SUBSTITUTE(SUBSTITUTE(SUBSTITUTE(SUBSTITUTE(SUBSTITUTE(SUBSTITUTE(SUBSTITUTE(SUBSTITUTE(SUBSTITUTE(SUBSTITUTE(SUBSTITUTE(SUBSTITUTE(SUBSTITUTE(LOWER(B77),"."," "),","," "),"'"," "),"’"," "),"!"," "),"?"," "),";"," "),":"," "),"-"," "),"("," "),")"," "),"""", " "),"£"," "),"&amp;"," "),"/"," "),"%"," "))&amp;" "</f>
        <v> hello i am unable to access my account to see my balance please sort this out </v>
      </c>
      <c r="E77" s="0" t="n">
        <f aca="false">SUMPRODUCT((Rules!$A$2:$A$60=E$1)*Rules!$C$2:$C$60*ISNUMBER(SEARCH(Rules!$D$2:$D$60,$D77)))</f>
        <v>0</v>
      </c>
      <c r="F77" s="0" t="n">
        <f aca="false">SUMPRODUCT((Rules!$A$2:$A$60=F$1)*Rules!$C$2:$C$60*ISNUMBER(SEARCH(Rules!$D$2:$D$60,$D77)))</f>
        <v>0</v>
      </c>
      <c r="G77" s="0" t="n">
        <f aca="false">SUMPRODUCT((Rules!$A$2:$A$60=G$1)*Rules!$C$2:$C$60*ISNUMBER(SEARCH(Rules!$D$2:$D$60,$D77)))</f>
        <v>1</v>
      </c>
      <c r="H77" s="0" t="n">
        <f aca="false">SUMPRODUCT((Rules!$A$2:$A$60=H$1)*Rules!$C$2:$C$60*ISNUMBER(SEARCH(Rules!$D$2:$D$60,$D77)))</f>
        <v>0</v>
      </c>
      <c r="I77" s="0" t="n">
        <f aca="false">SUMPRODUCT((Rules!$A$2:$A$60=I$1)*Rules!$C$2:$C$60*ISNUMBER(SEARCH(Rules!$D$2:$D$60,$D77)))</f>
        <v>0</v>
      </c>
      <c r="J77" s="0" t="n">
        <f aca="false">SUMPRODUCT((Rules!$A$2:$A$60=J$1)*Rules!$C$2:$C$60*ISNUMBER(SEARCH(Rules!$D$2:$D$60,$D77)))</f>
        <v>0</v>
      </c>
      <c r="K77" s="0" t="str">
        <f aca="false">IF(OR(MAX(E77:J77)&lt;Rules!$H$1,MAX(E77:J77)-LARGE(E77:J77,2)&lt;Rules!$H$2),"No label",INDEX($E$1:$J$1,MATCH(MAX(E77:J77),E77:J77,0)))</f>
        <v>No label</v>
      </c>
      <c r="L77" s="0" t="n">
        <f aca="false">SUMPRODUCT((Rules!$A$2:$A$60=L$1)*Rules!$C$2:$C$60*ISNUMBER(SEARCH(Rules!$E$2:$E$60,$D77)))</f>
        <v>0</v>
      </c>
      <c r="M77" s="0" t="n">
        <f aca="false">SUMPRODUCT((Rules!$A$2:$A$60=M$1)*Rules!$C$2:$C$60*ISNUMBER(SEARCH(Rules!$E$2:$E$60,$D77)))</f>
        <v>0</v>
      </c>
      <c r="N77" s="0" t="n">
        <f aca="false">SUMPRODUCT((Rules!$A$2:$A$60=N$1)*Rules!$C$2:$C$60*ISNUMBER(SEARCH(Rules!$E$2:$E$60,$D77)))</f>
        <v>1</v>
      </c>
      <c r="O77" s="0" t="n">
        <f aca="false">SUMPRODUCT((Rules!$A$2:$A$60=O$1)*Rules!$C$2:$C$60*ISNUMBER(SEARCH(Rules!$E$2:$E$60,$D77)))</f>
        <v>0</v>
      </c>
      <c r="P77" s="0" t="n">
        <f aca="false">SUMPRODUCT((Rules!$A$2:$A$60=P$1)*Rules!$C$2:$C$60*ISNUMBER(SEARCH(Rules!$E$2:$E$60,$D77)))</f>
        <v>0</v>
      </c>
      <c r="Q77" s="0" t="n">
        <f aca="false">SUMPRODUCT((Rules!$A$2:$A$60=Q$1)*Rules!$C$2:$C$60*ISNUMBER(SEARCH(Rules!$E$2:$E$60,$D77)))</f>
        <v>0</v>
      </c>
      <c r="R77" s="0" t="str">
        <f aca="false">IF(OR(MAX(L77:Q77)&lt;Rules!$H$1,MAX(L77:Q77)-LARGE(L77:Q77,2)&lt;Rules!$H$2),"No label",INDEX($L$1:$Q$1,MATCH(MAX(L77:Q77),L77:Q77,0)))</f>
        <v>No label</v>
      </c>
      <c r="S77" s="0" t="n">
        <f aca="false">SUMPRODUCT(ISNUMBER(SEARCH(" "&amp;Terms!$A$3:$A$821&amp;" ",$D77))*Terms!B$3:B$821)+Terms!B$2</f>
        <v>5.41379709423705</v>
      </c>
      <c r="T77" s="0" t="n">
        <f aca="false">SUMPRODUCT(ISNUMBER(SEARCH(" "&amp;Terms!$A$3:$A$821&amp;" ",$D77))*Terms!C$3:C$821)+Terms!C$2</f>
        <v>-2.57418558999806</v>
      </c>
      <c r="U77" s="0" t="n">
        <f aca="false">SUMPRODUCT(ISNUMBER(SEARCH(" "&amp;Terms!$A$3:$A$821&amp;" ",$D77))*Terms!D$3:D$821)+Terms!D$2</f>
        <v>0.573879323929571</v>
      </c>
      <c r="V77" s="0" t="n">
        <f aca="false">SUMPRODUCT(ISNUMBER(SEARCH(" "&amp;Terms!$A$3:$A$821&amp;" ",$D77))*Terms!E$3:E$821)+Terms!E$2</f>
        <v>0.675692595984311</v>
      </c>
      <c r="W77" s="0" t="n">
        <f aca="false">SUMPRODUCT(ISNUMBER(SEARCH(" "&amp;Terms!$A$3:$A$821&amp;" ",$D77))*Terms!F$3:F$821)+Terms!F$2</f>
        <v>-1.00206900600264</v>
      </c>
      <c r="X77" s="0" t="n">
        <f aca="false">SUMPRODUCT(ISNUMBER(SEARCH(" "&amp;Terms!$A$3:$A$821&amp;" ",$D77))*Terms!G$3:G$821)+Terms!G$2</f>
        <v>-3.08711441815015</v>
      </c>
      <c r="Y77" s="0" t="str">
        <f aca="false">INDEX($S$1:$X$1,MATCH(MAX(S77:X77),S77:X77,0))</f>
        <v>Account Access</v>
      </c>
      <c r="Z77" s="0" t="s">
        <v>2607</v>
      </c>
    </row>
    <row r="78" customFormat="false" ht="15" hidden="false" customHeight="false" outlineLevel="0" collapsed="false">
      <c r="A78" s="0" t="str">
        <f aca="false">Complaints!A78</f>
        <v>C0077</v>
      </c>
      <c r="B78" s="0" t="str">
        <f aca="false">Complaints!B78</f>
        <v>I am writing to complain. My online banking is locked and the reset link never arrives. Please sort this out.</v>
      </c>
      <c r="C78" s="0" t="str">
        <f aca="false">Complaints!C78</f>
        <v>Account Access</v>
      </c>
      <c r="D78" s="0" t="str">
        <f aca="false">" "&amp;TRIM(SUBSTITUTE(SUBSTITUTE(SUBSTITUTE(SUBSTITUTE(SUBSTITUTE(SUBSTITUTE(SUBSTITUTE(SUBSTITUTE(SUBSTITUTE(SUBSTITUTE(SUBSTITUTE(SUBSTITUTE(SUBSTITUTE(SUBSTITUTE(SUBSTITUTE(SUBSTITUTE(LOWER(B78),"."," "),","," "),"'"," "),"’"," "),"!"," "),"?"," "),";"," "),":"," "),"-"," "),"("," "),")"," "),"""", " "),"£"," "),"&amp;"," "),"/"," "),"%"," "))&amp;" "</f>
        <v> i am writing to complain my online banking is locked and the reset link never arrives please sort this out </v>
      </c>
      <c r="E78" s="0" t="n">
        <f aca="false">SUMPRODUCT((Rules!$A$2:$A$60=E$1)*Rules!$C$2:$C$60*ISNUMBER(SEARCH(Rules!$D$2:$D$60,$D78)))</f>
        <v>0</v>
      </c>
      <c r="F78" s="0" t="n">
        <f aca="false">SUMPRODUCT((Rules!$A$2:$A$60=F$1)*Rules!$C$2:$C$60*ISNUMBER(SEARCH(Rules!$D$2:$D$60,$D78)))</f>
        <v>0</v>
      </c>
      <c r="G78" s="0" t="n">
        <f aca="false">SUMPRODUCT((Rules!$A$2:$A$60=G$1)*Rules!$C$2:$C$60*ISNUMBER(SEARCH(Rules!$D$2:$D$60,$D78)))</f>
        <v>5</v>
      </c>
      <c r="H78" s="0" t="n">
        <f aca="false">SUMPRODUCT((Rules!$A$2:$A$60=H$1)*Rules!$C$2:$C$60*ISNUMBER(SEARCH(Rules!$D$2:$D$60,$D78)))</f>
        <v>0</v>
      </c>
      <c r="I78" s="0" t="n">
        <f aca="false">SUMPRODUCT((Rules!$A$2:$A$60=I$1)*Rules!$C$2:$C$60*ISNUMBER(SEARCH(Rules!$D$2:$D$60,$D78)))</f>
        <v>0</v>
      </c>
      <c r="J78" s="0" t="n">
        <f aca="false">SUMPRODUCT((Rules!$A$2:$A$60=J$1)*Rules!$C$2:$C$60*ISNUMBER(SEARCH(Rules!$D$2:$D$60,$D78)))</f>
        <v>0</v>
      </c>
      <c r="K78" s="0" t="str">
        <f aca="false">IF(OR(MAX(E78:J78)&lt;Rules!$H$1,MAX(E78:J78)-LARGE(E78:J78,2)&lt;Rules!$H$2),"No label",INDEX($E$1:$J$1,MATCH(MAX(E78:J78),E78:J78,0)))</f>
        <v>Account Access</v>
      </c>
      <c r="L78" s="0" t="n">
        <f aca="false">SUMPRODUCT((Rules!$A$2:$A$60=L$1)*Rules!$C$2:$C$60*ISNUMBER(SEARCH(Rules!$E$2:$E$60,$D78)))</f>
        <v>0</v>
      </c>
      <c r="M78" s="0" t="n">
        <f aca="false">SUMPRODUCT((Rules!$A$2:$A$60=M$1)*Rules!$C$2:$C$60*ISNUMBER(SEARCH(Rules!$E$2:$E$60,$D78)))</f>
        <v>0</v>
      </c>
      <c r="N78" s="0" t="n">
        <f aca="false">SUMPRODUCT((Rules!$A$2:$A$60=N$1)*Rules!$C$2:$C$60*ISNUMBER(SEARCH(Rules!$E$2:$E$60,$D78)))</f>
        <v>5</v>
      </c>
      <c r="O78" s="0" t="n">
        <f aca="false">SUMPRODUCT((Rules!$A$2:$A$60=O$1)*Rules!$C$2:$C$60*ISNUMBER(SEARCH(Rules!$E$2:$E$60,$D78)))</f>
        <v>0</v>
      </c>
      <c r="P78" s="0" t="n">
        <f aca="false">SUMPRODUCT((Rules!$A$2:$A$60=P$1)*Rules!$C$2:$C$60*ISNUMBER(SEARCH(Rules!$E$2:$E$60,$D78)))</f>
        <v>0</v>
      </c>
      <c r="Q78" s="0" t="n">
        <f aca="false">SUMPRODUCT((Rules!$A$2:$A$60=Q$1)*Rules!$C$2:$C$60*ISNUMBER(SEARCH(Rules!$E$2:$E$60,$D78)))</f>
        <v>0</v>
      </c>
      <c r="R78" s="0" t="str">
        <f aca="false">IF(OR(MAX(L78:Q78)&lt;Rules!$H$1,MAX(L78:Q78)-LARGE(L78:Q78,2)&lt;Rules!$H$2),"No label",INDEX($L$1:$Q$1,MATCH(MAX(L78:Q78),L78:Q78,0)))</f>
        <v>Account Access</v>
      </c>
      <c r="S78" s="0" t="n">
        <f aca="false">SUMPRODUCT(ISNUMBER(SEARCH(" "&amp;Terms!$A$3:$A$821&amp;" ",$D78))*Terms!B$3:B$821)+Terms!B$2</f>
        <v>7.90809239127278</v>
      </c>
      <c r="T78" s="0" t="n">
        <f aca="false">SUMPRODUCT(ISNUMBER(SEARCH(" "&amp;Terms!$A$3:$A$821&amp;" ",$D78))*Terms!C$3:C$821)+Terms!C$2</f>
        <v>-3.77473449741701</v>
      </c>
      <c r="U78" s="0" t="n">
        <f aca="false">SUMPRODUCT(ISNUMBER(SEARCH(" "&amp;Terms!$A$3:$A$821&amp;" ",$D78))*Terms!D$3:D$821)+Terms!D$2</f>
        <v>-0.784283803530314</v>
      </c>
      <c r="V78" s="0" t="n">
        <f aca="false">SUMPRODUCT(ISNUMBER(SEARCH(" "&amp;Terms!$A$3:$A$821&amp;" ",$D78))*Terms!E$3:E$821)+Terms!E$2</f>
        <v>0.257944776868965</v>
      </c>
      <c r="W78" s="0" t="n">
        <f aca="false">SUMPRODUCT(ISNUMBER(SEARCH(" "&amp;Terms!$A$3:$A$821&amp;" ",$D78))*Terms!F$3:F$821)+Terms!F$2</f>
        <v>-3.13037467729169</v>
      </c>
      <c r="X78" s="0" t="n">
        <f aca="false">SUMPRODUCT(ISNUMBER(SEARCH(" "&amp;Terms!$A$3:$A$821&amp;" ",$D78))*Terms!G$3:G$821)+Terms!G$2</f>
        <v>-0.476644189902643</v>
      </c>
      <c r="Y78" s="0" t="str">
        <f aca="false">INDEX($S$1:$X$1,MATCH(MAX(S78:X78),S78:X78,0))</f>
        <v>Account Access</v>
      </c>
      <c r="Z78" s="0" t="s">
        <v>2607</v>
      </c>
    </row>
    <row r="79" customFormat="false" ht="15" hidden="false" customHeight="false" outlineLevel="0" collapsed="false">
      <c r="A79" s="0" t="str">
        <f aca="false">Complaints!A79</f>
        <v>C0078</v>
      </c>
      <c r="B79" s="0" t="str">
        <f aca="false">Complaints!B79</f>
        <v>I have been a customer for years. My application has been stuck for weeks with no progress. This is not acceptable.</v>
      </c>
      <c r="C79" s="0" t="str">
        <f aca="false">Complaints!C79</f>
        <v>Delays &amp; Processing</v>
      </c>
      <c r="D79" s="0" t="str">
        <f aca="false">" "&amp;TRIM(SUBSTITUTE(SUBSTITUTE(SUBSTITUTE(SUBSTITUTE(SUBSTITUTE(SUBSTITUTE(SUBSTITUTE(SUBSTITUTE(SUBSTITUTE(SUBSTITUTE(SUBSTITUTE(SUBSTITUTE(SUBSTITUTE(SUBSTITUTE(SUBSTITUTE(SUBSTITUTE(LOWER(B79),"."," "),","," "),"'"," "),"’"," "),"!"," "),"?"," "),";"," "),":"," "),"-"," "),"("," "),")"," "),"""", " "),"£"," "),"&amp;"," "),"/"," "),"%"," "))&amp;" "</f>
        <v> i have been a customer for years my application has been stuck for weeks with no progress this is not acceptable </v>
      </c>
      <c r="E79" s="0" t="n">
        <f aca="false">SUMPRODUCT((Rules!$A$2:$A$60=E$1)*Rules!$C$2:$C$60*ISNUMBER(SEARCH(Rules!$D$2:$D$60,$D79)))</f>
        <v>0</v>
      </c>
      <c r="F79" s="0" t="n">
        <f aca="false">SUMPRODUCT((Rules!$A$2:$A$60=F$1)*Rules!$C$2:$C$60*ISNUMBER(SEARCH(Rules!$D$2:$D$60,$D79)))</f>
        <v>0</v>
      </c>
      <c r="G79" s="0" t="n">
        <f aca="false">SUMPRODUCT((Rules!$A$2:$A$60=G$1)*Rules!$C$2:$C$60*ISNUMBER(SEARCH(Rules!$D$2:$D$60,$D79)))</f>
        <v>0</v>
      </c>
      <c r="H79" s="0" t="n">
        <f aca="false">SUMPRODUCT((Rules!$A$2:$A$60=H$1)*Rules!$C$2:$C$60*ISNUMBER(SEARCH(Rules!$D$2:$D$60,$D79)))</f>
        <v>0</v>
      </c>
      <c r="I79" s="0" t="n">
        <f aca="false">SUMPRODUCT((Rules!$A$2:$A$60=I$1)*Rules!$C$2:$C$60*ISNUMBER(SEARCH(Rules!$D$2:$D$60,$D79)))</f>
        <v>3</v>
      </c>
      <c r="J79" s="0" t="n">
        <f aca="false">SUMPRODUCT((Rules!$A$2:$A$60=J$1)*Rules!$C$2:$C$60*ISNUMBER(SEARCH(Rules!$D$2:$D$60,$D79)))</f>
        <v>0</v>
      </c>
      <c r="K79" s="0" t="str">
        <f aca="false">IF(OR(MAX(E79:J79)&lt;Rules!$H$1,MAX(E79:J79)-LARGE(E79:J79,2)&lt;Rules!$H$2),"No label",INDEX($E$1:$J$1,MATCH(MAX(E79:J79),E79:J79,0)))</f>
        <v>Delays &amp; Processing</v>
      </c>
      <c r="L79" s="0" t="n">
        <f aca="false">SUMPRODUCT((Rules!$A$2:$A$60=L$1)*Rules!$C$2:$C$60*ISNUMBER(SEARCH(Rules!$E$2:$E$60,$D79)))</f>
        <v>0</v>
      </c>
      <c r="M79" s="0" t="n">
        <f aca="false">SUMPRODUCT((Rules!$A$2:$A$60=M$1)*Rules!$C$2:$C$60*ISNUMBER(SEARCH(Rules!$E$2:$E$60,$D79)))</f>
        <v>0</v>
      </c>
      <c r="N79" s="0" t="n">
        <f aca="false">SUMPRODUCT((Rules!$A$2:$A$60=N$1)*Rules!$C$2:$C$60*ISNUMBER(SEARCH(Rules!$E$2:$E$60,$D79)))</f>
        <v>1</v>
      </c>
      <c r="O79" s="0" t="n">
        <f aca="false">SUMPRODUCT((Rules!$A$2:$A$60=O$1)*Rules!$C$2:$C$60*ISNUMBER(SEARCH(Rules!$E$2:$E$60,$D79)))</f>
        <v>0</v>
      </c>
      <c r="P79" s="0" t="n">
        <f aca="false">SUMPRODUCT((Rules!$A$2:$A$60=P$1)*Rules!$C$2:$C$60*ISNUMBER(SEARCH(Rules!$E$2:$E$60,$D79)))</f>
        <v>3</v>
      </c>
      <c r="Q79" s="0" t="n">
        <f aca="false">SUMPRODUCT((Rules!$A$2:$A$60=Q$1)*Rules!$C$2:$C$60*ISNUMBER(SEARCH(Rules!$E$2:$E$60,$D79)))</f>
        <v>0</v>
      </c>
      <c r="R79" s="0" t="str">
        <f aca="false">IF(OR(MAX(L79:Q79)&lt;Rules!$H$1,MAX(L79:Q79)-LARGE(L79:Q79,2)&lt;Rules!$H$2),"No label",INDEX($L$1:$Q$1,MATCH(MAX(L79:Q79),L79:Q79,0)))</f>
        <v>Delays &amp; Processing</v>
      </c>
      <c r="S79" s="0" t="n">
        <f aca="false">SUMPRODUCT(ISNUMBER(SEARCH(" "&amp;Terms!$A$3:$A$821&amp;" ",$D79))*Terms!B$3:B$821)+Terms!B$2</f>
        <v>-1.02033970695173</v>
      </c>
      <c r="T79" s="0" t="n">
        <f aca="false">SUMPRODUCT(ISNUMBER(SEARCH(" "&amp;Terms!$A$3:$A$821&amp;" ",$D79))*Terms!C$3:C$821)+Terms!C$2</f>
        <v>-0.274967764222221</v>
      </c>
      <c r="U79" s="0" t="n">
        <f aca="false">SUMPRODUCT(ISNUMBER(SEARCH(" "&amp;Terms!$A$3:$A$821&amp;" ",$D79))*Terms!D$3:D$821)+Terms!D$2</f>
        <v>9.62215935027712</v>
      </c>
      <c r="V79" s="0" t="n">
        <f aca="false">SUMPRODUCT(ISNUMBER(SEARCH(" "&amp;Terms!$A$3:$A$821&amp;" ",$D79))*Terms!E$3:E$821)+Terms!E$2</f>
        <v>-3.06223551695638</v>
      </c>
      <c r="W79" s="0" t="n">
        <f aca="false">SUMPRODUCT(ISNUMBER(SEARCH(" "&amp;Terms!$A$3:$A$821&amp;" ",$D79))*Terms!F$3:F$821)+Terms!F$2</f>
        <v>-3.26657686467821</v>
      </c>
      <c r="X79" s="0" t="n">
        <f aca="false">SUMPRODUCT(ISNUMBER(SEARCH(" "&amp;Terms!$A$3:$A$821&amp;" ",$D79))*Terms!G$3:G$821)+Terms!G$2</f>
        <v>-1.99803949746849</v>
      </c>
      <c r="Y79" s="0" t="str">
        <f aca="false">INDEX($S$1:$X$1,MATCH(MAX(S79:X79),S79:X79,0))</f>
        <v>Delays &amp; Processing</v>
      </c>
      <c r="Z79" s="0" t="s">
        <v>2607</v>
      </c>
    </row>
    <row r="80" customFormat="false" ht="15" hidden="false" customHeight="false" outlineLevel="0" collapsed="false">
      <c r="A80" s="0" t="str">
        <f aca="false">Complaints!A80</f>
        <v>C0079</v>
      </c>
      <c r="B80" s="0" t="str">
        <f aca="false">Complaints!B80</f>
        <v>I have been a customer for years. I was misled about what the insurance actually included. Also, the payment still has not arrived in my account. Please sort this out.</v>
      </c>
      <c r="C80" s="0" t="str">
        <f aca="false">Complaints!C80</f>
        <v>Mis-selling</v>
      </c>
      <c r="D80" s="0" t="str">
        <f aca="false">" "&amp;TRIM(SUBSTITUTE(SUBSTITUTE(SUBSTITUTE(SUBSTITUTE(SUBSTITUTE(SUBSTITUTE(SUBSTITUTE(SUBSTITUTE(SUBSTITUTE(SUBSTITUTE(SUBSTITUTE(SUBSTITUTE(SUBSTITUTE(SUBSTITUTE(SUBSTITUTE(SUBSTITUTE(LOWER(B80),"."," "),","," "),"'"," "),"’"," "),"!"," "),"?"," "),";"," "),":"," "),"-"," "),"("," "),")"," "),"""", " "),"£"," "),"&amp;"," "),"/"," "),"%"," "))&amp;" "</f>
        <v> i have been a customer for years i was misled about what the insurance actually included also the payment still has not arrived in my account please sort this out </v>
      </c>
      <c r="E80" s="0" t="n">
        <f aca="false">SUMPRODUCT((Rules!$A$2:$A$60=E$1)*Rules!$C$2:$C$60*ISNUMBER(SEARCH(Rules!$D$2:$D$60,$D80)))</f>
        <v>0</v>
      </c>
      <c r="F80" s="0" t="n">
        <f aca="false">SUMPRODUCT((Rules!$A$2:$A$60=F$1)*Rules!$C$2:$C$60*ISNUMBER(SEARCH(Rules!$D$2:$D$60,$D80)))</f>
        <v>4</v>
      </c>
      <c r="G80" s="0" t="n">
        <f aca="false">SUMPRODUCT((Rules!$A$2:$A$60=G$1)*Rules!$C$2:$C$60*ISNUMBER(SEARCH(Rules!$D$2:$D$60,$D80)))</f>
        <v>0</v>
      </c>
      <c r="H80" s="0" t="n">
        <f aca="false">SUMPRODUCT((Rules!$A$2:$A$60=H$1)*Rules!$C$2:$C$60*ISNUMBER(SEARCH(Rules!$D$2:$D$60,$D80)))</f>
        <v>0</v>
      </c>
      <c r="I80" s="0" t="n">
        <f aca="false">SUMPRODUCT((Rules!$A$2:$A$60=I$1)*Rules!$C$2:$C$60*ISNUMBER(SEARCH(Rules!$D$2:$D$60,$D80)))</f>
        <v>2</v>
      </c>
      <c r="J80" s="0" t="n">
        <f aca="false">SUMPRODUCT((Rules!$A$2:$A$60=J$1)*Rules!$C$2:$C$60*ISNUMBER(SEARCH(Rules!$D$2:$D$60,$D80)))</f>
        <v>0</v>
      </c>
      <c r="K80" s="0" t="str">
        <f aca="false">IF(OR(MAX(E80:J80)&lt;Rules!$H$1,MAX(E80:J80)-LARGE(E80:J80,2)&lt;Rules!$H$2),"No label",INDEX($E$1:$J$1,MATCH(MAX(E80:J80),E80:J80,0)))</f>
        <v>Mis-selling</v>
      </c>
      <c r="L80" s="0" t="n">
        <f aca="false">SUMPRODUCT((Rules!$A$2:$A$60=L$1)*Rules!$C$2:$C$60*ISNUMBER(SEARCH(Rules!$E$2:$E$60,$D80)))</f>
        <v>0</v>
      </c>
      <c r="M80" s="0" t="n">
        <f aca="false">SUMPRODUCT((Rules!$A$2:$A$60=M$1)*Rules!$C$2:$C$60*ISNUMBER(SEARCH(Rules!$E$2:$E$60,$D80)))</f>
        <v>4</v>
      </c>
      <c r="N80" s="0" t="n">
        <f aca="false">SUMPRODUCT((Rules!$A$2:$A$60=N$1)*Rules!$C$2:$C$60*ISNUMBER(SEARCH(Rules!$E$2:$E$60,$D80)))</f>
        <v>0</v>
      </c>
      <c r="O80" s="0" t="n">
        <f aca="false">SUMPRODUCT((Rules!$A$2:$A$60=O$1)*Rules!$C$2:$C$60*ISNUMBER(SEARCH(Rules!$E$2:$E$60,$D80)))</f>
        <v>0</v>
      </c>
      <c r="P80" s="0" t="n">
        <f aca="false">SUMPRODUCT((Rules!$A$2:$A$60=P$1)*Rules!$C$2:$C$60*ISNUMBER(SEARCH(Rules!$E$2:$E$60,$D80)))</f>
        <v>2</v>
      </c>
      <c r="Q80" s="0" t="n">
        <f aca="false">SUMPRODUCT((Rules!$A$2:$A$60=Q$1)*Rules!$C$2:$C$60*ISNUMBER(SEARCH(Rules!$E$2:$E$60,$D80)))</f>
        <v>0</v>
      </c>
      <c r="R80" s="0" t="str">
        <f aca="false">IF(OR(MAX(L80:Q80)&lt;Rules!$H$1,MAX(L80:Q80)-LARGE(L80:Q80,2)&lt;Rules!$H$2),"No label",INDEX($L$1:$Q$1,MATCH(MAX(L80:Q80),L80:Q80,0)))</f>
        <v>Mis-selling</v>
      </c>
      <c r="S80" s="0" t="n">
        <f aca="false">SUMPRODUCT(ISNUMBER(SEARCH(" "&amp;Terms!$A$3:$A$821&amp;" ",$D80))*Terms!B$3:B$821)+Terms!B$2</f>
        <v>-3.00818267338779</v>
      </c>
      <c r="T80" s="0" t="n">
        <f aca="false">SUMPRODUCT(ISNUMBER(SEARCH(" "&amp;Terms!$A$3:$A$821&amp;" ",$D80))*Terms!C$3:C$821)+Terms!C$2</f>
        <v>-5.32714419615301</v>
      </c>
      <c r="U80" s="0" t="n">
        <f aca="false">SUMPRODUCT(ISNUMBER(SEARCH(" "&amp;Terms!$A$3:$A$821&amp;" ",$D80))*Terms!D$3:D$821)+Terms!D$2</f>
        <v>6.38223617980086</v>
      </c>
      <c r="V80" s="0" t="n">
        <f aca="false">SUMPRODUCT(ISNUMBER(SEARCH(" "&amp;Terms!$A$3:$A$821&amp;" ",$D80))*Terms!E$3:E$821)+Terms!E$2</f>
        <v>-0.343870146417715</v>
      </c>
      <c r="W80" s="0" t="n">
        <f aca="false">SUMPRODUCT(ISNUMBER(SEARCH(" "&amp;Terms!$A$3:$A$821&amp;" ",$D80))*Terms!F$3:F$821)+Terms!F$2</f>
        <v>-4.89718404660031</v>
      </c>
      <c r="X80" s="0" t="n">
        <f aca="false">SUMPRODUCT(ISNUMBER(SEARCH(" "&amp;Terms!$A$3:$A$821&amp;" ",$D80))*Terms!G$3:G$821)+Terms!G$2</f>
        <v>7.19414488275807</v>
      </c>
      <c r="Y80" s="0" t="str">
        <f aca="false">INDEX($S$1:$X$1,MATCH(MAX(S80:X80),S80:X80,0))</f>
        <v>Mis-selling</v>
      </c>
      <c r="Z80" s="0" t="s">
        <v>2607</v>
      </c>
    </row>
    <row r="81" customFormat="false" ht="15" hidden="false" customHeight="false" outlineLevel="0" collapsed="false">
      <c r="A81" s="0" t="str">
        <f aca="false">Complaints!A81</f>
        <v>C0080</v>
      </c>
      <c r="B81" s="0" t="str">
        <f aca="false">Complaints!B81</f>
        <v>Nobody has responded to my emails despite three reminders. Please sort this out.</v>
      </c>
      <c r="C81" s="0" t="str">
        <f aca="false">Complaints!C81</f>
        <v>Customer Service</v>
      </c>
      <c r="D81" s="0" t="str">
        <f aca="false">" "&amp;TRIM(SUBSTITUTE(SUBSTITUTE(SUBSTITUTE(SUBSTITUTE(SUBSTITUTE(SUBSTITUTE(SUBSTITUTE(SUBSTITUTE(SUBSTITUTE(SUBSTITUTE(SUBSTITUTE(SUBSTITUTE(SUBSTITUTE(SUBSTITUTE(SUBSTITUTE(SUBSTITUTE(LOWER(B81),"."," "),","," "),"'"," "),"’"," "),"!"," "),"?"," "),";"," "),":"," "),"-"," "),"("," "),")"," "),"""", " "),"£"," "),"&amp;"," "),"/"," "),"%"," "))&amp;" "</f>
        <v> nobody has responded to my emails despite three reminders please sort this out </v>
      </c>
      <c r="E81" s="0" t="n">
        <f aca="false">SUMPRODUCT((Rules!$A$2:$A$60=E$1)*Rules!$C$2:$C$60*ISNUMBER(SEARCH(Rules!$D$2:$D$60,$D81)))</f>
        <v>0</v>
      </c>
      <c r="F81" s="0" t="n">
        <f aca="false">SUMPRODUCT((Rules!$A$2:$A$60=F$1)*Rules!$C$2:$C$60*ISNUMBER(SEARCH(Rules!$D$2:$D$60,$D81)))</f>
        <v>0</v>
      </c>
      <c r="G81" s="0" t="n">
        <f aca="false">SUMPRODUCT((Rules!$A$2:$A$60=G$1)*Rules!$C$2:$C$60*ISNUMBER(SEARCH(Rules!$D$2:$D$60,$D81)))</f>
        <v>0</v>
      </c>
      <c r="H81" s="0" t="n">
        <f aca="false">SUMPRODUCT((Rules!$A$2:$A$60=H$1)*Rules!$C$2:$C$60*ISNUMBER(SEARCH(Rules!$D$2:$D$60,$D81)))</f>
        <v>0</v>
      </c>
      <c r="I81" s="0" t="n">
        <f aca="false">SUMPRODUCT((Rules!$A$2:$A$60=I$1)*Rules!$C$2:$C$60*ISNUMBER(SEARCH(Rules!$D$2:$D$60,$D81)))</f>
        <v>0</v>
      </c>
      <c r="J81" s="0" t="n">
        <f aca="false">SUMPRODUCT((Rules!$A$2:$A$60=J$1)*Rules!$C$2:$C$60*ISNUMBER(SEARCH(Rules!$D$2:$D$60,$D81)))</f>
        <v>2</v>
      </c>
      <c r="K81" s="0" t="str">
        <f aca="false">IF(OR(MAX(E81:J81)&lt;Rules!$H$1,MAX(E81:J81)-LARGE(E81:J81,2)&lt;Rules!$H$2),"No label",INDEX($E$1:$J$1,MATCH(MAX(E81:J81),E81:J81,0)))</f>
        <v>No label</v>
      </c>
      <c r="L81" s="0" t="n">
        <f aca="false">SUMPRODUCT((Rules!$A$2:$A$60=L$1)*Rules!$C$2:$C$60*ISNUMBER(SEARCH(Rules!$E$2:$E$60,$D81)))</f>
        <v>0</v>
      </c>
      <c r="M81" s="0" t="n">
        <f aca="false">SUMPRODUCT((Rules!$A$2:$A$60=M$1)*Rules!$C$2:$C$60*ISNUMBER(SEARCH(Rules!$E$2:$E$60,$D81)))</f>
        <v>0</v>
      </c>
      <c r="N81" s="0" t="n">
        <f aca="false">SUMPRODUCT((Rules!$A$2:$A$60=N$1)*Rules!$C$2:$C$60*ISNUMBER(SEARCH(Rules!$E$2:$E$60,$D81)))</f>
        <v>0</v>
      </c>
      <c r="O81" s="0" t="n">
        <f aca="false">SUMPRODUCT((Rules!$A$2:$A$60=O$1)*Rules!$C$2:$C$60*ISNUMBER(SEARCH(Rules!$E$2:$E$60,$D81)))</f>
        <v>0</v>
      </c>
      <c r="P81" s="0" t="n">
        <f aca="false">SUMPRODUCT((Rules!$A$2:$A$60=P$1)*Rules!$C$2:$C$60*ISNUMBER(SEARCH(Rules!$E$2:$E$60,$D81)))</f>
        <v>0</v>
      </c>
      <c r="Q81" s="0" t="n">
        <f aca="false">SUMPRODUCT((Rules!$A$2:$A$60=Q$1)*Rules!$C$2:$C$60*ISNUMBER(SEARCH(Rules!$E$2:$E$60,$D81)))</f>
        <v>2</v>
      </c>
      <c r="R81" s="0" t="str">
        <f aca="false">IF(OR(MAX(L81:Q81)&lt;Rules!$H$1,MAX(L81:Q81)-LARGE(L81:Q81,2)&lt;Rules!$H$2),"No label",INDEX($L$1:$Q$1,MATCH(MAX(L81:Q81),L81:Q81,0)))</f>
        <v>No label</v>
      </c>
      <c r="S81" s="0" t="n">
        <f aca="false">SUMPRODUCT(ISNUMBER(SEARCH(" "&amp;Terms!$A$3:$A$821&amp;" ",$D81))*Terms!B$3:B$821)+Terms!B$2</f>
        <v>-5.35059705778871</v>
      </c>
      <c r="T81" s="0" t="n">
        <f aca="false">SUMPRODUCT(ISNUMBER(SEARCH(" "&amp;Terms!$A$3:$A$821&amp;" ",$D81))*Terms!C$3:C$821)+Terms!C$2</f>
        <v>10.1355856891815</v>
      </c>
      <c r="U81" s="0" t="n">
        <f aca="false">SUMPRODUCT(ISNUMBER(SEARCH(" "&amp;Terms!$A$3:$A$821&amp;" ",$D81))*Terms!D$3:D$821)+Terms!D$2</f>
        <v>-1.44168818269134</v>
      </c>
      <c r="V81" s="0" t="n">
        <f aca="false">SUMPRODUCT(ISNUMBER(SEARCH(" "&amp;Terms!$A$3:$A$821&amp;" ",$D81))*Terms!E$3:E$821)+Terms!E$2</f>
        <v>0.0477958673000994</v>
      </c>
      <c r="W81" s="0" t="n">
        <f aca="false">SUMPRODUCT(ISNUMBER(SEARCH(" "&amp;Terms!$A$3:$A$821&amp;" ",$D81))*Terms!F$3:F$821)+Terms!F$2</f>
        <v>-1.60730579778617</v>
      </c>
      <c r="X81" s="0" t="n">
        <f aca="false">SUMPRODUCT(ISNUMBER(SEARCH(" "&amp;Terms!$A$3:$A$821&amp;" ",$D81))*Terms!G$3:G$821)+Terms!G$2</f>
        <v>-1.78379051821527</v>
      </c>
      <c r="Y81" s="0" t="str">
        <f aca="false">INDEX($S$1:$X$1,MATCH(MAX(S81:X81),S81:X81,0))</f>
        <v>Customer Service</v>
      </c>
      <c r="Z81" s="0" t="s">
        <v>2607</v>
      </c>
    </row>
    <row r="82" customFormat="false" ht="15" hidden="false" customHeight="false" outlineLevel="0" collapsed="false">
      <c r="A82" s="0" t="str">
        <f aca="false">Complaints!A82</f>
        <v>C0081</v>
      </c>
      <c r="B82" s="0" t="str">
        <f aca="false">Complaints!B82</f>
        <v>Frankly, Why has my interest rate gone up without notice, it is costing me more every month. It has also been taking far too long. I expect compensation.</v>
      </c>
      <c r="C82" s="0" t="str">
        <f aca="false">Complaints!C82</f>
        <v>Fees &amp; Charges</v>
      </c>
      <c r="D82" s="0" t="str">
        <f aca="false">" "&amp;TRIM(SUBSTITUTE(SUBSTITUTE(SUBSTITUTE(SUBSTITUTE(SUBSTITUTE(SUBSTITUTE(SUBSTITUTE(SUBSTITUTE(SUBSTITUTE(SUBSTITUTE(SUBSTITUTE(SUBSTITUTE(SUBSTITUTE(SUBSTITUTE(SUBSTITUTE(SUBSTITUTE(LOWER(B82),"."," "),","," "),"'"," "),"’"," "),"!"," "),"?"," "),";"," "),":"," "),"-"," "),"("," "),")"," "),"""", " "),"£"," "),"&amp;"," "),"/"," "),"%"," "))&amp;" "</f>
        <v> frankly why has my interest rate gone up without notice it is costing me more every month it has also been taking far too long i expect compensation </v>
      </c>
      <c r="E82" s="0" t="n">
        <f aca="false">SUMPRODUCT((Rules!$A$2:$A$60=E$1)*Rules!$C$2:$C$60*ISNUMBER(SEARCH(Rules!$D$2:$D$60,$D82)))</f>
        <v>0</v>
      </c>
      <c r="F82" s="0" t="n">
        <f aca="false">SUMPRODUCT((Rules!$A$2:$A$60=F$1)*Rules!$C$2:$C$60*ISNUMBER(SEARCH(Rules!$D$2:$D$60,$D82)))</f>
        <v>0</v>
      </c>
      <c r="G82" s="0" t="n">
        <f aca="false">SUMPRODUCT((Rules!$A$2:$A$60=G$1)*Rules!$C$2:$C$60*ISNUMBER(SEARCH(Rules!$D$2:$D$60,$D82)))</f>
        <v>0</v>
      </c>
      <c r="H82" s="0" t="n">
        <f aca="false">SUMPRODUCT((Rules!$A$2:$A$60=H$1)*Rules!$C$2:$C$60*ISNUMBER(SEARCH(Rules!$D$2:$D$60,$D82)))</f>
        <v>2</v>
      </c>
      <c r="I82" s="0" t="n">
        <f aca="false">SUMPRODUCT((Rules!$A$2:$A$60=I$1)*Rules!$C$2:$C$60*ISNUMBER(SEARCH(Rules!$D$2:$D$60,$D82)))</f>
        <v>0</v>
      </c>
      <c r="J82" s="0" t="n">
        <f aca="false">SUMPRODUCT((Rules!$A$2:$A$60=J$1)*Rules!$C$2:$C$60*ISNUMBER(SEARCH(Rules!$D$2:$D$60,$D82)))</f>
        <v>0</v>
      </c>
      <c r="K82" s="0" t="str">
        <f aca="false">IF(OR(MAX(E82:J82)&lt;Rules!$H$1,MAX(E82:J82)-LARGE(E82:J82,2)&lt;Rules!$H$2),"No label",INDEX($E$1:$J$1,MATCH(MAX(E82:J82),E82:J82,0)))</f>
        <v>No label</v>
      </c>
      <c r="L82" s="0" t="n">
        <f aca="false">SUMPRODUCT((Rules!$A$2:$A$60=L$1)*Rules!$C$2:$C$60*ISNUMBER(SEARCH(Rules!$E$2:$E$60,$D82)))</f>
        <v>0</v>
      </c>
      <c r="M82" s="0" t="n">
        <f aca="false">SUMPRODUCT((Rules!$A$2:$A$60=M$1)*Rules!$C$2:$C$60*ISNUMBER(SEARCH(Rules!$E$2:$E$60,$D82)))</f>
        <v>0</v>
      </c>
      <c r="N82" s="0" t="n">
        <f aca="false">SUMPRODUCT((Rules!$A$2:$A$60=N$1)*Rules!$C$2:$C$60*ISNUMBER(SEARCH(Rules!$E$2:$E$60,$D82)))</f>
        <v>0</v>
      </c>
      <c r="O82" s="0" t="n">
        <f aca="false">SUMPRODUCT((Rules!$A$2:$A$60=O$1)*Rules!$C$2:$C$60*ISNUMBER(SEARCH(Rules!$E$2:$E$60,$D82)))</f>
        <v>2</v>
      </c>
      <c r="P82" s="0" t="n">
        <f aca="false">SUMPRODUCT((Rules!$A$2:$A$60=P$1)*Rules!$C$2:$C$60*ISNUMBER(SEARCH(Rules!$E$2:$E$60,$D82)))</f>
        <v>0</v>
      </c>
      <c r="Q82" s="0" t="n">
        <f aca="false">SUMPRODUCT((Rules!$A$2:$A$60=Q$1)*Rules!$C$2:$C$60*ISNUMBER(SEARCH(Rules!$E$2:$E$60,$D82)))</f>
        <v>0</v>
      </c>
      <c r="R82" s="0" t="str">
        <f aca="false">IF(OR(MAX(L82:Q82)&lt;Rules!$H$1,MAX(L82:Q82)-LARGE(L82:Q82,2)&lt;Rules!$H$2),"No label",INDEX($L$1:$Q$1,MATCH(MAX(L82:Q82),L82:Q82,0)))</f>
        <v>No label</v>
      </c>
      <c r="S82" s="0" t="n">
        <f aca="false">SUMPRODUCT(ISNUMBER(SEARCH(" "&amp;Terms!$A$3:$A$821&amp;" ",$D82))*Terms!B$3:B$821)+Terms!B$2</f>
        <v>0.290003167049014</v>
      </c>
      <c r="T82" s="0" t="n">
        <f aca="false">SUMPRODUCT(ISNUMBER(SEARCH(" "&amp;Terms!$A$3:$A$821&amp;" ",$D82))*Terms!C$3:C$821)+Terms!C$2</f>
        <v>-2.72726905201549</v>
      </c>
      <c r="U82" s="0" t="n">
        <f aca="false">SUMPRODUCT(ISNUMBER(SEARCH(" "&amp;Terms!$A$3:$A$821&amp;" ",$D82))*Terms!D$3:D$821)+Terms!D$2</f>
        <v>-0.769152208516689</v>
      </c>
      <c r="V82" s="0" t="n">
        <f aca="false">SUMPRODUCT(ISNUMBER(SEARCH(" "&amp;Terms!$A$3:$A$821&amp;" ",$D82))*Terms!E$3:E$821)+Terms!E$2</f>
        <v>7.35012959230778</v>
      </c>
      <c r="W82" s="0" t="n">
        <f aca="false">SUMPRODUCT(ISNUMBER(SEARCH(" "&amp;Terms!$A$3:$A$821&amp;" ",$D82))*Terms!F$3:F$821)+Terms!F$2</f>
        <v>0.0882992502231491</v>
      </c>
      <c r="X82" s="0" t="n">
        <f aca="false">SUMPRODUCT(ISNUMBER(SEARCH(" "&amp;Terms!$A$3:$A$821&amp;" ",$D82))*Terms!G$3:G$821)+Terms!G$2</f>
        <v>-4.23201074904766</v>
      </c>
      <c r="Y82" s="0" t="str">
        <f aca="false">INDEX($S$1:$X$1,MATCH(MAX(S82:X82),S82:X82,0))</f>
        <v>Fees &amp; Charges</v>
      </c>
      <c r="Z82" s="0" t="s">
        <v>2608</v>
      </c>
    </row>
    <row r="83" customFormat="false" ht="15" hidden="false" customHeight="false" outlineLevel="0" collapsed="false">
      <c r="A83" s="0" t="str">
        <f aca="false">Complaints!A83</f>
        <v>C0082</v>
      </c>
      <c r="B83" s="0" t="str">
        <f aca="false">Complaints!B83</f>
        <v>To whom it may concern, The fraud team closed my case without investigating properly. I do not think it was explained properly when I bought it.</v>
      </c>
      <c r="C83" s="0" t="str">
        <f aca="false">Complaints!C83</f>
        <v>Fraud &amp; Scams</v>
      </c>
      <c r="D83" s="0" t="str">
        <f aca="false">" "&amp;TRIM(SUBSTITUTE(SUBSTITUTE(SUBSTITUTE(SUBSTITUTE(SUBSTITUTE(SUBSTITUTE(SUBSTITUTE(SUBSTITUTE(SUBSTITUTE(SUBSTITUTE(SUBSTITUTE(SUBSTITUTE(SUBSTITUTE(SUBSTITUTE(SUBSTITUTE(SUBSTITUTE(LOWER(B83),"."," "),","," "),"'"," "),"’"," "),"!"," "),"?"," "),";"," "),":"," "),"-"," "),"("," "),")"," "),"""", " "),"£"," "),"&amp;"," "),"/"," "),"%"," "))&amp;" "</f>
        <v> to whom it may concern the fraud team closed my case without investigating properly i do not think it was explained properly when i bought it </v>
      </c>
      <c r="E83" s="0" t="n">
        <f aca="false">SUMPRODUCT((Rules!$A$2:$A$60=E$1)*Rules!$C$2:$C$60*ISNUMBER(SEARCH(Rules!$D$2:$D$60,$D83)))</f>
        <v>3</v>
      </c>
      <c r="F83" s="0" t="n">
        <f aca="false">SUMPRODUCT((Rules!$A$2:$A$60=F$1)*Rules!$C$2:$C$60*ISNUMBER(SEARCH(Rules!$D$2:$D$60,$D83)))</f>
        <v>0</v>
      </c>
      <c r="G83" s="0" t="n">
        <f aca="false">SUMPRODUCT((Rules!$A$2:$A$60=G$1)*Rules!$C$2:$C$60*ISNUMBER(SEARCH(Rules!$D$2:$D$60,$D83)))</f>
        <v>0</v>
      </c>
      <c r="H83" s="0" t="n">
        <f aca="false">SUMPRODUCT((Rules!$A$2:$A$60=H$1)*Rules!$C$2:$C$60*ISNUMBER(SEARCH(Rules!$D$2:$D$60,$D83)))</f>
        <v>0</v>
      </c>
      <c r="I83" s="0" t="n">
        <f aca="false">SUMPRODUCT((Rules!$A$2:$A$60=I$1)*Rules!$C$2:$C$60*ISNUMBER(SEARCH(Rules!$D$2:$D$60,$D83)))</f>
        <v>0</v>
      </c>
      <c r="J83" s="0" t="n">
        <f aca="false">SUMPRODUCT((Rules!$A$2:$A$60=J$1)*Rules!$C$2:$C$60*ISNUMBER(SEARCH(Rules!$D$2:$D$60,$D83)))</f>
        <v>0</v>
      </c>
      <c r="K83" s="0" t="str">
        <f aca="false">IF(OR(MAX(E83:J83)&lt;Rules!$H$1,MAX(E83:J83)-LARGE(E83:J83,2)&lt;Rules!$H$2),"No label",INDEX($E$1:$J$1,MATCH(MAX(E83:J83),E83:J83,0)))</f>
        <v>Fraud &amp; Scams</v>
      </c>
      <c r="L83" s="0" t="n">
        <f aca="false">SUMPRODUCT((Rules!$A$2:$A$60=L$1)*Rules!$C$2:$C$60*ISNUMBER(SEARCH(Rules!$E$2:$E$60,$D83)))</f>
        <v>3</v>
      </c>
      <c r="M83" s="0" t="n">
        <f aca="false">SUMPRODUCT((Rules!$A$2:$A$60=M$1)*Rules!$C$2:$C$60*ISNUMBER(SEARCH(Rules!$E$2:$E$60,$D83)))</f>
        <v>0</v>
      </c>
      <c r="N83" s="0" t="n">
        <f aca="false">SUMPRODUCT((Rules!$A$2:$A$60=N$1)*Rules!$C$2:$C$60*ISNUMBER(SEARCH(Rules!$E$2:$E$60,$D83)))</f>
        <v>0</v>
      </c>
      <c r="O83" s="0" t="n">
        <f aca="false">SUMPRODUCT((Rules!$A$2:$A$60=O$1)*Rules!$C$2:$C$60*ISNUMBER(SEARCH(Rules!$E$2:$E$60,$D83)))</f>
        <v>0</v>
      </c>
      <c r="P83" s="0" t="n">
        <f aca="false">SUMPRODUCT((Rules!$A$2:$A$60=P$1)*Rules!$C$2:$C$60*ISNUMBER(SEARCH(Rules!$E$2:$E$60,$D83)))</f>
        <v>0</v>
      </c>
      <c r="Q83" s="0" t="n">
        <f aca="false">SUMPRODUCT((Rules!$A$2:$A$60=Q$1)*Rules!$C$2:$C$60*ISNUMBER(SEARCH(Rules!$E$2:$E$60,$D83)))</f>
        <v>0</v>
      </c>
      <c r="R83" s="0" t="str">
        <f aca="false">IF(OR(MAX(L83:Q83)&lt;Rules!$H$1,MAX(L83:Q83)-LARGE(L83:Q83,2)&lt;Rules!$H$2),"No label",INDEX($L$1:$Q$1,MATCH(MAX(L83:Q83),L83:Q83,0)))</f>
        <v>Fraud &amp; Scams</v>
      </c>
      <c r="S83" s="0" t="n">
        <f aca="false">SUMPRODUCT(ISNUMBER(SEARCH(" "&amp;Terms!$A$3:$A$821&amp;" ",$D83))*Terms!B$3:B$821)+Terms!B$2</f>
        <v>-3.52270956876034</v>
      </c>
      <c r="T83" s="0" t="n">
        <f aca="false">SUMPRODUCT(ISNUMBER(SEARCH(" "&amp;Terms!$A$3:$A$821&amp;" ",$D83))*Terms!C$3:C$821)+Terms!C$2</f>
        <v>-0.27737688171447</v>
      </c>
      <c r="U83" s="0" t="n">
        <f aca="false">SUMPRODUCT(ISNUMBER(SEARCH(" "&amp;Terms!$A$3:$A$821&amp;" ",$D83))*Terms!D$3:D$821)+Terms!D$2</f>
        <v>-3.44354630913004</v>
      </c>
      <c r="V83" s="0" t="n">
        <f aca="false">SUMPRODUCT(ISNUMBER(SEARCH(" "&amp;Terms!$A$3:$A$821&amp;" ",$D83))*Terms!E$3:E$821)+Terms!E$2</f>
        <v>0.232724747138504</v>
      </c>
      <c r="W83" s="0" t="n">
        <f aca="false">SUMPRODUCT(ISNUMBER(SEARCH(" "&amp;Terms!$A$3:$A$821&amp;" ",$D83))*Terms!F$3:F$821)+Terms!F$2</f>
        <v>11.5632363705308</v>
      </c>
      <c r="X83" s="0" t="n">
        <f aca="false">SUMPRODUCT(ISNUMBER(SEARCH(" "&amp;Terms!$A$3:$A$821&amp;" ",$D83))*Terms!G$3:G$821)+Terms!G$2</f>
        <v>-4.55232835806439</v>
      </c>
      <c r="Y83" s="0" t="str">
        <f aca="false">INDEX($S$1:$X$1,MATCH(MAX(S83:X83),S83:X83,0))</f>
        <v>Fraud &amp; Scams</v>
      </c>
      <c r="Z83" s="0" t="s">
        <v>2607</v>
      </c>
    </row>
    <row r="84" customFormat="false" ht="15" hidden="false" customHeight="false" outlineLevel="0" collapsed="false">
      <c r="A84" s="0" t="str">
        <f aca="false">Complaints!A84</f>
        <v>C0083</v>
      </c>
      <c r="B84" s="0" t="str">
        <f aca="false">Complaints!B84</f>
        <v>I am extremely disappointed and want this resolved. I would like a response in writing.</v>
      </c>
      <c r="C84" s="0" t="str">
        <f aca="false">Complaints!C84</f>
        <v>Account Access</v>
      </c>
      <c r="D84" s="0" t="str">
        <f aca="false">" "&amp;TRIM(SUBSTITUTE(SUBSTITUTE(SUBSTITUTE(SUBSTITUTE(SUBSTITUTE(SUBSTITUTE(SUBSTITUTE(SUBSTITUTE(SUBSTITUTE(SUBSTITUTE(SUBSTITUTE(SUBSTITUTE(SUBSTITUTE(SUBSTITUTE(SUBSTITUTE(SUBSTITUTE(LOWER(B84),"."," "),","," "),"'"," "),"’"," "),"!"," "),"?"," "),";"," "),":"," "),"-"," "),"("," "),")"," "),"""", " "),"£"," "),"&amp;"," "),"/"," "),"%"," "))&amp;" "</f>
        <v> i am extremely disappointed and want this resolved i would like a response in writing </v>
      </c>
      <c r="E84" s="0" t="n">
        <f aca="false">SUMPRODUCT((Rules!$A$2:$A$60=E$1)*Rules!$C$2:$C$60*ISNUMBER(SEARCH(Rules!$D$2:$D$60,$D84)))</f>
        <v>0</v>
      </c>
      <c r="F84" s="0" t="n">
        <f aca="false">SUMPRODUCT((Rules!$A$2:$A$60=F$1)*Rules!$C$2:$C$60*ISNUMBER(SEARCH(Rules!$D$2:$D$60,$D84)))</f>
        <v>0</v>
      </c>
      <c r="G84" s="0" t="n">
        <f aca="false">SUMPRODUCT((Rules!$A$2:$A$60=G$1)*Rules!$C$2:$C$60*ISNUMBER(SEARCH(Rules!$D$2:$D$60,$D84)))</f>
        <v>0</v>
      </c>
      <c r="H84" s="0" t="n">
        <f aca="false">SUMPRODUCT((Rules!$A$2:$A$60=H$1)*Rules!$C$2:$C$60*ISNUMBER(SEARCH(Rules!$D$2:$D$60,$D84)))</f>
        <v>0</v>
      </c>
      <c r="I84" s="0" t="n">
        <f aca="false">SUMPRODUCT((Rules!$A$2:$A$60=I$1)*Rules!$C$2:$C$60*ISNUMBER(SEARCH(Rules!$D$2:$D$60,$D84)))</f>
        <v>0</v>
      </c>
      <c r="J84" s="0" t="n">
        <f aca="false">SUMPRODUCT((Rules!$A$2:$A$60=J$1)*Rules!$C$2:$C$60*ISNUMBER(SEARCH(Rules!$D$2:$D$60,$D84)))</f>
        <v>0</v>
      </c>
      <c r="K84" s="0" t="str">
        <f aca="false">IF(OR(MAX(E84:J84)&lt;Rules!$H$1,MAX(E84:J84)-LARGE(E84:J84,2)&lt;Rules!$H$2),"No label",INDEX($E$1:$J$1,MATCH(MAX(E84:J84),E84:J84,0)))</f>
        <v>No label</v>
      </c>
      <c r="L84" s="0" t="n">
        <f aca="false">SUMPRODUCT((Rules!$A$2:$A$60=L$1)*Rules!$C$2:$C$60*ISNUMBER(SEARCH(Rules!$E$2:$E$60,$D84)))</f>
        <v>0</v>
      </c>
      <c r="M84" s="0" t="n">
        <f aca="false">SUMPRODUCT((Rules!$A$2:$A$60=M$1)*Rules!$C$2:$C$60*ISNUMBER(SEARCH(Rules!$E$2:$E$60,$D84)))</f>
        <v>0</v>
      </c>
      <c r="N84" s="0" t="n">
        <f aca="false">SUMPRODUCT((Rules!$A$2:$A$60=N$1)*Rules!$C$2:$C$60*ISNUMBER(SEARCH(Rules!$E$2:$E$60,$D84)))</f>
        <v>0</v>
      </c>
      <c r="O84" s="0" t="n">
        <f aca="false">SUMPRODUCT((Rules!$A$2:$A$60=O$1)*Rules!$C$2:$C$60*ISNUMBER(SEARCH(Rules!$E$2:$E$60,$D84)))</f>
        <v>0</v>
      </c>
      <c r="P84" s="0" t="n">
        <f aca="false">SUMPRODUCT((Rules!$A$2:$A$60=P$1)*Rules!$C$2:$C$60*ISNUMBER(SEARCH(Rules!$E$2:$E$60,$D84)))</f>
        <v>0</v>
      </c>
      <c r="Q84" s="0" t="n">
        <f aca="false">SUMPRODUCT((Rules!$A$2:$A$60=Q$1)*Rules!$C$2:$C$60*ISNUMBER(SEARCH(Rules!$E$2:$E$60,$D84)))</f>
        <v>0</v>
      </c>
      <c r="R84" s="0" t="str">
        <f aca="false">IF(OR(MAX(L84:Q84)&lt;Rules!$H$1,MAX(L84:Q84)-LARGE(L84:Q84,2)&lt;Rules!$H$2),"No label",INDEX($L$1:$Q$1,MATCH(MAX(L84:Q84),L84:Q84,0)))</f>
        <v>No label</v>
      </c>
      <c r="S84" s="0" t="n">
        <f aca="false">SUMPRODUCT(ISNUMBER(SEARCH(" "&amp;Terms!$A$3:$A$821&amp;" ",$D84))*Terms!B$3:B$821)+Terms!B$2</f>
        <v>0.228284827446081</v>
      </c>
      <c r="T84" s="0" t="n">
        <f aca="false">SUMPRODUCT(ISNUMBER(SEARCH(" "&amp;Terms!$A$3:$A$821&amp;" ",$D84))*Terms!C$3:C$821)+Terms!C$2</f>
        <v>-0.00783029250933358</v>
      </c>
      <c r="U84" s="0" t="n">
        <f aca="false">SUMPRODUCT(ISNUMBER(SEARCH(" "&amp;Terms!$A$3:$A$821&amp;" ",$D84))*Terms!D$3:D$821)+Terms!D$2</f>
        <v>-2.37299366655215</v>
      </c>
      <c r="V84" s="0" t="n">
        <f aca="false">SUMPRODUCT(ISNUMBER(SEARCH(" "&amp;Terms!$A$3:$A$821&amp;" ",$D84))*Terms!E$3:E$821)+Terms!E$2</f>
        <v>-2.07160701561719</v>
      </c>
      <c r="W84" s="0" t="n">
        <f aca="false">SUMPRODUCT(ISNUMBER(SEARCH(" "&amp;Terms!$A$3:$A$821&amp;" ",$D84))*Terms!F$3:F$821)+Terms!F$2</f>
        <v>0.93780257876835</v>
      </c>
      <c r="X84" s="0" t="n">
        <f aca="false">SUMPRODUCT(ISNUMBER(SEARCH(" "&amp;Terms!$A$3:$A$821&amp;" ",$D84))*Terms!G$3:G$821)+Terms!G$2</f>
        <v>3.28634356846434</v>
      </c>
      <c r="Y84" s="0" t="str">
        <f aca="false">INDEX($S$1:$X$1,MATCH(MAX(S84:X84),S84:X84,0))</f>
        <v>Mis-selling</v>
      </c>
      <c r="Z84" s="0" t="s">
        <v>2607</v>
      </c>
    </row>
    <row r="85" customFormat="false" ht="15" hidden="false" customHeight="false" outlineLevel="0" collapsed="false">
      <c r="A85" s="0" t="str">
        <f aca="false">Complaints!A85</f>
        <v>C0084</v>
      </c>
      <c r="B85" s="0" t="str">
        <f aca="false">Complaints!B85</f>
        <v>I am writing to complain. The paperwork was submitted a month ago and I am still waiting. I expect compensation.</v>
      </c>
      <c r="C85" s="0" t="str">
        <f aca="false">Complaints!C85</f>
        <v>Delays &amp; Processing</v>
      </c>
      <c r="D85" s="0" t="str">
        <f aca="false">" "&amp;TRIM(SUBSTITUTE(SUBSTITUTE(SUBSTITUTE(SUBSTITUTE(SUBSTITUTE(SUBSTITUTE(SUBSTITUTE(SUBSTITUTE(SUBSTITUTE(SUBSTITUTE(SUBSTITUTE(SUBSTITUTE(SUBSTITUTE(SUBSTITUTE(SUBSTITUTE(SUBSTITUTE(LOWER(B85),"."," "),","," "),"'"," "),"’"," "),"!"," "),"?"," "),";"," "),":"," "),"-"," "),"("," "),")"," "),"""", " "),"£"," "),"&amp;"," "),"/"," "),"%"," "))&amp;" "</f>
        <v> i am writing to complain the paperwork was submitted a month ago and i am still waiting i expect compensation </v>
      </c>
      <c r="E85" s="0" t="n">
        <f aca="false">SUMPRODUCT((Rules!$A$2:$A$60=E$1)*Rules!$C$2:$C$60*ISNUMBER(SEARCH(Rules!$D$2:$D$60,$D85)))</f>
        <v>0</v>
      </c>
      <c r="F85" s="0" t="n">
        <f aca="false">SUMPRODUCT((Rules!$A$2:$A$60=F$1)*Rules!$C$2:$C$60*ISNUMBER(SEARCH(Rules!$D$2:$D$60,$D85)))</f>
        <v>0</v>
      </c>
      <c r="G85" s="0" t="n">
        <f aca="false">SUMPRODUCT((Rules!$A$2:$A$60=G$1)*Rules!$C$2:$C$60*ISNUMBER(SEARCH(Rules!$D$2:$D$60,$D85)))</f>
        <v>0</v>
      </c>
      <c r="H85" s="0" t="n">
        <f aca="false">SUMPRODUCT((Rules!$A$2:$A$60=H$1)*Rules!$C$2:$C$60*ISNUMBER(SEARCH(Rules!$D$2:$D$60,$D85)))</f>
        <v>0</v>
      </c>
      <c r="I85" s="0" t="n">
        <f aca="false">SUMPRODUCT((Rules!$A$2:$A$60=I$1)*Rules!$C$2:$C$60*ISNUMBER(SEARCH(Rules!$D$2:$D$60,$D85)))</f>
        <v>2</v>
      </c>
      <c r="J85" s="0" t="n">
        <f aca="false">SUMPRODUCT((Rules!$A$2:$A$60=J$1)*Rules!$C$2:$C$60*ISNUMBER(SEARCH(Rules!$D$2:$D$60,$D85)))</f>
        <v>0</v>
      </c>
      <c r="K85" s="0" t="str">
        <f aca="false">IF(OR(MAX(E85:J85)&lt;Rules!$H$1,MAX(E85:J85)-LARGE(E85:J85,2)&lt;Rules!$H$2),"No label",INDEX($E$1:$J$1,MATCH(MAX(E85:J85),E85:J85,0)))</f>
        <v>No label</v>
      </c>
      <c r="L85" s="0" t="n">
        <f aca="false">SUMPRODUCT((Rules!$A$2:$A$60=L$1)*Rules!$C$2:$C$60*ISNUMBER(SEARCH(Rules!$E$2:$E$60,$D85)))</f>
        <v>0</v>
      </c>
      <c r="M85" s="0" t="n">
        <f aca="false">SUMPRODUCT((Rules!$A$2:$A$60=M$1)*Rules!$C$2:$C$60*ISNUMBER(SEARCH(Rules!$E$2:$E$60,$D85)))</f>
        <v>0</v>
      </c>
      <c r="N85" s="0" t="n">
        <f aca="false">SUMPRODUCT((Rules!$A$2:$A$60=N$1)*Rules!$C$2:$C$60*ISNUMBER(SEARCH(Rules!$E$2:$E$60,$D85)))</f>
        <v>0</v>
      </c>
      <c r="O85" s="0" t="n">
        <f aca="false">SUMPRODUCT((Rules!$A$2:$A$60=O$1)*Rules!$C$2:$C$60*ISNUMBER(SEARCH(Rules!$E$2:$E$60,$D85)))</f>
        <v>0</v>
      </c>
      <c r="P85" s="0" t="n">
        <f aca="false">SUMPRODUCT((Rules!$A$2:$A$60=P$1)*Rules!$C$2:$C$60*ISNUMBER(SEARCH(Rules!$E$2:$E$60,$D85)))</f>
        <v>2</v>
      </c>
      <c r="Q85" s="0" t="n">
        <f aca="false">SUMPRODUCT((Rules!$A$2:$A$60=Q$1)*Rules!$C$2:$C$60*ISNUMBER(SEARCH(Rules!$E$2:$E$60,$D85)))</f>
        <v>0</v>
      </c>
      <c r="R85" s="0" t="str">
        <f aca="false">IF(OR(MAX(L85:Q85)&lt;Rules!$H$1,MAX(L85:Q85)-LARGE(L85:Q85,2)&lt;Rules!$H$2),"No label",INDEX($L$1:$Q$1,MATCH(MAX(L85:Q85),L85:Q85,0)))</f>
        <v>No label</v>
      </c>
      <c r="S85" s="0" t="n">
        <f aca="false">SUMPRODUCT(ISNUMBER(SEARCH(" "&amp;Terms!$A$3:$A$821&amp;" ",$D85))*Terms!B$3:B$821)+Terms!B$2</f>
        <v>1.88018951187179</v>
      </c>
      <c r="T85" s="0" t="n">
        <f aca="false">SUMPRODUCT(ISNUMBER(SEARCH(" "&amp;Terms!$A$3:$A$821&amp;" ",$D85))*Terms!C$3:C$821)+Terms!C$2</f>
        <v>-1.06745846790872</v>
      </c>
      <c r="U85" s="0" t="n">
        <f aca="false">SUMPRODUCT(ISNUMBER(SEARCH(" "&amp;Terms!$A$3:$A$821&amp;" ",$D85))*Terms!D$3:D$821)+Terms!D$2</f>
        <v>7.29442580073606</v>
      </c>
      <c r="V85" s="0" t="n">
        <f aca="false">SUMPRODUCT(ISNUMBER(SEARCH(" "&amp;Terms!$A$3:$A$821&amp;" ",$D85))*Terms!E$3:E$821)+Terms!E$2</f>
        <v>-2.37679043357436</v>
      </c>
      <c r="W85" s="0" t="n">
        <f aca="false">SUMPRODUCT(ISNUMBER(SEARCH(" "&amp;Terms!$A$3:$A$821&amp;" ",$D85))*Terms!F$3:F$821)+Terms!F$2</f>
        <v>-2.58765754226479</v>
      </c>
      <c r="X85" s="0" t="n">
        <f aca="false">SUMPRODUCT(ISNUMBER(SEARCH(" "&amp;Terms!$A$3:$A$821&amp;" ",$D85))*Terms!G$3:G$821)+Terms!G$2</f>
        <v>-3.1427088688599</v>
      </c>
      <c r="Y85" s="0" t="str">
        <f aca="false">INDEX($S$1:$X$1,MATCH(MAX(S85:X85),S85:X85,0))</f>
        <v>Delays &amp; Processing</v>
      </c>
      <c r="Z85" s="0" t="s">
        <v>2607</v>
      </c>
    </row>
    <row r="86" customFormat="false" ht="15" hidden="false" customHeight="false" outlineLevel="0" collapsed="false">
      <c r="A86" s="0" t="str">
        <f aca="false">Complaints!A86</f>
        <v>C0085</v>
      </c>
      <c r="B86" s="0" t="str">
        <f aca="false">Complaints!B86</f>
        <v>I have been a customer for years. The password reset keeps failing and I am locked out. Also, your advisor gave me different answers on two separate calls. I expect compensation.</v>
      </c>
      <c r="C86" s="0" t="str">
        <f aca="false">Complaints!C86</f>
        <v>Account Access</v>
      </c>
      <c r="D86" s="0" t="str">
        <f aca="false">" "&amp;TRIM(SUBSTITUTE(SUBSTITUTE(SUBSTITUTE(SUBSTITUTE(SUBSTITUTE(SUBSTITUTE(SUBSTITUTE(SUBSTITUTE(SUBSTITUTE(SUBSTITUTE(SUBSTITUTE(SUBSTITUTE(SUBSTITUTE(SUBSTITUTE(SUBSTITUTE(SUBSTITUTE(LOWER(B86),"."," "),","," "),"'"," "),"’"," "),"!"," "),"?"," "),";"," "),":"," "),"-"," "),"("," "),")"," "),"""", " "),"£"," "),"&amp;"," "),"/"," "),"%"," "))&amp;" "</f>
        <v> i have been a customer for years the password reset keeps failing and i am locked out also your advisor gave me different answers on two separate calls i expect compensation </v>
      </c>
      <c r="E86" s="0" t="n">
        <f aca="false">SUMPRODUCT((Rules!$A$2:$A$60=E$1)*Rules!$C$2:$C$60*ISNUMBER(SEARCH(Rules!$D$2:$D$60,$D86)))</f>
        <v>0</v>
      </c>
      <c r="F86" s="0" t="n">
        <f aca="false">SUMPRODUCT((Rules!$A$2:$A$60=F$1)*Rules!$C$2:$C$60*ISNUMBER(SEARCH(Rules!$D$2:$D$60,$D86)))</f>
        <v>0</v>
      </c>
      <c r="G86" s="0" t="n">
        <f aca="false">SUMPRODUCT((Rules!$A$2:$A$60=G$1)*Rules!$C$2:$C$60*ISNUMBER(SEARCH(Rules!$D$2:$D$60,$D86)))</f>
        <v>8</v>
      </c>
      <c r="H86" s="0" t="n">
        <f aca="false">SUMPRODUCT((Rules!$A$2:$A$60=H$1)*Rules!$C$2:$C$60*ISNUMBER(SEARCH(Rules!$D$2:$D$60,$D86)))</f>
        <v>0</v>
      </c>
      <c r="I86" s="0" t="n">
        <f aca="false">SUMPRODUCT((Rules!$A$2:$A$60=I$1)*Rules!$C$2:$C$60*ISNUMBER(SEARCH(Rules!$D$2:$D$60,$D86)))</f>
        <v>0</v>
      </c>
      <c r="J86" s="0" t="n">
        <f aca="false">SUMPRODUCT((Rules!$A$2:$A$60=J$1)*Rules!$C$2:$C$60*ISNUMBER(SEARCH(Rules!$D$2:$D$60,$D86)))</f>
        <v>1</v>
      </c>
      <c r="K86" s="0" t="str">
        <f aca="false">IF(OR(MAX(E86:J86)&lt;Rules!$H$1,MAX(E86:J86)-LARGE(E86:J86,2)&lt;Rules!$H$2),"No label",INDEX($E$1:$J$1,MATCH(MAX(E86:J86),E86:J86,0)))</f>
        <v>Account Access</v>
      </c>
      <c r="L86" s="0" t="n">
        <f aca="false">SUMPRODUCT((Rules!$A$2:$A$60=L$1)*Rules!$C$2:$C$60*ISNUMBER(SEARCH(Rules!$E$2:$E$60,$D86)))</f>
        <v>0</v>
      </c>
      <c r="M86" s="0" t="n">
        <f aca="false">SUMPRODUCT((Rules!$A$2:$A$60=M$1)*Rules!$C$2:$C$60*ISNUMBER(SEARCH(Rules!$E$2:$E$60,$D86)))</f>
        <v>4</v>
      </c>
      <c r="N86" s="0" t="n">
        <f aca="false">SUMPRODUCT((Rules!$A$2:$A$60=N$1)*Rules!$C$2:$C$60*ISNUMBER(SEARCH(Rules!$E$2:$E$60,$D86)))</f>
        <v>8</v>
      </c>
      <c r="O86" s="0" t="n">
        <f aca="false">SUMPRODUCT((Rules!$A$2:$A$60=O$1)*Rules!$C$2:$C$60*ISNUMBER(SEARCH(Rules!$E$2:$E$60,$D86)))</f>
        <v>0</v>
      </c>
      <c r="P86" s="0" t="n">
        <f aca="false">SUMPRODUCT((Rules!$A$2:$A$60=P$1)*Rules!$C$2:$C$60*ISNUMBER(SEARCH(Rules!$E$2:$E$60,$D86)))</f>
        <v>0</v>
      </c>
      <c r="Q86" s="0" t="n">
        <f aca="false">SUMPRODUCT((Rules!$A$2:$A$60=Q$1)*Rules!$C$2:$C$60*ISNUMBER(SEARCH(Rules!$E$2:$E$60,$D86)))</f>
        <v>1</v>
      </c>
      <c r="R86" s="0" t="str">
        <f aca="false">IF(OR(MAX(L86:Q86)&lt;Rules!$H$1,MAX(L86:Q86)-LARGE(L86:Q86,2)&lt;Rules!$H$2),"No label",INDEX($L$1:$Q$1,MATCH(MAX(L86:Q86),L86:Q86,0)))</f>
        <v>Account Access</v>
      </c>
      <c r="S86" s="0" t="n">
        <f aca="false">SUMPRODUCT(ISNUMBER(SEARCH(" "&amp;Terms!$A$3:$A$821&amp;" ",$D86))*Terms!B$3:B$821)+Terms!B$2</f>
        <v>14.2933801143621</v>
      </c>
      <c r="T86" s="0" t="n">
        <f aca="false">SUMPRODUCT(ISNUMBER(SEARCH(" "&amp;Terms!$A$3:$A$821&amp;" ",$D86))*Terms!C$3:C$821)+Terms!C$2</f>
        <v>7.18197577806814</v>
      </c>
      <c r="U86" s="0" t="n">
        <f aca="false">SUMPRODUCT(ISNUMBER(SEARCH(" "&amp;Terms!$A$3:$A$821&amp;" ",$D86))*Terms!D$3:D$821)+Terms!D$2</f>
        <v>-5.32957344844723</v>
      </c>
      <c r="V86" s="0" t="n">
        <f aca="false">SUMPRODUCT(ISNUMBER(SEARCH(" "&amp;Terms!$A$3:$A$821&amp;" ",$D86))*Terms!E$3:E$821)+Terms!E$2</f>
        <v>-8.20519899190998</v>
      </c>
      <c r="W86" s="0" t="n">
        <f aca="false">SUMPRODUCT(ISNUMBER(SEARCH(" "&amp;Terms!$A$3:$A$821&amp;" ",$D86))*Terms!F$3:F$821)+Terms!F$2</f>
        <v>-3.18746435872632</v>
      </c>
      <c r="X86" s="0" t="n">
        <f aca="false">SUMPRODUCT(ISNUMBER(SEARCH(" "&amp;Terms!$A$3:$A$821&amp;" ",$D86))*Terms!G$3:G$821)+Terms!G$2</f>
        <v>-4.75311909334662</v>
      </c>
      <c r="Y86" s="0" t="str">
        <f aca="false">INDEX($S$1:$X$1,MATCH(MAX(S86:X86),S86:X86,0))</f>
        <v>Account Access</v>
      </c>
      <c r="Z86" s="0" t="s">
        <v>2607</v>
      </c>
    </row>
    <row r="87" customFormat="false" ht="15" hidden="false" customHeight="false" outlineLevel="0" collapsed="false">
      <c r="A87" s="0" t="str">
        <f aca="false">Complaints!A87</f>
        <v>C0086</v>
      </c>
      <c r="B87" s="0" t="str">
        <f aca="false">Complaints!B87</f>
        <v>The branch manager would not listen to my concerns. Also, my identity was stolen and a loan was taken out in my name.</v>
      </c>
      <c r="C87" s="0" t="str">
        <f aca="false">Complaints!C87</f>
        <v>Customer Service</v>
      </c>
      <c r="D87" s="0" t="str">
        <f aca="false">" "&amp;TRIM(SUBSTITUTE(SUBSTITUTE(SUBSTITUTE(SUBSTITUTE(SUBSTITUTE(SUBSTITUTE(SUBSTITUTE(SUBSTITUTE(SUBSTITUTE(SUBSTITUTE(SUBSTITUTE(SUBSTITUTE(SUBSTITUTE(SUBSTITUTE(SUBSTITUTE(SUBSTITUTE(LOWER(B87),"."," "),","," "),"'"," "),"’"," "),"!"," "),"?"," "),";"," "),":"," "),"-"," "),"("," "),")"," "),"""", " "),"£"," "),"&amp;"," "),"/"," "),"%"," "))&amp;" "</f>
        <v> the branch manager would not listen to my concerns also my identity was stolen and a loan was taken out in my name </v>
      </c>
      <c r="E87" s="0" t="n">
        <f aca="false">SUMPRODUCT((Rules!$A$2:$A$60=E$1)*Rules!$C$2:$C$60*ISNUMBER(SEARCH(Rules!$D$2:$D$60,$D87)))</f>
        <v>2</v>
      </c>
      <c r="F87" s="0" t="n">
        <f aca="false">SUMPRODUCT((Rules!$A$2:$A$60=F$1)*Rules!$C$2:$C$60*ISNUMBER(SEARCH(Rules!$D$2:$D$60,$D87)))</f>
        <v>0</v>
      </c>
      <c r="G87" s="0" t="n">
        <f aca="false">SUMPRODUCT((Rules!$A$2:$A$60=G$1)*Rules!$C$2:$C$60*ISNUMBER(SEARCH(Rules!$D$2:$D$60,$D87)))</f>
        <v>0</v>
      </c>
      <c r="H87" s="0" t="n">
        <f aca="false">SUMPRODUCT((Rules!$A$2:$A$60=H$1)*Rules!$C$2:$C$60*ISNUMBER(SEARCH(Rules!$D$2:$D$60,$D87)))</f>
        <v>0</v>
      </c>
      <c r="I87" s="0" t="n">
        <f aca="false">SUMPRODUCT((Rules!$A$2:$A$60=I$1)*Rules!$C$2:$C$60*ISNUMBER(SEARCH(Rules!$D$2:$D$60,$D87)))</f>
        <v>0</v>
      </c>
      <c r="J87" s="0" t="n">
        <f aca="false">SUMPRODUCT((Rules!$A$2:$A$60=J$1)*Rules!$C$2:$C$60*ISNUMBER(SEARCH(Rules!$D$2:$D$60,$D87)))</f>
        <v>0</v>
      </c>
      <c r="K87" s="0" t="str">
        <f aca="false">IF(OR(MAX(E87:J87)&lt;Rules!$H$1,MAX(E87:J87)-LARGE(E87:J87,2)&lt;Rules!$H$2),"No label",INDEX($E$1:$J$1,MATCH(MAX(E87:J87),E87:J87,0)))</f>
        <v>No label</v>
      </c>
      <c r="L87" s="0" t="n">
        <f aca="false">SUMPRODUCT((Rules!$A$2:$A$60=L$1)*Rules!$C$2:$C$60*ISNUMBER(SEARCH(Rules!$E$2:$E$60,$D87)))</f>
        <v>2</v>
      </c>
      <c r="M87" s="0" t="n">
        <f aca="false">SUMPRODUCT((Rules!$A$2:$A$60=M$1)*Rules!$C$2:$C$60*ISNUMBER(SEARCH(Rules!$E$2:$E$60,$D87)))</f>
        <v>0</v>
      </c>
      <c r="N87" s="0" t="n">
        <f aca="false">SUMPRODUCT((Rules!$A$2:$A$60=N$1)*Rules!$C$2:$C$60*ISNUMBER(SEARCH(Rules!$E$2:$E$60,$D87)))</f>
        <v>0</v>
      </c>
      <c r="O87" s="0" t="n">
        <f aca="false">SUMPRODUCT((Rules!$A$2:$A$60=O$1)*Rules!$C$2:$C$60*ISNUMBER(SEARCH(Rules!$E$2:$E$60,$D87)))</f>
        <v>0</v>
      </c>
      <c r="P87" s="0" t="n">
        <f aca="false">SUMPRODUCT((Rules!$A$2:$A$60=P$1)*Rules!$C$2:$C$60*ISNUMBER(SEARCH(Rules!$E$2:$E$60,$D87)))</f>
        <v>0</v>
      </c>
      <c r="Q87" s="0" t="n">
        <f aca="false">SUMPRODUCT((Rules!$A$2:$A$60=Q$1)*Rules!$C$2:$C$60*ISNUMBER(SEARCH(Rules!$E$2:$E$60,$D87)))</f>
        <v>0</v>
      </c>
      <c r="R87" s="0" t="str">
        <f aca="false">IF(OR(MAX(L87:Q87)&lt;Rules!$H$1,MAX(L87:Q87)-LARGE(L87:Q87,2)&lt;Rules!$H$2),"No label",INDEX($L$1:$Q$1,MATCH(MAX(L87:Q87),L87:Q87,0)))</f>
        <v>No label</v>
      </c>
      <c r="S87" s="0" t="n">
        <f aca="false">SUMPRODUCT(ISNUMBER(SEARCH(" "&amp;Terms!$A$3:$A$821&amp;" ",$D87))*Terms!B$3:B$821)+Terms!B$2</f>
        <v>-2.53400903540814</v>
      </c>
      <c r="T87" s="0" t="n">
        <f aca="false">SUMPRODUCT(ISNUMBER(SEARCH(" "&amp;Terms!$A$3:$A$821&amp;" ",$D87))*Terms!C$3:C$821)+Terms!C$2</f>
        <v>8.99327204049468</v>
      </c>
      <c r="U87" s="0" t="n">
        <f aca="false">SUMPRODUCT(ISNUMBER(SEARCH(" "&amp;Terms!$A$3:$A$821&amp;" ",$D87))*Terms!D$3:D$821)+Terms!D$2</f>
        <v>-5.23316777733726</v>
      </c>
      <c r="V87" s="0" t="n">
        <f aca="false">SUMPRODUCT(ISNUMBER(SEARCH(" "&amp;Terms!$A$3:$A$821&amp;" ",$D87))*Terms!E$3:E$821)+Terms!E$2</f>
        <v>-1.15365235894002</v>
      </c>
      <c r="W87" s="0" t="n">
        <f aca="false">SUMPRODUCT(ISNUMBER(SEARCH(" "&amp;Terms!$A$3:$A$821&amp;" ",$D87))*Terms!F$3:F$821)+Terms!F$2</f>
        <v>4.29923077290881</v>
      </c>
      <c r="X87" s="0" t="n">
        <f aca="false">SUMPRODUCT(ISNUMBER(SEARCH(" "&amp;Terms!$A$3:$A$821&amp;" ",$D87))*Terms!G$3:G$821)+Terms!G$2</f>
        <v>-4.37167364171796</v>
      </c>
      <c r="Y87" s="0" t="str">
        <f aca="false">INDEX($S$1:$X$1,MATCH(MAX(S87:X87),S87:X87,0))</f>
        <v>Customer Service</v>
      </c>
      <c r="Z87" s="0" t="s">
        <v>2607</v>
      </c>
    </row>
    <row r="88" customFormat="false" ht="15" hidden="false" customHeight="false" outlineLevel="0" collapsed="false">
      <c r="A88" s="0" t="str">
        <f aca="false">Complaints!A88</f>
        <v>C0087</v>
      </c>
      <c r="B88" s="0" t="str">
        <f aca="false">Complaints!B88</f>
        <v>The app crashes every time I try to open my statements.</v>
      </c>
      <c r="C88" s="0" t="str">
        <f aca="false">Complaints!C88</f>
        <v>Account Access</v>
      </c>
      <c r="D88" s="0" t="str">
        <f aca="false">" "&amp;TRIM(SUBSTITUTE(SUBSTITUTE(SUBSTITUTE(SUBSTITUTE(SUBSTITUTE(SUBSTITUTE(SUBSTITUTE(SUBSTITUTE(SUBSTITUTE(SUBSTITUTE(SUBSTITUTE(SUBSTITUTE(SUBSTITUTE(SUBSTITUTE(SUBSTITUTE(SUBSTITUTE(LOWER(B88),"."," "),","," "),"'"," "),"’"," "),"!"," "),"?"," "),";"," "),":"," "),"-"," "),"("," "),")"," "),"""", " "),"£"," "),"&amp;"," "),"/"," "),"%"," "))&amp;" "</f>
        <v> the app crashes every time i try to open my statements </v>
      </c>
      <c r="E88" s="0" t="n">
        <f aca="false">SUMPRODUCT((Rules!$A$2:$A$60=E$1)*Rules!$C$2:$C$60*ISNUMBER(SEARCH(Rules!$D$2:$D$60,$D88)))</f>
        <v>0</v>
      </c>
      <c r="F88" s="0" t="n">
        <f aca="false">SUMPRODUCT((Rules!$A$2:$A$60=F$1)*Rules!$C$2:$C$60*ISNUMBER(SEARCH(Rules!$D$2:$D$60,$D88)))</f>
        <v>0</v>
      </c>
      <c r="G88" s="0" t="n">
        <f aca="false">SUMPRODUCT((Rules!$A$2:$A$60=G$1)*Rules!$C$2:$C$60*ISNUMBER(SEARCH(Rules!$D$2:$D$60,$D88)))</f>
        <v>3</v>
      </c>
      <c r="H88" s="0" t="n">
        <f aca="false">SUMPRODUCT((Rules!$A$2:$A$60=H$1)*Rules!$C$2:$C$60*ISNUMBER(SEARCH(Rules!$D$2:$D$60,$D88)))</f>
        <v>0</v>
      </c>
      <c r="I88" s="0" t="n">
        <f aca="false">SUMPRODUCT((Rules!$A$2:$A$60=I$1)*Rules!$C$2:$C$60*ISNUMBER(SEARCH(Rules!$D$2:$D$60,$D88)))</f>
        <v>0</v>
      </c>
      <c r="J88" s="0" t="n">
        <f aca="false">SUMPRODUCT((Rules!$A$2:$A$60=J$1)*Rules!$C$2:$C$60*ISNUMBER(SEARCH(Rules!$D$2:$D$60,$D88)))</f>
        <v>0</v>
      </c>
      <c r="K88" s="0" t="str">
        <f aca="false">IF(OR(MAX(E88:J88)&lt;Rules!$H$1,MAX(E88:J88)-LARGE(E88:J88,2)&lt;Rules!$H$2),"No label",INDEX($E$1:$J$1,MATCH(MAX(E88:J88),E88:J88,0)))</f>
        <v>Account Access</v>
      </c>
      <c r="L88" s="0" t="n">
        <f aca="false">SUMPRODUCT((Rules!$A$2:$A$60=L$1)*Rules!$C$2:$C$60*ISNUMBER(SEARCH(Rules!$E$2:$E$60,$D88)))</f>
        <v>0</v>
      </c>
      <c r="M88" s="0" t="n">
        <f aca="false">SUMPRODUCT((Rules!$A$2:$A$60=M$1)*Rules!$C$2:$C$60*ISNUMBER(SEARCH(Rules!$E$2:$E$60,$D88)))</f>
        <v>0</v>
      </c>
      <c r="N88" s="0" t="n">
        <f aca="false">SUMPRODUCT((Rules!$A$2:$A$60=N$1)*Rules!$C$2:$C$60*ISNUMBER(SEARCH(Rules!$E$2:$E$60,$D88)))</f>
        <v>3</v>
      </c>
      <c r="O88" s="0" t="n">
        <f aca="false">SUMPRODUCT((Rules!$A$2:$A$60=O$1)*Rules!$C$2:$C$60*ISNUMBER(SEARCH(Rules!$E$2:$E$60,$D88)))</f>
        <v>1</v>
      </c>
      <c r="P88" s="0" t="n">
        <f aca="false">SUMPRODUCT((Rules!$A$2:$A$60=P$1)*Rules!$C$2:$C$60*ISNUMBER(SEARCH(Rules!$E$2:$E$60,$D88)))</f>
        <v>0</v>
      </c>
      <c r="Q88" s="0" t="n">
        <f aca="false">SUMPRODUCT((Rules!$A$2:$A$60=Q$1)*Rules!$C$2:$C$60*ISNUMBER(SEARCH(Rules!$E$2:$E$60,$D88)))</f>
        <v>0</v>
      </c>
      <c r="R88" s="0" t="str">
        <f aca="false">IF(OR(MAX(L88:Q88)&lt;Rules!$H$1,MAX(L88:Q88)-LARGE(L88:Q88,2)&lt;Rules!$H$2),"No label",INDEX($L$1:$Q$1,MATCH(MAX(L88:Q88),L88:Q88,0)))</f>
        <v>Account Access</v>
      </c>
      <c r="S88" s="0" t="n">
        <f aca="false">SUMPRODUCT(ISNUMBER(SEARCH(" "&amp;Terms!$A$3:$A$821&amp;" ",$D88))*Terms!B$3:B$821)+Terms!B$2</f>
        <v>8.86152117035545</v>
      </c>
      <c r="T88" s="0" t="n">
        <f aca="false">SUMPRODUCT(ISNUMBER(SEARCH(" "&amp;Terms!$A$3:$A$821&amp;" ",$D88))*Terms!C$3:C$821)+Terms!C$2</f>
        <v>-0.38887442423888</v>
      </c>
      <c r="U88" s="0" t="n">
        <f aca="false">SUMPRODUCT(ISNUMBER(SEARCH(" "&amp;Terms!$A$3:$A$821&amp;" ",$D88))*Terms!D$3:D$821)+Terms!D$2</f>
        <v>-2.37381700159258</v>
      </c>
      <c r="V88" s="0" t="n">
        <f aca="false">SUMPRODUCT(ISNUMBER(SEARCH(" "&amp;Terms!$A$3:$A$821&amp;" ",$D88))*Terms!E$3:E$821)+Terms!E$2</f>
        <v>-0.645104298172244</v>
      </c>
      <c r="W88" s="0" t="n">
        <f aca="false">SUMPRODUCT(ISNUMBER(SEARCH(" "&amp;Terms!$A$3:$A$821&amp;" ",$D88))*Terms!F$3:F$821)+Terms!F$2</f>
        <v>-3.03746759163284</v>
      </c>
      <c r="X88" s="0" t="n">
        <f aca="false">SUMPRODUCT(ISNUMBER(SEARCH(" "&amp;Terms!$A$3:$A$821&amp;" ",$D88))*Terms!G$3:G$821)+Terms!G$2</f>
        <v>-2.41625785471879</v>
      </c>
      <c r="Y88" s="0" t="str">
        <f aca="false">INDEX($S$1:$X$1,MATCH(MAX(S88:X88),S88:X88,0))</f>
        <v>Account Access</v>
      </c>
      <c r="Z88" s="0" t="s">
        <v>2608</v>
      </c>
    </row>
    <row r="89" customFormat="false" ht="15" hidden="false" customHeight="false" outlineLevel="0" collapsed="false">
      <c r="A89" s="0" t="str">
        <f aca="false">Complaints!A89</f>
        <v>C0088</v>
      </c>
      <c r="B89" s="0" t="str">
        <f aca="false">Complaints!B89</f>
        <v>I have been a customer for years. I was misled about what the insurance actually included. Please sort this out.</v>
      </c>
      <c r="C89" s="0" t="str">
        <f aca="false">Complaints!C89</f>
        <v>Mis-selling</v>
      </c>
      <c r="D89" s="0" t="str">
        <f aca="false">" "&amp;TRIM(SUBSTITUTE(SUBSTITUTE(SUBSTITUTE(SUBSTITUTE(SUBSTITUTE(SUBSTITUTE(SUBSTITUTE(SUBSTITUTE(SUBSTITUTE(SUBSTITUTE(SUBSTITUTE(SUBSTITUTE(SUBSTITUTE(SUBSTITUTE(SUBSTITUTE(SUBSTITUTE(LOWER(B89),"."," "),","," "),"'"," "),"’"," "),"!"," "),"?"," "),";"," "),":"," "),"-"," "),"("," "),")"," "),"""", " "),"£"," "),"&amp;"," "),"/"," "),"%"," "))&amp;" "</f>
        <v> i have been a customer for years i was misled about what the insurance actually included please sort this out </v>
      </c>
      <c r="E89" s="0" t="n">
        <f aca="false">SUMPRODUCT((Rules!$A$2:$A$60=E$1)*Rules!$C$2:$C$60*ISNUMBER(SEARCH(Rules!$D$2:$D$60,$D89)))</f>
        <v>0</v>
      </c>
      <c r="F89" s="0" t="n">
        <f aca="false">SUMPRODUCT((Rules!$A$2:$A$60=F$1)*Rules!$C$2:$C$60*ISNUMBER(SEARCH(Rules!$D$2:$D$60,$D89)))</f>
        <v>4</v>
      </c>
      <c r="G89" s="0" t="n">
        <f aca="false">SUMPRODUCT((Rules!$A$2:$A$60=G$1)*Rules!$C$2:$C$60*ISNUMBER(SEARCH(Rules!$D$2:$D$60,$D89)))</f>
        <v>0</v>
      </c>
      <c r="H89" s="0" t="n">
        <f aca="false">SUMPRODUCT((Rules!$A$2:$A$60=H$1)*Rules!$C$2:$C$60*ISNUMBER(SEARCH(Rules!$D$2:$D$60,$D89)))</f>
        <v>0</v>
      </c>
      <c r="I89" s="0" t="n">
        <f aca="false">SUMPRODUCT((Rules!$A$2:$A$60=I$1)*Rules!$C$2:$C$60*ISNUMBER(SEARCH(Rules!$D$2:$D$60,$D89)))</f>
        <v>0</v>
      </c>
      <c r="J89" s="0" t="n">
        <f aca="false">SUMPRODUCT((Rules!$A$2:$A$60=J$1)*Rules!$C$2:$C$60*ISNUMBER(SEARCH(Rules!$D$2:$D$60,$D89)))</f>
        <v>0</v>
      </c>
      <c r="K89" s="0" t="str">
        <f aca="false">IF(OR(MAX(E89:J89)&lt;Rules!$H$1,MAX(E89:J89)-LARGE(E89:J89,2)&lt;Rules!$H$2),"No label",INDEX($E$1:$J$1,MATCH(MAX(E89:J89),E89:J89,0)))</f>
        <v>Mis-selling</v>
      </c>
      <c r="L89" s="0" t="n">
        <f aca="false">SUMPRODUCT((Rules!$A$2:$A$60=L$1)*Rules!$C$2:$C$60*ISNUMBER(SEARCH(Rules!$E$2:$E$60,$D89)))</f>
        <v>0</v>
      </c>
      <c r="M89" s="0" t="n">
        <f aca="false">SUMPRODUCT((Rules!$A$2:$A$60=M$1)*Rules!$C$2:$C$60*ISNUMBER(SEARCH(Rules!$E$2:$E$60,$D89)))</f>
        <v>4</v>
      </c>
      <c r="N89" s="0" t="n">
        <f aca="false">SUMPRODUCT((Rules!$A$2:$A$60=N$1)*Rules!$C$2:$C$60*ISNUMBER(SEARCH(Rules!$E$2:$E$60,$D89)))</f>
        <v>0</v>
      </c>
      <c r="O89" s="0" t="n">
        <f aca="false">SUMPRODUCT((Rules!$A$2:$A$60=O$1)*Rules!$C$2:$C$60*ISNUMBER(SEARCH(Rules!$E$2:$E$60,$D89)))</f>
        <v>0</v>
      </c>
      <c r="P89" s="0" t="n">
        <f aca="false">SUMPRODUCT((Rules!$A$2:$A$60=P$1)*Rules!$C$2:$C$60*ISNUMBER(SEARCH(Rules!$E$2:$E$60,$D89)))</f>
        <v>0</v>
      </c>
      <c r="Q89" s="0" t="n">
        <f aca="false">SUMPRODUCT((Rules!$A$2:$A$60=Q$1)*Rules!$C$2:$C$60*ISNUMBER(SEARCH(Rules!$E$2:$E$60,$D89)))</f>
        <v>0</v>
      </c>
      <c r="R89" s="0" t="str">
        <f aca="false">IF(OR(MAX(L89:Q89)&lt;Rules!$H$1,MAX(L89:Q89)-LARGE(L89:Q89,2)&lt;Rules!$H$2),"No label",INDEX($L$1:$Q$1,MATCH(MAX(L89:Q89),L89:Q89,0)))</f>
        <v>Mis-selling</v>
      </c>
      <c r="S89" s="0" t="n">
        <f aca="false">SUMPRODUCT(ISNUMBER(SEARCH(" "&amp;Terms!$A$3:$A$821&amp;" ",$D89))*Terms!B$3:B$821)+Terms!B$2</f>
        <v>-3.47782886340938</v>
      </c>
      <c r="T89" s="0" t="n">
        <f aca="false">SUMPRODUCT(ISNUMBER(SEARCH(" "&amp;Terms!$A$3:$A$821&amp;" ",$D89))*Terms!C$3:C$821)+Terms!C$2</f>
        <v>-2.13880623966169</v>
      </c>
      <c r="U89" s="0" t="n">
        <f aca="false">SUMPRODUCT(ISNUMBER(SEARCH(" "&amp;Terms!$A$3:$A$821&amp;" ",$D89))*Terms!D$3:D$821)+Terms!D$2</f>
        <v>0.0504163380388763</v>
      </c>
      <c r="V89" s="0" t="n">
        <f aca="false">SUMPRODUCT(ISNUMBER(SEARCH(" "&amp;Terms!$A$3:$A$821&amp;" ",$D89))*Terms!E$3:E$821)+Terms!E$2</f>
        <v>0.145800993504721</v>
      </c>
      <c r="W89" s="0" t="n">
        <f aca="false">SUMPRODUCT(ISNUMBER(SEARCH(" "&amp;Terms!$A$3:$A$821&amp;" ",$D89))*Terms!F$3:F$821)+Terms!F$2</f>
        <v>-5.22185758412148</v>
      </c>
      <c r="X89" s="0" t="n">
        <f aca="false">SUMPRODUCT(ISNUMBER(SEARCH(" "&amp;Terms!$A$3:$A$821&amp;" ",$D89))*Terms!G$3:G$821)+Terms!G$2</f>
        <v>10.6422753556491</v>
      </c>
      <c r="Y89" s="0" t="str">
        <f aca="false">INDEX($S$1:$X$1,MATCH(MAX(S89:X89),S89:X89,0))</f>
        <v>Mis-selling</v>
      </c>
      <c r="Z89" s="0" t="s">
        <v>2607</v>
      </c>
    </row>
    <row r="90" customFormat="false" ht="15" hidden="false" customHeight="false" outlineLevel="0" collapsed="false">
      <c r="A90" s="0" t="str">
        <f aca="false">Complaints!A90</f>
        <v>C0089</v>
      </c>
      <c r="B90" s="0" t="str">
        <f aca="false">Complaints!B90</f>
        <v>My online banking is locked and the reset link never arrives.</v>
      </c>
      <c r="C90" s="0" t="str">
        <f aca="false">Complaints!C90</f>
        <v>Account Access</v>
      </c>
      <c r="D90" s="0" t="str">
        <f aca="false">" "&amp;TRIM(SUBSTITUTE(SUBSTITUTE(SUBSTITUTE(SUBSTITUTE(SUBSTITUTE(SUBSTITUTE(SUBSTITUTE(SUBSTITUTE(SUBSTITUTE(SUBSTITUTE(SUBSTITUTE(SUBSTITUTE(SUBSTITUTE(SUBSTITUTE(SUBSTITUTE(SUBSTITUTE(LOWER(B90),"."," "),","," "),"'"," "),"’"," "),"!"," "),"?"," "),";"," "),":"," "),"-"," "),"("," "),")"," "),"""", " "),"£"," "),"&amp;"," "),"/"," "),"%"," "))&amp;" "</f>
        <v> my online banking is locked and the reset link never arrives </v>
      </c>
      <c r="E90" s="0" t="n">
        <f aca="false">SUMPRODUCT((Rules!$A$2:$A$60=E$1)*Rules!$C$2:$C$60*ISNUMBER(SEARCH(Rules!$D$2:$D$60,$D90)))</f>
        <v>0</v>
      </c>
      <c r="F90" s="0" t="n">
        <f aca="false">SUMPRODUCT((Rules!$A$2:$A$60=F$1)*Rules!$C$2:$C$60*ISNUMBER(SEARCH(Rules!$D$2:$D$60,$D90)))</f>
        <v>0</v>
      </c>
      <c r="G90" s="0" t="n">
        <f aca="false">SUMPRODUCT((Rules!$A$2:$A$60=G$1)*Rules!$C$2:$C$60*ISNUMBER(SEARCH(Rules!$D$2:$D$60,$D90)))</f>
        <v>5</v>
      </c>
      <c r="H90" s="0" t="n">
        <f aca="false">SUMPRODUCT((Rules!$A$2:$A$60=H$1)*Rules!$C$2:$C$60*ISNUMBER(SEARCH(Rules!$D$2:$D$60,$D90)))</f>
        <v>0</v>
      </c>
      <c r="I90" s="0" t="n">
        <f aca="false">SUMPRODUCT((Rules!$A$2:$A$60=I$1)*Rules!$C$2:$C$60*ISNUMBER(SEARCH(Rules!$D$2:$D$60,$D90)))</f>
        <v>0</v>
      </c>
      <c r="J90" s="0" t="n">
        <f aca="false">SUMPRODUCT((Rules!$A$2:$A$60=J$1)*Rules!$C$2:$C$60*ISNUMBER(SEARCH(Rules!$D$2:$D$60,$D90)))</f>
        <v>0</v>
      </c>
      <c r="K90" s="0" t="str">
        <f aca="false">IF(OR(MAX(E90:J90)&lt;Rules!$H$1,MAX(E90:J90)-LARGE(E90:J90,2)&lt;Rules!$H$2),"No label",INDEX($E$1:$J$1,MATCH(MAX(E90:J90),E90:J90,0)))</f>
        <v>Account Access</v>
      </c>
      <c r="L90" s="0" t="n">
        <f aca="false">SUMPRODUCT((Rules!$A$2:$A$60=L$1)*Rules!$C$2:$C$60*ISNUMBER(SEARCH(Rules!$E$2:$E$60,$D90)))</f>
        <v>0</v>
      </c>
      <c r="M90" s="0" t="n">
        <f aca="false">SUMPRODUCT((Rules!$A$2:$A$60=M$1)*Rules!$C$2:$C$60*ISNUMBER(SEARCH(Rules!$E$2:$E$60,$D90)))</f>
        <v>0</v>
      </c>
      <c r="N90" s="0" t="n">
        <f aca="false">SUMPRODUCT((Rules!$A$2:$A$60=N$1)*Rules!$C$2:$C$60*ISNUMBER(SEARCH(Rules!$E$2:$E$60,$D90)))</f>
        <v>5</v>
      </c>
      <c r="O90" s="0" t="n">
        <f aca="false">SUMPRODUCT((Rules!$A$2:$A$60=O$1)*Rules!$C$2:$C$60*ISNUMBER(SEARCH(Rules!$E$2:$E$60,$D90)))</f>
        <v>0</v>
      </c>
      <c r="P90" s="0" t="n">
        <f aca="false">SUMPRODUCT((Rules!$A$2:$A$60=P$1)*Rules!$C$2:$C$60*ISNUMBER(SEARCH(Rules!$E$2:$E$60,$D90)))</f>
        <v>0</v>
      </c>
      <c r="Q90" s="0" t="n">
        <f aca="false">SUMPRODUCT((Rules!$A$2:$A$60=Q$1)*Rules!$C$2:$C$60*ISNUMBER(SEARCH(Rules!$E$2:$E$60,$D90)))</f>
        <v>0</v>
      </c>
      <c r="R90" s="0" t="str">
        <f aca="false">IF(OR(MAX(L90:Q90)&lt;Rules!$H$1,MAX(L90:Q90)-LARGE(L90:Q90,2)&lt;Rules!$H$2),"No label",INDEX($L$1:$Q$1,MATCH(MAX(L90:Q90),L90:Q90,0)))</f>
        <v>Account Access</v>
      </c>
      <c r="S90" s="0" t="n">
        <f aca="false">SUMPRODUCT(ISNUMBER(SEARCH(" "&amp;Terms!$A$3:$A$821&amp;" ",$D90))*Terms!B$3:B$821)+Terms!B$2</f>
        <v>10.1317668436738</v>
      </c>
      <c r="T90" s="0" t="n">
        <f aca="false">SUMPRODUCT(ISNUMBER(SEARCH(" "&amp;Terms!$A$3:$A$821&amp;" ",$D90))*Terms!C$3:C$821)+Terms!C$2</f>
        <v>-5.22260888517106</v>
      </c>
      <c r="U90" s="0" t="n">
        <f aca="false">SUMPRODUCT(ISNUMBER(SEARCH(" "&amp;Terms!$A$3:$A$821&amp;" ",$D90))*Terms!D$3:D$821)+Terms!D$2</f>
        <v>-2.60649015735978</v>
      </c>
      <c r="V90" s="0" t="n">
        <f aca="false">SUMPRODUCT(ISNUMBER(SEARCH(" "&amp;Terms!$A$3:$A$821&amp;" ",$D90))*Terms!E$3:E$821)+Terms!E$2</f>
        <v>0.0334235599789209</v>
      </c>
      <c r="W90" s="0" t="n">
        <f aca="false">SUMPRODUCT(ISNUMBER(SEARCH(" "&amp;Terms!$A$3:$A$821&amp;" ",$D90))*Terms!F$3:F$821)+Terms!F$2</f>
        <v>-2.63605514488474</v>
      </c>
      <c r="X90" s="0" t="n">
        <f aca="false">SUMPRODUCT(ISNUMBER(SEARCH(" "&amp;Terms!$A$3:$A$821&amp;" ",$D90))*Terms!G$3:G$821)+Terms!G$2</f>
        <v>0.299963783763004</v>
      </c>
      <c r="Y90" s="0" t="str">
        <f aca="false">INDEX($S$1:$X$1,MATCH(MAX(S90:X90),S90:X90,0))</f>
        <v>Account Access</v>
      </c>
      <c r="Z90" s="0" t="s">
        <v>2607</v>
      </c>
    </row>
    <row r="91" customFormat="false" ht="15" hidden="false" customHeight="false" outlineLevel="0" collapsed="false">
      <c r="A91" s="0" t="str">
        <f aca="false">Complaints!A91</f>
        <v>C0090</v>
      </c>
      <c r="B91" s="0" t="str">
        <f aca="false">Complaints!B91</f>
        <v>Someone has made payments from my account that I did not authorise. Please sort this out.</v>
      </c>
      <c r="C91" s="0" t="str">
        <f aca="false">Complaints!C91</f>
        <v>Fraud &amp; Scams</v>
      </c>
      <c r="D91" s="0" t="str">
        <f aca="false">" "&amp;TRIM(SUBSTITUTE(SUBSTITUTE(SUBSTITUTE(SUBSTITUTE(SUBSTITUTE(SUBSTITUTE(SUBSTITUTE(SUBSTITUTE(SUBSTITUTE(SUBSTITUTE(SUBSTITUTE(SUBSTITUTE(SUBSTITUTE(SUBSTITUTE(SUBSTITUTE(SUBSTITUTE(LOWER(B91),"."," "),","," "),"'"," "),"’"," "),"!"," "),"?"," "),";"," "),":"," "),"-"," "),"("," "),")"," "),"""", " "),"£"," "),"&amp;"," "),"/"," "),"%"," "))&amp;" "</f>
        <v> someone has made payments from my account that i did not authorise please sort this out </v>
      </c>
      <c r="E91" s="0" t="n">
        <f aca="false">SUMPRODUCT((Rules!$A$2:$A$60=E$1)*Rules!$C$2:$C$60*ISNUMBER(SEARCH(Rules!$D$2:$D$60,$D91)))</f>
        <v>3</v>
      </c>
      <c r="F91" s="0" t="n">
        <f aca="false">SUMPRODUCT((Rules!$A$2:$A$60=F$1)*Rules!$C$2:$C$60*ISNUMBER(SEARCH(Rules!$D$2:$D$60,$D91)))</f>
        <v>0</v>
      </c>
      <c r="G91" s="0" t="n">
        <f aca="false">SUMPRODUCT((Rules!$A$2:$A$60=G$1)*Rules!$C$2:$C$60*ISNUMBER(SEARCH(Rules!$D$2:$D$60,$D91)))</f>
        <v>0</v>
      </c>
      <c r="H91" s="0" t="n">
        <f aca="false">SUMPRODUCT((Rules!$A$2:$A$60=H$1)*Rules!$C$2:$C$60*ISNUMBER(SEARCH(Rules!$D$2:$D$60,$D91)))</f>
        <v>0</v>
      </c>
      <c r="I91" s="0" t="n">
        <f aca="false">SUMPRODUCT((Rules!$A$2:$A$60=I$1)*Rules!$C$2:$C$60*ISNUMBER(SEARCH(Rules!$D$2:$D$60,$D91)))</f>
        <v>0</v>
      </c>
      <c r="J91" s="0" t="n">
        <f aca="false">SUMPRODUCT((Rules!$A$2:$A$60=J$1)*Rules!$C$2:$C$60*ISNUMBER(SEARCH(Rules!$D$2:$D$60,$D91)))</f>
        <v>0</v>
      </c>
      <c r="K91" s="0" t="str">
        <f aca="false">IF(OR(MAX(E91:J91)&lt;Rules!$H$1,MAX(E91:J91)-LARGE(E91:J91,2)&lt;Rules!$H$2),"No label",INDEX($E$1:$J$1,MATCH(MAX(E91:J91),E91:J91,0)))</f>
        <v>Fraud &amp; Scams</v>
      </c>
      <c r="L91" s="0" t="n">
        <f aca="false">SUMPRODUCT((Rules!$A$2:$A$60=L$1)*Rules!$C$2:$C$60*ISNUMBER(SEARCH(Rules!$E$2:$E$60,$D91)))</f>
        <v>3</v>
      </c>
      <c r="M91" s="0" t="n">
        <f aca="false">SUMPRODUCT((Rules!$A$2:$A$60=M$1)*Rules!$C$2:$C$60*ISNUMBER(SEARCH(Rules!$E$2:$E$60,$D91)))</f>
        <v>0</v>
      </c>
      <c r="N91" s="0" t="n">
        <f aca="false">SUMPRODUCT((Rules!$A$2:$A$60=N$1)*Rules!$C$2:$C$60*ISNUMBER(SEARCH(Rules!$E$2:$E$60,$D91)))</f>
        <v>0</v>
      </c>
      <c r="O91" s="0" t="n">
        <f aca="false">SUMPRODUCT((Rules!$A$2:$A$60=O$1)*Rules!$C$2:$C$60*ISNUMBER(SEARCH(Rules!$E$2:$E$60,$D91)))</f>
        <v>0</v>
      </c>
      <c r="P91" s="0" t="n">
        <f aca="false">SUMPRODUCT((Rules!$A$2:$A$60=P$1)*Rules!$C$2:$C$60*ISNUMBER(SEARCH(Rules!$E$2:$E$60,$D91)))</f>
        <v>0</v>
      </c>
      <c r="Q91" s="0" t="n">
        <f aca="false">SUMPRODUCT((Rules!$A$2:$A$60=Q$1)*Rules!$C$2:$C$60*ISNUMBER(SEARCH(Rules!$E$2:$E$60,$D91)))</f>
        <v>0</v>
      </c>
      <c r="R91" s="0" t="str">
        <f aca="false">IF(OR(MAX(L91:Q91)&lt;Rules!$H$1,MAX(L91:Q91)-LARGE(L91:Q91,2)&lt;Rules!$H$2),"No label",INDEX($L$1:$Q$1,MATCH(MAX(L91:Q91),L91:Q91,0)))</f>
        <v>Fraud &amp; Scams</v>
      </c>
      <c r="S91" s="0" t="n">
        <f aca="false">SUMPRODUCT(ISNUMBER(SEARCH(" "&amp;Terms!$A$3:$A$821&amp;" ",$D91))*Terms!B$3:B$821)+Terms!B$2</f>
        <v>-0.83797057044924</v>
      </c>
      <c r="T91" s="0" t="n">
        <f aca="false">SUMPRODUCT(ISNUMBER(SEARCH(" "&amp;Terms!$A$3:$A$821&amp;" ",$D91))*Terms!C$3:C$821)+Terms!C$2</f>
        <v>-1.14819814323342</v>
      </c>
      <c r="U91" s="0" t="n">
        <f aca="false">SUMPRODUCT(ISNUMBER(SEARCH(" "&amp;Terms!$A$3:$A$821&amp;" ",$D91))*Terms!D$3:D$821)+Terms!D$2</f>
        <v>0.275008639702425</v>
      </c>
      <c r="V91" s="0" t="n">
        <f aca="false">SUMPRODUCT(ISNUMBER(SEARCH(" "&amp;Terms!$A$3:$A$821&amp;" ",$D91))*Terms!E$3:E$821)+Terms!E$2</f>
        <v>-0.80736696173157</v>
      </c>
      <c r="W91" s="0" t="n">
        <f aca="false">SUMPRODUCT(ISNUMBER(SEARCH(" "&amp;Terms!$A$3:$A$821&amp;" ",$D91))*Terms!F$3:F$821)+Terms!F$2</f>
        <v>4.82873408178666</v>
      </c>
      <c r="X91" s="0" t="n">
        <f aca="false">SUMPRODUCT(ISNUMBER(SEARCH(" "&amp;Terms!$A$3:$A$821&amp;" ",$D91))*Terms!G$3:G$821)+Terms!G$2</f>
        <v>-2.31020704607476</v>
      </c>
      <c r="Y91" s="0" t="str">
        <f aca="false">INDEX($S$1:$X$1,MATCH(MAX(S91:X91),S91:X91,0))</f>
        <v>Fraud &amp; Scams</v>
      </c>
      <c r="Z91" s="0" t="s">
        <v>2607</v>
      </c>
    </row>
    <row r="92" customFormat="false" ht="15" hidden="false" customHeight="false" outlineLevel="0" collapsed="false">
      <c r="A92" s="0" t="str">
        <f aca="false">Complaints!A92</f>
        <v>C0091</v>
      </c>
      <c r="B92" s="0" t="str">
        <f aca="false">Complaints!B92</f>
        <v>This is the second time I have raised this. I keep getting an error message when I sign in.</v>
      </c>
      <c r="C92" s="0" t="str">
        <f aca="false">Complaints!C92</f>
        <v>Account Access</v>
      </c>
      <c r="D92" s="0" t="str">
        <f aca="false">" "&amp;TRIM(SUBSTITUTE(SUBSTITUTE(SUBSTITUTE(SUBSTITUTE(SUBSTITUTE(SUBSTITUTE(SUBSTITUTE(SUBSTITUTE(SUBSTITUTE(SUBSTITUTE(SUBSTITUTE(SUBSTITUTE(SUBSTITUTE(SUBSTITUTE(SUBSTITUTE(SUBSTITUTE(LOWER(B92),"."," "),","," "),"'"," "),"’"," "),"!"," "),"?"," "),";"," "),":"," "),"-"," "),"("," "),")"," "),"""", " "),"£"," "),"&amp;"," "),"/"," "),"%"," "))&amp;" "</f>
        <v> this is the second time i have raised this i keep getting an error message when i sign in </v>
      </c>
      <c r="E92" s="0" t="n">
        <f aca="false">SUMPRODUCT((Rules!$A$2:$A$60=E$1)*Rules!$C$2:$C$60*ISNUMBER(SEARCH(Rules!$D$2:$D$60,$D92)))</f>
        <v>0</v>
      </c>
      <c r="F92" s="0" t="n">
        <f aca="false">SUMPRODUCT((Rules!$A$2:$A$60=F$1)*Rules!$C$2:$C$60*ISNUMBER(SEARCH(Rules!$D$2:$D$60,$D92)))</f>
        <v>0</v>
      </c>
      <c r="G92" s="0" t="n">
        <f aca="false">SUMPRODUCT((Rules!$A$2:$A$60=G$1)*Rules!$C$2:$C$60*ISNUMBER(SEARCH(Rules!$D$2:$D$60,$D92)))</f>
        <v>3</v>
      </c>
      <c r="H92" s="0" t="n">
        <f aca="false">SUMPRODUCT((Rules!$A$2:$A$60=H$1)*Rules!$C$2:$C$60*ISNUMBER(SEARCH(Rules!$D$2:$D$60,$D92)))</f>
        <v>0</v>
      </c>
      <c r="I92" s="0" t="n">
        <f aca="false">SUMPRODUCT((Rules!$A$2:$A$60=I$1)*Rules!$C$2:$C$60*ISNUMBER(SEARCH(Rules!$D$2:$D$60,$D92)))</f>
        <v>0</v>
      </c>
      <c r="J92" s="0" t="n">
        <f aca="false">SUMPRODUCT((Rules!$A$2:$A$60=J$1)*Rules!$C$2:$C$60*ISNUMBER(SEARCH(Rules!$D$2:$D$60,$D92)))</f>
        <v>0</v>
      </c>
      <c r="K92" s="0" t="str">
        <f aca="false">IF(OR(MAX(E92:J92)&lt;Rules!$H$1,MAX(E92:J92)-LARGE(E92:J92,2)&lt;Rules!$H$2),"No label",INDEX($E$1:$J$1,MATCH(MAX(E92:J92),E92:J92,0)))</f>
        <v>Account Access</v>
      </c>
      <c r="L92" s="0" t="n">
        <f aca="false">SUMPRODUCT((Rules!$A$2:$A$60=L$1)*Rules!$C$2:$C$60*ISNUMBER(SEARCH(Rules!$E$2:$E$60,$D92)))</f>
        <v>0</v>
      </c>
      <c r="M92" s="0" t="n">
        <f aca="false">SUMPRODUCT((Rules!$A$2:$A$60=M$1)*Rules!$C$2:$C$60*ISNUMBER(SEARCH(Rules!$E$2:$E$60,$D92)))</f>
        <v>0</v>
      </c>
      <c r="N92" s="0" t="n">
        <f aca="false">SUMPRODUCT((Rules!$A$2:$A$60=N$1)*Rules!$C$2:$C$60*ISNUMBER(SEARCH(Rules!$E$2:$E$60,$D92)))</f>
        <v>3</v>
      </c>
      <c r="O92" s="0" t="n">
        <f aca="false">SUMPRODUCT((Rules!$A$2:$A$60=O$1)*Rules!$C$2:$C$60*ISNUMBER(SEARCH(Rules!$E$2:$E$60,$D92)))</f>
        <v>0</v>
      </c>
      <c r="P92" s="0" t="n">
        <f aca="false">SUMPRODUCT((Rules!$A$2:$A$60=P$1)*Rules!$C$2:$C$60*ISNUMBER(SEARCH(Rules!$E$2:$E$60,$D92)))</f>
        <v>0</v>
      </c>
      <c r="Q92" s="0" t="n">
        <f aca="false">SUMPRODUCT((Rules!$A$2:$A$60=Q$1)*Rules!$C$2:$C$60*ISNUMBER(SEARCH(Rules!$E$2:$E$60,$D92)))</f>
        <v>0</v>
      </c>
      <c r="R92" s="0" t="str">
        <f aca="false">IF(OR(MAX(L92:Q92)&lt;Rules!$H$1,MAX(L92:Q92)-LARGE(L92:Q92,2)&lt;Rules!$H$2),"No label",INDEX($L$1:$Q$1,MATCH(MAX(L92:Q92),L92:Q92,0)))</f>
        <v>Account Access</v>
      </c>
      <c r="S92" s="0" t="n">
        <f aca="false">SUMPRODUCT(ISNUMBER(SEARCH(" "&amp;Terms!$A$3:$A$821&amp;" ",$D92))*Terms!B$3:B$821)+Terms!B$2</f>
        <v>8.32822349716076</v>
      </c>
      <c r="T92" s="0" t="n">
        <f aca="false">SUMPRODUCT(ISNUMBER(SEARCH(" "&amp;Terms!$A$3:$A$821&amp;" ",$D92))*Terms!C$3:C$821)+Terms!C$2</f>
        <v>2.95921020612809</v>
      </c>
      <c r="U92" s="0" t="n">
        <f aca="false">SUMPRODUCT(ISNUMBER(SEARCH(" "&amp;Terms!$A$3:$A$821&amp;" ",$D92))*Terms!D$3:D$821)+Terms!D$2</f>
        <v>-2.78644258019448</v>
      </c>
      <c r="V92" s="0" t="n">
        <f aca="false">SUMPRODUCT(ISNUMBER(SEARCH(" "&amp;Terms!$A$3:$A$821&amp;" ",$D92))*Terms!E$3:E$821)+Terms!E$2</f>
        <v>-4.53346441127735</v>
      </c>
      <c r="W92" s="0" t="n">
        <f aca="false">SUMPRODUCT(ISNUMBER(SEARCH(" "&amp;Terms!$A$3:$A$821&amp;" ",$D92))*Terms!F$3:F$821)+Terms!F$2</f>
        <v>0.190775778890489</v>
      </c>
      <c r="X92" s="0" t="n">
        <f aca="false">SUMPRODUCT(ISNUMBER(SEARCH(" "&amp;Terms!$A$3:$A$821&amp;" ",$D92))*Terms!G$3:G$821)+Terms!G$2</f>
        <v>-4.1583024907074</v>
      </c>
      <c r="Y92" s="0" t="str">
        <f aca="false">INDEX($S$1:$X$1,MATCH(MAX(S92:X92),S92:X92,0))</f>
        <v>Account Access</v>
      </c>
      <c r="Z92" s="0" t="s">
        <v>2607</v>
      </c>
    </row>
    <row r="93" customFormat="false" ht="15" hidden="false" customHeight="false" outlineLevel="0" collapsed="false">
      <c r="A93" s="0" t="str">
        <f aca="false">Complaints!A93</f>
        <v>C0092</v>
      </c>
      <c r="B93" s="0" t="str">
        <f aca="false">Complaints!B93</f>
        <v>This is the second time I have raised this. I keep getting an error message when I sign in. Also, the paperwork was submitted a month ago and I am still waiting. Please escalate this.</v>
      </c>
      <c r="C93" s="0" t="str">
        <f aca="false">Complaints!C93</f>
        <v>Account Access</v>
      </c>
      <c r="D93" s="0" t="str">
        <f aca="false">" "&amp;TRIM(SUBSTITUTE(SUBSTITUTE(SUBSTITUTE(SUBSTITUTE(SUBSTITUTE(SUBSTITUTE(SUBSTITUTE(SUBSTITUTE(SUBSTITUTE(SUBSTITUTE(SUBSTITUTE(SUBSTITUTE(SUBSTITUTE(SUBSTITUTE(SUBSTITUTE(SUBSTITUTE(LOWER(B93),"."," "),","," "),"'"," "),"’"," "),"!"," "),"?"," "),";"," "),":"," "),"-"," "),"("," "),")"," "),"""", " "),"£"," "),"&amp;"," "),"/"," "),"%"," "))&amp;" "</f>
        <v> this is the second time i have raised this i keep getting an error message when i sign in also the paperwork was submitted a month ago and i am still waiting please escalate this </v>
      </c>
      <c r="E93" s="0" t="n">
        <f aca="false">SUMPRODUCT((Rules!$A$2:$A$60=E$1)*Rules!$C$2:$C$60*ISNUMBER(SEARCH(Rules!$D$2:$D$60,$D93)))</f>
        <v>0</v>
      </c>
      <c r="F93" s="0" t="n">
        <f aca="false">SUMPRODUCT((Rules!$A$2:$A$60=F$1)*Rules!$C$2:$C$60*ISNUMBER(SEARCH(Rules!$D$2:$D$60,$D93)))</f>
        <v>0</v>
      </c>
      <c r="G93" s="0" t="n">
        <f aca="false">SUMPRODUCT((Rules!$A$2:$A$60=G$1)*Rules!$C$2:$C$60*ISNUMBER(SEARCH(Rules!$D$2:$D$60,$D93)))</f>
        <v>3</v>
      </c>
      <c r="H93" s="0" t="n">
        <f aca="false">SUMPRODUCT((Rules!$A$2:$A$60=H$1)*Rules!$C$2:$C$60*ISNUMBER(SEARCH(Rules!$D$2:$D$60,$D93)))</f>
        <v>0</v>
      </c>
      <c r="I93" s="0" t="n">
        <f aca="false">SUMPRODUCT((Rules!$A$2:$A$60=I$1)*Rules!$C$2:$C$60*ISNUMBER(SEARCH(Rules!$D$2:$D$60,$D93)))</f>
        <v>2</v>
      </c>
      <c r="J93" s="0" t="n">
        <f aca="false">SUMPRODUCT((Rules!$A$2:$A$60=J$1)*Rules!$C$2:$C$60*ISNUMBER(SEARCH(Rules!$D$2:$D$60,$D93)))</f>
        <v>0</v>
      </c>
      <c r="K93" s="0" t="str">
        <f aca="false">IF(OR(MAX(E93:J93)&lt;Rules!$H$1,MAX(E93:J93)-LARGE(E93:J93,2)&lt;Rules!$H$2),"No label",INDEX($E$1:$J$1,MATCH(MAX(E93:J93),E93:J93,0)))</f>
        <v>No label</v>
      </c>
      <c r="L93" s="0" t="n">
        <f aca="false">SUMPRODUCT((Rules!$A$2:$A$60=L$1)*Rules!$C$2:$C$60*ISNUMBER(SEARCH(Rules!$E$2:$E$60,$D93)))</f>
        <v>0</v>
      </c>
      <c r="M93" s="0" t="n">
        <f aca="false">SUMPRODUCT((Rules!$A$2:$A$60=M$1)*Rules!$C$2:$C$60*ISNUMBER(SEARCH(Rules!$E$2:$E$60,$D93)))</f>
        <v>0</v>
      </c>
      <c r="N93" s="0" t="n">
        <f aca="false">SUMPRODUCT((Rules!$A$2:$A$60=N$1)*Rules!$C$2:$C$60*ISNUMBER(SEARCH(Rules!$E$2:$E$60,$D93)))</f>
        <v>3</v>
      </c>
      <c r="O93" s="0" t="n">
        <f aca="false">SUMPRODUCT((Rules!$A$2:$A$60=O$1)*Rules!$C$2:$C$60*ISNUMBER(SEARCH(Rules!$E$2:$E$60,$D93)))</f>
        <v>0</v>
      </c>
      <c r="P93" s="0" t="n">
        <f aca="false">SUMPRODUCT((Rules!$A$2:$A$60=P$1)*Rules!$C$2:$C$60*ISNUMBER(SEARCH(Rules!$E$2:$E$60,$D93)))</f>
        <v>2</v>
      </c>
      <c r="Q93" s="0" t="n">
        <f aca="false">SUMPRODUCT((Rules!$A$2:$A$60=Q$1)*Rules!$C$2:$C$60*ISNUMBER(SEARCH(Rules!$E$2:$E$60,$D93)))</f>
        <v>0</v>
      </c>
      <c r="R93" s="0" t="str">
        <f aca="false">IF(OR(MAX(L93:Q93)&lt;Rules!$H$1,MAX(L93:Q93)-LARGE(L93:Q93,2)&lt;Rules!$H$2),"No label",INDEX($L$1:$Q$1,MATCH(MAX(L93:Q93),L93:Q93,0)))</f>
        <v>No label</v>
      </c>
      <c r="S93" s="0" t="n">
        <f aca="false">SUMPRODUCT(ISNUMBER(SEARCH(" "&amp;Terms!$A$3:$A$821&amp;" ",$D93))*Terms!B$3:B$821)+Terms!B$2</f>
        <v>7.8604271164886</v>
      </c>
      <c r="T93" s="0" t="n">
        <f aca="false">SUMPRODUCT(ISNUMBER(SEARCH(" "&amp;Terms!$A$3:$A$821&amp;" ",$D93))*Terms!C$3:C$821)+Terms!C$2</f>
        <v>1.98176106275396</v>
      </c>
      <c r="U93" s="0" t="n">
        <f aca="false">SUMPRODUCT(ISNUMBER(SEARCH(" "&amp;Terms!$A$3:$A$821&amp;" ",$D93))*Terms!D$3:D$821)+Terms!D$2</f>
        <v>3.60393539255117</v>
      </c>
      <c r="V93" s="0" t="n">
        <f aca="false">SUMPRODUCT(ISNUMBER(SEARCH(" "&amp;Terms!$A$3:$A$821&amp;" ",$D93))*Terms!E$3:E$821)+Terms!E$2</f>
        <v>-4.61670244356789</v>
      </c>
      <c r="W93" s="0" t="n">
        <f aca="false">SUMPRODUCT(ISNUMBER(SEARCH(" "&amp;Terms!$A$3:$A$821&amp;" ",$D93))*Terms!F$3:F$821)+Terms!F$2</f>
        <v>-3.47727991964051</v>
      </c>
      <c r="X93" s="0" t="n">
        <f aca="false">SUMPRODUCT(ISNUMBER(SEARCH(" "&amp;Terms!$A$3:$A$821&amp;" ",$D93))*Terms!G$3:G$821)+Terms!G$2</f>
        <v>-5.35214120858524</v>
      </c>
      <c r="Y93" s="0" t="str">
        <f aca="false">INDEX($S$1:$X$1,MATCH(MAX(S93:X93),S93:X93,0))</f>
        <v>Account Access</v>
      </c>
      <c r="Z93" s="0" t="s">
        <v>2607</v>
      </c>
    </row>
    <row r="94" customFormat="false" ht="15" hidden="false" customHeight="false" outlineLevel="0" collapsed="false">
      <c r="A94" s="0" t="str">
        <f aca="false">Complaints!A94</f>
        <v>C0093</v>
      </c>
      <c r="B94" s="0" t="str">
        <f aca="false">Complaints!B94</f>
        <v>Hello, A late payment fee appeared and I want it refunded.</v>
      </c>
      <c r="C94" s="0" t="str">
        <f aca="false">Complaints!C94</f>
        <v>Fees &amp; Charges</v>
      </c>
      <c r="D94" s="0" t="str">
        <f aca="false">" "&amp;TRIM(SUBSTITUTE(SUBSTITUTE(SUBSTITUTE(SUBSTITUTE(SUBSTITUTE(SUBSTITUTE(SUBSTITUTE(SUBSTITUTE(SUBSTITUTE(SUBSTITUTE(SUBSTITUTE(SUBSTITUTE(SUBSTITUTE(SUBSTITUTE(SUBSTITUTE(SUBSTITUTE(LOWER(B94),"."," "),","," "),"'"," "),"’"," "),"!"," "),"?"," "),";"," "),":"," "),"-"," "),"("," "),")"," "),"""", " "),"£"," "),"&amp;"," "),"/"," "),"%"," "))&amp;" "</f>
        <v> hello a late payment fee appeared and i want it refunded </v>
      </c>
      <c r="E94" s="0" t="n">
        <f aca="false">SUMPRODUCT((Rules!$A$2:$A$60=E$1)*Rules!$C$2:$C$60*ISNUMBER(SEARCH(Rules!$D$2:$D$60,$D94)))</f>
        <v>0</v>
      </c>
      <c r="F94" s="0" t="n">
        <f aca="false">SUMPRODUCT((Rules!$A$2:$A$60=F$1)*Rules!$C$2:$C$60*ISNUMBER(SEARCH(Rules!$D$2:$D$60,$D94)))</f>
        <v>0</v>
      </c>
      <c r="G94" s="0" t="n">
        <f aca="false">SUMPRODUCT((Rules!$A$2:$A$60=G$1)*Rules!$C$2:$C$60*ISNUMBER(SEARCH(Rules!$D$2:$D$60,$D94)))</f>
        <v>0</v>
      </c>
      <c r="H94" s="0" t="n">
        <f aca="false">SUMPRODUCT((Rules!$A$2:$A$60=H$1)*Rules!$C$2:$C$60*ISNUMBER(SEARCH(Rules!$D$2:$D$60,$D94)))</f>
        <v>2</v>
      </c>
      <c r="I94" s="0" t="n">
        <f aca="false">SUMPRODUCT((Rules!$A$2:$A$60=I$1)*Rules!$C$2:$C$60*ISNUMBER(SEARCH(Rules!$D$2:$D$60,$D94)))</f>
        <v>0</v>
      </c>
      <c r="J94" s="0" t="n">
        <f aca="false">SUMPRODUCT((Rules!$A$2:$A$60=J$1)*Rules!$C$2:$C$60*ISNUMBER(SEARCH(Rules!$D$2:$D$60,$D94)))</f>
        <v>0</v>
      </c>
      <c r="K94" s="0" t="str">
        <f aca="false">IF(OR(MAX(E94:J94)&lt;Rules!$H$1,MAX(E94:J94)-LARGE(E94:J94,2)&lt;Rules!$H$2),"No label",INDEX($E$1:$J$1,MATCH(MAX(E94:J94),E94:J94,0)))</f>
        <v>No label</v>
      </c>
      <c r="L94" s="0" t="n">
        <f aca="false">SUMPRODUCT((Rules!$A$2:$A$60=L$1)*Rules!$C$2:$C$60*ISNUMBER(SEARCH(Rules!$E$2:$E$60,$D94)))</f>
        <v>0</v>
      </c>
      <c r="M94" s="0" t="n">
        <f aca="false">SUMPRODUCT((Rules!$A$2:$A$60=M$1)*Rules!$C$2:$C$60*ISNUMBER(SEARCH(Rules!$E$2:$E$60,$D94)))</f>
        <v>0</v>
      </c>
      <c r="N94" s="0" t="n">
        <f aca="false">SUMPRODUCT((Rules!$A$2:$A$60=N$1)*Rules!$C$2:$C$60*ISNUMBER(SEARCH(Rules!$E$2:$E$60,$D94)))</f>
        <v>0</v>
      </c>
      <c r="O94" s="0" t="n">
        <f aca="false">SUMPRODUCT((Rules!$A$2:$A$60=O$1)*Rules!$C$2:$C$60*ISNUMBER(SEARCH(Rules!$E$2:$E$60,$D94)))</f>
        <v>2</v>
      </c>
      <c r="P94" s="0" t="n">
        <f aca="false">SUMPRODUCT((Rules!$A$2:$A$60=P$1)*Rules!$C$2:$C$60*ISNUMBER(SEARCH(Rules!$E$2:$E$60,$D94)))</f>
        <v>0</v>
      </c>
      <c r="Q94" s="0" t="n">
        <f aca="false">SUMPRODUCT((Rules!$A$2:$A$60=Q$1)*Rules!$C$2:$C$60*ISNUMBER(SEARCH(Rules!$E$2:$E$60,$D94)))</f>
        <v>0</v>
      </c>
      <c r="R94" s="0" t="str">
        <f aca="false">IF(OR(MAX(L94:Q94)&lt;Rules!$H$1,MAX(L94:Q94)-LARGE(L94:Q94,2)&lt;Rules!$H$2),"No label",INDEX($L$1:$Q$1,MATCH(MAX(L94:Q94),L94:Q94,0)))</f>
        <v>No label</v>
      </c>
      <c r="S94" s="0" t="n">
        <f aca="false">SUMPRODUCT(ISNUMBER(SEARCH(" "&amp;Terms!$A$3:$A$821&amp;" ",$D94))*Terms!B$3:B$821)+Terms!B$2</f>
        <v>-3.22154082058009</v>
      </c>
      <c r="T94" s="0" t="n">
        <f aca="false">SUMPRODUCT(ISNUMBER(SEARCH(" "&amp;Terms!$A$3:$A$821&amp;" ",$D94))*Terms!C$3:C$821)+Terms!C$2</f>
        <v>-5.82938195203668</v>
      </c>
      <c r="U94" s="0" t="n">
        <f aca="false">SUMPRODUCT(ISNUMBER(SEARCH(" "&amp;Terms!$A$3:$A$821&amp;" ",$D94))*Terms!D$3:D$821)+Terms!D$2</f>
        <v>-1.19766152996404</v>
      </c>
      <c r="V94" s="0" t="n">
        <f aca="false">SUMPRODUCT(ISNUMBER(SEARCH(" "&amp;Terms!$A$3:$A$821&amp;" ",$D94))*Terms!E$3:E$821)+Terms!E$2</f>
        <v>15.1045725998536</v>
      </c>
      <c r="W94" s="0" t="n">
        <f aca="false">SUMPRODUCT(ISNUMBER(SEARCH(" "&amp;Terms!$A$3:$A$821&amp;" ",$D94))*Terms!F$3:F$821)+Terms!F$2</f>
        <v>0.33958783908291</v>
      </c>
      <c r="X94" s="0" t="n">
        <f aca="false">SUMPRODUCT(ISNUMBER(SEARCH(" "&amp;Terms!$A$3:$A$821&amp;" ",$D94))*Terms!G$3:G$821)+Terms!G$2</f>
        <v>-5.19557613635559</v>
      </c>
      <c r="Y94" s="0" t="str">
        <f aca="false">INDEX($S$1:$X$1,MATCH(MAX(S94:X94),S94:X94,0))</f>
        <v>Fees &amp; Charges</v>
      </c>
      <c r="Z94" s="0" t="s">
        <v>2607</v>
      </c>
    </row>
    <row r="95" customFormat="false" ht="15" hidden="false" customHeight="false" outlineLevel="0" collapsed="false">
      <c r="A95" s="0" t="str">
        <f aca="false">Complaints!A95</f>
        <v>C0094</v>
      </c>
      <c r="B95" s="0" t="str">
        <f aca="false">Complaints!B95</f>
        <v>To whom it may concern, The costs keep creeping up and my balance is lower than it should be. Also, i was misled about what the insurance actually included. Please sort this out.</v>
      </c>
      <c r="C95" s="0" t="str">
        <f aca="false">Complaints!C95</f>
        <v>Fees &amp; Charges</v>
      </c>
      <c r="D95" s="0" t="str">
        <f aca="false">" "&amp;TRIM(SUBSTITUTE(SUBSTITUTE(SUBSTITUTE(SUBSTITUTE(SUBSTITUTE(SUBSTITUTE(SUBSTITUTE(SUBSTITUTE(SUBSTITUTE(SUBSTITUTE(SUBSTITUTE(SUBSTITUTE(SUBSTITUTE(SUBSTITUTE(SUBSTITUTE(SUBSTITUTE(LOWER(B95),"."," "),","," "),"'"," "),"’"," "),"!"," "),"?"," "),";"," "),":"," "),"-"," "),"("," "),")"," "),"""", " "),"£"," "),"&amp;"," "),"/"," "),"%"," "))&amp;" "</f>
        <v> to whom it may concern the costs keep creeping up and my balance is lower than it should be also i was misled about what the insurance actually included please sort this out </v>
      </c>
      <c r="E95" s="0" t="n">
        <f aca="false">SUMPRODUCT((Rules!$A$2:$A$60=E$1)*Rules!$C$2:$C$60*ISNUMBER(SEARCH(Rules!$D$2:$D$60,$D95)))</f>
        <v>0</v>
      </c>
      <c r="F95" s="0" t="n">
        <f aca="false">SUMPRODUCT((Rules!$A$2:$A$60=F$1)*Rules!$C$2:$C$60*ISNUMBER(SEARCH(Rules!$D$2:$D$60,$D95)))</f>
        <v>4</v>
      </c>
      <c r="G95" s="0" t="n">
        <f aca="false">SUMPRODUCT((Rules!$A$2:$A$60=G$1)*Rules!$C$2:$C$60*ISNUMBER(SEARCH(Rules!$D$2:$D$60,$D95)))</f>
        <v>0</v>
      </c>
      <c r="H95" s="0" t="n">
        <f aca="false">SUMPRODUCT((Rules!$A$2:$A$60=H$1)*Rules!$C$2:$C$60*ISNUMBER(SEARCH(Rules!$D$2:$D$60,$D95)))</f>
        <v>1</v>
      </c>
      <c r="I95" s="0" t="n">
        <f aca="false">SUMPRODUCT((Rules!$A$2:$A$60=I$1)*Rules!$C$2:$C$60*ISNUMBER(SEARCH(Rules!$D$2:$D$60,$D95)))</f>
        <v>0</v>
      </c>
      <c r="J95" s="0" t="n">
        <f aca="false">SUMPRODUCT((Rules!$A$2:$A$60=J$1)*Rules!$C$2:$C$60*ISNUMBER(SEARCH(Rules!$D$2:$D$60,$D95)))</f>
        <v>0</v>
      </c>
      <c r="K95" s="0" t="str">
        <f aca="false">IF(OR(MAX(E95:J95)&lt;Rules!$H$1,MAX(E95:J95)-LARGE(E95:J95,2)&lt;Rules!$H$2),"No label",INDEX($E$1:$J$1,MATCH(MAX(E95:J95),E95:J95,0)))</f>
        <v>Mis-selling</v>
      </c>
      <c r="L95" s="0" t="n">
        <f aca="false">SUMPRODUCT((Rules!$A$2:$A$60=L$1)*Rules!$C$2:$C$60*ISNUMBER(SEARCH(Rules!$E$2:$E$60,$D95)))</f>
        <v>0</v>
      </c>
      <c r="M95" s="0" t="n">
        <f aca="false">SUMPRODUCT((Rules!$A$2:$A$60=M$1)*Rules!$C$2:$C$60*ISNUMBER(SEARCH(Rules!$E$2:$E$60,$D95)))</f>
        <v>4</v>
      </c>
      <c r="N95" s="0" t="n">
        <f aca="false">SUMPRODUCT((Rules!$A$2:$A$60=N$1)*Rules!$C$2:$C$60*ISNUMBER(SEARCH(Rules!$E$2:$E$60,$D95)))</f>
        <v>0</v>
      </c>
      <c r="O95" s="0" t="n">
        <f aca="false">SUMPRODUCT((Rules!$A$2:$A$60=O$1)*Rules!$C$2:$C$60*ISNUMBER(SEARCH(Rules!$E$2:$E$60,$D95)))</f>
        <v>1</v>
      </c>
      <c r="P95" s="0" t="n">
        <f aca="false">SUMPRODUCT((Rules!$A$2:$A$60=P$1)*Rules!$C$2:$C$60*ISNUMBER(SEARCH(Rules!$E$2:$E$60,$D95)))</f>
        <v>0</v>
      </c>
      <c r="Q95" s="0" t="n">
        <f aca="false">SUMPRODUCT((Rules!$A$2:$A$60=Q$1)*Rules!$C$2:$C$60*ISNUMBER(SEARCH(Rules!$E$2:$E$60,$D95)))</f>
        <v>0</v>
      </c>
      <c r="R95" s="0" t="str">
        <f aca="false">IF(OR(MAX(L95:Q95)&lt;Rules!$H$1,MAX(L95:Q95)-LARGE(L95:Q95,2)&lt;Rules!$H$2),"No label",INDEX($L$1:$Q$1,MATCH(MAX(L95:Q95),L95:Q95,0)))</f>
        <v>Mis-selling</v>
      </c>
      <c r="S95" s="0" t="n">
        <f aca="false">SUMPRODUCT(ISNUMBER(SEARCH(" "&amp;Terms!$A$3:$A$821&amp;" ",$D95))*Terms!B$3:B$821)+Terms!B$2</f>
        <v>-4.43356111747021</v>
      </c>
      <c r="T95" s="0" t="n">
        <f aca="false">SUMPRODUCT(ISNUMBER(SEARCH(" "&amp;Terms!$A$3:$A$821&amp;" ",$D95))*Terms!C$3:C$821)+Terms!C$2</f>
        <v>-4.41483990449671</v>
      </c>
      <c r="U95" s="0" t="n">
        <f aca="false">SUMPRODUCT(ISNUMBER(SEARCH(" "&amp;Terms!$A$3:$A$821&amp;" ",$D95))*Terms!D$3:D$821)+Terms!D$2</f>
        <v>-2.38927930815444</v>
      </c>
      <c r="V95" s="0" t="n">
        <f aca="false">SUMPRODUCT(ISNUMBER(SEARCH(" "&amp;Terms!$A$3:$A$821&amp;" ",$D95))*Terms!E$3:E$821)+Terms!E$2</f>
        <v>7.64816759731964</v>
      </c>
      <c r="W95" s="0" t="n">
        <f aca="false">SUMPRODUCT(ISNUMBER(SEARCH(" "&amp;Terms!$A$3:$A$821&amp;" ",$D95))*Terms!F$3:F$821)+Terms!F$2</f>
        <v>-4.57339188913959</v>
      </c>
      <c r="X95" s="0" t="n">
        <f aca="false">SUMPRODUCT(ISNUMBER(SEARCH(" "&amp;Terms!$A$3:$A$821&amp;" ",$D95))*Terms!G$3:G$821)+Terms!G$2</f>
        <v>8.16290462194142</v>
      </c>
      <c r="Y95" s="0" t="str">
        <f aca="false">INDEX($S$1:$X$1,MATCH(MAX(S95:X95),S95:X95,0))</f>
        <v>Mis-selling</v>
      </c>
      <c r="Z95" s="0" t="s">
        <v>2607</v>
      </c>
    </row>
    <row r="96" customFormat="false" ht="15" hidden="false" customHeight="false" outlineLevel="0" collapsed="false">
      <c r="A96" s="0" t="str">
        <f aca="false">Complaints!A96</f>
        <v>C0095</v>
      </c>
      <c r="B96" s="0" t="str">
        <f aca="false">Complaints!B96</f>
        <v>I have been a customer for years. I keep getting an error message when I sign in. Also, i was misled about what the insurance actually included. I would like a response in writing.</v>
      </c>
      <c r="C96" s="0" t="str">
        <f aca="false">Complaints!C96</f>
        <v>Account Access</v>
      </c>
      <c r="D96" s="0" t="str">
        <f aca="false">" "&amp;TRIM(SUBSTITUTE(SUBSTITUTE(SUBSTITUTE(SUBSTITUTE(SUBSTITUTE(SUBSTITUTE(SUBSTITUTE(SUBSTITUTE(SUBSTITUTE(SUBSTITUTE(SUBSTITUTE(SUBSTITUTE(SUBSTITUTE(SUBSTITUTE(SUBSTITUTE(SUBSTITUTE(LOWER(B96),"."," "),","," "),"'"," "),"’"," "),"!"," "),"?"," "),";"," "),":"," "),"-"," "),"("," "),")"," "),"""", " "),"£"," "),"&amp;"," "),"/"," "),"%"," "))&amp;" "</f>
        <v> i have been a customer for years i keep getting an error message when i sign in also i was misled about what the insurance actually included i would like a response in writing </v>
      </c>
      <c r="E96" s="0" t="n">
        <f aca="false">SUMPRODUCT((Rules!$A$2:$A$60=E$1)*Rules!$C$2:$C$60*ISNUMBER(SEARCH(Rules!$D$2:$D$60,$D96)))</f>
        <v>0</v>
      </c>
      <c r="F96" s="0" t="n">
        <f aca="false">SUMPRODUCT((Rules!$A$2:$A$60=F$1)*Rules!$C$2:$C$60*ISNUMBER(SEARCH(Rules!$D$2:$D$60,$D96)))</f>
        <v>4</v>
      </c>
      <c r="G96" s="0" t="n">
        <f aca="false">SUMPRODUCT((Rules!$A$2:$A$60=G$1)*Rules!$C$2:$C$60*ISNUMBER(SEARCH(Rules!$D$2:$D$60,$D96)))</f>
        <v>3</v>
      </c>
      <c r="H96" s="0" t="n">
        <f aca="false">SUMPRODUCT((Rules!$A$2:$A$60=H$1)*Rules!$C$2:$C$60*ISNUMBER(SEARCH(Rules!$D$2:$D$60,$D96)))</f>
        <v>0</v>
      </c>
      <c r="I96" s="0" t="n">
        <f aca="false">SUMPRODUCT((Rules!$A$2:$A$60=I$1)*Rules!$C$2:$C$60*ISNUMBER(SEARCH(Rules!$D$2:$D$60,$D96)))</f>
        <v>0</v>
      </c>
      <c r="J96" s="0" t="n">
        <f aca="false">SUMPRODUCT((Rules!$A$2:$A$60=J$1)*Rules!$C$2:$C$60*ISNUMBER(SEARCH(Rules!$D$2:$D$60,$D96)))</f>
        <v>0</v>
      </c>
      <c r="K96" s="0" t="str">
        <f aca="false">IF(OR(MAX(E96:J96)&lt;Rules!$H$1,MAX(E96:J96)-LARGE(E96:J96,2)&lt;Rules!$H$2),"No label",INDEX($E$1:$J$1,MATCH(MAX(E96:J96),E96:J96,0)))</f>
        <v>No label</v>
      </c>
      <c r="L96" s="0" t="n">
        <f aca="false">SUMPRODUCT((Rules!$A$2:$A$60=L$1)*Rules!$C$2:$C$60*ISNUMBER(SEARCH(Rules!$E$2:$E$60,$D96)))</f>
        <v>0</v>
      </c>
      <c r="M96" s="0" t="n">
        <f aca="false">SUMPRODUCT((Rules!$A$2:$A$60=M$1)*Rules!$C$2:$C$60*ISNUMBER(SEARCH(Rules!$E$2:$E$60,$D96)))</f>
        <v>4</v>
      </c>
      <c r="N96" s="0" t="n">
        <f aca="false">SUMPRODUCT((Rules!$A$2:$A$60=N$1)*Rules!$C$2:$C$60*ISNUMBER(SEARCH(Rules!$E$2:$E$60,$D96)))</f>
        <v>3</v>
      </c>
      <c r="O96" s="0" t="n">
        <f aca="false">SUMPRODUCT((Rules!$A$2:$A$60=O$1)*Rules!$C$2:$C$60*ISNUMBER(SEARCH(Rules!$E$2:$E$60,$D96)))</f>
        <v>0</v>
      </c>
      <c r="P96" s="0" t="n">
        <f aca="false">SUMPRODUCT((Rules!$A$2:$A$60=P$1)*Rules!$C$2:$C$60*ISNUMBER(SEARCH(Rules!$E$2:$E$60,$D96)))</f>
        <v>0</v>
      </c>
      <c r="Q96" s="0" t="n">
        <f aca="false">SUMPRODUCT((Rules!$A$2:$A$60=Q$1)*Rules!$C$2:$C$60*ISNUMBER(SEARCH(Rules!$E$2:$E$60,$D96)))</f>
        <v>0</v>
      </c>
      <c r="R96" s="0" t="str">
        <f aca="false">IF(OR(MAX(L96:Q96)&lt;Rules!$H$1,MAX(L96:Q96)-LARGE(L96:Q96,2)&lt;Rules!$H$2),"No label",INDEX($L$1:$Q$1,MATCH(MAX(L96:Q96),L96:Q96,0)))</f>
        <v>No label</v>
      </c>
      <c r="S96" s="0" t="n">
        <f aca="false">SUMPRODUCT(ISNUMBER(SEARCH(" "&amp;Terms!$A$3:$A$821&amp;" ",$D96))*Terms!B$3:B$821)+Terms!B$2</f>
        <v>8.78640069265675</v>
      </c>
      <c r="T96" s="0" t="n">
        <f aca="false">SUMPRODUCT(ISNUMBER(SEARCH(" "&amp;Terms!$A$3:$A$821&amp;" ",$D96))*Terms!C$3:C$821)+Terms!C$2</f>
        <v>-2.25970645447151</v>
      </c>
      <c r="U96" s="0" t="n">
        <f aca="false">SUMPRODUCT(ISNUMBER(SEARCH(" "&amp;Terms!$A$3:$A$821&amp;" ",$D96))*Terms!D$3:D$821)+Terms!D$2</f>
        <v>-2.55898027439498</v>
      </c>
      <c r="V96" s="0" t="n">
        <f aca="false">SUMPRODUCT(ISNUMBER(SEARCH(" "&amp;Terms!$A$3:$A$821&amp;" ",$D96))*Terms!E$3:E$821)+Terms!E$2</f>
        <v>-6.8607872086445</v>
      </c>
      <c r="W96" s="0" t="n">
        <f aca="false">SUMPRODUCT(ISNUMBER(SEARCH(" "&amp;Terms!$A$3:$A$821&amp;" ",$D96))*Terms!F$3:F$821)+Terms!F$2</f>
        <v>-6.90240235561431</v>
      </c>
      <c r="X96" s="0" t="n">
        <f aca="false">SUMPRODUCT(ISNUMBER(SEARCH(" "&amp;Terms!$A$3:$A$821&amp;" ",$D96))*Terms!G$3:G$821)+Terms!G$2</f>
        <v>9.79547560046866</v>
      </c>
      <c r="Y96" s="0" t="str">
        <f aca="false">INDEX($S$1:$X$1,MATCH(MAX(S96:X96),S96:X96,0))</f>
        <v>Mis-selling</v>
      </c>
      <c r="Z96" s="0" t="s">
        <v>2607</v>
      </c>
    </row>
    <row r="97" customFormat="false" ht="15" hidden="false" customHeight="false" outlineLevel="0" collapsed="false">
      <c r="A97" s="0" t="str">
        <f aca="false">Complaints!A97</f>
        <v>C0096</v>
      </c>
      <c r="B97" s="0" t="str">
        <f aca="false">Complaints!B97</f>
        <v>My mortgage switch is taking far longer than you said it would. Please sort this out.</v>
      </c>
      <c r="C97" s="0" t="str">
        <f aca="false">Complaints!C97</f>
        <v>Delays &amp; Processing</v>
      </c>
      <c r="D97" s="0" t="str">
        <f aca="false">" "&amp;TRIM(SUBSTITUTE(SUBSTITUTE(SUBSTITUTE(SUBSTITUTE(SUBSTITUTE(SUBSTITUTE(SUBSTITUTE(SUBSTITUTE(SUBSTITUTE(SUBSTITUTE(SUBSTITUTE(SUBSTITUTE(SUBSTITUTE(SUBSTITUTE(SUBSTITUTE(SUBSTITUTE(LOWER(B97),"."," "),","," "),"'"," "),"’"," "),"!"," "),"?"," "),";"," "),":"," "),"-"," "),"("," "),")"," "),"""", " "),"£"," "),"&amp;"," "),"/"," "),"%"," "))&amp;" "</f>
        <v> my mortgage switch is taking far longer than you said it would please sort this out </v>
      </c>
      <c r="E97" s="0" t="n">
        <f aca="false">SUMPRODUCT((Rules!$A$2:$A$60=E$1)*Rules!$C$2:$C$60*ISNUMBER(SEARCH(Rules!$D$2:$D$60,$D97)))</f>
        <v>0</v>
      </c>
      <c r="F97" s="0" t="n">
        <f aca="false">SUMPRODUCT((Rules!$A$2:$A$60=F$1)*Rules!$C$2:$C$60*ISNUMBER(SEARCH(Rules!$D$2:$D$60,$D97)))</f>
        <v>0</v>
      </c>
      <c r="G97" s="0" t="n">
        <f aca="false">SUMPRODUCT((Rules!$A$2:$A$60=G$1)*Rules!$C$2:$C$60*ISNUMBER(SEARCH(Rules!$D$2:$D$60,$D97)))</f>
        <v>0</v>
      </c>
      <c r="H97" s="0" t="n">
        <f aca="false">SUMPRODUCT((Rules!$A$2:$A$60=H$1)*Rules!$C$2:$C$60*ISNUMBER(SEARCH(Rules!$D$2:$D$60,$D97)))</f>
        <v>0</v>
      </c>
      <c r="I97" s="0" t="n">
        <f aca="false">SUMPRODUCT((Rules!$A$2:$A$60=I$1)*Rules!$C$2:$C$60*ISNUMBER(SEARCH(Rules!$D$2:$D$60,$D97)))</f>
        <v>2</v>
      </c>
      <c r="J97" s="0" t="n">
        <f aca="false">SUMPRODUCT((Rules!$A$2:$A$60=J$1)*Rules!$C$2:$C$60*ISNUMBER(SEARCH(Rules!$D$2:$D$60,$D97)))</f>
        <v>0</v>
      </c>
      <c r="K97" s="0" t="str">
        <f aca="false">IF(OR(MAX(E97:J97)&lt;Rules!$H$1,MAX(E97:J97)-LARGE(E97:J97,2)&lt;Rules!$H$2),"No label",INDEX($E$1:$J$1,MATCH(MAX(E97:J97),E97:J97,0)))</f>
        <v>No label</v>
      </c>
      <c r="L97" s="0" t="n">
        <f aca="false">SUMPRODUCT((Rules!$A$2:$A$60=L$1)*Rules!$C$2:$C$60*ISNUMBER(SEARCH(Rules!$E$2:$E$60,$D97)))</f>
        <v>0</v>
      </c>
      <c r="M97" s="0" t="n">
        <f aca="false">SUMPRODUCT((Rules!$A$2:$A$60=M$1)*Rules!$C$2:$C$60*ISNUMBER(SEARCH(Rules!$E$2:$E$60,$D97)))</f>
        <v>0</v>
      </c>
      <c r="N97" s="0" t="n">
        <f aca="false">SUMPRODUCT((Rules!$A$2:$A$60=N$1)*Rules!$C$2:$C$60*ISNUMBER(SEARCH(Rules!$E$2:$E$60,$D97)))</f>
        <v>0</v>
      </c>
      <c r="O97" s="0" t="n">
        <f aca="false">SUMPRODUCT((Rules!$A$2:$A$60=O$1)*Rules!$C$2:$C$60*ISNUMBER(SEARCH(Rules!$E$2:$E$60,$D97)))</f>
        <v>0</v>
      </c>
      <c r="P97" s="0" t="n">
        <f aca="false">SUMPRODUCT((Rules!$A$2:$A$60=P$1)*Rules!$C$2:$C$60*ISNUMBER(SEARCH(Rules!$E$2:$E$60,$D97)))</f>
        <v>2</v>
      </c>
      <c r="Q97" s="0" t="n">
        <f aca="false">SUMPRODUCT((Rules!$A$2:$A$60=Q$1)*Rules!$C$2:$C$60*ISNUMBER(SEARCH(Rules!$E$2:$E$60,$D97)))</f>
        <v>0</v>
      </c>
      <c r="R97" s="0" t="str">
        <f aca="false">IF(OR(MAX(L97:Q97)&lt;Rules!$H$1,MAX(L97:Q97)-LARGE(L97:Q97,2)&lt;Rules!$H$2),"No label",INDEX($L$1:$Q$1,MATCH(MAX(L97:Q97),L97:Q97,0)))</f>
        <v>No label</v>
      </c>
      <c r="S97" s="0" t="n">
        <f aca="false">SUMPRODUCT(ISNUMBER(SEARCH(" "&amp;Terms!$A$3:$A$821&amp;" ",$D97))*Terms!B$3:B$821)+Terms!B$2</f>
        <v>-6.13253111641734</v>
      </c>
      <c r="T97" s="0" t="n">
        <f aca="false">SUMPRODUCT(ISNUMBER(SEARCH(" "&amp;Terms!$A$3:$A$821&amp;" ",$D97))*Terms!C$3:C$821)+Terms!C$2</f>
        <v>0.487301083987806</v>
      </c>
      <c r="U97" s="0" t="n">
        <f aca="false">SUMPRODUCT(ISNUMBER(SEARCH(" "&amp;Terms!$A$3:$A$821&amp;" ",$D97))*Terms!D$3:D$821)+Terms!D$2</f>
        <v>10.4214608424969</v>
      </c>
      <c r="V97" s="0" t="n">
        <f aca="false">SUMPRODUCT(ISNUMBER(SEARCH(" "&amp;Terms!$A$3:$A$821&amp;" ",$D97))*Terms!E$3:E$821)+Terms!E$2</f>
        <v>-0.50267186412339</v>
      </c>
      <c r="W97" s="0" t="n">
        <f aca="false">SUMPRODUCT(ISNUMBER(SEARCH(" "&amp;Terms!$A$3:$A$821&amp;" ",$D97))*Terms!F$3:F$821)+Terms!F$2</f>
        <v>-1.88190654960365</v>
      </c>
      <c r="X97" s="0" t="n">
        <f aca="false">SUMPRODUCT(ISNUMBER(SEARCH(" "&amp;Terms!$A$3:$A$821&amp;" ",$D97))*Terms!G$3:G$821)+Terms!G$2</f>
        <v>-2.39165239634022</v>
      </c>
      <c r="Y97" s="0" t="str">
        <f aca="false">INDEX($S$1:$X$1,MATCH(MAX(S97:X97),S97:X97,0))</f>
        <v>Delays &amp; Processing</v>
      </c>
      <c r="Z97" s="0" t="s">
        <v>2607</v>
      </c>
    </row>
    <row r="98" customFormat="false" ht="15" hidden="false" customHeight="false" outlineLevel="0" collapsed="false">
      <c r="A98" s="0" t="str">
        <f aca="false">Complaints!A98</f>
        <v>C0097</v>
      </c>
      <c r="B98" s="0" t="str">
        <f aca="false">Complaints!B98</f>
        <v>Frankly, There are transactions on my card I do not recognise. I also spent ages on hold when I called about it.</v>
      </c>
      <c r="C98" s="0" t="str">
        <f aca="false">Complaints!C98</f>
        <v>Fraud &amp; Scams</v>
      </c>
      <c r="D98" s="0" t="str">
        <f aca="false">" "&amp;TRIM(SUBSTITUTE(SUBSTITUTE(SUBSTITUTE(SUBSTITUTE(SUBSTITUTE(SUBSTITUTE(SUBSTITUTE(SUBSTITUTE(SUBSTITUTE(SUBSTITUTE(SUBSTITUTE(SUBSTITUTE(SUBSTITUTE(SUBSTITUTE(SUBSTITUTE(SUBSTITUTE(LOWER(B98),"."," "),","," "),"'"," "),"’"," "),"!"," "),"?"," "),";"," "),":"," "),"-"," "),"("," "),")"," "),"""", " "),"£"," "),"&amp;"," "),"/"," "),"%"," "))&amp;" "</f>
        <v> frankly there are transactions on my card i do not recognise i also spent ages on hold when i called about it </v>
      </c>
      <c r="E98" s="0" t="n">
        <f aca="false">SUMPRODUCT((Rules!$A$2:$A$60=E$1)*Rules!$C$2:$C$60*ISNUMBER(SEARCH(Rules!$D$2:$D$60,$D98)))</f>
        <v>2</v>
      </c>
      <c r="F98" s="0" t="n">
        <f aca="false">SUMPRODUCT((Rules!$A$2:$A$60=F$1)*Rules!$C$2:$C$60*ISNUMBER(SEARCH(Rules!$D$2:$D$60,$D98)))</f>
        <v>0</v>
      </c>
      <c r="G98" s="0" t="n">
        <f aca="false">SUMPRODUCT((Rules!$A$2:$A$60=G$1)*Rules!$C$2:$C$60*ISNUMBER(SEARCH(Rules!$D$2:$D$60,$D98)))</f>
        <v>0</v>
      </c>
      <c r="H98" s="0" t="n">
        <f aca="false">SUMPRODUCT((Rules!$A$2:$A$60=H$1)*Rules!$C$2:$C$60*ISNUMBER(SEARCH(Rules!$D$2:$D$60,$D98)))</f>
        <v>0</v>
      </c>
      <c r="I98" s="0" t="n">
        <f aca="false">SUMPRODUCT((Rules!$A$2:$A$60=I$1)*Rules!$C$2:$C$60*ISNUMBER(SEARCH(Rules!$D$2:$D$60,$D98)))</f>
        <v>0</v>
      </c>
      <c r="J98" s="0" t="n">
        <f aca="false">SUMPRODUCT((Rules!$A$2:$A$60=J$1)*Rules!$C$2:$C$60*ISNUMBER(SEARCH(Rules!$D$2:$D$60,$D98)))</f>
        <v>3</v>
      </c>
      <c r="K98" s="0" t="str">
        <f aca="false">IF(OR(MAX(E98:J98)&lt;Rules!$H$1,MAX(E98:J98)-LARGE(E98:J98,2)&lt;Rules!$H$2),"No label",INDEX($E$1:$J$1,MATCH(MAX(E98:J98),E98:J98,0)))</f>
        <v>No label</v>
      </c>
      <c r="L98" s="0" t="n">
        <f aca="false">SUMPRODUCT((Rules!$A$2:$A$60=L$1)*Rules!$C$2:$C$60*ISNUMBER(SEARCH(Rules!$E$2:$E$60,$D98)))</f>
        <v>2</v>
      </c>
      <c r="M98" s="0" t="n">
        <f aca="false">SUMPRODUCT((Rules!$A$2:$A$60=M$1)*Rules!$C$2:$C$60*ISNUMBER(SEARCH(Rules!$E$2:$E$60,$D98)))</f>
        <v>0</v>
      </c>
      <c r="N98" s="0" t="n">
        <f aca="false">SUMPRODUCT((Rules!$A$2:$A$60=N$1)*Rules!$C$2:$C$60*ISNUMBER(SEARCH(Rules!$E$2:$E$60,$D98)))</f>
        <v>0</v>
      </c>
      <c r="O98" s="0" t="n">
        <f aca="false">SUMPRODUCT((Rules!$A$2:$A$60=O$1)*Rules!$C$2:$C$60*ISNUMBER(SEARCH(Rules!$E$2:$E$60,$D98)))</f>
        <v>0</v>
      </c>
      <c r="P98" s="0" t="n">
        <f aca="false">SUMPRODUCT((Rules!$A$2:$A$60=P$1)*Rules!$C$2:$C$60*ISNUMBER(SEARCH(Rules!$E$2:$E$60,$D98)))</f>
        <v>0</v>
      </c>
      <c r="Q98" s="0" t="n">
        <f aca="false">SUMPRODUCT((Rules!$A$2:$A$60=Q$1)*Rules!$C$2:$C$60*ISNUMBER(SEARCH(Rules!$E$2:$E$60,$D98)))</f>
        <v>3</v>
      </c>
      <c r="R98" s="0" t="str">
        <f aca="false">IF(OR(MAX(L98:Q98)&lt;Rules!$H$1,MAX(L98:Q98)-LARGE(L98:Q98,2)&lt;Rules!$H$2),"No label",INDEX($L$1:$Q$1,MATCH(MAX(L98:Q98),L98:Q98,0)))</f>
        <v>No label</v>
      </c>
      <c r="S98" s="0" t="n">
        <f aca="false">SUMPRODUCT(ISNUMBER(SEARCH(" "&amp;Terms!$A$3:$A$821&amp;" ",$D98))*Terms!B$3:B$821)+Terms!B$2</f>
        <v>-0.260349613371491</v>
      </c>
      <c r="T98" s="0" t="n">
        <f aca="false">SUMPRODUCT(ISNUMBER(SEARCH(" "&amp;Terms!$A$3:$A$821&amp;" ",$D98))*Terms!C$3:C$821)+Terms!C$2</f>
        <v>1.02919959874936</v>
      </c>
      <c r="U98" s="0" t="n">
        <f aca="false">SUMPRODUCT(ISNUMBER(SEARCH(" "&amp;Terms!$A$3:$A$821&amp;" ",$D98))*Terms!D$3:D$821)+Terms!D$2</f>
        <v>-2.65533300340212</v>
      </c>
      <c r="V98" s="0" t="n">
        <f aca="false">SUMPRODUCT(ISNUMBER(SEARCH(" "&amp;Terms!$A$3:$A$821&amp;" ",$D98))*Terms!E$3:E$821)+Terms!E$2</f>
        <v>-2.28774965390642</v>
      </c>
      <c r="W98" s="0" t="n">
        <f aca="false">SUMPRODUCT(ISNUMBER(SEARCH(" "&amp;Terms!$A$3:$A$821&amp;" ",$D98))*Terms!F$3:F$821)+Terms!F$2</f>
        <v>5.38313793422959</v>
      </c>
      <c r="X98" s="0" t="n">
        <f aca="false">SUMPRODUCT(ISNUMBER(SEARCH(" "&amp;Terms!$A$3:$A$821&amp;" ",$D98))*Terms!G$3:G$821)+Terms!G$2</f>
        <v>-1.20890526229882</v>
      </c>
      <c r="Y98" s="0" t="str">
        <f aca="false">INDEX($S$1:$X$1,MATCH(MAX(S98:X98),S98:X98,0))</f>
        <v>Fraud &amp; Scams</v>
      </c>
      <c r="Z98" s="0" t="s">
        <v>2607</v>
      </c>
    </row>
    <row r="99" customFormat="false" ht="15" hidden="false" customHeight="false" outlineLevel="0" collapsed="false">
      <c r="A99" s="0" t="str">
        <f aca="false">Complaints!A99</f>
        <v>C0098</v>
      </c>
      <c r="B99" s="0" t="str">
        <f aca="false">Complaints!B99</f>
        <v>To whom it may concern, The app crashes every time I try to open my statements. Also, you promised the money within three working days and it is still outstanding. Please escalate this.</v>
      </c>
      <c r="C99" s="0" t="str">
        <f aca="false">Complaints!C99</f>
        <v>Account Access</v>
      </c>
      <c r="D99" s="0" t="str">
        <f aca="false">" "&amp;TRIM(SUBSTITUTE(SUBSTITUTE(SUBSTITUTE(SUBSTITUTE(SUBSTITUTE(SUBSTITUTE(SUBSTITUTE(SUBSTITUTE(SUBSTITUTE(SUBSTITUTE(SUBSTITUTE(SUBSTITUTE(SUBSTITUTE(SUBSTITUTE(SUBSTITUTE(SUBSTITUTE(LOWER(B99),"."," "),","," "),"'"," "),"’"," "),"!"," "),"?"," "),";"," "),":"," "),"-"," "),"("," "),")"," "),"""", " "),"£"," "),"&amp;"," "),"/"," "),"%"," "))&amp;" "</f>
        <v> to whom it may concern the app crashes every time i try to open my statements also you promised the money within three working days and it is still outstanding please escalate this </v>
      </c>
      <c r="E99" s="0" t="n">
        <f aca="false">SUMPRODUCT((Rules!$A$2:$A$60=E$1)*Rules!$C$2:$C$60*ISNUMBER(SEARCH(Rules!$D$2:$D$60,$D99)))</f>
        <v>0</v>
      </c>
      <c r="F99" s="0" t="n">
        <f aca="false">SUMPRODUCT((Rules!$A$2:$A$60=F$1)*Rules!$C$2:$C$60*ISNUMBER(SEARCH(Rules!$D$2:$D$60,$D99)))</f>
        <v>1</v>
      </c>
      <c r="G99" s="0" t="n">
        <f aca="false">SUMPRODUCT((Rules!$A$2:$A$60=G$1)*Rules!$C$2:$C$60*ISNUMBER(SEARCH(Rules!$D$2:$D$60,$D99)))</f>
        <v>3</v>
      </c>
      <c r="H99" s="0" t="n">
        <f aca="false">SUMPRODUCT((Rules!$A$2:$A$60=H$1)*Rules!$C$2:$C$60*ISNUMBER(SEARCH(Rules!$D$2:$D$60,$D99)))</f>
        <v>0</v>
      </c>
      <c r="I99" s="0" t="n">
        <f aca="false">SUMPRODUCT((Rules!$A$2:$A$60=I$1)*Rules!$C$2:$C$60*ISNUMBER(SEARCH(Rules!$D$2:$D$60,$D99)))</f>
        <v>2</v>
      </c>
      <c r="J99" s="0" t="n">
        <f aca="false">SUMPRODUCT((Rules!$A$2:$A$60=J$1)*Rules!$C$2:$C$60*ISNUMBER(SEARCH(Rules!$D$2:$D$60,$D99)))</f>
        <v>0</v>
      </c>
      <c r="K99" s="0" t="str">
        <f aca="false">IF(OR(MAX(E99:J99)&lt;Rules!$H$1,MAX(E99:J99)-LARGE(E99:J99,2)&lt;Rules!$H$2),"No label",INDEX($E$1:$J$1,MATCH(MAX(E99:J99),E99:J99,0)))</f>
        <v>No label</v>
      </c>
      <c r="L99" s="0" t="n">
        <f aca="false">SUMPRODUCT((Rules!$A$2:$A$60=L$1)*Rules!$C$2:$C$60*ISNUMBER(SEARCH(Rules!$E$2:$E$60,$D99)))</f>
        <v>0</v>
      </c>
      <c r="M99" s="0" t="n">
        <f aca="false">SUMPRODUCT((Rules!$A$2:$A$60=M$1)*Rules!$C$2:$C$60*ISNUMBER(SEARCH(Rules!$E$2:$E$60,$D99)))</f>
        <v>1</v>
      </c>
      <c r="N99" s="0" t="n">
        <f aca="false">SUMPRODUCT((Rules!$A$2:$A$60=N$1)*Rules!$C$2:$C$60*ISNUMBER(SEARCH(Rules!$E$2:$E$60,$D99)))</f>
        <v>3</v>
      </c>
      <c r="O99" s="0" t="n">
        <f aca="false">SUMPRODUCT((Rules!$A$2:$A$60=O$1)*Rules!$C$2:$C$60*ISNUMBER(SEARCH(Rules!$E$2:$E$60,$D99)))</f>
        <v>1</v>
      </c>
      <c r="P99" s="0" t="n">
        <f aca="false">SUMPRODUCT((Rules!$A$2:$A$60=P$1)*Rules!$C$2:$C$60*ISNUMBER(SEARCH(Rules!$E$2:$E$60,$D99)))</f>
        <v>2</v>
      </c>
      <c r="Q99" s="0" t="n">
        <f aca="false">SUMPRODUCT((Rules!$A$2:$A$60=Q$1)*Rules!$C$2:$C$60*ISNUMBER(SEARCH(Rules!$E$2:$E$60,$D99)))</f>
        <v>0</v>
      </c>
      <c r="R99" s="0" t="str">
        <f aca="false">IF(OR(MAX(L99:Q99)&lt;Rules!$H$1,MAX(L99:Q99)-LARGE(L99:Q99,2)&lt;Rules!$H$2),"No label",INDEX($L$1:$Q$1,MATCH(MAX(L99:Q99),L99:Q99,0)))</f>
        <v>No label</v>
      </c>
      <c r="S99" s="0" t="n">
        <f aca="false">SUMPRODUCT(ISNUMBER(SEARCH(" "&amp;Terms!$A$3:$A$821&amp;" ",$D99))*Terms!B$3:B$821)+Terms!B$2</f>
        <v>10.129767749837</v>
      </c>
      <c r="T99" s="0" t="n">
        <f aca="false">SUMPRODUCT(ISNUMBER(SEARCH(" "&amp;Terms!$A$3:$A$821&amp;" ",$D99))*Terms!C$3:C$821)+Terms!C$2</f>
        <v>-4.07922078718565</v>
      </c>
      <c r="U99" s="0" t="n">
        <f aca="false">SUMPRODUCT(ISNUMBER(SEARCH(" "&amp;Terms!$A$3:$A$821&amp;" ",$D99))*Terms!D$3:D$821)+Terms!D$2</f>
        <v>3.92145362485589</v>
      </c>
      <c r="V99" s="0" t="n">
        <f aca="false">SUMPRODUCT(ISNUMBER(SEARCH(" "&amp;Terms!$A$3:$A$821&amp;" ",$D99))*Terms!E$3:E$821)+Terms!E$2</f>
        <v>-1.0855486162855</v>
      </c>
      <c r="W99" s="0" t="n">
        <f aca="false">SUMPRODUCT(ISNUMBER(SEARCH(" "&amp;Terms!$A$3:$A$821&amp;" ",$D99))*Terms!F$3:F$821)+Terms!F$2</f>
        <v>-5.45146808512149</v>
      </c>
      <c r="X99" s="0" t="n">
        <f aca="false">SUMPRODUCT(ISNUMBER(SEARCH(" "&amp;Terms!$A$3:$A$821&amp;" ",$D99))*Terms!G$3:G$821)+Terms!G$2</f>
        <v>-3.43498388610011</v>
      </c>
      <c r="Y99" s="0" t="str">
        <f aca="false">INDEX($S$1:$X$1,MATCH(MAX(S99:X99),S99:X99,0))</f>
        <v>Account Access</v>
      </c>
      <c r="Z99" s="0" t="s">
        <v>2607</v>
      </c>
    </row>
    <row r="100" customFormat="false" ht="15" hidden="false" customHeight="false" outlineLevel="0" collapsed="false">
      <c r="A100" s="0" t="str">
        <f aca="false">Complaints!A100</f>
        <v>C0099</v>
      </c>
      <c r="B100" s="0" t="str">
        <f aca="false">Complaints!B100</f>
        <v>I have been a customer for years. A person pretending to be from your bank phoned me and I gave them details.</v>
      </c>
      <c r="C100" s="0" t="str">
        <f aca="false">Complaints!C100</f>
        <v>Fraud &amp; Scams</v>
      </c>
      <c r="D100" s="0" t="str">
        <f aca="false">" "&amp;TRIM(SUBSTITUTE(SUBSTITUTE(SUBSTITUTE(SUBSTITUTE(SUBSTITUTE(SUBSTITUTE(SUBSTITUTE(SUBSTITUTE(SUBSTITUTE(SUBSTITUTE(SUBSTITUTE(SUBSTITUTE(SUBSTITUTE(SUBSTITUTE(SUBSTITUTE(SUBSTITUTE(LOWER(B100),"."," "),","," "),"'"," "),"’"," "),"!"," "),"?"," "),";"," "),":"," "),"-"," "),"("," "),")"," "),"""", " "),"£"," "),"&amp;"," "),"/"," "),"%"," "))&amp;" "</f>
        <v> i have been a customer for years a person pretending to be from your bank phoned me and i gave them details </v>
      </c>
      <c r="E100" s="0" t="n">
        <f aca="false">SUMPRODUCT((Rules!$A$2:$A$60=E$1)*Rules!$C$2:$C$60*ISNUMBER(SEARCH(Rules!$D$2:$D$60,$D100)))</f>
        <v>0</v>
      </c>
      <c r="F100" s="0" t="n">
        <f aca="false">SUMPRODUCT((Rules!$A$2:$A$60=F$1)*Rules!$C$2:$C$60*ISNUMBER(SEARCH(Rules!$D$2:$D$60,$D100)))</f>
        <v>0</v>
      </c>
      <c r="G100" s="0" t="n">
        <f aca="false">SUMPRODUCT((Rules!$A$2:$A$60=G$1)*Rules!$C$2:$C$60*ISNUMBER(SEARCH(Rules!$D$2:$D$60,$D100)))</f>
        <v>0</v>
      </c>
      <c r="H100" s="0" t="n">
        <f aca="false">SUMPRODUCT((Rules!$A$2:$A$60=H$1)*Rules!$C$2:$C$60*ISNUMBER(SEARCH(Rules!$D$2:$D$60,$D100)))</f>
        <v>0</v>
      </c>
      <c r="I100" s="0" t="n">
        <f aca="false">SUMPRODUCT((Rules!$A$2:$A$60=I$1)*Rules!$C$2:$C$60*ISNUMBER(SEARCH(Rules!$D$2:$D$60,$D100)))</f>
        <v>0</v>
      </c>
      <c r="J100" s="0" t="n">
        <f aca="false">SUMPRODUCT((Rules!$A$2:$A$60=J$1)*Rules!$C$2:$C$60*ISNUMBER(SEARCH(Rules!$D$2:$D$60,$D100)))</f>
        <v>0</v>
      </c>
      <c r="K100" s="0" t="str">
        <f aca="false">IF(OR(MAX(E100:J100)&lt;Rules!$H$1,MAX(E100:J100)-LARGE(E100:J100,2)&lt;Rules!$H$2),"No label",INDEX($E$1:$J$1,MATCH(MAX(E100:J100),E100:J100,0)))</f>
        <v>No label</v>
      </c>
      <c r="L100" s="0" t="n">
        <f aca="false">SUMPRODUCT((Rules!$A$2:$A$60=L$1)*Rules!$C$2:$C$60*ISNUMBER(SEARCH(Rules!$E$2:$E$60,$D100)))</f>
        <v>0</v>
      </c>
      <c r="M100" s="0" t="n">
        <f aca="false">SUMPRODUCT((Rules!$A$2:$A$60=M$1)*Rules!$C$2:$C$60*ISNUMBER(SEARCH(Rules!$E$2:$E$60,$D100)))</f>
        <v>0</v>
      </c>
      <c r="N100" s="0" t="n">
        <f aca="false">SUMPRODUCT((Rules!$A$2:$A$60=N$1)*Rules!$C$2:$C$60*ISNUMBER(SEARCH(Rules!$E$2:$E$60,$D100)))</f>
        <v>0</v>
      </c>
      <c r="O100" s="0" t="n">
        <f aca="false">SUMPRODUCT((Rules!$A$2:$A$60=O$1)*Rules!$C$2:$C$60*ISNUMBER(SEARCH(Rules!$E$2:$E$60,$D100)))</f>
        <v>0</v>
      </c>
      <c r="P100" s="0" t="n">
        <f aca="false">SUMPRODUCT((Rules!$A$2:$A$60=P$1)*Rules!$C$2:$C$60*ISNUMBER(SEARCH(Rules!$E$2:$E$60,$D100)))</f>
        <v>0</v>
      </c>
      <c r="Q100" s="0" t="n">
        <f aca="false">SUMPRODUCT((Rules!$A$2:$A$60=Q$1)*Rules!$C$2:$C$60*ISNUMBER(SEARCH(Rules!$E$2:$E$60,$D100)))</f>
        <v>0</v>
      </c>
      <c r="R100" s="0" t="str">
        <f aca="false">IF(OR(MAX(L100:Q100)&lt;Rules!$H$1,MAX(L100:Q100)-LARGE(L100:Q100,2)&lt;Rules!$H$2),"No label",INDEX($L$1:$Q$1,MATCH(MAX(L100:Q100),L100:Q100,0)))</f>
        <v>No label</v>
      </c>
      <c r="S100" s="0" t="n">
        <f aca="false">SUMPRODUCT(ISNUMBER(SEARCH(" "&amp;Terms!$A$3:$A$821&amp;" ",$D100))*Terms!B$3:B$821)+Terms!B$2</f>
        <v>0.244342807621899</v>
      </c>
      <c r="T100" s="0" t="n">
        <f aca="false">SUMPRODUCT(ISNUMBER(SEARCH(" "&amp;Terms!$A$3:$A$821&amp;" ",$D100))*Terms!C$3:C$821)+Terms!C$2</f>
        <v>-1.79541093330423</v>
      </c>
      <c r="U100" s="0" t="n">
        <f aca="false">SUMPRODUCT(ISNUMBER(SEARCH(" "&amp;Terms!$A$3:$A$821&amp;" ",$D100))*Terms!D$3:D$821)+Terms!D$2</f>
        <v>-3.84998217142406</v>
      </c>
      <c r="V100" s="0" t="n">
        <f aca="false">SUMPRODUCT(ISNUMBER(SEARCH(" "&amp;Terms!$A$3:$A$821&amp;" ",$D100))*Terms!E$3:E$821)+Terms!E$2</f>
        <v>-3.24787055670636</v>
      </c>
      <c r="W100" s="0" t="n">
        <f aca="false">SUMPRODUCT(ISNUMBER(SEARCH(" "&amp;Terms!$A$3:$A$821&amp;" ",$D100))*Terms!F$3:F$821)+Terms!F$2</f>
        <v>9.40608184667438</v>
      </c>
      <c r="X100" s="0" t="n">
        <f aca="false">SUMPRODUCT(ISNUMBER(SEARCH(" "&amp;Terms!$A$3:$A$821&amp;" ",$D100))*Terms!G$3:G$821)+Terms!G$2</f>
        <v>-0.757160992861549</v>
      </c>
      <c r="Y100" s="0" t="str">
        <f aca="false">INDEX($S$1:$X$1,MATCH(MAX(S100:X100),S100:X100,0))</f>
        <v>Fraud &amp; Scams</v>
      </c>
      <c r="Z100" s="0" t="s">
        <v>2607</v>
      </c>
    </row>
    <row r="101" customFormat="false" ht="15" hidden="false" customHeight="false" outlineLevel="0" collapsed="false">
      <c r="A101" s="0" t="str">
        <f aca="false">Complaints!A101</f>
        <v>C0100</v>
      </c>
      <c r="B101" s="0" t="str">
        <f aca="false">Complaints!B101</f>
        <v>Hello, The salesperson pushed me into a plan I did not need. It has also been taking far too long. I would like a response in writing.</v>
      </c>
      <c r="C101" s="0" t="str">
        <f aca="false">Complaints!C101</f>
        <v>Mis-selling</v>
      </c>
      <c r="D101" s="0" t="str">
        <f aca="false">" "&amp;TRIM(SUBSTITUTE(SUBSTITUTE(SUBSTITUTE(SUBSTITUTE(SUBSTITUTE(SUBSTITUTE(SUBSTITUTE(SUBSTITUTE(SUBSTITUTE(SUBSTITUTE(SUBSTITUTE(SUBSTITUTE(SUBSTITUTE(SUBSTITUTE(SUBSTITUTE(SUBSTITUTE(LOWER(B101),"."," "),","," "),"'"," "),"’"," "),"!"," "),"?"," "),";"," "),":"," "),"-"," "),"("," "),")"," "),"""", " "),"£"," "),"&amp;"," "),"/"," "),"%"," "))&amp;" "</f>
        <v> hello the salesperson pushed me into a plan i did not need it has also been taking far too long i would like a response in writing </v>
      </c>
      <c r="E101" s="0" t="n">
        <f aca="false">SUMPRODUCT((Rules!$A$2:$A$60=E$1)*Rules!$C$2:$C$60*ISNUMBER(SEARCH(Rules!$D$2:$D$60,$D101)))</f>
        <v>0</v>
      </c>
      <c r="F101" s="0" t="n">
        <f aca="false">SUMPRODUCT((Rules!$A$2:$A$60=F$1)*Rules!$C$2:$C$60*ISNUMBER(SEARCH(Rules!$D$2:$D$60,$D101)))</f>
        <v>2</v>
      </c>
      <c r="G101" s="0" t="n">
        <f aca="false">SUMPRODUCT((Rules!$A$2:$A$60=G$1)*Rules!$C$2:$C$60*ISNUMBER(SEARCH(Rules!$D$2:$D$60,$D101)))</f>
        <v>0</v>
      </c>
      <c r="H101" s="0" t="n">
        <f aca="false">SUMPRODUCT((Rules!$A$2:$A$60=H$1)*Rules!$C$2:$C$60*ISNUMBER(SEARCH(Rules!$D$2:$D$60,$D101)))</f>
        <v>0</v>
      </c>
      <c r="I101" s="0" t="n">
        <f aca="false">SUMPRODUCT((Rules!$A$2:$A$60=I$1)*Rules!$C$2:$C$60*ISNUMBER(SEARCH(Rules!$D$2:$D$60,$D101)))</f>
        <v>0</v>
      </c>
      <c r="J101" s="0" t="n">
        <f aca="false">SUMPRODUCT((Rules!$A$2:$A$60=J$1)*Rules!$C$2:$C$60*ISNUMBER(SEARCH(Rules!$D$2:$D$60,$D101)))</f>
        <v>0</v>
      </c>
      <c r="K101" s="0" t="str">
        <f aca="false">IF(OR(MAX(E101:J101)&lt;Rules!$H$1,MAX(E101:J101)-LARGE(E101:J101,2)&lt;Rules!$H$2),"No label",INDEX($E$1:$J$1,MATCH(MAX(E101:J101),E101:J101,0)))</f>
        <v>No label</v>
      </c>
      <c r="L101" s="0" t="n">
        <f aca="false">SUMPRODUCT((Rules!$A$2:$A$60=L$1)*Rules!$C$2:$C$60*ISNUMBER(SEARCH(Rules!$E$2:$E$60,$D101)))</f>
        <v>0</v>
      </c>
      <c r="M101" s="0" t="n">
        <f aca="false">SUMPRODUCT((Rules!$A$2:$A$60=M$1)*Rules!$C$2:$C$60*ISNUMBER(SEARCH(Rules!$E$2:$E$60,$D101)))</f>
        <v>2</v>
      </c>
      <c r="N101" s="0" t="n">
        <f aca="false">SUMPRODUCT((Rules!$A$2:$A$60=N$1)*Rules!$C$2:$C$60*ISNUMBER(SEARCH(Rules!$E$2:$E$60,$D101)))</f>
        <v>0</v>
      </c>
      <c r="O101" s="0" t="n">
        <f aca="false">SUMPRODUCT((Rules!$A$2:$A$60=O$1)*Rules!$C$2:$C$60*ISNUMBER(SEARCH(Rules!$E$2:$E$60,$D101)))</f>
        <v>0</v>
      </c>
      <c r="P101" s="0" t="n">
        <f aca="false">SUMPRODUCT((Rules!$A$2:$A$60=P$1)*Rules!$C$2:$C$60*ISNUMBER(SEARCH(Rules!$E$2:$E$60,$D101)))</f>
        <v>0</v>
      </c>
      <c r="Q101" s="0" t="n">
        <f aca="false">SUMPRODUCT((Rules!$A$2:$A$60=Q$1)*Rules!$C$2:$C$60*ISNUMBER(SEARCH(Rules!$E$2:$E$60,$D101)))</f>
        <v>0</v>
      </c>
      <c r="R101" s="0" t="str">
        <f aca="false">IF(OR(MAX(L101:Q101)&lt;Rules!$H$1,MAX(L101:Q101)-LARGE(L101:Q101,2)&lt;Rules!$H$2),"No label",INDEX($L$1:$Q$1,MATCH(MAX(L101:Q101),L101:Q101,0)))</f>
        <v>No label</v>
      </c>
      <c r="S101" s="0" t="n">
        <f aca="false">SUMPRODUCT(ISNUMBER(SEARCH(" "&amp;Terms!$A$3:$A$821&amp;" ",$D101))*Terms!B$3:B$821)+Terms!B$2</f>
        <v>-3.20220929364509</v>
      </c>
      <c r="T101" s="0" t="n">
        <f aca="false">SUMPRODUCT(ISNUMBER(SEARCH(" "&amp;Terms!$A$3:$A$821&amp;" ",$D101))*Terms!C$3:C$821)+Terms!C$2</f>
        <v>0.738045413127644</v>
      </c>
      <c r="U101" s="0" t="n">
        <f aca="false">SUMPRODUCT(ISNUMBER(SEARCH(" "&amp;Terms!$A$3:$A$821&amp;" ",$D101))*Terms!D$3:D$821)+Terms!D$2</f>
        <v>-4.9134878711801</v>
      </c>
      <c r="V101" s="0" t="n">
        <f aca="false">SUMPRODUCT(ISNUMBER(SEARCH(" "&amp;Terms!$A$3:$A$821&amp;" ",$D101))*Terms!E$3:E$821)+Terms!E$2</f>
        <v>-1.82372953456888</v>
      </c>
      <c r="W101" s="0" t="n">
        <f aca="false">SUMPRODUCT(ISNUMBER(SEARCH(" "&amp;Terms!$A$3:$A$821&amp;" ",$D101))*Terms!F$3:F$821)+Terms!F$2</f>
        <v>-1.07474589221888</v>
      </c>
      <c r="X101" s="0" t="n">
        <f aca="false">SUMPRODUCT(ISNUMBER(SEARCH(" "&amp;Terms!$A$3:$A$821&amp;" ",$D101))*Terms!G$3:G$821)+Terms!G$2</f>
        <v>10.2761271784854</v>
      </c>
      <c r="Y101" s="0" t="str">
        <f aca="false">INDEX($S$1:$X$1,MATCH(MAX(S101:X101),S101:X101,0))</f>
        <v>Mis-selling</v>
      </c>
      <c r="Z101" s="0" t="s">
        <v>2607</v>
      </c>
    </row>
    <row r="102" customFormat="false" ht="15" hidden="false" customHeight="false" outlineLevel="0" collapsed="false">
      <c r="A102" s="0" t="str">
        <f aca="false">Complaints!A102</f>
        <v>C0101</v>
      </c>
      <c r="B102" s="0" t="str">
        <f aca="false">Complaints!B102</f>
        <v>I was passed between four departmens and no one took ownership.</v>
      </c>
      <c r="C102" s="0" t="str">
        <f aca="false">Complaints!C102</f>
        <v>Customer Service</v>
      </c>
      <c r="D102" s="0" t="str">
        <f aca="false">" "&amp;TRIM(SUBSTITUTE(SUBSTITUTE(SUBSTITUTE(SUBSTITUTE(SUBSTITUTE(SUBSTITUTE(SUBSTITUTE(SUBSTITUTE(SUBSTITUTE(SUBSTITUTE(SUBSTITUTE(SUBSTITUTE(SUBSTITUTE(SUBSTITUTE(SUBSTITUTE(SUBSTITUTE(LOWER(B102),"."," "),","," "),"'"," "),"’"," "),"!"," "),"?"," "),";"," "),":"," "),"-"," "),"("," "),")"," "),"""", " "),"£"," "),"&amp;"," "),"/"," "),"%"," "))&amp;" "</f>
        <v> i was passed between four departmens and no one took ownership </v>
      </c>
      <c r="E102" s="0" t="n">
        <f aca="false">SUMPRODUCT((Rules!$A$2:$A$60=E$1)*Rules!$C$2:$C$60*ISNUMBER(SEARCH(Rules!$D$2:$D$60,$D102)))</f>
        <v>0</v>
      </c>
      <c r="F102" s="0" t="n">
        <f aca="false">SUMPRODUCT((Rules!$A$2:$A$60=F$1)*Rules!$C$2:$C$60*ISNUMBER(SEARCH(Rules!$D$2:$D$60,$D102)))</f>
        <v>0</v>
      </c>
      <c r="G102" s="0" t="n">
        <f aca="false">SUMPRODUCT((Rules!$A$2:$A$60=G$1)*Rules!$C$2:$C$60*ISNUMBER(SEARCH(Rules!$D$2:$D$60,$D102)))</f>
        <v>0</v>
      </c>
      <c r="H102" s="0" t="n">
        <f aca="false">SUMPRODUCT((Rules!$A$2:$A$60=H$1)*Rules!$C$2:$C$60*ISNUMBER(SEARCH(Rules!$D$2:$D$60,$D102)))</f>
        <v>0</v>
      </c>
      <c r="I102" s="0" t="n">
        <f aca="false">SUMPRODUCT((Rules!$A$2:$A$60=I$1)*Rules!$C$2:$C$60*ISNUMBER(SEARCH(Rules!$D$2:$D$60,$D102)))</f>
        <v>0</v>
      </c>
      <c r="J102" s="0" t="n">
        <f aca="false">SUMPRODUCT((Rules!$A$2:$A$60=J$1)*Rules!$C$2:$C$60*ISNUMBER(SEARCH(Rules!$D$2:$D$60,$D102)))</f>
        <v>2</v>
      </c>
      <c r="K102" s="0" t="str">
        <f aca="false">IF(OR(MAX(E102:J102)&lt;Rules!$H$1,MAX(E102:J102)-LARGE(E102:J102,2)&lt;Rules!$H$2),"No label",INDEX($E$1:$J$1,MATCH(MAX(E102:J102),E102:J102,0)))</f>
        <v>No label</v>
      </c>
      <c r="L102" s="0" t="n">
        <f aca="false">SUMPRODUCT((Rules!$A$2:$A$60=L$1)*Rules!$C$2:$C$60*ISNUMBER(SEARCH(Rules!$E$2:$E$60,$D102)))</f>
        <v>0</v>
      </c>
      <c r="M102" s="0" t="n">
        <f aca="false">SUMPRODUCT((Rules!$A$2:$A$60=M$1)*Rules!$C$2:$C$60*ISNUMBER(SEARCH(Rules!$E$2:$E$60,$D102)))</f>
        <v>0</v>
      </c>
      <c r="N102" s="0" t="n">
        <f aca="false">SUMPRODUCT((Rules!$A$2:$A$60=N$1)*Rules!$C$2:$C$60*ISNUMBER(SEARCH(Rules!$E$2:$E$60,$D102)))</f>
        <v>0</v>
      </c>
      <c r="O102" s="0" t="n">
        <f aca="false">SUMPRODUCT((Rules!$A$2:$A$60=O$1)*Rules!$C$2:$C$60*ISNUMBER(SEARCH(Rules!$E$2:$E$60,$D102)))</f>
        <v>0</v>
      </c>
      <c r="P102" s="0" t="n">
        <f aca="false">SUMPRODUCT((Rules!$A$2:$A$60=P$1)*Rules!$C$2:$C$60*ISNUMBER(SEARCH(Rules!$E$2:$E$60,$D102)))</f>
        <v>0</v>
      </c>
      <c r="Q102" s="0" t="n">
        <f aca="false">SUMPRODUCT((Rules!$A$2:$A$60=Q$1)*Rules!$C$2:$C$60*ISNUMBER(SEARCH(Rules!$E$2:$E$60,$D102)))</f>
        <v>2</v>
      </c>
      <c r="R102" s="0" t="str">
        <f aca="false">IF(OR(MAX(L102:Q102)&lt;Rules!$H$1,MAX(L102:Q102)-LARGE(L102:Q102,2)&lt;Rules!$H$2),"No label",INDEX($L$1:$Q$1,MATCH(MAX(L102:Q102),L102:Q102,0)))</f>
        <v>No label</v>
      </c>
      <c r="S102" s="0" t="n">
        <f aca="false">SUMPRODUCT(ISNUMBER(SEARCH(" "&amp;Terms!$A$3:$A$821&amp;" ",$D102))*Terms!B$3:B$821)+Terms!B$2</f>
        <v>-1.37960870476962</v>
      </c>
      <c r="T102" s="0" t="n">
        <f aca="false">SUMPRODUCT(ISNUMBER(SEARCH(" "&amp;Terms!$A$3:$A$821&amp;" ",$D102))*Terms!C$3:C$821)+Terms!C$2</f>
        <v>6.8915371738658</v>
      </c>
      <c r="U102" s="0" t="n">
        <f aca="false">SUMPRODUCT(ISNUMBER(SEARCH(" "&amp;Terms!$A$3:$A$821&amp;" ",$D102))*Terms!D$3:D$821)+Terms!D$2</f>
        <v>-1.48663100656633</v>
      </c>
      <c r="V102" s="0" t="n">
        <f aca="false">SUMPRODUCT(ISNUMBER(SEARCH(" "&amp;Terms!$A$3:$A$821&amp;" ",$D102))*Terms!E$3:E$821)+Terms!E$2</f>
        <v>-0.0403624072464473</v>
      </c>
      <c r="W102" s="0" t="n">
        <f aca="false">SUMPRODUCT(ISNUMBER(SEARCH(" "&amp;Terms!$A$3:$A$821&amp;" ",$D102))*Terms!F$3:F$821)+Terms!F$2</f>
        <v>-2.02225212119204</v>
      </c>
      <c r="X102" s="0" t="n">
        <f aca="false">SUMPRODUCT(ISNUMBER(SEARCH(" "&amp;Terms!$A$3:$A$821&amp;" ",$D102))*Terms!G$3:G$821)+Terms!G$2</f>
        <v>-1.96268293409128</v>
      </c>
      <c r="Y102" s="0" t="str">
        <f aca="false">INDEX($S$1:$X$1,MATCH(MAX(S102:X102),S102:X102,0))</f>
        <v>Customer Service</v>
      </c>
      <c r="Z102" s="0" t="s">
        <v>2607</v>
      </c>
    </row>
    <row r="103" customFormat="false" ht="15" hidden="false" customHeight="false" outlineLevel="0" collapsed="false">
      <c r="A103" s="0" t="str">
        <f aca="false">Complaints!A103</f>
        <v>C0102</v>
      </c>
      <c r="B103" s="0" t="str">
        <f aca="false">Complaints!B103</f>
        <v>Frankly, A late payment fee appeared and I want it refunded. Also, the staff member was rude and dismissive when I called.</v>
      </c>
      <c r="C103" s="0" t="str">
        <f aca="false">Complaints!C103</f>
        <v>Fees &amp; Charges</v>
      </c>
      <c r="D103" s="0" t="str">
        <f aca="false">" "&amp;TRIM(SUBSTITUTE(SUBSTITUTE(SUBSTITUTE(SUBSTITUTE(SUBSTITUTE(SUBSTITUTE(SUBSTITUTE(SUBSTITUTE(SUBSTITUTE(SUBSTITUTE(SUBSTITUTE(SUBSTITUTE(SUBSTITUTE(SUBSTITUTE(SUBSTITUTE(SUBSTITUTE(LOWER(B103),"."," "),","," "),"'"," "),"’"," "),"!"," "),"?"," "),";"," "),":"," "),"-"," "),"("," "),")"," "),"""", " "),"£"," "),"&amp;"," "),"/"," "),"%"," "))&amp;" "</f>
        <v> frankly a late payment fee appeared and i want it refunded also the staff member was rude and dismissive when i called </v>
      </c>
      <c r="E103" s="0" t="n">
        <f aca="false">SUMPRODUCT((Rules!$A$2:$A$60=E$1)*Rules!$C$2:$C$60*ISNUMBER(SEARCH(Rules!$D$2:$D$60,$D103)))</f>
        <v>0</v>
      </c>
      <c r="F103" s="0" t="n">
        <f aca="false">SUMPRODUCT((Rules!$A$2:$A$60=F$1)*Rules!$C$2:$C$60*ISNUMBER(SEARCH(Rules!$D$2:$D$60,$D103)))</f>
        <v>0</v>
      </c>
      <c r="G103" s="0" t="n">
        <f aca="false">SUMPRODUCT((Rules!$A$2:$A$60=G$1)*Rules!$C$2:$C$60*ISNUMBER(SEARCH(Rules!$D$2:$D$60,$D103)))</f>
        <v>0</v>
      </c>
      <c r="H103" s="0" t="n">
        <f aca="false">SUMPRODUCT((Rules!$A$2:$A$60=H$1)*Rules!$C$2:$C$60*ISNUMBER(SEARCH(Rules!$D$2:$D$60,$D103)))</f>
        <v>2</v>
      </c>
      <c r="I103" s="0" t="n">
        <f aca="false">SUMPRODUCT((Rules!$A$2:$A$60=I$1)*Rules!$C$2:$C$60*ISNUMBER(SEARCH(Rules!$D$2:$D$60,$D103)))</f>
        <v>0</v>
      </c>
      <c r="J103" s="0" t="n">
        <f aca="false">SUMPRODUCT((Rules!$A$2:$A$60=J$1)*Rules!$C$2:$C$60*ISNUMBER(SEARCH(Rules!$D$2:$D$60,$D103)))</f>
        <v>4</v>
      </c>
      <c r="K103" s="0" t="str">
        <f aca="false">IF(OR(MAX(E103:J103)&lt;Rules!$H$1,MAX(E103:J103)-LARGE(E103:J103,2)&lt;Rules!$H$2),"No label",INDEX($E$1:$J$1,MATCH(MAX(E103:J103),E103:J103,0)))</f>
        <v>Customer Service</v>
      </c>
      <c r="L103" s="0" t="n">
        <f aca="false">SUMPRODUCT((Rules!$A$2:$A$60=L$1)*Rules!$C$2:$C$60*ISNUMBER(SEARCH(Rules!$E$2:$E$60,$D103)))</f>
        <v>0</v>
      </c>
      <c r="M103" s="0" t="n">
        <f aca="false">SUMPRODUCT((Rules!$A$2:$A$60=M$1)*Rules!$C$2:$C$60*ISNUMBER(SEARCH(Rules!$E$2:$E$60,$D103)))</f>
        <v>0</v>
      </c>
      <c r="N103" s="0" t="n">
        <f aca="false">SUMPRODUCT((Rules!$A$2:$A$60=N$1)*Rules!$C$2:$C$60*ISNUMBER(SEARCH(Rules!$E$2:$E$60,$D103)))</f>
        <v>0</v>
      </c>
      <c r="O103" s="0" t="n">
        <f aca="false">SUMPRODUCT((Rules!$A$2:$A$60=O$1)*Rules!$C$2:$C$60*ISNUMBER(SEARCH(Rules!$E$2:$E$60,$D103)))</f>
        <v>2</v>
      </c>
      <c r="P103" s="0" t="n">
        <f aca="false">SUMPRODUCT((Rules!$A$2:$A$60=P$1)*Rules!$C$2:$C$60*ISNUMBER(SEARCH(Rules!$E$2:$E$60,$D103)))</f>
        <v>0</v>
      </c>
      <c r="Q103" s="0" t="n">
        <f aca="false">SUMPRODUCT((Rules!$A$2:$A$60=Q$1)*Rules!$C$2:$C$60*ISNUMBER(SEARCH(Rules!$E$2:$E$60,$D103)))</f>
        <v>4</v>
      </c>
      <c r="R103" s="0" t="str">
        <f aca="false">IF(OR(MAX(L103:Q103)&lt;Rules!$H$1,MAX(L103:Q103)-LARGE(L103:Q103,2)&lt;Rules!$H$2),"No label",INDEX($L$1:$Q$1,MATCH(MAX(L103:Q103),L103:Q103,0)))</f>
        <v>Customer Service</v>
      </c>
      <c r="S103" s="0" t="n">
        <f aca="false">SUMPRODUCT(ISNUMBER(SEARCH(" "&amp;Terms!$A$3:$A$821&amp;" ",$D103))*Terms!B$3:B$821)+Terms!B$2</f>
        <v>-7.89447114969853</v>
      </c>
      <c r="T103" s="0" t="n">
        <f aca="false">SUMPRODUCT(ISNUMBER(SEARCH(" "&amp;Terms!$A$3:$A$821&amp;" ",$D103))*Terms!C$3:C$821)+Terms!C$2</f>
        <v>2.97266768166061</v>
      </c>
      <c r="U103" s="0" t="n">
        <f aca="false">SUMPRODUCT(ISNUMBER(SEARCH(" "&amp;Terms!$A$3:$A$821&amp;" ",$D103))*Terms!D$3:D$821)+Terms!D$2</f>
        <v>-1.07558769518926</v>
      </c>
      <c r="V103" s="0" t="n">
        <f aca="false">SUMPRODUCT(ISNUMBER(SEARCH(" "&amp;Terms!$A$3:$A$821&amp;" ",$D103))*Terms!E$3:E$821)+Terms!E$2</f>
        <v>15.7540968252448</v>
      </c>
      <c r="W103" s="0" t="n">
        <f aca="false">SUMPRODUCT(ISNUMBER(SEARCH(" "&amp;Terms!$A$3:$A$821&amp;" ",$D103))*Terms!F$3:F$821)+Terms!F$2</f>
        <v>-1.28681817150622</v>
      </c>
      <c r="X103" s="0" t="n">
        <f aca="false">SUMPRODUCT(ISNUMBER(SEARCH(" "&amp;Terms!$A$3:$A$821&amp;" ",$D103))*Terms!G$3:G$821)+Terms!G$2</f>
        <v>-8.46988749051135</v>
      </c>
      <c r="Y103" s="0" t="str">
        <f aca="false">INDEX($S$1:$X$1,MATCH(MAX(S103:X103),S103:X103,0))</f>
        <v>Fees &amp; Charges</v>
      </c>
      <c r="Z103" s="0" t="s">
        <v>2607</v>
      </c>
    </row>
    <row r="104" customFormat="false" ht="15" hidden="false" customHeight="false" outlineLevel="0" collapsed="false">
      <c r="A104" s="0" t="str">
        <f aca="false">Complaints!A104</f>
        <v>C0103</v>
      </c>
      <c r="B104" s="0" t="str">
        <f aca="false">Complaints!B104</f>
        <v>Nobody explained the foreign transaction charges before my holiday. I could not log in to check either. This is not acceptable.</v>
      </c>
      <c r="C104" s="0" t="str">
        <f aca="false">Complaints!C104</f>
        <v>Fees &amp; Charges</v>
      </c>
      <c r="D104" s="0" t="str">
        <f aca="false">" "&amp;TRIM(SUBSTITUTE(SUBSTITUTE(SUBSTITUTE(SUBSTITUTE(SUBSTITUTE(SUBSTITUTE(SUBSTITUTE(SUBSTITUTE(SUBSTITUTE(SUBSTITUTE(SUBSTITUTE(SUBSTITUTE(SUBSTITUTE(SUBSTITUTE(SUBSTITUTE(SUBSTITUTE(LOWER(B104),"."," "),","," "),"'"," "),"’"," "),"!"," "),"?"," "),";"," "),":"," "),"-"," "),"("," "),")"," "),"""", " "),"£"," "),"&amp;"," "),"/"," "),"%"," "))&amp;" "</f>
        <v> nobody explained the foreign transaction charges before my holiday i could not log in to check either this is not acceptable </v>
      </c>
      <c r="E104" s="0" t="n">
        <f aca="false">SUMPRODUCT((Rules!$A$2:$A$60=E$1)*Rules!$C$2:$C$60*ISNUMBER(SEARCH(Rules!$D$2:$D$60,$D104)))</f>
        <v>0</v>
      </c>
      <c r="F104" s="0" t="n">
        <f aca="false">SUMPRODUCT((Rules!$A$2:$A$60=F$1)*Rules!$C$2:$C$60*ISNUMBER(SEARCH(Rules!$D$2:$D$60,$D104)))</f>
        <v>0</v>
      </c>
      <c r="G104" s="0" t="n">
        <f aca="false">SUMPRODUCT((Rules!$A$2:$A$60=G$1)*Rules!$C$2:$C$60*ISNUMBER(SEARCH(Rules!$D$2:$D$60,$D104)))</f>
        <v>3</v>
      </c>
      <c r="H104" s="0" t="n">
        <f aca="false">SUMPRODUCT((Rules!$A$2:$A$60=H$1)*Rules!$C$2:$C$60*ISNUMBER(SEARCH(Rules!$D$2:$D$60,$D104)))</f>
        <v>0</v>
      </c>
      <c r="I104" s="0" t="n">
        <f aca="false">SUMPRODUCT((Rules!$A$2:$A$60=I$1)*Rules!$C$2:$C$60*ISNUMBER(SEARCH(Rules!$D$2:$D$60,$D104)))</f>
        <v>0</v>
      </c>
      <c r="J104" s="0" t="n">
        <f aca="false">SUMPRODUCT((Rules!$A$2:$A$60=J$1)*Rules!$C$2:$C$60*ISNUMBER(SEARCH(Rules!$D$2:$D$60,$D104)))</f>
        <v>0</v>
      </c>
      <c r="K104" s="0" t="str">
        <f aca="false">IF(OR(MAX(E104:J104)&lt;Rules!$H$1,MAX(E104:J104)-LARGE(E104:J104,2)&lt;Rules!$H$2),"No label",INDEX($E$1:$J$1,MATCH(MAX(E104:J104),E104:J104,0)))</f>
        <v>Account Access</v>
      </c>
      <c r="L104" s="0" t="n">
        <f aca="false">SUMPRODUCT((Rules!$A$2:$A$60=L$1)*Rules!$C$2:$C$60*ISNUMBER(SEARCH(Rules!$E$2:$E$60,$D104)))</f>
        <v>0</v>
      </c>
      <c r="M104" s="0" t="n">
        <f aca="false">SUMPRODUCT((Rules!$A$2:$A$60=M$1)*Rules!$C$2:$C$60*ISNUMBER(SEARCH(Rules!$E$2:$E$60,$D104)))</f>
        <v>0</v>
      </c>
      <c r="N104" s="0" t="n">
        <f aca="false">SUMPRODUCT((Rules!$A$2:$A$60=N$1)*Rules!$C$2:$C$60*ISNUMBER(SEARCH(Rules!$E$2:$E$60,$D104)))</f>
        <v>4</v>
      </c>
      <c r="O104" s="0" t="n">
        <f aca="false">SUMPRODUCT((Rules!$A$2:$A$60=O$1)*Rules!$C$2:$C$60*ISNUMBER(SEARCH(Rules!$E$2:$E$60,$D104)))</f>
        <v>4</v>
      </c>
      <c r="P104" s="0" t="n">
        <f aca="false">SUMPRODUCT((Rules!$A$2:$A$60=P$1)*Rules!$C$2:$C$60*ISNUMBER(SEARCH(Rules!$E$2:$E$60,$D104)))</f>
        <v>0</v>
      </c>
      <c r="Q104" s="0" t="n">
        <f aca="false">SUMPRODUCT((Rules!$A$2:$A$60=Q$1)*Rules!$C$2:$C$60*ISNUMBER(SEARCH(Rules!$E$2:$E$60,$D104)))</f>
        <v>0</v>
      </c>
      <c r="R104" s="0" t="str">
        <f aca="false">IF(OR(MAX(L104:Q104)&lt;Rules!$H$1,MAX(L104:Q104)-LARGE(L104:Q104,2)&lt;Rules!$H$2),"No label",INDEX($L$1:$Q$1,MATCH(MAX(L104:Q104),L104:Q104,0)))</f>
        <v>No label</v>
      </c>
      <c r="S104" s="0" t="n">
        <f aca="false">SUMPRODUCT(ISNUMBER(SEARCH(" "&amp;Terms!$A$3:$A$821&amp;" ",$D104))*Terms!B$3:B$821)+Terms!B$2</f>
        <v>-0.573327139519765</v>
      </c>
      <c r="T104" s="0" t="n">
        <f aca="false">SUMPRODUCT(ISNUMBER(SEARCH(" "&amp;Terms!$A$3:$A$821&amp;" ",$D104))*Terms!C$3:C$821)+Terms!C$2</f>
        <v>-2.49783381929288</v>
      </c>
      <c r="U104" s="0" t="n">
        <f aca="false">SUMPRODUCT(ISNUMBER(SEARCH(" "&amp;Terms!$A$3:$A$821&amp;" ",$D104))*Terms!D$3:D$821)+Terms!D$2</f>
        <v>-1.6592616750301</v>
      </c>
      <c r="V104" s="0" t="n">
        <f aca="false">SUMPRODUCT(ISNUMBER(SEARCH(" "&amp;Terms!$A$3:$A$821&amp;" ",$D104))*Terms!E$3:E$821)+Terms!E$2</f>
        <v>10.9824465612013</v>
      </c>
      <c r="W104" s="0" t="n">
        <f aca="false">SUMPRODUCT(ISNUMBER(SEARCH(" "&amp;Terms!$A$3:$A$821&amp;" ",$D104))*Terms!F$3:F$821)+Terms!F$2</f>
        <v>-3.54156643259471</v>
      </c>
      <c r="X104" s="0" t="n">
        <f aca="false">SUMPRODUCT(ISNUMBER(SEARCH(" "&amp;Terms!$A$3:$A$821&amp;" ",$D104))*Terms!G$3:G$821)+Terms!G$2</f>
        <v>-2.71045749476372</v>
      </c>
      <c r="Y104" s="0" t="str">
        <f aca="false">INDEX($S$1:$X$1,MATCH(MAX(S104:X104),S104:X104,0))</f>
        <v>Fees &amp; Charges</v>
      </c>
      <c r="Z104" s="0" t="s">
        <v>2607</v>
      </c>
    </row>
    <row r="105" customFormat="false" ht="15" hidden="false" customHeight="false" outlineLevel="0" collapsed="false">
      <c r="A105" s="0" t="str">
        <f aca="false">Complaints!A105</f>
        <v>C0104</v>
      </c>
      <c r="B105" s="0" t="str">
        <f aca="false">Complaints!B105</f>
        <v>The password reset keeps failing and I am locked out. There was also a fee involved.</v>
      </c>
      <c r="C105" s="0" t="str">
        <f aca="false">Complaints!C105</f>
        <v>Account Access</v>
      </c>
      <c r="D105" s="0" t="str">
        <f aca="false">" "&amp;TRIM(SUBSTITUTE(SUBSTITUTE(SUBSTITUTE(SUBSTITUTE(SUBSTITUTE(SUBSTITUTE(SUBSTITUTE(SUBSTITUTE(SUBSTITUTE(SUBSTITUTE(SUBSTITUTE(SUBSTITUTE(SUBSTITUTE(SUBSTITUTE(SUBSTITUTE(SUBSTITUTE(LOWER(B105),"."," "),","," "),"'"," "),"’"," "),"!"," "),"?"," "),";"," "),":"," "),"-"," "),"("," "),")"," "),"""", " "),"£"," "),"&amp;"," "),"/"," "),"%"," "))&amp;" "</f>
        <v> the password reset keeps failing and i am locked out there was also a fee involved </v>
      </c>
      <c r="E105" s="0" t="n">
        <f aca="false">SUMPRODUCT((Rules!$A$2:$A$60=E$1)*Rules!$C$2:$C$60*ISNUMBER(SEARCH(Rules!$D$2:$D$60,$D105)))</f>
        <v>0</v>
      </c>
      <c r="F105" s="0" t="n">
        <f aca="false">SUMPRODUCT((Rules!$A$2:$A$60=F$1)*Rules!$C$2:$C$60*ISNUMBER(SEARCH(Rules!$D$2:$D$60,$D105)))</f>
        <v>0</v>
      </c>
      <c r="G105" s="0" t="n">
        <f aca="false">SUMPRODUCT((Rules!$A$2:$A$60=G$1)*Rules!$C$2:$C$60*ISNUMBER(SEARCH(Rules!$D$2:$D$60,$D105)))</f>
        <v>8</v>
      </c>
      <c r="H105" s="0" t="n">
        <f aca="false">SUMPRODUCT((Rules!$A$2:$A$60=H$1)*Rules!$C$2:$C$60*ISNUMBER(SEARCH(Rules!$D$2:$D$60,$D105)))</f>
        <v>2</v>
      </c>
      <c r="I105" s="0" t="n">
        <f aca="false">SUMPRODUCT((Rules!$A$2:$A$60=I$1)*Rules!$C$2:$C$60*ISNUMBER(SEARCH(Rules!$D$2:$D$60,$D105)))</f>
        <v>0</v>
      </c>
      <c r="J105" s="0" t="n">
        <f aca="false">SUMPRODUCT((Rules!$A$2:$A$60=J$1)*Rules!$C$2:$C$60*ISNUMBER(SEARCH(Rules!$D$2:$D$60,$D105)))</f>
        <v>0</v>
      </c>
      <c r="K105" s="0" t="str">
        <f aca="false">IF(OR(MAX(E105:J105)&lt;Rules!$H$1,MAX(E105:J105)-LARGE(E105:J105,2)&lt;Rules!$H$2),"No label",INDEX($E$1:$J$1,MATCH(MAX(E105:J105),E105:J105,0)))</f>
        <v>Account Access</v>
      </c>
      <c r="L105" s="0" t="n">
        <f aca="false">SUMPRODUCT((Rules!$A$2:$A$60=L$1)*Rules!$C$2:$C$60*ISNUMBER(SEARCH(Rules!$E$2:$E$60,$D105)))</f>
        <v>0</v>
      </c>
      <c r="M105" s="0" t="n">
        <f aca="false">SUMPRODUCT((Rules!$A$2:$A$60=M$1)*Rules!$C$2:$C$60*ISNUMBER(SEARCH(Rules!$E$2:$E$60,$D105)))</f>
        <v>0</v>
      </c>
      <c r="N105" s="0" t="n">
        <f aca="false">SUMPRODUCT((Rules!$A$2:$A$60=N$1)*Rules!$C$2:$C$60*ISNUMBER(SEARCH(Rules!$E$2:$E$60,$D105)))</f>
        <v>8</v>
      </c>
      <c r="O105" s="0" t="n">
        <f aca="false">SUMPRODUCT((Rules!$A$2:$A$60=O$1)*Rules!$C$2:$C$60*ISNUMBER(SEARCH(Rules!$E$2:$E$60,$D105)))</f>
        <v>2</v>
      </c>
      <c r="P105" s="0" t="n">
        <f aca="false">SUMPRODUCT((Rules!$A$2:$A$60=P$1)*Rules!$C$2:$C$60*ISNUMBER(SEARCH(Rules!$E$2:$E$60,$D105)))</f>
        <v>0</v>
      </c>
      <c r="Q105" s="0" t="n">
        <f aca="false">SUMPRODUCT((Rules!$A$2:$A$60=Q$1)*Rules!$C$2:$C$60*ISNUMBER(SEARCH(Rules!$E$2:$E$60,$D105)))</f>
        <v>0</v>
      </c>
      <c r="R105" s="0" t="str">
        <f aca="false">IF(OR(MAX(L105:Q105)&lt;Rules!$H$1,MAX(L105:Q105)-LARGE(L105:Q105,2)&lt;Rules!$H$2),"No label",INDEX($L$1:$Q$1,MATCH(MAX(L105:Q105),L105:Q105,0)))</f>
        <v>Account Access</v>
      </c>
      <c r="S105" s="0" t="n">
        <f aca="false">SUMPRODUCT(ISNUMBER(SEARCH(" "&amp;Terms!$A$3:$A$821&amp;" ",$D105))*Terms!B$3:B$821)+Terms!B$2</f>
        <v>11.7838786626361</v>
      </c>
      <c r="T105" s="0" t="n">
        <f aca="false">SUMPRODUCT(ISNUMBER(SEARCH(" "&amp;Terms!$A$3:$A$821&amp;" ",$D105))*Terms!C$3:C$821)+Terms!C$2</f>
        <v>-6.43891895599039</v>
      </c>
      <c r="U105" s="0" t="n">
        <f aca="false">SUMPRODUCT(ISNUMBER(SEARCH(" "&amp;Terms!$A$3:$A$821&amp;" ",$D105))*Terms!D$3:D$821)+Terms!D$2</f>
        <v>-2.391557851952</v>
      </c>
      <c r="V105" s="0" t="n">
        <f aca="false">SUMPRODUCT(ISNUMBER(SEARCH(" "&amp;Terms!$A$3:$A$821&amp;" ",$D105))*Terms!E$3:E$821)+Terms!E$2</f>
        <v>0.166911909544023</v>
      </c>
      <c r="W105" s="0" t="n">
        <f aca="false">SUMPRODUCT(ISNUMBER(SEARCH(" "&amp;Terms!$A$3:$A$821&amp;" ",$D105))*Terms!F$3:F$821)+Terms!F$2</f>
        <v>-2.61956532154816</v>
      </c>
      <c r="X105" s="0" t="n">
        <f aca="false">SUMPRODUCT(ISNUMBER(SEARCH(" "&amp;Terms!$A$3:$A$821&amp;" ",$D105))*Terms!G$3:G$821)+Terms!G$2</f>
        <v>-0.500748442689472</v>
      </c>
      <c r="Y105" s="0" t="str">
        <f aca="false">INDEX($S$1:$X$1,MATCH(MAX(S105:X105),S105:X105,0))</f>
        <v>Account Access</v>
      </c>
      <c r="Z105" s="0" t="s">
        <v>2608</v>
      </c>
    </row>
    <row r="106" customFormat="false" ht="15" hidden="false" customHeight="false" outlineLevel="0" collapsed="false">
      <c r="A106" s="0" t="str">
        <f aca="false">Complaints!A106</f>
        <v>C0105</v>
      </c>
      <c r="B106" s="0" t="str">
        <f aca="false">Complaints!B106</f>
        <v>I have been a customer for years. The fraud team closed my case without investigating properly. I would like a response in writing.</v>
      </c>
      <c r="C106" s="0" t="str">
        <f aca="false">Complaints!C106</f>
        <v>Fraud &amp; Scams</v>
      </c>
      <c r="D106" s="0" t="str">
        <f aca="false">" "&amp;TRIM(SUBSTITUTE(SUBSTITUTE(SUBSTITUTE(SUBSTITUTE(SUBSTITUTE(SUBSTITUTE(SUBSTITUTE(SUBSTITUTE(SUBSTITUTE(SUBSTITUTE(SUBSTITUTE(SUBSTITUTE(SUBSTITUTE(SUBSTITUTE(SUBSTITUTE(SUBSTITUTE(LOWER(B106),"."," "),","," "),"'"," "),"’"," "),"!"," "),"?"," "),";"," "),":"," "),"-"," "),"("," "),")"," "),"""", " "),"£"," "),"&amp;"," "),"/"," "),"%"," "))&amp;" "</f>
        <v> i have been a customer for years the fraud team closed my case without investigating properly i would like a response in writing </v>
      </c>
      <c r="E106" s="0" t="n">
        <f aca="false">SUMPRODUCT((Rules!$A$2:$A$60=E$1)*Rules!$C$2:$C$60*ISNUMBER(SEARCH(Rules!$D$2:$D$60,$D106)))</f>
        <v>3</v>
      </c>
      <c r="F106" s="0" t="n">
        <f aca="false">SUMPRODUCT((Rules!$A$2:$A$60=F$1)*Rules!$C$2:$C$60*ISNUMBER(SEARCH(Rules!$D$2:$D$60,$D106)))</f>
        <v>0</v>
      </c>
      <c r="G106" s="0" t="n">
        <f aca="false">SUMPRODUCT((Rules!$A$2:$A$60=G$1)*Rules!$C$2:$C$60*ISNUMBER(SEARCH(Rules!$D$2:$D$60,$D106)))</f>
        <v>0</v>
      </c>
      <c r="H106" s="0" t="n">
        <f aca="false">SUMPRODUCT((Rules!$A$2:$A$60=H$1)*Rules!$C$2:$C$60*ISNUMBER(SEARCH(Rules!$D$2:$D$60,$D106)))</f>
        <v>0</v>
      </c>
      <c r="I106" s="0" t="n">
        <f aca="false">SUMPRODUCT((Rules!$A$2:$A$60=I$1)*Rules!$C$2:$C$60*ISNUMBER(SEARCH(Rules!$D$2:$D$60,$D106)))</f>
        <v>0</v>
      </c>
      <c r="J106" s="0" t="n">
        <f aca="false">SUMPRODUCT((Rules!$A$2:$A$60=J$1)*Rules!$C$2:$C$60*ISNUMBER(SEARCH(Rules!$D$2:$D$60,$D106)))</f>
        <v>0</v>
      </c>
      <c r="K106" s="0" t="str">
        <f aca="false">IF(OR(MAX(E106:J106)&lt;Rules!$H$1,MAX(E106:J106)-LARGE(E106:J106,2)&lt;Rules!$H$2),"No label",INDEX($E$1:$J$1,MATCH(MAX(E106:J106),E106:J106,0)))</f>
        <v>Fraud &amp; Scams</v>
      </c>
      <c r="L106" s="0" t="n">
        <f aca="false">SUMPRODUCT((Rules!$A$2:$A$60=L$1)*Rules!$C$2:$C$60*ISNUMBER(SEARCH(Rules!$E$2:$E$60,$D106)))</f>
        <v>3</v>
      </c>
      <c r="M106" s="0" t="n">
        <f aca="false">SUMPRODUCT((Rules!$A$2:$A$60=M$1)*Rules!$C$2:$C$60*ISNUMBER(SEARCH(Rules!$E$2:$E$60,$D106)))</f>
        <v>0</v>
      </c>
      <c r="N106" s="0" t="n">
        <f aca="false">SUMPRODUCT((Rules!$A$2:$A$60=N$1)*Rules!$C$2:$C$60*ISNUMBER(SEARCH(Rules!$E$2:$E$60,$D106)))</f>
        <v>0</v>
      </c>
      <c r="O106" s="0" t="n">
        <f aca="false">SUMPRODUCT((Rules!$A$2:$A$60=O$1)*Rules!$C$2:$C$60*ISNUMBER(SEARCH(Rules!$E$2:$E$60,$D106)))</f>
        <v>0</v>
      </c>
      <c r="P106" s="0" t="n">
        <f aca="false">SUMPRODUCT((Rules!$A$2:$A$60=P$1)*Rules!$C$2:$C$60*ISNUMBER(SEARCH(Rules!$E$2:$E$60,$D106)))</f>
        <v>0</v>
      </c>
      <c r="Q106" s="0" t="n">
        <f aca="false">SUMPRODUCT((Rules!$A$2:$A$60=Q$1)*Rules!$C$2:$C$60*ISNUMBER(SEARCH(Rules!$E$2:$E$60,$D106)))</f>
        <v>0</v>
      </c>
      <c r="R106" s="0" t="str">
        <f aca="false">IF(OR(MAX(L106:Q106)&lt;Rules!$H$1,MAX(L106:Q106)-LARGE(L106:Q106,2)&lt;Rules!$H$2),"No label",INDEX($L$1:$Q$1,MATCH(MAX(L106:Q106),L106:Q106,0)))</f>
        <v>Fraud &amp; Scams</v>
      </c>
      <c r="S106" s="0" t="n">
        <f aca="false">SUMPRODUCT(ISNUMBER(SEARCH(" "&amp;Terms!$A$3:$A$821&amp;" ",$D106))*Terms!B$3:B$821)+Terms!B$2</f>
        <v>-2.59581639236514</v>
      </c>
      <c r="T106" s="0" t="n">
        <f aca="false">SUMPRODUCT(ISNUMBER(SEARCH(" "&amp;Terms!$A$3:$A$821&amp;" ",$D106))*Terms!C$3:C$821)+Terms!C$2</f>
        <v>0.312345761993342</v>
      </c>
      <c r="U106" s="0" t="n">
        <f aca="false">SUMPRODUCT(ISNUMBER(SEARCH(" "&amp;Terms!$A$3:$A$821&amp;" ",$D106))*Terms!D$3:D$821)+Terms!D$2</f>
        <v>-1.75924258212449</v>
      </c>
      <c r="V106" s="0" t="n">
        <f aca="false">SUMPRODUCT(ISNUMBER(SEARCH(" "&amp;Terms!$A$3:$A$821&amp;" ",$D106))*Terms!E$3:E$821)+Terms!E$2</f>
        <v>-4.66967388389159</v>
      </c>
      <c r="W106" s="0" t="n">
        <f aca="false">SUMPRODUCT(ISNUMBER(SEARCH(" "&amp;Terms!$A$3:$A$821&amp;" ",$D106))*Terms!F$3:F$821)+Terms!F$2</f>
        <v>9.3088503233989</v>
      </c>
      <c r="X106" s="0" t="n">
        <f aca="false">SUMPRODUCT(ISNUMBER(SEARCH(" "&amp;Terms!$A$3:$A$821&amp;" ",$D106))*Terms!G$3:G$821)+Terms!G$2</f>
        <v>-0.596463227010931</v>
      </c>
      <c r="Y106" s="0" t="str">
        <f aca="false">INDEX($S$1:$X$1,MATCH(MAX(S106:X106),S106:X106,0))</f>
        <v>Fraud &amp; Scams</v>
      </c>
      <c r="Z106" s="0" t="s">
        <v>2607</v>
      </c>
    </row>
    <row r="107" customFormat="false" ht="15" hidden="false" customHeight="false" outlineLevel="0" collapsed="false">
      <c r="A107" s="0" t="str">
        <f aca="false">Complaints!A107</f>
        <v>C0106</v>
      </c>
      <c r="B107" s="0" t="str">
        <f aca="false">Complaints!B107</f>
        <v>I am writing to complain. The costs keep creeping up and my balance is lower than it should be.</v>
      </c>
      <c r="C107" s="0" t="str">
        <f aca="false">Complaints!C107</f>
        <v>Fees &amp; Charges</v>
      </c>
      <c r="D107" s="0" t="str">
        <f aca="false">" "&amp;TRIM(SUBSTITUTE(SUBSTITUTE(SUBSTITUTE(SUBSTITUTE(SUBSTITUTE(SUBSTITUTE(SUBSTITUTE(SUBSTITUTE(SUBSTITUTE(SUBSTITUTE(SUBSTITUTE(SUBSTITUTE(SUBSTITUTE(SUBSTITUTE(SUBSTITUTE(SUBSTITUTE(LOWER(B107),"."," "),","," "),"'"," "),"’"," "),"!"," "),"?"," "),";"," "),":"," "),"-"," "),"("," "),")"," "),"""", " "),"£"," "),"&amp;"," "),"/"," "),"%"," "))&amp;" "</f>
        <v> i am writing to complain the costs keep creeping up and my balance is lower than it should be </v>
      </c>
      <c r="E107" s="0" t="n">
        <f aca="false">SUMPRODUCT((Rules!$A$2:$A$60=E$1)*Rules!$C$2:$C$60*ISNUMBER(SEARCH(Rules!$D$2:$D$60,$D107)))</f>
        <v>0</v>
      </c>
      <c r="F107" s="0" t="n">
        <f aca="false">SUMPRODUCT((Rules!$A$2:$A$60=F$1)*Rules!$C$2:$C$60*ISNUMBER(SEARCH(Rules!$D$2:$D$60,$D107)))</f>
        <v>0</v>
      </c>
      <c r="G107" s="0" t="n">
        <f aca="false">SUMPRODUCT((Rules!$A$2:$A$60=G$1)*Rules!$C$2:$C$60*ISNUMBER(SEARCH(Rules!$D$2:$D$60,$D107)))</f>
        <v>0</v>
      </c>
      <c r="H107" s="0" t="n">
        <f aca="false">SUMPRODUCT((Rules!$A$2:$A$60=H$1)*Rules!$C$2:$C$60*ISNUMBER(SEARCH(Rules!$D$2:$D$60,$D107)))</f>
        <v>1</v>
      </c>
      <c r="I107" s="0" t="n">
        <f aca="false">SUMPRODUCT((Rules!$A$2:$A$60=I$1)*Rules!$C$2:$C$60*ISNUMBER(SEARCH(Rules!$D$2:$D$60,$D107)))</f>
        <v>0</v>
      </c>
      <c r="J107" s="0" t="n">
        <f aca="false">SUMPRODUCT((Rules!$A$2:$A$60=J$1)*Rules!$C$2:$C$60*ISNUMBER(SEARCH(Rules!$D$2:$D$60,$D107)))</f>
        <v>0</v>
      </c>
      <c r="K107" s="0" t="str">
        <f aca="false">IF(OR(MAX(E107:J107)&lt;Rules!$H$1,MAX(E107:J107)-LARGE(E107:J107,2)&lt;Rules!$H$2),"No label",INDEX($E$1:$J$1,MATCH(MAX(E107:J107),E107:J107,0)))</f>
        <v>No label</v>
      </c>
      <c r="L107" s="0" t="n">
        <f aca="false">SUMPRODUCT((Rules!$A$2:$A$60=L$1)*Rules!$C$2:$C$60*ISNUMBER(SEARCH(Rules!$E$2:$E$60,$D107)))</f>
        <v>0</v>
      </c>
      <c r="M107" s="0" t="n">
        <f aca="false">SUMPRODUCT((Rules!$A$2:$A$60=M$1)*Rules!$C$2:$C$60*ISNUMBER(SEARCH(Rules!$E$2:$E$60,$D107)))</f>
        <v>0</v>
      </c>
      <c r="N107" s="0" t="n">
        <f aca="false">SUMPRODUCT((Rules!$A$2:$A$60=N$1)*Rules!$C$2:$C$60*ISNUMBER(SEARCH(Rules!$E$2:$E$60,$D107)))</f>
        <v>0</v>
      </c>
      <c r="O107" s="0" t="n">
        <f aca="false">SUMPRODUCT((Rules!$A$2:$A$60=O$1)*Rules!$C$2:$C$60*ISNUMBER(SEARCH(Rules!$E$2:$E$60,$D107)))</f>
        <v>1</v>
      </c>
      <c r="P107" s="0" t="n">
        <f aca="false">SUMPRODUCT((Rules!$A$2:$A$60=P$1)*Rules!$C$2:$C$60*ISNUMBER(SEARCH(Rules!$E$2:$E$60,$D107)))</f>
        <v>0</v>
      </c>
      <c r="Q107" s="0" t="n">
        <f aca="false">SUMPRODUCT((Rules!$A$2:$A$60=Q$1)*Rules!$C$2:$C$60*ISNUMBER(SEARCH(Rules!$E$2:$E$60,$D107)))</f>
        <v>0</v>
      </c>
      <c r="R107" s="0" t="str">
        <f aca="false">IF(OR(MAX(L107:Q107)&lt;Rules!$H$1,MAX(L107:Q107)-LARGE(L107:Q107,2)&lt;Rules!$H$2),"No label",INDEX($L$1:$Q$1,MATCH(MAX(L107:Q107),L107:Q107,0)))</f>
        <v>No label</v>
      </c>
      <c r="S107" s="0" t="n">
        <f aca="false">SUMPRODUCT(ISNUMBER(SEARCH(" "&amp;Terms!$A$3:$A$821&amp;" ",$D107))*Terms!B$3:B$821)+Terms!B$2</f>
        <v>-0.163352027362454</v>
      </c>
      <c r="T107" s="0" t="n">
        <f aca="false">SUMPRODUCT(ISNUMBER(SEARCH(" "&amp;Terms!$A$3:$A$821&amp;" ",$D107))*Terms!C$3:C$821)+Terms!C$2</f>
        <v>-0.812935541112322</v>
      </c>
      <c r="U107" s="0" t="n">
        <f aca="false">SUMPRODUCT(ISNUMBER(SEARCH(" "&amp;Terms!$A$3:$A$821&amp;" ",$D107))*Terms!D$3:D$821)+Terms!D$2</f>
        <v>0.356714253774899</v>
      </c>
      <c r="V107" s="0" t="n">
        <f aca="false">SUMPRODUCT(ISNUMBER(SEARCH(" "&amp;Terms!$A$3:$A$821&amp;" ",$D107))*Terms!E$3:E$821)+Terms!E$2</f>
        <v>4.29504436212079</v>
      </c>
      <c r="W107" s="0" t="n">
        <f aca="false">SUMPRODUCT(ISNUMBER(SEARCH(" "&amp;Terms!$A$3:$A$821&amp;" ",$D107))*Terms!F$3:F$821)+Terms!F$2</f>
        <v>-0.614517438048191</v>
      </c>
      <c r="X107" s="0" t="n">
        <f aca="false">SUMPRODUCT(ISNUMBER(SEARCH(" "&amp;Terms!$A$3:$A$821&amp;" ",$D107))*Terms!G$3:G$821)+Terms!G$2</f>
        <v>-3.06095360937263</v>
      </c>
      <c r="Y107" s="0" t="str">
        <f aca="false">INDEX($S$1:$X$1,MATCH(MAX(S107:X107),S107:X107,0))</f>
        <v>Fees &amp; Charges</v>
      </c>
      <c r="Z107" s="0" t="s">
        <v>2607</v>
      </c>
    </row>
    <row r="108" customFormat="false" ht="15" hidden="false" customHeight="false" outlineLevel="0" collapsed="false">
      <c r="A108" s="0" t="str">
        <f aca="false">Complaints!A108</f>
        <v>C0107</v>
      </c>
      <c r="B108" s="0" t="str">
        <f aca="false">Complaints!B108</f>
        <v>The webchat agent ended the conversation without solving anything.</v>
      </c>
      <c r="C108" s="0" t="str">
        <f aca="false">Complaints!C108</f>
        <v>Customer Service</v>
      </c>
      <c r="D108" s="0" t="str">
        <f aca="false">" "&amp;TRIM(SUBSTITUTE(SUBSTITUTE(SUBSTITUTE(SUBSTITUTE(SUBSTITUTE(SUBSTITUTE(SUBSTITUTE(SUBSTITUTE(SUBSTITUTE(SUBSTITUTE(SUBSTITUTE(SUBSTITUTE(SUBSTITUTE(SUBSTITUTE(SUBSTITUTE(SUBSTITUTE(LOWER(B108),"."," "),","," "),"'"," "),"’"," "),"!"," "),"?"," "),";"," "),":"," "),"-"," "),"("," "),")"," "),"""", " "),"£"," "),"&amp;"," "),"/"," "),"%"," "))&amp;" "</f>
        <v> the webchat agent ended the conversation without solving anything </v>
      </c>
      <c r="E108" s="0" t="n">
        <f aca="false">SUMPRODUCT((Rules!$A$2:$A$60=E$1)*Rules!$C$2:$C$60*ISNUMBER(SEARCH(Rules!$D$2:$D$60,$D108)))</f>
        <v>0</v>
      </c>
      <c r="F108" s="0" t="n">
        <f aca="false">SUMPRODUCT((Rules!$A$2:$A$60=F$1)*Rules!$C$2:$C$60*ISNUMBER(SEARCH(Rules!$D$2:$D$60,$D108)))</f>
        <v>0</v>
      </c>
      <c r="G108" s="0" t="n">
        <f aca="false">SUMPRODUCT((Rules!$A$2:$A$60=G$1)*Rules!$C$2:$C$60*ISNUMBER(SEARCH(Rules!$D$2:$D$60,$D108)))</f>
        <v>0</v>
      </c>
      <c r="H108" s="0" t="n">
        <f aca="false">SUMPRODUCT((Rules!$A$2:$A$60=H$1)*Rules!$C$2:$C$60*ISNUMBER(SEARCH(Rules!$D$2:$D$60,$D108)))</f>
        <v>0</v>
      </c>
      <c r="I108" s="0" t="n">
        <f aca="false">SUMPRODUCT((Rules!$A$2:$A$60=I$1)*Rules!$C$2:$C$60*ISNUMBER(SEARCH(Rules!$D$2:$D$60,$D108)))</f>
        <v>0</v>
      </c>
      <c r="J108" s="0" t="n">
        <f aca="false">SUMPRODUCT((Rules!$A$2:$A$60=J$1)*Rules!$C$2:$C$60*ISNUMBER(SEARCH(Rules!$D$2:$D$60,$D108)))</f>
        <v>2</v>
      </c>
      <c r="K108" s="0" t="str">
        <f aca="false">IF(OR(MAX(E108:J108)&lt;Rules!$H$1,MAX(E108:J108)-LARGE(E108:J108,2)&lt;Rules!$H$2),"No label",INDEX($E$1:$J$1,MATCH(MAX(E108:J108),E108:J108,0)))</f>
        <v>No label</v>
      </c>
      <c r="L108" s="0" t="n">
        <f aca="false">SUMPRODUCT((Rules!$A$2:$A$60=L$1)*Rules!$C$2:$C$60*ISNUMBER(SEARCH(Rules!$E$2:$E$60,$D108)))</f>
        <v>0</v>
      </c>
      <c r="M108" s="0" t="n">
        <f aca="false">SUMPRODUCT((Rules!$A$2:$A$60=M$1)*Rules!$C$2:$C$60*ISNUMBER(SEARCH(Rules!$E$2:$E$60,$D108)))</f>
        <v>0</v>
      </c>
      <c r="N108" s="0" t="n">
        <f aca="false">SUMPRODUCT((Rules!$A$2:$A$60=N$1)*Rules!$C$2:$C$60*ISNUMBER(SEARCH(Rules!$E$2:$E$60,$D108)))</f>
        <v>0</v>
      </c>
      <c r="O108" s="0" t="n">
        <f aca="false">SUMPRODUCT((Rules!$A$2:$A$60=O$1)*Rules!$C$2:$C$60*ISNUMBER(SEARCH(Rules!$E$2:$E$60,$D108)))</f>
        <v>0</v>
      </c>
      <c r="P108" s="0" t="n">
        <f aca="false">SUMPRODUCT((Rules!$A$2:$A$60=P$1)*Rules!$C$2:$C$60*ISNUMBER(SEARCH(Rules!$E$2:$E$60,$D108)))</f>
        <v>0</v>
      </c>
      <c r="Q108" s="0" t="n">
        <f aca="false">SUMPRODUCT((Rules!$A$2:$A$60=Q$1)*Rules!$C$2:$C$60*ISNUMBER(SEARCH(Rules!$E$2:$E$60,$D108)))</f>
        <v>2</v>
      </c>
      <c r="R108" s="0" t="str">
        <f aca="false">IF(OR(MAX(L108:Q108)&lt;Rules!$H$1,MAX(L108:Q108)-LARGE(L108:Q108,2)&lt;Rules!$H$2),"No label",INDEX($L$1:$Q$1,MATCH(MAX(L108:Q108),L108:Q108,0)))</f>
        <v>No label</v>
      </c>
      <c r="S108" s="0" t="n">
        <f aca="false">SUMPRODUCT(ISNUMBER(SEARCH(" "&amp;Terms!$A$3:$A$821&amp;" ",$D108))*Terms!B$3:B$821)+Terms!B$2</f>
        <v>-1.33689114479722</v>
      </c>
      <c r="T108" s="0" t="n">
        <f aca="false">SUMPRODUCT(ISNUMBER(SEARCH(" "&amp;Terms!$A$3:$A$821&amp;" ",$D108))*Terms!C$3:C$821)+Terms!C$2</f>
        <v>9.81302408136309</v>
      </c>
      <c r="U108" s="0" t="n">
        <f aca="false">SUMPRODUCT(ISNUMBER(SEARCH(" "&amp;Terms!$A$3:$A$821&amp;" ",$D108))*Terms!D$3:D$821)+Terms!D$2</f>
        <v>-2.38989764527507</v>
      </c>
      <c r="V108" s="0" t="n">
        <f aca="false">SUMPRODUCT(ISNUMBER(SEARCH(" "&amp;Terms!$A$3:$A$821&amp;" ",$D108))*Terms!E$3:E$821)+Terms!E$2</f>
        <v>-2.33796415716405</v>
      </c>
      <c r="W108" s="0" t="n">
        <f aca="false">SUMPRODUCT(ISNUMBER(SEARCH(" "&amp;Terms!$A$3:$A$821&amp;" ",$D108))*Terms!F$3:F$821)+Terms!F$2</f>
        <v>-2.05645552753684</v>
      </c>
      <c r="X108" s="0" t="n">
        <f aca="false">SUMPRODUCT(ISNUMBER(SEARCH(" "&amp;Terms!$A$3:$A$821&amp;" ",$D108))*Terms!G$3:G$821)+Terms!G$2</f>
        <v>-1.69181560658981</v>
      </c>
      <c r="Y108" s="0" t="str">
        <f aca="false">INDEX($S$1:$X$1,MATCH(MAX(S108:X108),S108:X108,0))</f>
        <v>Customer Service</v>
      </c>
      <c r="Z108" s="0" t="s">
        <v>2607</v>
      </c>
    </row>
    <row r="109" customFormat="false" ht="15" hidden="false" customHeight="false" outlineLevel="0" collapsed="false">
      <c r="A109" s="0" t="str">
        <f aca="false">Complaints!A109</f>
        <v>C0108</v>
      </c>
      <c r="B109" s="0" t="str">
        <f aca="false">Complaints!B109</f>
        <v>Frankly, Nobody checked whether I could afford the credit agreement.</v>
      </c>
      <c r="C109" s="0" t="str">
        <f aca="false">Complaints!C109</f>
        <v>Mis-selling</v>
      </c>
      <c r="D109" s="0" t="str">
        <f aca="false">" "&amp;TRIM(SUBSTITUTE(SUBSTITUTE(SUBSTITUTE(SUBSTITUTE(SUBSTITUTE(SUBSTITUTE(SUBSTITUTE(SUBSTITUTE(SUBSTITUTE(SUBSTITUTE(SUBSTITUTE(SUBSTITUTE(SUBSTITUTE(SUBSTITUTE(SUBSTITUTE(SUBSTITUTE(LOWER(B109),"."," "),","," "),"'"," "),"’"," "),"!"," "),"?"," "),";"," "),":"," "),"-"," "),"("," "),")"," "),"""", " "),"£"," "),"&amp;"," "),"/"," "),"%"," "))&amp;" "</f>
        <v> frankly nobody checked whether i could afford the credit agreement </v>
      </c>
      <c r="E109" s="0" t="n">
        <f aca="false">SUMPRODUCT((Rules!$A$2:$A$60=E$1)*Rules!$C$2:$C$60*ISNUMBER(SEARCH(Rules!$D$2:$D$60,$D109)))</f>
        <v>0</v>
      </c>
      <c r="F109" s="0" t="n">
        <f aca="false">SUMPRODUCT((Rules!$A$2:$A$60=F$1)*Rules!$C$2:$C$60*ISNUMBER(SEARCH(Rules!$D$2:$D$60,$D109)))</f>
        <v>0</v>
      </c>
      <c r="G109" s="0" t="n">
        <f aca="false">SUMPRODUCT((Rules!$A$2:$A$60=G$1)*Rules!$C$2:$C$60*ISNUMBER(SEARCH(Rules!$D$2:$D$60,$D109)))</f>
        <v>0</v>
      </c>
      <c r="H109" s="0" t="n">
        <f aca="false">SUMPRODUCT((Rules!$A$2:$A$60=H$1)*Rules!$C$2:$C$60*ISNUMBER(SEARCH(Rules!$D$2:$D$60,$D109)))</f>
        <v>0</v>
      </c>
      <c r="I109" s="0" t="n">
        <f aca="false">SUMPRODUCT((Rules!$A$2:$A$60=I$1)*Rules!$C$2:$C$60*ISNUMBER(SEARCH(Rules!$D$2:$D$60,$D109)))</f>
        <v>0</v>
      </c>
      <c r="J109" s="0" t="n">
        <f aca="false">SUMPRODUCT((Rules!$A$2:$A$60=J$1)*Rules!$C$2:$C$60*ISNUMBER(SEARCH(Rules!$D$2:$D$60,$D109)))</f>
        <v>0</v>
      </c>
      <c r="K109" s="0" t="str">
        <f aca="false">IF(OR(MAX(E109:J109)&lt;Rules!$H$1,MAX(E109:J109)-LARGE(E109:J109,2)&lt;Rules!$H$2),"No label",INDEX($E$1:$J$1,MATCH(MAX(E109:J109),E109:J109,0)))</f>
        <v>No label</v>
      </c>
      <c r="L109" s="0" t="n">
        <f aca="false">SUMPRODUCT((Rules!$A$2:$A$60=L$1)*Rules!$C$2:$C$60*ISNUMBER(SEARCH(Rules!$E$2:$E$60,$D109)))</f>
        <v>0</v>
      </c>
      <c r="M109" s="0" t="n">
        <f aca="false">SUMPRODUCT((Rules!$A$2:$A$60=M$1)*Rules!$C$2:$C$60*ISNUMBER(SEARCH(Rules!$E$2:$E$60,$D109)))</f>
        <v>0</v>
      </c>
      <c r="N109" s="0" t="n">
        <f aca="false">SUMPRODUCT((Rules!$A$2:$A$60=N$1)*Rules!$C$2:$C$60*ISNUMBER(SEARCH(Rules!$E$2:$E$60,$D109)))</f>
        <v>0</v>
      </c>
      <c r="O109" s="0" t="n">
        <f aca="false">SUMPRODUCT((Rules!$A$2:$A$60=O$1)*Rules!$C$2:$C$60*ISNUMBER(SEARCH(Rules!$E$2:$E$60,$D109)))</f>
        <v>0</v>
      </c>
      <c r="P109" s="0" t="n">
        <f aca="false">SUMPRODUCT((Rules!$A$2:$A$60=P$1)*Rules!$C$2:$C$60*ISNUMBER(SEARCH(Rules!$E$2:$E$60,$D109)))</f>
        <v>0</v>
      </c>
      <c r="Q109" s="0" t="n">
        <f aca="false">SUMPRODUCT((Rules!$A$2:$A$60=Q$1)*Rules!$C$2:$C$60*ISNUMBER(SEARCH(Rules!$E$2:$E$60,$D109)))</f>
        <v>0</v>
      </c>
      <c r="R109" s="0" t="str">
        <f aca="false">IF(OR(MAX(L109:Q109)&lt;Rules!$H$1,MAX(L109:Q109)-LARGE(L109:Q109,2)&lt;Rules!$H$2),"No label",INDEX($L$1:$Q$1,MATCH(MAX(L109:Q109),L109:Q109,0)))</f>
        <v>No label</v>
      </c>
      <c r="S109" s="0" t="n">
        <f aca="false">SUMPRODUCT(ISNUMBER(SEARCH(" "&amp;Terms!$A$3:$A$821&amp;" ",$D109))*Terms!B$3:B$821)+Terms!B$2</f>
        <v>-2.52157243582361</v>
      </c>
      <c r="T109" s="0" t="n">
        <f aca="false">SUMPRODUCT(ISNUMBER(SEARCH(" "&amp;Terms!$A$3:$A$821&amp;" ",$D109))*Terms!C$3:C$821)+Terms!C$2</f>
        <v>-2.66063255133439</v>
      </c>
      <c r="U109" s="0" t="n">
        <f aca="false">SUMPRODUCT(ISNUMBER(SEARCH(" "&amp;Terms!$A$3:$A$821&amp;" ",$D109))*Terms!D$3:D$821)+Terms!D$2</f>
        <v>-1.67019487225818</v>
      </c>
      <c r="V109" s="0" t="n">
        <f aca="false">SUMPRODUCT(ISNUMBER(SEARCH(" "&amp;Terms!$A$3:$A$821&amp;" ",$D109))*Terms!E$3:E$821)+Terms!E$2</f>
        <v>1.03062024767122</v>
      </c>
      <c r="W109" s="0" t="n">
        <f aca="false">SUMPRODUCT(ISNUMBER(SEARCH(" "&amp;Terms!$A$3:$A$821&amp;" ",$D109))*Terms!F$3:F$821)+Terms!F$2</f>
        <v>-3.04260582861535</v>
      </c>
      <c r="X109" s="0" t="n">
        <f aca="false">SUMPRODUCT(ISNUMBER(SEARCH(" "&amp;Terms!$A$3:$A$821&amp;" ",$D109))*Terms!G$3:G$821)+Terms!G$2</f>
        <v>8.86438544036042</v>
      </c>
      <c r="Y109" s="0" t="str">
        <f aca="false">INDEX($S$1:$X$1,MATCH(MAX(S109:X109),S109:X109,0))</f>
        <v>Mis-selling</v>
      </c>
      <c r="Z109" s="0" t="s">
        <v>2607</v>
      </c>
    </row>
    <row r="110" customFormat="false" ht="15" hidden="false" customHeight="false" outlineLevel="0" collapsed="false">
      <c r="A110" s="0" t="str">
        <f aca="false">Complaints!A110</f>
        <v>C0109</v>
      </c>
      <c r="B110" s="0" t="str">
        <f aca="false">Complaints!B110</f>
        <v>Hello, My mortgage switch is taking far longer than you said it would. Also, two factor codes are not being sent to my phone.</v>
      </c>
      <c r="C110" s="0" t="str">
        <f aca="false">Complaints!C110</f>
        <v>Delays &amp; Processing</v>
      </c>
      <c r="D110" s="0" t="str">
        <f aca="false">" "&amp;TRIM(SUBSTITUTE(SUBSTITUTE(SUBSTITUTE(SUBSTITUTE(SUBSTITUTE(SUBSTITUTE(SUBSTITUTE(SUBSTITUTE(SUBSTITUTE(SUBSTITUTE(SUBSTITUTE(SUBSTITUTE(SUBSTITUTE(SUBSTITUTE(SUBSTITUTE(SUBSTITUTE(LOWER(B110),"."," "),","," "),"'"," "),"’"," "),"!"," "),"?"," "),";"," "),":"," "),"-"," "),"("," "),")"," "),"""", " "),"£"," "),"&amp;"," "),"/"," "),"%"," "))&amp;" "</f>
        <v> hello my mortgage switch is taking far longer than you said it would also two factor codes are not being sent to my phone </v>
      </c>
      <c r="E110" s="0" t="n">
        <f aca="false">SUMPRODUCT((Rules!$A$2:$A$60=E$1)*Rules!$C$2:$C$60*ISNUMBER(SEARCH(Rules!$D$2:$D$60,$D110)))</f>
        <v>0</v>
      </c>
      <c r="F110" s="0" t="n">
        <f aca="false">SUMPRODUCT((Rules!$A$2:$A$60=F$1)*Rules!$C$2:$C$60*ISNUMBER(SEARCH(Rules!$D$2:$D$60,$D110)))</f>
        <v>0</v>
      </c>
      <c r="G110" s="0" t="n">
        <f aca="false">SUMPRODUCT((Rules!$A$2:$A$60=G$1)*Rules!$C$2:$C$60*ISNUMBER(SEARCH(Rules!$D$2:$D$60,$D110)))</f>
        <v>3</v>
      </c>
      <c r="H110" s="0" t="n">
        <f aca="false">SUMPRODUCT((Rules!$A$2:$A$60=H$1)*Rules!$C$2:$C$60*ISNUMBER(SEARCH(Rules!$D$2:$D$60,$D110)))</f>
        <v>0</v>
      </c>
      <c r="I110" s="0" t="n">
        <f aca="false">SUMPRODUCT((Rules!$A$2:$A$60=I$1)*Rules!$C$2:$C$60*ISNUMBER(SEARCH(Rules!$D$2:$D$60,$D110)))</f>
        <v>2</v>
      </c>
      <c r="J110" s="0" t="n">
        <f aca="false">SUMPRODUCT((Rules!$A$2:$A$60=J$1)*Rules!$C$2:$C$60*ISNUMBER(SEARCH(Rules!$D$2:$D$60,$D110)))</f>
        <v>0</v>
      </c>
      <c r="K110" s="0" t="str">
        <f aca="false">IF(OR(MAX(E110:J110)&lt;Rules!$H$1,MAX(E110:J110)-LARGE(E110:J110,2)&lt;Rules!$H$2),"No label",INDEX($E$1:$J$1,MATCH(MAX(E110:J110),E110:J110,0)))</f>
        <v>No label</v>
      </c>
      <c r="L110" s="0" t="n">
        <f aca="false">SUMPRODUCT((Rules!$A$2:$A$60=L$1)*Rules!$C$2:$C$60*ISNUMBER(SEARCH(Rules!$E$2:$E$60,$D110)))</f>
        <v>0</v>
      </c>
      <c r="M110" s="0" t="n">
        <f aca="false">SUMPRODUCT((Rules!$A$2:$A$60=M$1)*Rules!$C$2:$C$60*ISNUMBER(SEARCH(Rules!$E$2:$E$60,$D110)))</f>
        <v>0</v>
      </c>
      <c r="N110" s="0" t="n">
        <f aca="false">SUMPRODUCT((Rules!$A$2:$A$60=N$1)*Rules!$C$2:$C$60*ISNUMBER(SEARCH(Rules!$E$2:$E$60,$D110)))</f>
        <v>3</v>
      </c>
      <c r="O110" s="0" t="n">
        <f aca="false">SUMPRODUCT((Rules!$A$2:$A$60=O$1)*Rules!$C$2:$C$60*ISNUMBER(SEARCH(Rules!$E$2:$E$60,$D110)))</f>
        <v>0</v>
      </c>
      <c r="P110" s="0" t="n">
        <f aca="false">SUMPRODUCT((Rules!$A$2:$A$60=P$1)*Rules!$C$2:$C$60*ISNUMBER(SEARCH(Rules!$E$2:$E$60,$D110)))</f>
        <v>2</v>
      </c>
      <c r="Q110" s="0" t="n">
        <f aca="false">SUMPRODUCT((Rules!$A$2:$A$60=Q$1)*Rules!$C$2:$C$60*ISNUMBER(SEARCH(Rules!$E$2:$E$60,$D110)))</f>
        <v>0</v>
      </c>
      <c r="R110" s="0" t="str">
        <f aca="false">IF(OR(MAX(L110:Q110)&lt;Rules!$H$1,MAX(L110:Q110)-LARGE(L110:Q110,2)&lt;Rules!$H$2),"No label",INDEX($L$1:$Q$1,MATCH(MAX(L110:Q110),L110:Q110,0)))</f>
        <v>No label</v>
      </c>
      <c r="S110" s="0" t="n">
        <f aca="false">SUMPRODUCT(ISNUMBER(SEARCH(" "&amp;Terms!$A$3:$A$821&amp;" ",$D110))*Terms!B$3:B$821)+Terms!B$2</f>
        <v>5.27556952289856</v>
      </c>
      <c r="T110" s="0" t="n">
        <f aca="false">SUMPRODUCT(ISNUMBER(SEARCH(" "&amp;Terms!$A$3:$A$821&amp;" ",$D110))*Terms!C$3:C$821)+Terms!C$2</f>
        <v>-3.18749848998289</v>
      </c>
      <c r="U110" s="0" t="n">
        <f aca="false">SUMPRODUCT(ISNUMBER(SEARCH(" "&amp;Terms!$A$3:$A$821&amp;" ",$D110))*Terms!D$3:D$821)+Terms!D$2</f>
        <v>11.5387553458135</v>
      </c>
      <c r="V110" s="0" t="n">
        <f aca="false">SUMPRODUCT(ISNUMBER(SEARCH(" "&amp;Terms!$A$3:$A$821&amp;" ",$D110))*Terms!E$3:E$821)+Terms!E$2</f>
        <v>-3.16684081932974</v>
      </c>
      <c r="W110" s="0" t="n">
        <f aca="false">SUMPRODUCT(ISNUMBER(SEARCH(" "&amp;Terms!$A$3:$A$821&amp;" ",$D110))*Terms!F$3:F$821)+Terms!F$2</f>
        <v>-6.36706276920011</v>
      </c>
      <c r="X110" s="0" t="n">
        <f aca="false">SUMPRODUCT(ISNUMBER(SEARCH(" "&amp;Terms!$A$3:$A$821&amp;" ",$D110))*Terms!G$3:G$821)+Terms!G$2</f>
        <v>-4.0929227901992</v>
      </c>
      <c r="Y110" s="0" t="str">
        <f aca="false">INDEX($S$1:$X$1,MATCH(MAX(S110:X110),S110:X110,0))</f>
        <v>Delays &amp; Processing</v>
      </c>
      <c r="Z110" s="0" t="s">
        <v>2607</v>
      </c>
    </row>
    <row r="111" customFormat="false" ht="15" hidden="false" customHeight="false" outlineLevel="0" collapsed="false">
      <c r="A111" s="0" t="str">
        <f aca="false">Complaints!A111</f>
        <v>C0110</v>
      </c>
      <c r="B111" s="0" t="str">
        <f aca="false">Complaints!B111</f>
        <v>Frankly, A fake text message led me to a website and my money disappeared. I expect compensation.</v>
      </c>
      <c r="C111" s="0" t="str">
        <f aca="false">Complaints!C111</f>
        <v>Fraud &amp; Scams</v>
      </c>
      <c r="D111" s="0" t="str">
        <f aca="false">" "&amp;TRIM(SUBSTITUTE(SUBSTITUTE(SUBSTITUTE(SUBSTITUTE(SUBSTITUTE(SUBSTITUTE(SUBSTITUTE(SUBSTITUTE(SUBSTITUTE(SUBSTITUTE(SUBSTITUTE(SUBSTITUTE(SUBSTITUTE(SUBSTITUTE(SUBSTITUTE(SUBSTITUTE(LOWER(B111),"."," "),","," "),"'"," "),"’"," "),"!"," "),"?"," "),";"," "),":"," "),"-"," "),"("," "),")"," "),"""", " "),"£"," "),"&amp;"," "),"/"," "),"%"," "))&amp;" "</f>
        <v> frankly a fake text message led me to a website and my money disappeared i expect compensation </v>
      </c>
      <c r="E111" s="0" t="n">
        <f aca="false">SUMPRODUCT((Rules!$A$2:$A$60=E$1)*Rules!$C$2:$C$60*ISNUMBER(SEARCH(Rules!$D$2:$D$60,$D111)))</f>
        <v>2</v>
      </c>
      <c r="F111" s="0" t="n">
        <f aca="false">SUMPRODUCT((Rules!$A$2:$A$60=F$1)*Rules!$C$2:$C$60*ISNUMBER(SEARCH(Rules!$D$2:$D$60,$D111)))</f>
        <v>0</v>
      </c>
      <c r="G111" s="0" t="n">
        <f aca="false">SUMPRODUCT((Rules!$A$2:$A$60=G$1)*Rules!$C$2:$C$60*ISNUMBER(SEARCH(Rules!$D$2:$D$60,$D111)))</f>
        <v>0</v>
      </c>
      <c r="H111" s="0" t="n">
        <f aca="false">SUMPRODUCT((Rules!$A$2:$A$60=H$1)*Rules!$C$2:$C$60*ISNUMBER(SEARCH(Rules!$D$2:$D$60,$D111)))</f>
        <v>0</v>
      </c>
      <c r="I111" s="0" t="n">
        <f aca="false">SUMPRODUCT((Rules!$A$2:$A$60=I$1)*Rules!$C$2:$C$60*ISNUMBER(SEARCH(Rules!$D$2:$D$60,$D111)))</f>
        <v>0</v>
      </c>
      <c r="J111" s="0" t="n">
        <f aca="false">SUMPRODUCT((Rules!$A$2:$A$60=J$1)*Rules!$C$2:$C$60*ISNUMBER(SEARCH(Rules!$D$2:$D$60,$D111)))</f>
        <v>0</v>
      </c>
      <c r="K111" s="0" t="str">
        <f aca="false">IF(OR(MAX(E111:J111)&lt;Rules!$H$1,MAX(E111:J111)-LARGE(E111:J111,2)&lt;Rules!$H$2),"No label",INDEX($E$1:$J$1,MATCH(MAX(E111:J111),E111:J111,0)))</f>
        <v>No label</v>
      </c>
      <c r="L111" s="0" t="n">
        <f aca="false">SUMPRODUCT((Rules!$A$2:$A$60=L$1)*Rules!$C$2:$C$60*ISNUMBER(SEARCH(Rules!$E$2:$E$60,$D111)))</f>
        <v>2</v>
      </c>
      <c r="M111" s="0" t="n">
        <f aca="false">SUMPRODUCT((Rules!$A$2:$A$60=M$1)*Rules!$C$2:$C$60*ISNUMBER(SEARCH(Rules!$E$2:$E$60,$D111)))</f>
        <v>0</v>
      </c>
      <c r="N111" s="0" t="n">
        <f aca="false">SUMPRODUCT((Rules!$A$2:$A$60=N$1)*Rules!$C$2:$C$60*ISNUMBER(SEARCH(Rules!$E$2:$E$60,$D111)))</f>
        <v>0</v>
      </c>
      <c r="O111" s="0" t="n">
        <f aca="false">SUMPRODUCT((Rules!$A$2:$A$60=O$1)*Rules!$C$2:$C$60*ISNUMBER(SEARCH(Rules!$E$2:$E$60,$D111)))</f>
        <v>0</v>
      </c>
      <c r="P111" s="0" t="n">
        <f aca="false">SUMPRODUCT((Rules!$A$2:$A$60=P$1)*Rules!$C$2:$C$60*ISNUMBER(SEARCH(Rules!$E$2:$E$60,$D111)))</f>
        <v>0</v>
      </c>
      <c r="Q111" s="0" t="n">
        <f aca="false">SUMPRODUCT((Rules!$A$2:$A$60=Q$1)*Rules!$C$2:$C$60*ISNUMBER(SEARCH(Rules!$E$2:$E$60,$D111)))</f>
        <v>0</v>
      </c>
      <c r="R111" s="0" t="str">
        <f aca="false">IF(OR(MAX(L111:Q111)&lt;Rules!$H$1,MAX(L111:Q111)-LARGE(L111:Q111,2)&lt;Rules!$H$2),"No label",INDEX($L$1:$Q$1,MATCH(MAX(L111:Q111),L111:Q111,0)))</f>
        <v>No label</v>
      </c>
      <c r="S111" s="0" t="n">
        <f aca="false">SUMPRODUCT(ISNUMBER(SEARCH(" "&amp;Terms!$A$3:$A$821&amp;" ",$D111))*Terms!B$3:B$821)+Terms!B$2</f>
        <v>2.41207579180608</v>
      </c>
      <c r="T111" s="0" t="n">
        <f aca="false">SUMPRODUCT(ISNUMBER(SEARCH(" "&amp;Terms!$A$3:$A$821&amp;" ",$D111))*Terms!C$3:C$821)+Terms!C$2</f>
        <v>-3.72664577984427</v>
      </c>
      <c r="U111" s="0" t="n">
        <f aca="false">SUMPRODUCT(ISNUMBER(SEARCH(" "&amp;Terms!$A$3:$A$821&amp;" ",$D111))*Terms!D$3:D$821)+Terms!D$2</f>
        <v>-2.97547647204877</v>
      </c>
      <c r="V111" s="0" t="n">
        <f aca="false">SUMPRODUCT(ISNUMBER(SEARCH(" "&amp;Terms!$A$3:$A$821&amp;" ",$D111))*Terms!E$3:E$821)+Terms!E$2</f>
        <v>-6.4446249576136</v>
      </c>
      <c r="W111" s="0" t="n">
        <f aca="false">SUMPRODUCT(ISNUMBER(SEARCH(" "&amp;Terms!$A$3:$A$821&amp;" ",$D111))*Terms!F$3:F$821)+Terms!F$2</f>
        <v>12.347246319746</v>
      </c>
      <c r="X111" s="0" t="n">
        <f aca="false">SUMPRODUCT(ISNUMBER(SEARCH(" "&amp;Terms!$A$3:$A$821&amp;" ",$D111))*Terms!G$3:G$821)+Terms!G$2</f>
        <v>-1.61257490204538</v>
      </c>
      <c r="Y111" s="0" t="str">
        <f aca="false">INDEX($S$1:$X$1,MATCH(MAX(S111:X111),S111:X111,0))</f>
        <v>Fraud &amp; Scams</v>
      </c>
      <c r="Z111" s="0" t="s">
        <v>2607</v>
      </c>
    </row>
    <row r="112" customFormat="false" ht="15" hidden="false" customHeight="false" outlineLevel="0" collapsed="false">
      <c r="A112" s="0" t="str">
        <f aca="false">Complaints!A112</f>
        <v>C0111</v>
      </c>
      <c r="B112" s="0" t="str">
        <f aca="false">Complaints!B112</f>
        <v>I reported the unauthorised payment but you refused to reimburse me. I expect compensation.</v>
      </c>
      <c r="C112" s="0" t="str">
        <f aca="false">Complaints!C112</f>
        <v>Fraud &amp; Scams</v>
      </c>
      <c r="D112" s="0" t="str">
        <f aca="false">" "&amp;TRIM(SUBSTITUTE(SUBSTITUTE(SUBSTITUTE(SUBSTITUTE(SUBSTITUTE(SUBSTITUTE(SUBSTITUTE(SUBSTITUTE(SUBSTITUTE(SUBSTITUTE(SUBSTITUTE(SUBSTITUTE(SUBSTITUTE(SUBSTITUTE(SUBSTITUTE(SUBSTITUTE(LOWER(B112),"."," "),","," "),"'"," "),"’"," "),"!"," "),"?"," "),";"," "),":"," "),"-"," "),"("," "),")"," "),"""", " "),"£"," "),"&amp;"," "),"/"," "),"%"," "))&amp;" "</f>
        <v> i reported the unauthorised payment but you refused to reimburse me i expect compensation </v>
      </c>
      <c r="E112" s="0" t="n">
        <f aca="false">SUMPRODUCT((Rules!$A$2:$A$60=E$1)*Rules!$C$2:$C$60*ISNUMBER(SEARCH(Rules!$D$2:$D$60,$D112)))</f>
        <v>3</v>
      </c>
      <c r="F112" s="0" t="n">
        <f aca="false">SUMPRODUCT((Rules!$A$2:$A$60=F$1)*Rules!$C$2:$C$60*ISNUMBER(SEARCH(Rules!$D$2:$D$60,$D112)))</f>
        <v>0</v>
      </c>
      <c r="G112" s="0" t="n">
        <f aca="false">SUMPRODUCT((Rules!$A$2:$A$60=G$1)*Rules!$C$2:$C$60*ISNUMBER(SEARCH(Rules!$D$2:$D$60,$D112)))</f>
        <v>0</v>
      </c>
      <c r="H112" s="0" t="n">
        <f aca="false">SUMPRODUCT((Rules!$A$2:$A$60=H$1)*Rules!$C$2:$C$60*ISNUMBER(SEARCH(Rules!$D$2:$D$60,$D112)))</f>
        <v>0</v>
      </c>
      <c r="I112" s="0" t="n">
        <f aca="false">SUMPRODUCT((Rules!$A$2:$A$60=I$1)*Rules!$C$2:$C$60*ISNUMBER(SEARCH(Rules!$D$2:$D$60,$D112)))</f>
        <v>0</v>
      </c>
      <c r="J112" s="0" t="n">
        <f aca="false">SUMPRODUCT((Rules!$A$2:$A$60=J$1)*Rules!$C$2:$C$60*ISNUMBER(SEARCH(Rules!$D$2:$D$60,$D112)))</f>
        <v>0</v>
      </c>
      <c r="K112" s="0" t="str">
        <f aca="false">IF(OR(MAX(E112:J112)&lt;Rules!$H$1,MAX(E112:J112)-LARGE(E112:J112,2)&lt;Rules!$H$2),"No label",INDEX($E$1:$J$1,MATCH(MAX(E112:J112),E112:J112,0)))</f>
        <v>Fraud &amp; Scams</v>
      </c>
      <c r="L112" s="0" t="n">
        <f aca="false">SUMPRODUCT((Rules!$A$2:$A$60=L$1)*Rules!$C$2:$C$60*ISNUMBER(SEARCH(Rules!$E$2:$E$60,$D112)))</f>
        <v>3</v>
      </c>
      <c r="M112" s="0" t="n">
        <f aca="false">SUMPRODUCT((Rules!$A$2:$A$60=M$1)*Rules!$C$2:$C$60*ISNUMBER(SEARCH(Rules!$E$2:$E$60,$D112)))</f>
        <v>0</v>
      </c>
      <c r="N112" s="0" t="n">
        <f aca="false">SUMPRODUCT((Rules!$A$2:$A$60=N$1)*Rules!$C$2:$C$60*ISNUMBER(SEARCH(Rules!$E$2:$E$60,$D112)))</f>
        <v>0</v>
      </c>
      <c r="O112" s="0" t="n">
        <f aca="false">SUMPRODUCT((Rules!$A$2:$A$60=O$1)*Rules!$C$2:$C$60*ISNUMBER(SEARCH(Rules!$E$2:$E$60,$D112)))</f>
        <v>0</v>
      </c>
      <c r="P112" s="0" t="n">
        <f aca="false">SUMPRODUCT((Rules!$A$2:$A$60=P$1)*Rules!$C$2:$C$60*ISNUMBER(SEARCH(Rules!$E$2:$E$60,$D112)))</f>
        <v>0</v>
      </c>
      <c r="Q112" s="0" t="n">
        <f aca="false">SUMPRODUCT((Rules!$A$2:$A$60=Q$1)*Rules!$C$2:$C$60*ISNUMBER(SEARCH(Rules!$E$2:$E$60,$D112)))</f>
        <v>0</v>
      </c>
      <c r="R112" s="0" t="str">
        <f aca="false">IF(OR(MAX(L112:Q112)&lt;Rules!$H$1,MAX(L112:Q112)-LARGE(L112:Q112,2)&lt;Rules!$H$2),"No label",INDEX($L$1:$Q$1,MATCH(MAX(L112:Q112),L112:Q112,0)))</f>
        <v>Fraud &amp; Scams</v>
      </c>
      <c r="S112" s="0" t="n">
        <f aca="false">SUMPRODUCT(ISNUMBER(SEARCH(" "&amp;Terms!$A$3:$A$821&amp;" ",$D112))*Terms!B$3:B$821)+Terms!B$2</f>
        <v>2.19462102932482</v>
      </c>
      <c r="T112" s="0" t="n">
        <f aca="false">SUMPRODUCT(ISNUMBER(SEARCH(" "&amp;Terms!$A$3:$A$821&amp;" ",$D112))*Terms!C$3:C$821)+Terms!C$2</f>
        <v>-4.82939742316115</v>
      </c>
      <c r="U112" s="0" t="n">
        <f aca="false">SUMPRODUCT(ISNUMBER(SEARCH(" "&amp;Terms!$A$3:$A$821&amp;" ",$D112))*Terms!D$3:D$821)+Terms!D$2</f>
        <v>-1.56327257182221</v>
      </c>
      <c r="V112" s="0" t="n">
        <f aca="false">SUMPRODUCT(ISNUMBER(SEARCH(" "&amp;Terms!$A$3:$A$821&amp;" ",$D112))*Terms!E$3:E$821)+Terms!E$2</f>
        <v>-2.46741233836082</v>
      </c>
      <c r="W112" s="0" t="n">
        <f aca="false">SUMPRODUCT(ISNUMBER(SEARCH(" "&amp;Terms!$A$3:$A$821&amp;" ",$D112))*Terms!F$3:F$821)+Terms!F$2</f>
        <v>10.5346806961151</v>
      </c>
      <c r="X112" s="0" t="n">
        <f aca="false">SUMPRODUCT(ISNUMBER(SEARCH(" "&amp;Terms!$A$3:$A$821&amp;" ",$D112))*Terms!G$3:G$821)+Terms!G$2</f>
        <v>-3.86921939209564</v>
      </c>
      <c r="Y112" s="0" t="str">
        <f aca="false">INDEX($S$1:$X$1,MATCH(MAX(S112:X112),S112:X112,0))</f>
        <v>Fraud &amp; Scams</v>
      </c>
      <c r="Z112" s="0" t="s">
        <v>2607</v>
      </c>
    </row>
    <row r="113" customFormat="false" ht="15" hidden="false" customHeight="false" outlineLevel="0" collapsed="false">
      <c r="A113" s="0" t="str">
        <f aca="false">Complaints!A113</f>
        <v>C0112</v>
      </c>
      <c r="B113" s="0" t="str">
        <f aca="false">Complaints!B113</f>
        <v>I am writing to complain. My card reader stopped working and I cannot approve payments.</v>
      </c>
      <c r="C113" s="0" t="str">
        <f aca="false">Complaints!C113</f>
        <v>Account Access</v>
      </c>
      <c r="D113" s="0" t="str">
        <f aca="false">" "&amp;TRIM(SUBSTITUTE(SUBSTITUTE(SUBSTITUTE(SUBSTITUTE(SUBSTITUTE(SUBSTITUTE(SUBSTITUTE(SUBSTITUTE(SUBSTITUTE(SUBSTITUTE(SUBSTITUTE(SUBSTITUTE(SUBSTITUTE(SUBSTITUTE(SUBSTITUTE(SUBSTITUTE(LOWER(B113),"."," "),","," "),"'"," "),"’"," "),"!"," "),"?"," "),";"," "),":"," "),"-"," "),"("," "),")"," "),"""", " "),"£"," "),"&amp;"," "),"/"," "),"%"," "))&amp;" "</f>
        <v> i am writing to complain my card reader stopped working and i cannot approve payments </v>
      </c>
      <c r="E113" s="0" t="n">
        <f aca="false">SUMPRODUCT((Rules!$A$2:$A$60=E$1)*Rules!$C$2:$C$60*ISNUMBER(SEARCH(Rules!$D$2:$D$60,$D113)))</f>
        <v>0</v>
      </c>
      <c r="F113" s="0" t="n">
        <f aca="false">SUMPRODUCT((Rules!$A$2:$A$60=F$1)*Rules!$C$2:$C$60*ISNUMBER(SEARCH(Rules!$D$2:$D$60,$D113)))</f>
        <v>0</v>
      </c>
      <c r="G113" s="0" t="n">
        <f aca="false">SUMPRODUCT((Rules!$A$2:$A$60=G$1)*Rules!$C$2:$C$60*ISNUMBER(SEARCH(Rules!$D$2:$D$60,$D113)))</f>
        <v>0</v>
      </c>
      <c r="H113" s="0" t="n">
        <f aca="false">SUMPRODUCT((Rules!$A$2:$A$60=H$1)*Rules!$C$2:$C$60*ISNUMBER(SEARCH(Rules!$D$2:$D$60,$D113)))</f>
        <v>0</v>
      </c>
      <c r="I113" s="0" t="n">
        <f aca="false">SUMPRODUCT((Rules!$A$2:$A$60=I$1)*Rules!$C$2:$C$60*ISNUMBER(SEARCH(Rules!$D$2:$D$60,$D113)))</f>
        <v>0</v>
      </c>
      <c r="J113" s="0" t="n">
        <f aca="false">SUMPRODUCT((Rules!$A$2:$A$60=J$1)*Rules!$C$2:$C$60*ISNUMBER(SEARCH(Rules!$D$2:$D$60,$D113)))</f>
        <v>0</v>
      </c>
      <c r="K113" s="0" t="str">
        <f aca="false">IF(OR(MAX(E113:J113)&lt;Rules!$H$1,MAX(E113:J113)-LARGE(E113:J113,2)&lt;Rules!$H$2),"No label",INDEX($E$1:$J$1,MATCH(MAX(E113:J113),E113:J113,0)))</f>
        <v>No label</v>
      </c>
      <c r="L113" s="0" t="n">
        <f aca="false">SUMPRODUCT((Rules!$A$2:$A$60=L$1)*Rules!$C$2:$C$60*ISNUMBER(SEARCH(Rules!$E$2:$E$60,$D113)))</f>
        <v>0</v>
      </c>
      <c r="M113" s="0" t="n">
        <f aca="false">SUMPRODUCT((Rules!$A$2:$A$60=M$1)*Rules!$C$2:$C$60*ISNUMBER(SEARCH(Rules!$E$2:$E$60,$D113)))</f>
        <v>0</v>
      </c>
      <c r="N113" s="0" t="n">
        <f aca="false">SUMPRODUCT((Rules!$A$2:$A$60=N$1)*Rules!$C$2:$C$60*ISNUMBER(SEARCH(Rules!$E$2:$E$60,$D113)))</f>
        <v>0</v>
      </c>
      <c r="O113" s="0" t="n">
        <f aca="false">SUMPRODUCT((Rules!$A$2:$A$60=O$1)*Rules!$C$2:$C$60*ISNUMBER(SEARCH(Rules!$E$2:$E$60,$D113)))</f>
        <v>0</v>
      </c>
      <c r="P113" s="0" t="n">
        <f aca="false">SUMPRODUCT((Rules!$A$2:$A$60=P$1)*Rules!$C$2:$C$60*ISNUMBER(SEARCH(Rules!$E$2:$E$60,$D113)))</f>
        <v>0</v>
      </c>
      <c r="Q113" s="0" t="n">
        <f aca="false">SUMPRODUCT((Rules!$A$2:$A$60=Q$1)*Rules!$C$2:$C$60*ISNUMBER(SEARCH(Rules!$E$2:$E$60,$D113)))</f>
        <v>0</v>
      </c>
      <c r="R113" s="0" t="str">
        <f aca="false">IF(OR(MAX(L113:Q113)&lt;Rules!$H$1,MAX(L113:Q113)-LARGE(L113:Q113,2)&lt;Rules!$H$2),"No label",INDEX($L$1:$Q$1,MATCH(MAX(L113:Q113),L113:Q113,0)))</f>
        <v>No label</v>
      </c>
      <c r="S113" s="0" t="n">
        <f aca="false">SUMPRODUCT(ISNUMBER(SEARCH(" "&amp;Terms!$A$3:$A$821&amp;" ",$D113))*Terms!B$3:B$821)+Terms!B$2</f>
        <v>15.6114896756069</v>
      </c>
      <c r="T113" s="0" t="n">
        <f aca="false">SUMPRODUCT(ISNUMBER(SEARCH(" "&amp;Terms!$A$3:$A$821&amp;" ",$D113))*Terms!C$3:C$821)+Terms!C$2</f>
        <v>0.725621174926773</v>
      </c>
      <c r="U113" s="0" t="n">
        <f aca="false">SUMPRODUCT(ISNUMBER(SEARCH(" "&amp;Terms!$A$3:$A$821&amp;" ",$D113))*Terms!D$3:D$821)+Terms!D$2</f>
        <v>-1.33204550425919</v>
      </c>
      <c r="V113" s="0" t="n">
        <f aca="false">SUMPRODUCT(ISNUMBER(SEARCH(" "&amp;Terms!$A$3:$A$821&amp;" ",$D113))*Terms!E$3:E$821)+Terms!E$2</f>
        <v>-6.11156481101302</v>
      </c>
      <c r="W113" s="0" t="n">
        <f aca="false">SUMPRODUCT(ISNUMBER(SEARCH(" "&amp;Terms!$A$3:$A$821&amp;" ",$D113))*Terms!F$3:F$821)+Terms!F$2</f>
        <v>-0.711290135774081</v>
      </c>
      <c r="X113" s="0" t="n">
        <f aca="false">SUMPRODUCT(ISNUMBER(SEARCH(" "&amp;Terms!$A$3:$A$821&amp;" ",$D113))*Terms!G$3:G$821)+Terms!G$2</f>
        <v>-8.18221039948726</v>
      </c>
      <c r="Y113" s="0" t="str">
        <f aca="false">INDEX($S$1:$X$1,MATCH(MAX(S113:X113),S113:X113,0))</f>
        <v>Account Access</v>
      </c>
      <c r="Z113" s="0" t="s">
        <v>2608</v>
      </c>
    </row>
    <row r="114" customFormat="false" ht="15" hidden="false" customHeight="false" outlineLevel="0" collapsed="false">
      <c r="A114" s="0" t="str">
        <f aca="false">Complaints!A114</f>
        <v>C0113</v>
      </c>
      <c r="B114" s="0" t="str">
        <f aca="false">Complaints!B114</f>
        <v>Frankly, The terms were very different from what I was promised at the time of sale. Also, a fake text message led me to a website and my money disappeared. I want this put right.</v>
      </c>
      <c r="C114" s="0" t="str">
        <f aca="false">Complaints!C114</f>
        <v>Mis-selling</v>
      </c>
      <c r="D114" s="0" t="str">
        <f aca="false">" "&amp;TRIM(SUBSTITUTE(SUBSTITUTE(SUBSTITUTE(SUBSTITUTE(SUBSTITUTE(SUBSTITUTE(SUBSTITUTE(SUBSTITUTE(SUBSTITUTE(SUBSTITUTE(SUBSTITUTE(SUBSTITUTE(SUBSTITUTE(SUBSTITUTE(SUBSTITUTE(SUBSTITUTE(LOWER(B114),"."," "),","," "),"'"," "),"’"," "),"!"," "),"?"," "),";"," "),":"," "),"-"," "),"("," "),")"," "),"""", " "),"£"," "),"&amp;"," "),"/"," "),"%"," "))&amp;" "</f>
        <v> frankly the terms were very different from what i was promised at the time of sale also a fake text message led me to a website and my money disappeared i want this put right </v>
      </c>
      <c r="E114" s="0" t="n">
        <f aca="false">SUMPRODUCT((Rules!$A$2:$A$60=E$1)*Rules!$C$2:$C$60*ISNUMBER(SEARCH(Rules!$D$2:$D$60,$D114)))</f>
        <v>2</v>
      </c>
      <c r="F114" s="0" t="n">
        <f aca="false">SUMPRODUCT((Rules!$A$2:$A$60=F$1)*Rules!$C$2:$C$60*ISNUMBER(SEARCH(Rules!$D$2:$D$60,$D114)))</f>
        <v>1</v>
      </c>
      <c r="G114" s="0" t="n">
        <f aca="false">SUMPRODUCT((Rules!$A$2:$A$60=G$1)*Rules!$C$2:$C$60*ISNUMBER(SEARCH(Rules!$D$2:$D$60,$D114)))</f>
        <v>0</v>
      </c>
      <c r="H114" s="0" t="n">
        <f aca="false">SUMPRODUCT((Rules!$A$2:$A$60=H$1)*Rules!$C$2:$C$60*ISNUMBER(SEARCH(Rules!$D$2:$D$60,$D114)))</f>
        <v>0</v>
      </c>
      <c r="I114" s="0" t="n">
        <f aca="false">SUMPRODUCT((Rules!$A$2:$A$60=I$1)*Rules!$C$2:$C$60*ISNUMBER(SEARCH(Rules!$D$2:$D$60,$D114)))</f>
        <v>0</v>
      </c>
      <c r="J114" s="0" t="n">
        <f aca="false">SUMPRODUCT((Rules!$A$2:$A$60=J$1)*Rules!$C$2:$C$60*ISNUMBER(SEARCH(Rules!$D$2:$D$60,$D114)))</f>
        <v>0</v>
      </c>
      <c r="K114" s="0" t="str">
        <f aca="false">IF(OR(MAX(E114:J114)&lt;Rules!$H$1,MAX(E114:J114)-LARGE(E114:J114,2)&lt;Rules!$H$2),"No label",INDEX($E$1:$J$1,MATCH(MAX(E114:J114),E114:J114,0)))</f>
        <v>No label</v>
      </c>
      <c r="L114" s="0" t="n">
        <f aca="false">SUMPRODUCT((Rules!$A$2:$A$60=L$1)*Rules!$C$2:$C$60*ISNUMBER(SEARCH(Rules!$E$2:$E$60,$D114)))</f>
        <v>2</v>
      </c>
      <c r="M114" s="0" t="n">
        <f aca="false">SUMPRODUCT((Rules!$A$2:$A$60=M$1)*Rules!$C$2:$C$60*ISNUMBER(SEARCH(Rules!$E$2:$E$60,$D114)))</f>
        <v>1</v>
      </c>
      <c r="N114" s="0" t="n">
        <f aca="false">SUMPRODUCT((Rules!$A$2:$A$60=N$1)*Rules!$C$2:$C$60*ISNUMBER(SEARCH(Rules!$E$2:$E$60,$D114)))</f>
        <v>0</v>
      </c>
      <c r="O114" s="0" t="n">
        <f aca="false">SUMPRODUCT((Rules!$A$2:$A$60=O$1)*Rules!$C$2:$C$60*ISNUMBER(SEARCH(Rules!$E$2:$E$60,$D114)))</f>
        <v>0</v>
      </c>
      <c r="P114" s="0" t="n">
        <f aca="false">SUMPRODUCT((Rules!$A$2:$A$60=P$1)*Rules!$C$2:$C$60*ISNUMBER(SEARCH(Rules!$E$2:$E$60,$D114)))</f>
        <v>0</v>
      </c>
      <c r="Q114" s="0" t="n">
        <f aca="false">SUMPRODUCT((Rules!$A$2:$A$60=Q$1)*Rules!$C$2:$C$60*ISNUMBER(SEARCH(Rules!$E$2:$E$60,$D114)))</f>
        <v>0</v>
      </c>
      <c r="R114" s="0" t="str">
        <f aca="false">IF(OR(MAX(L114:Q114)&lt;Rules!$H$1,MAX(L114:Q114)-LARGE(L114:Q114,2)&lt;Rules!$H$2),"No label",INDEX($L$1:$Q$1,MATCH(MAX(L114:Q114),L114:Q114,0)))</f>
        <v>No label</v>
      </c>
      <c r="S114" s="0" t="n">
        <f aca="false">SUMPRODUCT(ISNUMBER(SEARCH(" "&amp;Terms!$A$3:$A$821&amp;" ",$D114))*Terms!B$3:B$821)+Terms!B$2</f>
        <v>-2.55075505172532</v>
      </c>
      <c r="T114" s="0" t="n">
        <f aca="false">SUMPRODUCT(ISNUMBER(SEARCH(" "&amp;Terms!$A$3:$A$821&amp;" ",$D114))*Terms!C$3:C$821)+Terms!C$2</f>
        <v>-6.76303082162627</v>
      </c>
      <c r="U114" s="0" t="n">
        <f aca="false">SUMPRODUCT(ISNUMBER(SEARCH(" "&amp;Terms!$A$3:$A$821&amp;" ",$D114))*Terms!D$3:D$821)+Terms!D$2</f>
        <v>-0.600069568466802</v>
      </c>
      <c r="V114" s="0" t="n">
        <f aca="false">SUMPRODUCT(ISNUMBER(SEARCH(" "&amp;Terms!$A$3:$A$821&amp;" ",$D114))*Terms!E$3:E$821)+Terms!E$2</f>
        <v>-6.65074130968572</v>
      </c>
      <c r="W114" s="0" t="n">
        <f aca="false">SUMPRODUCT(ISNUMBER(SEARCH(" "&amp;Terms!$A$3:$A$821&amp;" ",$D114))*Terms!F$3:F$821)+Terms!F$2</f>
        <v>9.71417586666514</v>
      </c>
      <c r="X114" s="0" t="n">
        <f aca="false">SUMPRODUCT(ISNUMBER(SEARCH(" "&amp;Terms!$A$3:$A$821&amp;" ",$D114))*Terms!G$3:G$821)+Terms!G$2</f>
        <v>6.85042088483905</v>
      </c>
      <c r="Y114" s="0" t="str">
        <f aca="false">INDEX($S$1:$X$1,MATCH(MAX(S114:X114),S114:X114,0))</f>
        <v>Fraud &amp; Scams</v>
      </c>
      <c r="Z114" s="0" t="s">
        <v>2607</v>
      </c>
    </row>
    <row r="115" customFormat="false" ht="15" hidden="false" customHeight="false" outlineLevel="0" collapsed="false">
      <c r="A115" s="0" t="str">
        <f aca="false">Complaints!A115</f>
        <v>C0114</v>
      </c>
      <c r="B115" s="0" t="str">
        <f aca="false">Complaints!B115</f>
        <v>I am unable to access my account to see my balance. This is not acceptable.</v>
      </c>
      <c r="C115" s="0" t="str">
        <f aca="false">Complaints!C115</f>
        <v>Account Access</v>
      </c>
      <c r="D115" s="0" t="str">
        <f aca="false">" "&amp;TRIM(SUBSTITUTE(SUBSTITUTE(SUBSTITUTE(SUBSTITUTE(SUBSTITUTE(SUBSTITUTE(SUBSTITUTE(SUBSTITUTE(SUBSTITUTE(SUBSTITUTE(SUBSTITUTE(SUBSTITUTE(SUBSTITUTE(SUBSTITUTE(SUBSTITUTE(SUBSTITUTE(LOWER(B115),"."," "),","," "),"'"," "),"’"," "),"!"," "),"?"," "),";"," "),":"," "),"-"," "),"("," "),")"," "),"""", " "),"£"," "),"&amp;"," "),"/"," "),"%"," "))&amp;" "</f>
        <v> i am unable to access my account to see my balance this is not acceptable </v>
      </c>
      <c r="E115" s="0" t="n">
        <f aca="false">SUMPRODUCT((Rules!$A$2:$A$60=E$1)*Rules!$C$2:$C$60*ISNUMBER(SEARCH(Rules!$D$2:$D$60,$D115)))</f>
        <v>0</v>
      </c>
      <c r="F115" s="0" t="n">
        <f aca="false">SUMPRODUCT((Rules!$A$2:$A$60=F$1)*Rules!$C$2:$C$60*ISNUMBER(SEARCH(Rules!$D$2:$D$60,$D115)))</f>
        <v>0</v>
      </c>
      <c r="G115" s="0" t="n">
        <f aca="false">SUMPRODUCT((Rules!$A$2:$A$60=G$1)*Rules!$C$2:$C$60*ISNUMBER(SEARCH(Rules!$D$2:$D$60,$D115)))</f>
        <v>1</v>
      </c>
      <c r="H115" s="0" t="n">
        <f aca="false">SUMPRODUCT((Rules!$A$2:$A$60=H$1)*Rules!$C$2:$C$60*ISNUMBER(SEARCH(Rules!$D$2:$D$60,$D115)))</f>
        <v>0</v>
      </c>
      <c r="I115" s="0" t="n">
        <f aca="false">SUMPRODUCT((Rules!$A$2:$A$60=I$1)*Rules!$C$2:$C$60*ISNUMBER(SEARCH(Rules!$D$2:$D$60,$D115)))</f>
        <v>0</v>
      </c>
      <c r="J115" s="0" t="n">
        <f aca="false">SUMPRODUCT((Rules!$A$2:$A$60=J$1)*Rules!$C$2:$C$60*ISNUMBER(SEARCH(Rules!$D$2:$D$60,$D115)))</f>
        <v>0</v>
      </c>
      <c r="K115" s="0" t="str">
        <f aca="false">IF(OR(MAX(E115:J115)&lt;Rules!$H$1,MAX(E115:J115)-LARGE(E115:J115,2)&lt;Rules!$H$2),"No label",INDEX($E$1:$J$1,MATCH(MAX(E115:J115),E115:J115,0)))</f>
        <v>No label</v>
      </c>
      <c r="L115" s="0" t="n">
        <f aca="false">SUMPRODUCT((Rules!$A$2:$A$60=L$1)*Rules!$C$2:$C$60*ISNUMBER(SEARCH(Rules!$E$2:$E$60,$D115)))</f>
        <v>0</v>
      </c>
      <c r="M115" s="0" t="n">
        <f aca="false">SUMPRODUCT((Rules!$A$2:$A$60=M$1)*Rules!$C$2:$C$60*ISNUMBER(SEARCH(Rules!$E$2:$E$60,$D115)))</f>
        <v>0</v>
      </c>
      <c r="N115" s="0" t="n">
        <f aca="false">SUMPRODUCT((Rules!$A$2:$A$60=N$1)*Rules!$C$2:$C$60*ISNUMBER(SEARCH(Rules!$E$2:$E$60,$D115)))</f>
        <v>1</v>
      </c>
      <c r="O115" s="0" t="n">
        <f aca="false">SUMPRODUCT((Rules!$A$2:$A$60=O$1)*Rules!$C$2:$C$60*ISNUMBER(SEARCH(Rules!$E$2:$E$60,$D115)))</f>
        <v>0</v>
      </c>
      <c r="P115" s="0" t="n">
        <f aca="false">SUMPRODUCT((Rules!$A$2:$A$60=P$1)*Rules!$C$2:$C$60*ISNUMBER(SEARCH(Rules!$E$2:$E$60,$D115)))</f>
        <v>0</v>
      </c>
      <c r="Q115" s="0" t="n">
        <f aca="false">SUMPRODUCT((Rules!$A$2:$A$60=Q$1)*Rules!$C$2:$C$60*ISNUMBER(SEARCH(Rules!$E$2:$E$60,$D115)))</f>
        <v>0</v>
      </c>
      <c r="R115" s="0" t="str">
        <f aca="false">IF(OR(MAX(L115:Q115)&lt;Rules!$H$1,MAX(L115:Q115)-LARGE(L115:Q115,2)&lt;Rules!$H$2),"No label",INDEX($L$1:$Q$1,MATCH(MAX(L115:Q115),L115:Q115,0)))</f>
        <v>No label</v>
      </c>
      <c r="S115" s="0" t="n">
        <f aca="false">SUMPRODUCT(ISNUMBER(SEARCH(" "&amp;Terms!$A$3:$A$821&amp;" ",$D115))*Terms!B$3:B$821)+Terms!B$2</f>
        <v>7.96852979422751</v>
      </c>
      <c r="T115" s="0" t="n">
        <f aca="false">SUMPRODUCT(ISNUMBER(SEARCH(" "&amp;Terms!$A$3:$A$821&amp;" ",$D115))*Terms!C$3:C$821)+Terms!C$2</f>
        <v>-4.9281345451997</v>
      </c>
      <c r="U115" s="0" t="n">
        <f aca="false">SUMPRODUCT(ISNUMBER(SEARCH(" "&amp;Terms!$A$3:$A$821&amp;" ",$D115))*Terms!D$3:D$821)+Terms!D$2</f>
        <v>2.14402493035648</v>
      </c>
      <c r="V115" s="0" t="n">
        <f aca="false">SUMPRODUCT(ISNUMBER(SEARCH(" "&amp;Terms!$A$3:$A$821&amp;" ",$D115))*Terms!E$3:E$821)+Terms!E$2</f>
        <v>-1.9744312689887</v>
      </c>
      <c r="W115" s="0" t="n">
        <f aca="false">SUMPRODUCT(ISNUMBER(SEARCH(" "&amp;Terms!$A$3:$A$821&amp;" ",$D115))*Terms!F$3:F$821)+Terms!F$2</f>
        <v>-0.770747006116123</v>
      </c>
      <c r="X115" s="0" t="n">
        <f aca="false">SUMPRODUCT(ISNUMBER(SEARCH(" "&amp;Terms!$A$3:$A$821&amp;" ",$D115))*Terms!G$3:G$821)+Terms!G$2</f>
        <v>-2.43924190427937</v>
      </c>
      <c r="Y115" s="0" t="str">
        <f aca="false">INDEX($S$1:$X$1,MATCH(MAX(S115:X115),S115:X115,0))</f>
        <v>Account Access</v>
      </c>
      <c r="Z115" s="0" t="s">
        <v>2607</v>
      </c>
    </row>
    <row r="116" customFormat="false" ht="15" hidden="false" customHeight="false" outlineLevel="0" collapsed="false">
      <c r="A116" s="0" t="str">
        <f aca="false">Complaints!A116</f>
        <v>C0115</v>
      </c>
      <c r="B116" s="0" t="str">
        <f aca="false">Complaints!B116</f>
        <v>This is the second time I have raised this. The closure of my old account has dragged on for months. I could not log in to check either. I would like a response in writing.</v>
      </c>
      <c r="C116" s="0" t="str">
        <f aca="false">Complaints!C116</f>
        <v>Delays &amp; Processing</v>
      </c>
      <c r="D116" s="0" t="str">
        <f aca="false">" "&amp;TRIM(SUBSTITUTE(SUBSTITUTE(SUBSTITUTE(SUBSTITUTE(SUBSTITUTE(SUBSTITUTE(SUBSTITUTE(SUBSTITUTE(SUBSTITUTE(SUBSTITUTE(SUBSTITUTE(SUBSTITUTE(SUBSTITUTE(SUBSTITUTE(SUBSTITUTE(SUBSTITUTE(LOWER(B116),"."," "),","," "),"'"," "),"’"," "),"!"," "),"?"," "),";"," "),":"," "),"-"," "),"("," "),")"," "),"""", " "),"£"," "),"&amp;"," "),"/"," "),"%"," "))&amp;" "</f>
        <v> this is the second time i have raised this the closure of my old account has dragged on for months i could not log in to check either i would like a response in writing </v>
      </c>
      <c r="E116" s="0" t="n">
        <f aca="false">SUMPRODUCT((Rules!$A$2:$A$60=E$1)*Rules!$C$2:$C$60*ISNUMBER(SEARCH(Rules!$D$2:$D$60,$D116)))</f>
        <v>0</v>
      </c>
      <c r="F116" s="0" t="n">
        <f aca="false">SUMPRODUCT((Rules!$A$2:$A$60=F$1)*Rules!$C$2:$C$60*ISNUMBER(SEARCH(Rules!$D$2:$D$60,$D116)))</f>
        <v>0</v>
      </c>
      <c r="G116" s="0" t="n">
        <f aca="false">SUMPRODUCT((Rules!$A$2:$A$60=G$1)*Rules!$C$2:$C$60*ISNUMBER(SEARCH(Rules!$D$2:$D$60,$D116)))</f>
        <v>3</v>
      </c>
      <c r="H116" s="0" t="n">
        <f aca="false">SUMPRODUCT((Rules!$A$2:$A$60=H$1)*Rules!$C$2:$C$60*ISNUMBER(SEARCH(Rules!$D$2:$D$60,$D116)))</f>
        <v>0</v>
      </c>
      <c r="I116" s="0" t="n">
        <f aca="false">SUMPRODUCT((Rules!$A$2:$A$60=I$1)*Rules!$C$2:$C$60*ISNUMBER(SEARCH(Rules!$D$2:$D$60,$D116)))</f>
        <v>2</v>
      </c>
      <c r="J116" s="0" t="n">
        <f aca="false">SUMPRODUCT((Rules!$A$2:$A$60=J$1)*Rules!$C$2:$C$60*ISNUMBER(SEARCH(Rules!$D$2:$D$60,$D116)))</f>
        <v>0</v>
      </c>
      <c r="K116" s="0" t="str">
        <f aca="false">IF(OR(MAX(E116:J116)&lt;Rules!$H$1,MAX(E116:J116)-LARGE(E116:J116,2)&lt;Rules!$H$2),"No label",INDEX($E$1:$J$1,MATCH(MAX(E116:J116),E116:J116,0)))</f>
        <v>No label</v>
      </c>
      <c r="L116" s="0" t="n">
        <f aca="false">SUMPRODUCT((Rules!$A$2:$A$60=L$1)*Rules!$C$2:$C$60*ISNUMBER(SEARCH(Rules!$E$2:$E$60,$D116)))</f>
        <v>0</v>
      </c>
      <c r="M116" s="0" t="n">
        <f aca="false">SUMPRODUCT((Rules!$A$2:$A$60=M$1)*Rules!$C$2:$C$60*ISNUMBER(SEARCH(Rules!$E$2:$E$60,$D116)))</f>
        <v>0</v>
      </c>
      <c r="N116" s="0" t="n">
        <f aca="false">SUMPRODUCT((Rules!$A$2:$A$60=N$1)*Rules!$C$2:$C$60*ISNUMBER(SEARCH(Rules!$E$2:$E$60,$D116)))</f>
        <v>3</v>
      </c>
      <c r="O116" s="0" t="n">
        <f aca="false">SUMPRODUCT((Rules!$A$2:$A$60=O$1)*Rules!$C$2:$C$60*ISNUMBER(SEARCH(Rules!$E$2:$E$60,$D116)))</f>
        <v>0</v>
      </c>
      <c r="P116" s="0" t="n">
        <f aca="false">SUMPRODUCT((Rules!$A$2:$A$60=P$1)*Rules!$C$2:$C$60*ISNUMBER(SEARCH(Rules!$E$2:$E$60,$D116)))</f>
        <v>2</v>
      </c>
      <c r="Q116" s="0" t="n">
        <f aca="false">SUMPRODUCT((Rules!$A$2:$A$60=Q$1)*Rules!$C$2:$C$60*ISNUMBER(SEARCH(Rules!$E$2:$E$60,$D116)))</f>
        <v>0</v>
      </c>
      <c r="R116" s="0" t="str">
        <f aca="false">IF(OR(MAX(L116:Q116)&lt;Rules!$H$1,MAX(L116:Q116)-LARGE(L116:Q116,2)&lt;Rules!$H$2),"No label",INDEX($L$1:$Q$1,MATCH(MAX(L116:Q116),L116:Q116,0)))</f>
        <v>No label</v>
      </c>
      <c r="S116" s="0" t="n">
        <f aca="false">SUMPRODUCT(ISNUMBER(SEARCH(" "&amp;Terms!$A$3:$A$821&amp;" ",$D116))*Terms!B$3:B$821)+Terms!B$2</f>
        <v>-2.6996440433971</v>
      </c>
      <c r="T116" s="0" t="n">
        <f aca="false">SUMPRODUCT(ISNUMBER(SEARCH(" "&amp;Terms!$A$3:$A$821&amp;" ",$D116))*Terms!C$3:C$821)+Terms!C$2</f>
        <v>-0.612464815738612</v>
      </c>
      <c r="U116" s="0" t="n">
        <f aca="false">SUMPRODUCT(ISNUMBER(SEARCH(" "&amp;Terms!$A$3:$A$821&amp;" ",$D116))*Terms!D$3:D$821)+Terms!D$2</f>
        <v>9.05326070822166</v>
      </c>
      <c r="V116" s="0" t="n">
        <f aca="false">SUMPRODUCT(ISNUMBER(SEARCH(" "&amp;Terms!$A$3:$A$821&amp;" ",$D116))*Terms!E$3:E$821)+Terms!E$2</f>
        <v>-2.63700850991287</v>
      </c>
      <c r="W116" s="0" t="n">
        <f aca="false">SUMPRODUCT(ISNUMBER(SEARCH(" "&amp;Terms!$A$3:$A$821&amp;" ",$D116))*Terms!F$3:F$821)+Terms!F$2</f>
        <v>-1.26130005183758</v>
      </c>
      <c r="X116" s="0" t="n">
        <f aca="false">SUMPRODUCT(ISNUMBER(SEARCH(" "&amp;Terms!$A$3:$A$821&amp;" ",$D116))*Terms!G$3:G$821)+Terms!G$2</f>
        <v>-1.84284328733539</v>
      </c>
      <c r="Y116" s="0" t="str">
        <f aca="false">INDEX($S$1:$X$1,MATCH(MAX(S116:X116),S116:X116,0))</f>
        <v>Delays &amp; Processing</v>
      </c>
      <c r="Z116" s="0" t="s">
        <v>2607</v>
      </c>
    </row>
    <row r="117" customFormat="false" ht="15" hidden="false" customHeight="false" outlineLevel="0" collapsed="false">
      <c r="A117" s="0" t="str">
        <f aca="false">Complaints!A117</f>
        <v>C0116</v>
      </c>
      <c r="B117" s="0" t="str">
        <f aca="false">Complaints!B117</f>
        <v>Frankly, Two factor codes are not being sent to my phone. Also, there are transactions on my card I do not recognise.</v>
      </c>
      <c r="C117" s="0" t="str">
        <f aca="false">Complaints!C117</f>
        <v>Account Access</v>
      </c>
      <c r="D117" s="0" t="str">
        <f aca="false">" "&amp;TRIM(SUBSTITUTE(SUBSTITUTE(SUBSTITUTE(SUBSTITUTE(SUBSTITUTE(SUBSTITUTE(SUBSTITUTE(SUBSTITUTE(SUBSTITUTE(SUBSTITUTE(SUBSTITUTE(SUBSTITUTE(SUBSTITUTE(SUBSTITUTE(SUBSTITUTE(SUBSTITUTE(LOWER(B117),"."," "),","," "),"'"," "),"’"," "),"!"," "),"?"," "),";"," "),":"," "),"-"," "),"("," "),")"," "),"""", " "),"£"," "),"&amp;"," "),"/"," "),"%"," "))&amp;" "</f>
        <v> frankly two factor codes are not being sent to my phone also there are transactions on my card i do not recognise </v>
      </c>
      <c r="E117" s="0" t="n">
        <f aca="false">SUMPRODUCT((Rules!$A$2:$A$60=E$1)*Rules!$C$2:$C$60*ISNUMBER(SEARCH(Rules!$D$2:$D$60,$D117)))</f>
        <v>2</v>
      </c>
      <c r="F117" s="0" t="n">
        <f aca="false">SUMPRODUCT((Rules!$A$2:$A$60=F$1)*Rules!$C$2:$C$60*ISNUMBER(SEARCH(Rules!$D$2:$D$60,$D117)))</f>
        <v>0</v>
      </c>
      <c r="G117" s="0" t="n">
        <f aca="false">SUMPRODUCT((Rules!$A$2:$A$60=G$1)*Rules!$C$2:$C$60*ISNUMBER(SEARCH(Rules!$D$2:$D$60,$D117)))</f>
        <v>3</v>
      </c>
      <c r="H117" s="0" t="n">
        <f aca="false">SUMPRODUCT((Rules!$A$2:$A$60=H$1)*Rules!$C$2:$C$60*ISNUMBER(SEARCH(Rules!$D$2:$D$60,$D117)))</f>
        <v>0</v>
      </c>
      <c r="I117" s="0" t="n">
        <f aca="false">SUMPRODUCT((Rules!$A$2:$A$60=I$1)*Rules!$C$2:$C$60*ISNUMBER(SEARCH(Rules!$D$2:$D$60,$D117)))</f>
        <v>0</v>
      </c>
      <c r="J117" s="0" t="n">
        <f aca="false">SUMPRODUCT((Rules!$A$2:$A$60=J$1)*Rules!$C$2:$C$60*ISNUMBER(SEARCH(Rules!$D$2:$D$60,$D117)))</f>
        <v>0</v>
      </c>
      <c r="K117" s="0" t="str">
        <f aca="false">IF(OR(MAX(E117:J117)&lt;Rules!$H$1,MAX(E117:J117)-LARGE(E117:J117,2)&lt;Rules!$H$2),"No label",INDEX($E$1:$J$1,MATCH(MAX(E117:J117),E117:J117,0)))</f>
        <v>No label</v>
      </c>
      <c r="L117" s="0" t="n">
        <f aca="false">SUMPRODUCT((Rules!$A$2:$A$60=L$1)*Rules!$C$2:$C$60*ISNUMBER(SEARCH(Rules!$E$2:$E$60,$D117)))</f>
        <v>2</v>
      </c>
      <c r="M117" s="0" t="n">
        <f aca="false">SUMPRODUCT((Rules!$A$2:$A$60=M$1)*Rules!$C$2:$C$60*ISNUMBER(SEARCH(Rules!$E$2:$E$60,$D117)))</f>
        <v>0</v>
      </c>
      <c r="N117" s="0" t="n">
        <f aca="false">SUMPRODUCT((Rules!$A$2:$A$60=N$1)*Rules!$C$2:$C$60*ISNUMBER(SEARCH(Rules!$E$2:$E$60,$D117)))</f>
        <v>3</v>
      </c>
      <c r="O117" s="0" t="n">
        <f aca="false">SUMPRODUCT((Rules!$A$2:$A$60=O$1)*Rules!$C$2:$C$60*ISNUMBER(SEARCH(Rules!$E$2:$E$60,$D117)))</f>
        <v>0</v>
      </c>
      <c r="P117" s="0" t="n">
        <f aca="false">SUMPRODUCT((Rules!$A$2:$A$60=P$1)*Rules!$C$2:$C$60*ISNUMBER(SEARCH(Rules!$E$2:$E$60,$D117)))</f>
        <v>0</v>
      </c>
      <c r="Q117" s="0" t="n">
        <f aca="false">SUMPRODUCT((Rules!$A$2:$A$60=Q$1)*Rules!$C$2:$C$60*ISNUMBER(SEARCH(Rules!$E$2:$E$60,$D117)))</f>
        <v>0</v>
      </c>
      <c r="R117" s="0" t="str">
        <f aca="false">IF(OR(MAX(L117:Q117)&lt;Rules!$H$1,MAX(L117:Q117)-LARGE(L117:Q117,2)&lt;Rules!$H$2),"No label",INDEX($L$1:$Q$1,MATCH(MAX(L117:Q117),L117:Q117,0)))</f>
        <v>No label</v>
      </c>
      <c r="S117" s="0" t="n">
        <f aca="false">SUMPRODUCT(ISNUMBER(SEARCH(" "&amp;Terms!$A$3:$A$821&amp;" ",$D117))*Terms!B$3:B$821)+Terms!B$2</f>
        <v>8.91276896141997</v>
      </c>
      <c r="T117" s="0" t="n">
        <f aca="false">SUMPRODUCT(ISNUMBER(SEARCH(" "&amp;Terms!$A$3:$A$821&amp;" ",$D117))*Terms!C$3:C$821)+Terms!C$2</f>
        <v>-3.80181266843345</v>
      </c>
      <c r="U117" s="0" t="n">
        <f aca="false">SUMPRODUCT(ISNUMBER(SEARCH(" "&amp;Terms!$A$3:$A$821&amp;" ",$D117))*Terms!D$3:D$821)+Terms!D$2</f>
        <v>0.444935383014228</v>
      </c>
      <c r="V117" s="0" t="n">
        <f aca="false">SUMPRODUCT(ISNUMBER(SEARCH(" "&amp;Terms!$A$3:$A$821&amp;" ",$D117))*Terms!E$3:E$821)+Terms!E$2</f>
        <v>-3.41585025114848</v>
      </c>
      <c r="W117" s="0" t="n">
        <f aca="false">SUMPRODUCT(ISNUMBER(SEARCH(" "&amp;Terms!$A$3:$A$821&amp;" ",$D117))*Terms!F$3:F$821)+Terms!F$2</f>
        <v>1.87325506565117</v>
      </c>
      <c r="X117" s="0" t="n">
        <f aca="false">SUMPRODUCT(ISNUMBER(SEARCH(" "&amp;Terms!$A$3:$A$821&amp;" ",$D117))*Terms!G$3:G$821)+Terms!G$2</f>
        <v>-4.01329649050337</v>
      </c>
      <c r="Y117" s="0" t="str">
        <f aca="false">INDEX($S$1:$X$1,MATCH(MAX(S117:X117),S117:X117,0))</f>
        <v>Account Access</v>
      </c>
      <c r="Z117" s="0" t="s">
        <v>2607</v>
      </c>
    </row>
    <row r="118" customFormat="false" ht="15" hidden="false" customHeight="false" outlineLevel="0" collapsed="false">
      <c r="A118" s="0" t="str">
        <f aca="false">Complaints!A118</f>
        <v>C0117</v>
      </c>
      <c r="B118" s="0" t="str">
        <f aca="false">Complaints!B118</f>
        <v>I have been a customer for years. I have been billed an annual fee I never agreed to. I expect compensation.</v>
      </c>
      <c r="C118" s="0" t="str">
        <f aca="false">Complaints!C118</f>
        <v>Fees &amp; Charges</v>
      </c>
      <c r="D118" s="0" t="str">
        <f aca="false">" "&amp;TRIM(SUBSTITUTE(SUBSTITUTE(SUBSTITUTE(SUBSTITUTE(SUBSTITUTE(SUBSTITUTE(SUBSTITUTE(SUBSTITUTE(SUBSTITUTE(SUBSTITUTE(SUBSTITUTE(SUBSTITUTE(SUBSTITUTE(SUBSTITUTE(SUBSTITUTE(SUBSTITUTE(LOWER(B118),"."," "),","," "),"'"," "),"’"," "),"!"," "),"?"," "),";"," "),":"," "),"-"," "),"("," "),")"," "),"""", " "),"£"," "),"&amp;"," "),"/"," "),"%"," "))&amp;" "</f>
        <v> i have been a customer for years i have been billed an annual fee i never agreed to i expect compensation </v>
      </c>
      <c r="E118" s="0" t="n">
        <f aca="false">SUMPRODUCT((Rules!$A$2:$A$60=E$1)*Rules!$C$2:$C$60*ISNUMBER(SEARCH(Rules!$D$2:$D$60,$D118)))</f>
        <v>0</v>
      </c>
      <c r="F118" s="0" t="n">
        <f aca="false">SUMPRODUCT((Rules!$A$2:$A$60=F$1)*Rules!$C$2:$C$60*ISNUMBER(SEARCH(Rules!$D$2:$D$60,$D118)))</f>
        <v>0</v>
      </c>
      <c r="G118" s="0" t="n">
        <f aca="false">SUMPRODUCT((Rules!$A$2:$A$60=G$1)*Rules!$C$2:$C$60*ISNUMBER(SEARCH(Rules!$D$2:$D$60,$D118)))</f>
        <v>0</v>
      </c>
      <c r="H118" s="0" t="n">
        <f aca="false">SUMPRODUCT((Rules!$A$2:$A$60=H$1)*Rules!$C$2:$C$60*ISNUMBER(SEARCH(Rules!$D$2:$D$60,$D118)))</f>
        <v>4</v>
      </c>
      <c r="I118" s="0" t="n">
        <f aca="false">SUMPRODUCT((Rules!$A$2:$A$60=I$1)*Rules!$C$2:$C$60*ISNUMBER(SEARCH(Rules!$D$2:$D$60,$D118)))</f>
        <v>0</v>
      </c>
      <c r="J118" s="0" t="n">
        <f aca="false">SUMPRODUCT((Rules!$A$2:$A$60=J$1)*Rules!$C$2:$C$60*ISNUMBER(SEARCH(Rules!$D$2:$D$60,$D118)))</f>
        <v>0</v>
      </c>
      <c r="K118" s="0" t="str">
        <f aca="false">IF(OR(MAX(E118:J118)&lt;Rules!$H$1,MAX(E118:J118)-LARGE(E118:J118,2)&lt;Rules!$H$2),"No label",INDEX($E$1:$J$1,MATCH(MAX(E118:J118),E118:J118,0)))</f>
        <v>Fees &amp; Charges</v>
      </c>
      <c r="L118" s="0" t="n">
        <f aca="false">SUMPRODUCT((Rules!$A$2:$A$60=L$1)*Rules!$C$2:$C$60*ISNUMBER(SEARCH(Rules!$E$2:$E$60,$D118)))</f>
        <v>0</v>
      </c>
      <c r="M118" s="0" t="n">
        <f aca="false">SUMPRODUCT((Rules!$A$2:$A$60=M$1)*Rules!$C$2:$C$60*ISNUMBER(SEARCH(Rules!$E$2:$E$60,$D118)))</f>
        <v>0</v>
      </c>
      <c r="N118" s="0" t="n">
        <f aca="false">SUMPRODUCT((Rules!$A$2:$A$60=N$1)*Rules!$C$2:$C$60*ISNUMBER(SEARCH(Rules!$E$2:$E$60,$D118)))</f>
        <v>0</v>
      </c>
      <c r="O118" s="0" t="n">
        <f aca="false">SUMPRODUCT((Rules!$A$2:$A$60=O$1)*Rules!$C$2:$C$60*ISNUMBER(SEARCH(Rules!$E$2:$E$60,$D118)))</f>
        <v>4</v>
      </c>
      <c r="P118" s="0" t="n">
        <f aca="false">SUMPRODUCT((Rules!$A$2:$A$60=P$1)*Rules!$C$2:$C$60*ISNUMBER(SEARCH(Rules!$E$2:$E$60,$D118)))</f>
        <v>0</v>
      </c>
      <c r="Q118" s="0" t="n">
        <f aca="false">SUMPRODUCT((Rules!$A$2:$A$60=Q$1)*Rules!$C$2:$C$60*ISNUMBER(SEARCH(Rules!$E$2:$E$60,$D118)))</f>
        <v>0</v>
      </c>
      <c r="R118" s="0" t="str">
        <f aca="false">IF(OR(MAX(L118:Q118)&lt;Rules!$H$1,MAX(L118:Q118)-LARGE(L118:Q118,2)&lt;Rules!$H$2),"No label",INDEX($L$1:$Q$1,MATCH(MAX(L118:Q118),L118:Q118,0)))</f>
        <v>Fees &amp; Charges</v>
      </c>
      <c r="S118" s="0" t="n">
        <f aca="false">SUMPRODUCT(ISNUMBER(SEARCH(" "&amp;Terms!$A$3:$A$821&amp;" ",$D118))*Terms!B$3:B$821)+Terms!B$2</f>
        <v>2.62454714028677</v>
      </c>
      <c r="T118" s="0" t="n">
        <f aca="false">SUMPRODUCT(ISNUMBER(SEARCH(" "&amp;Terms!$A$3:$A$821&amp;" ",$D118))*Terms!C$3:C$821)+Terms!C$2</f>
        <v>-1.5298183324408</v>
      </c>
      <c r="U118" s="0" t="n">
        <f aca="false">SUMPRODUCT(ISNUMBER(SEARCH(" "&amp;Terms!$A$3:$A$821&amp;" ",$D118))*Terms!D$3:D$821)+Terms!D$2</f>
        <v>-2.17636596711992</v>
      </c>
      <c r="V118" s="0" t="n">
        <f aca="false">SUMPRODUCT(ISNUMBER(SEARCH(" "&amp;Terms!$A$3:$A$821&amp;" ",$D118))*Terms!E$3:E$821)+Terms!E$2</f>
        <v>9.74912796904963</v>
      </c>
      <c r="W118" s="0" t="n">
        <f aca="false">SUMPRODUCT(ISNUMBER(SEARCH(" "&amp;Terms!$A$3:$A$821&amp;" ",$D118))*Terms!F$3:F$821)+Terms!F$2</f>
        <v>-4.54324527336147</v>
      </c>
      <c r="X118" s="0" t="n">
        <f aca="false">SUMPRODUCT(ISNUMBER(SEARCH(" "&amp;Terms!$A$3:$A$821&amp;" ",$D118))*Terms!G$3:G$821)+Terms!G$2</f>
        <v>-4.12424553641412</v>
      </c>
      <c r="Y118" s="0" t="str">
        <f aca="false">INDEX($S$1:$X$1,MATCH(MAX(S118:X118),S118:X118,0))</f>
        <v>Fees &amp; Charges</v>
      </c>
      <c r="Z118" s="0" t="s">
        <v>2607</v>
      </c>
    </row>
    <row r="119" customFormat="false" ht="15" hidden="false" customHeight="false" outlineLevel="0" collapsed="false">
      <c r="A119" s="0" t="str">
        <f aca="false">Complaints!A119</f>
        <v>C0118</v>
      </c>
      <c r="B119" s="0" t="str">
        <f aca="false">Complaints!B119</f>
        <v>This is the second time I have raised this. I asked for a callback and it never happened. I would like a response in writing.</v>
      </c>
      <c r="C119" s="0" t="str">
        <f aca="false">Complaints!C119</f>
        <v>Customer Service</v>
      </c>
      <c r="D119" s="0" t="str">
        <f aca="false">" "&amp;TRIM(SUBSTITUTE(SUBSTITUTE(SUBSTITUTE(SUBSTITUTE(SUBSTITUTE(SUBSTITUTE(SUBSTITUTE(SUBSTITUTE(SUBSTITUTE(SUBSTITUTE(SUBSTITUTE(SUBSTITUTE(SUBSTITUTE(SUBSTITUTE(SUBSTITUTE(SUBSTITUTE(LOWER(B119),"."," "),","," "),"'"," "),"’"," "),"!"," "),"?"," "),";"," "),":"," "),"-"," "),"("," "),")"," "),"""", " "),"£"," "),"&amp;"," "),"/"," "),"%"," "))&amp;" "</f>
        <v> this is the second time i have raised this i asked for a callback and it never happened i would like a response in writing </v>
      </c>
      <c r="E119" s="0" t="n">
        <f aca="false">SUMPRODUCT((Rules!$A$2:$A$60=E$1)*Rules!$C$2:$C$60*ISNUMBER(SEARCH(Rules!$D$2:$D$60,$D119)))</f>
        <v>0</v>
      </c>
      <c r="F119" s="0" t="n">
        <f aca="false">SUMPRODUCT((Rules!$A$2:$A$60=F$1)*Rules!$C$2:$C$60*ISNUMBER(SEARCH(Rules!$D$2:$D$60,$D119)))</f>
        <v>0</v>
      </c>
      <c r="G119" s="0" t="n">
        <f aca="false">SUMPRODUCT((Rules!$A$2:$A$60=G$1)*Rules!$C$2:$C$60*ISNUMBER(SEARCH(Rules!$D$2:$D$60,$D119)))</f>
        <v>0</v>
      </c>
      <c r="H119" s="0" t="n">
        <f aca="false">SUMPRODUCT((Rules!$A$2:$A$60=H$1)*Rules!$C$2:$C$60*ISNUMBER(SEARCH(Rules!$D$2:$D$60,$D119)))</f>
        <v>0</v>
      </c>
      <c r="I119" s="0" t="n">
        <f aca="false">SUMPRODUCT((Rules!$A$2:$A$60=I$1)*Rules!$C$2:$C$60*ISNUMBER(SEARCH(Rules!$D$2:$D$60,$D119)))</f>
        <v>0</v>
      </c>
      <c r="J119" s="0" t="n">
        <f aca="false">SUMPRODUCT((Rules!$A$2:$A$60=J$1)*Rules!$C$2:$C$60*ISNUMBER(SEARCH(Rules!$D$2:$D$60,$D119)))</f>
        <v>2</v>
      </c>
      <c r="K119" s="0" t="str">
        <f aca="false">IF(OR(MAX(E119:J119)&lt;Rules!$H$1,MAX(E119:J119)-LARGE(E119:J119,2)&lt;Rules!$H$2),"No label",INDEX($E$1:$J$1,MATCH(MAX(E119:J119),E119:J119,0)))</f>
        <v>No label</v>
      </c>
      <c r="L119" s="0" t="n">
        <f aca="false">SUMPRODUCT((Rules!$A$2:$A$60=L$1)*Rules!$C$2:$C$60*ISNUMBER(SEARCH(Rules!$E$2:$E$60,$D119)))</f>
        <v>0</v>
      </c>
      <c r="M119" s="0" t="n">
        <f aca="false">SUMPRODUCT((Rules!$A$2:$A$60=M$1)*Rules!$C$2:$C$60*ISNUMBER(SEARCH(Rules!$E$2:$E$60,$D119)))</f>
        <v>0</v>
      </c>
      <c r="N119" s="0" t="n">
        <f aca="false">SUMPRODUCT((Rules!$A$2:$A$60=N$1)*Rules!$C$2:$C$60*ISNUMBER(SEARCH(Rules!$E$2:$E$60,$D119)))</f>
        <v>0</v>
      </c>
      <c r="O119" s="0" t="n">
        <f aca="false">SUMPRODUCT((Rules!$A$2:$A$60=O$1)*Rules!$C$2:$C$60*ISNUMBER(SEARCH(Rules!$E$2:$E$60,$D119)))</f>
        <v>0</v>
      </c>
      <c r="P119" s="0" t="n">
        <f aca="false">SUMPRODUCT((Rules!$A$2:$A$60=P$1)*Rules!$C$2:$C$60*ISNUMBER(SEARCH(Rules!$E$2:$E$60,$D119)))</f>
        <v>0</v>
      </c>
      <c r="Q119" s="0" t="n">
        <f aca="false">SUMPRODUCT((Rules!$A$2:$A$60=Q$1)*Rules!$C$2:$C$60*ISNUMBER(SEARCH(Rules!$E$2:$E$60,$D119)))</f>
        <v>2</v>
      </c>
      <c r="R119" s="0" t="str">
        <f aca="false">IF(OR(MAX(L119:Q119)&lt;Rules!$H$1,MAX(L119:Q119)-LARGE(L119:Q119,2)&lt;Rules!$H$2),"No label",INDEX($L$1:$Q$1,MATCH(MAX(L119:Q119),L119:Q119,0)))</f>
        <v>No label</v>
      </c>
      <c r="S119" s="0" t="n">
        <f aca="false">SUMPRODUCT(ISNUMBER(SEARCH(" "&amp;Terms!$A$3:$A$821&amp;" ",$D119))*Terms!B$3:B$821)+Terms!B$2</f>
        <v>-2.99402445663471</v>
      </c>
      <c r="T119" s="0" t="n">
        <f aca="false">SUMPRODUCT(ISNUMBER(SEARCH(" "&amp;Terms!$A$3:$A$821&amp;" ",$D119))*Terms!C$3:C$821)+Terms!C$2</f>
        <v>6.81807256648312</v>
      </c>
      <c r="U119" s="0" t="n">
        <f aca="false">SUMPRODUCT(ISNUMBER(SEARCH(" "&amp;Terms!$A$3:$A$821&amp;" ",$D119))*Terms!D$3:D$821)+Terms!D$2</f>
        <v>-3.1056253044698</v>
      </c>
      <c r="V119" s="0" t="n">
        <f aca="false">SUMPRODUCT(ISNUMBER(SEARCH(" "&amp;Terms!$A$3:$A$821&amp;" ",$D119))*Terms!E$3:E$821)+Terms!E$2</f>
        <v>-0.81905925758882</v>
      </c>
      <c r="W119" s="0" t="n">
        <f aca="false">SUMPRODUCT(ISNUMBER(SEARCH(" "&amp;Terms!$A$3:$A$821&amp;" ",$D119))*Terms!F$3:F$821)+Terms!F$2</f>
        <v>-1.10290954766059</v>
      </c>
      <c r="X119" s="0" t="n">
        <f aca="false">SUMPRODUCT(ISNUMBER(SEARCH(" "&amp;Terms!$A$3:$A$821&amp;" ",$D119))*Terms!G$3:G$821)+Terms!G$2</f>
        <v>1.2035459998709</v>
      </c>
      <c r="Y119" s="0" t="str">
        <f aca="false">INDEX($S$1:$X$1,MATCH(MAX(S119:X119),S119:X119,0))</f>
        <v>Customer Service</v>
      </c>
      <c r="Z119" s="0" t="s">
        <v>2607</v>
      </c>
    </row>
    <row r="120" customFormat="false" ht="15" hidden="false" customHeight="false" outlineLevel="0" collapsed="false">
      <c r="A120" s="0" t="str">
        <f aca="false">Complaints!A120</f>
        <v>C0119</v>
      </c>
      <c r="B120" s="0" t="str">
        <f aca="false">Complaints!B120</f>
        <v>This is the second time I have raised this. The ebchat agent ended the conversation without solving anything.</v>
      </c>
      <c r="C120" s="0" t="str">
        <f aca="false">Complaints!C120</f>
        <v>Customer Service</v>
      </c>
      <c r="D120" s="0" t="str">
        <f aca="false">" "&amp;TRIM(SUBSTITUTE(SUBSTITUTE(SUBSTITUTE(SUBSTITUTE(SUBSTITUTE(SUBSTITUTE(SUBSTITUTE(SUBSTITUTE(SUBSTITUTE(SUBSTITUTE(SUBSTITUTE(SUBSTITUTE(SUBSTITUTE(SUBSTITUTE(SUBSTITUTE(SUBSTITUTE(LOWER(B120),"."," "),","," "),"'"," "),"’"," "),"!"," "),"?"," "),";"," "),":"," "),"-"," "),"("," "),")"," "),"""", " "),"£"," "),"&amp;"," "),"/"," "),"%"," "))&amp;" "</f>
        <v> this is the second time i have raised this the ebchat agent ended the conversation without solving anything </v>
      </c>
      <c r="E120" s="0" t="n">
        <f aca="false">SUMPRODUCT((Rules!$A$2:$A$60=E$1)*Rules!$C$2:$C$60*ISNUMBER(SEARCH(Rules!$D$2:$D$60,$D120)))</f>
        <v>0</v>
      </c>
      <c r="F120" s="0" t="n">
        <f aca="false">SUMPRODUCT((Rules!$A$2:$A$60=F$1)*Rules!$C$2:$C$60*ISNUMBER(SEARCH(Rules!$D$2:$D$60,$D120)))</f>
        <v>0</v>
      </c>
      <c r="G120" s="0" t="n">
        <f aca="false">SUMPRODUCT((Rules!$A$2:$A$60=G$1)*Rules!$C$2:$C$60*ISNUMBER(SEARCH(Rules!$D$2:$D$60,$D120)))</f>
        <v>0</v>
      </c>
      <c r="H120" s="0" t="n">
        <f aca="false">SUMPRODUCT((Rules!$A$2:$A$60=H$1)*Rules!$C$2:$C$60*ISNUMBER(SEARCH(Rules!$D$2:$D$60,$D120)))</f>
        <v>0</v>
      </c>
      <c r="I120" s="0" t="n">
        <f aca="false">SUMPRODUCT((Rules!$A$2:$A$60=I$1)*Rules!$C$2:$C$60*ISNUMBER(SEARCH(Rules!$D$2:$D$60,$D120)))</f>
        <v>0</v>
      </c>
      <c r="J120" s="0" t="n">
        <f aca="false">SUMPRODUCT((Rules!$A$2:$A$60=J$1)*Rules!$C$2:$C$60*ISNUMBER(SEARCH(Rules!$D$2:$D$60,$D120)))</f>
        <v>0</v>
      </c>
      <c r="K120" s="0" t="str">
        <f aca="false">IF(OR(MAX(E120:J120)&lt;Rules!$H$1,MAX(E120:J120)-LARGE(E120:J120,2)&lt;Rules!$H$2),"No label",INDEX($E$1:$J$1,MATCH(MAX(E120:J120),E120:J120,0)))</f>
        <v>No label</v>
      </c>
      <c r="L120" s="0" t="n">
        <f aca="false">SUMPRODUCT((Rules!$A$2:$A$60=L$1)*Rules!$C$2:$C$60*ISNUMBER(SEARCH(Rules!$E$2:$E$60,$D120)))</f>
        <v>0</v>
      </c>
      <c r="M120" s="0" t="n">
        <f aca="false">SUMPRODUCT((Rules!$A$2:$A$60=M$1)*Rules!$C$2:$C$60*ISNUMBER(SEARCH(Rules!$E$2:$E$60,$D120)))</f>
        <v>0</v>
      </c>
      <c r="N120" s="0" t="n">
        <f aca="false">SUMPRODUCT((Rules!$A$2:$A$60=N$1)*Rules!$C$2:$C$60*ISNUMBER(SEARCH(Rules!$E$2:$E$60,$D120)))</f>
        <v>0</v>
      </c>
      <c r="O120" s="0" t="n">
        <f aca="false">SUMPRODUCT((Rules!$A$2:$A$60=O$1)*Rules!$C$2:$C$60*ISNUMBER(SEARCH(Rules!$E$2:$E$60,$D120)))</f>
        <v>0</v>
      </c>
      <c r="P120" s="0" t="n">
        <f aca="false">SUMPRODUCT((Rules!$A$2:$A$60=P$1)*Rules!$C$2:$C$60*ISNUMBER(SEARCH(Rules!$E$2:$E$60,$D120)))</f>
        <v>0</v>
      </c>
      <c r="Q120" s="0" t="n">
        <f aca="false">SUMPRODUCT((Rules!$A$2:$A$60=Q$1)*Rules!$C$2:$C$60*ISNUMBER(SEARCH(Rules!$E$2:$E$60,$D120)))</f>
        <v>0</v>
      </c>
      <c r="R120" s="0" t="str">
        <f aca="false">IF(OR(MAX(L120:Q120)&lt;Rules!$H$1,MAX(L120:Q120)-LARGE(L120:Q120,2)&lt;Rules!$H$2),"No label",INDEX($L$1:$Q$1,MATCH(MAX(L120:Q120),L120:Q120,0)))</f>
        <v>No label</v>
      </c>
      <c r="S120" s="0" t="n">
        <f aca="false">SUMPRODUCT(ISNUMBER(SEARCH(" "&amp;Terms!$A$3:$A$821&amp;" ",$D120))*Terms!B$3:B$821)+Terms!B$2</f>
        <v>-2.75885543118249</v>
      </c>
      <c r="T120" s="0" t="n">
        <f aca="false">SUMPRODUCT(ISNUMBER(SEARCH(" "&amp;Terms!$A$3:$A$821&amp;" ",$D120))*Terms!C$3:C$821)+Terms!C$2</f>
        <v>9.06984677952349</v>
      </c>
      <c r="U120" s="0" t="n">
        <f aca="false">SUMPRODUCT(ISNUMBER(SEARCH(" "&amp;Terms!$A$3:$A$821&amp;" ",$D120))*Terms!D$3:D$821)+Terms!D$2</f>
        <v>-2.33952709925674</v>
      </c>
      <c r="V120" s="0" t="n">
        <f aca="false">SUMPRODUCT(ISNUMBER(SEARCH(" "&amp;Terms!$A$3:$A$821&amp;" ",$D120))*Terms!E$3:E$821)+Terms!E$2</f>
        <v>-1.23271672256284</v>
      </c>
      <c r="W120" s="0" t="n">
        <f aca="false">SUMPRODUCT(ISNUMBER(SEARCH(" "&amp;Terms!$A$3:$A$821&amp;" ",$D120))*Terms!F$3:F$821)+Terms!F$2</f>
        <v>-0.767981844814624</v>
      </c>
      <c r="X120" s="0" t="n">
        <f aca="false">SUMPRODUCT(ISNUMBER(SEARCH(" "&amp;Terms!$A$3:$A$821&amp;" ",$D120))*Terms!G$3:G$821)+Terms!G$2</f>
        <v>-1.97076568170669</v>
      </c>
      <c r="Y120" s="0" t="str">
        <f aca="false">INDEX($S$1:$X$1,MATCH(MAX(S120:X120),S120:X120,0))</f>
        <v>Customer Service</v>
      </c>
      <c r="Z120" s="0" t="s">
        <v>2607</v>
      </c>
    </row>
    <row r="121" customFormat="false" ht="15" hidden="false" customHeight="false" outlineLevel="0" collapsed="false">
      <c r="A121" s="0" t="str">
        <f aca="false">Complaints!A121</f>
        <v>C0120</v>
      </c>
      <c r="B121" s="0" t="str">
        <f aca="false">Complaints!B121</f>
        <v>I have been a customer for years. I was told this policy covered me but my claim was rejected. I also spent ages on hold when I called about it. Please escalate this.</v>
      </c>
      <c r="C121" s="0" t="str">
        <f aca="false">Complaints!C121</f>
        <v>Mis-selling</v>
      </c>
      <c r="D121" s="0" t="str">
        <f aca="false">" "&amp;TRIM(SUBSTITUTE(SUBSTITUTE(SUBSTITUTE(SUBSTITUTE(SUBSTITUTE(SUBSTITUTE(SUBSTITUTE(SUBSTITUTE(SUBSTITUTE(SUBSTITUTE(SUBSTITUTE(SUBSTITUTE(SUBSTITUTE(SUBSTITUTE(SUBSTITUTE(SUBSTITUTE(LOWER(B121),"."," "),","," "),"'"," "),"’"," "),"!"," "),"?"," "),";"," "),":"," "),"-"," "),"("," "),")"," "),"""", " "),"£"," "),"&amp;"," "),"/"," "),"%"," "))&amp;" "</f>
        <v> i have been a customer for years i was told this policy covered me but my claim was rejected i also spent ages on hold when i called about it please escalate this </v>
      </c>
      <c r="E121" s="0" t="n">
        <f aca="false">SUMPRODUCT((Rules!$A$2:$A$60=E$1)*Rules!$C$2:$C$60*ISNUMBER(SEARCH(Rules!$D$2:$D$60,$D121)))</f>
        <v>0</v>
      </c>
      <c r="F121" s="0" t="n">
        <f aca="false">SUMPRODUCT((Rules!$A$2:$A$60=F$1)*Rules!$C$2:$C$60*ISNUMBER(SEARCH(Rules!$D$2:$D$60,$D121)))</f>
        <v>1</v>
      </c>
      <c r="G121" s="0" t="n">
        <f aca="false">SUMPRODUCT((Rules!$A$2:$A$60=G$1)*Rules!$C$2:$C$60*ISNUMBER(SEARCH(Rules!$D$2:$D$60,$D121)))</f>
        <v>0</v>
      </c>
      <c r="H121" s="0" t="n">
        <f aca="false">SUMPRODUCT((Rules!$A$2:$A$60=H$1)*Rules!$C$2:$C$60*ISNUMBER(SEARCH(Rules!$D$2:$D$60,$D121)))</f>
        <v>0</v>
      </c>
      <c r="I121" s="0" t="n">
        <f aca="false">SUMPRODUCT((Rules!$A$2:$A$60=I$1)*Rules!$C$2:$C$60*ISNUMBER(SEARCH(Rules!$D$2:$D$60,$D121)))</f>
        <v>0</v>
      </c>
      <c r="J121" s="0" t="n">
        <f aca="false">SUMPRODUCT((Rules!$A$2:$A$60=J$1)*Rules!$C$2:$C$60*ISNUMBER(SEARCH(Rules!$D$2:$D$60,$D121)))</f>
        <v>3</v>
      </c>
      <c r="K121" s="0" t="str">
        <f aca="false">IF(OR(MAX(E121:J121)&lt;Rules!$H$1,MAX(E121:J121)-LARGE(E121:J121,2)&lt;Rules!$H$2),"No label",INDEX($E$1:$J$1,MATCH(MAX(E121:J121),E121:J121,0)))</f>
        <v>Customer Service</v>
      </c>
      <c r="L121" s="0" t="n">
        <f aca="false">SUMPRODUCT((Rules!$A$2:$A$60=L$1)*Rules!$C$2:$C$60*ISNUMBER(SEARCH(Rules!$E$2:$E$60,$D121)))</f>
        <v>0</v>
      </c>
      <c r="M121" s="0" t="n">
        <f aca="false">SUMPRODUCT((Rules!$A$2:$A$60=M$1)*Rules!$C$2:$C$60*ISNUMBER(SEARCH(Rules!$E$2:$E$60,$D121)))</f>
        <v>1</v>
      </c>
      <c r="N121" s="0" t="n">
        <f aca="false">SUMPRODUCT((Rules!$A$2:$A$60=N$1)*Rules!$C$2:$C$60*ISNUMBER(SEARCH(Rules!$E$2:$E$60,$D121)))</f>
        <v>0</v>
      </c>
      <c r="O121" s="0" t="n">
        <f aca="false">SUMPRODUCT((Rules!$A$2:$A$60=O$1)*Rules!$C$2:$C$60*ISNUMBER(SEARCH(Rules!$E$2:$E$60,$D121)))</f>
        <v>0</v>
      </c>
      <c r="P121" s="0" t="n">
        <f aca="false">SUMPRODUCT((Rules!$A$2:$A$60=P$1)*Rules!$C$2:$C$60*ISNUMBER(SEARCH(Rules!$E$2:$E$60,$D121)))</f>
        <v>0</v>
      </c>
      <c r="Q121" s="0" t="n">
        <f aca="false">SUMPRODUCT((Rules!$A$2:$A$60=Q$1)*Rules!$C$2:$C$60*ISNUMBER(SEARCH(Rules!$E$2:$E$60,$D121)))</f>
        <v>3</v>
      </c>
      <c r="R121" s="0" t="str">
        <f aca="false">IF(OR(MAX(L121:Q121)&lt;Rules!$H$1,MAX(L121:Q121)-LARGE(L121:Q121,2)&lt;Rules!$H$2),"No label",INDEX($L$1:$Q$1,MATCH(MAX(L121:Q121),L121:Q121,0)))</f>
        <v>Customer Service</v>
      </c>
      <c r="S121" s="0" t="n">
        <f aca="false">SUMPRODUCT(ISNUMBER(SEARCH(" "&amp;Terms!$A$3:$A$821&amp;" ",$D121))*Terms!B$3:B$821)+Terms!B$2</f>
        <v>-1.66132145169368</v>
      </c>
      <c r="T121" s="0" t="n">
        <f aca="false">SUMPRODUCT(ISNUMBER(SEARCH(" "&amp;Terms!$A$3:$A$821&amp;" ",$D121))*Terms!C$3:C$821)+Terms!C$2</f>
        <v>-1.69807937467488</v>
      </c>
      <c r="U121" s="0" t="n">
        <f aca="false">SUMPRODUCT(ISNUMBER(SEARCH(" "&amp;Terms!$A$3:$A$821&amp;" ",$D121))*Terms!D$3:D$821)+Terms!D$2</f>
        <v>0.602517392612645</v>
      </c>
      <c r="V121" s="0" t="n">
        <f aca="false">SUMPRODUCT(ISNUMBER(SEARCH(" "&amp;Terms!$A$3:$A$821&amp;" ",$D121))*Terms!E$3:E$821)+Terms!E$2</f>
        <v>-1.89712207923565</v>
      </c>
      <c r="W121" s="0" t="n">
        <f aca="false">SUMPRODUCT(ISNUMBER(SEARCH(" "&amp;Terms!$A$3:$A$821&amp;" ",$D121))*Terms!F$3:F$821)+Terms!F$2</f>
        <v>-4.12688870387442</v>
      </c>
      <c r="X121" s="0" t="n">
        <f aca="false">SUMPRODUCT(ISNUMBER(SEARCH(" "&amp;Terms!$A$3:$A$821&amp;" ",$D121))*Terms!G$3:G$821)+Terms!G$2</f>
        <v>8.78089421686609</v>
      </c>
      <c r="Y121" s="0" t="str">
        <f aca="false">INDEX($S$1:$X$1,MATCH(MAX(S121:X121),S121:X121,0))</f>
        <v>Mis-selling</v>
      </c>
      <c r="Z121" s="0" t="s">
        <v>2607</v>
      </c>
    </row>
    <row r="122" customFormat="false" ht="15" hidden="false" customHeight="false" outlineLevel="0" collapsed="false">
      <c r="A122" s="0" t="str">
        <f aca="false">Complaints!A122</f>
        <v>C0121</v>
      </c>
      <c r="B122" s="0" t="str">
        <f aca="false">Complaints!B122</f>
        <v>To whom it may concern, Nobody explained the foreign transaction charges before my holiday. Also, the direct debit setup was delayed and I missed a bill because of it. I want this put right.</v>
      </c>
      <c r="C122" s="0" t="str">
        <f aca="false">Complaints!C122</f>
        <v>Fees &amp; Charges</v>
      </c>
      <c r="D122" s="0" t="str">
        <f aca="false">" "&amp;TRIM(SUBSTITUTE(SUBSTITUTE(SUBSTITUTE(SUBSTITUTE(SUBSTITUTE(SUBSTITUTE(SUBSTITUTE(SUBSTITUTE(SUBSTITUTE(SUBSTITUTE(SUBSTITUTE(SUBSTITUTE(SUBSTITUTE(SUBSTITUTE(SUBSTITUTE(SUBSTITUTE(LOWER(B122),"."," "),","," "),"'"," "),"’"," "),"!"," "),"?"," "),";"," "),":"," "),"-"," "),"("," "),")"," "),"""", " "),"£"," "),"&amp;"," "),"/"," "),"%"," "))&amp;" "</f>
        <v> to whom it may concern nobody explained the foreign transaction charges before my holiday also the direct debit setup was delayed and i missed a bill because of it i want this put right </v>
      </c>
      <c r="E122" s="0" t="n">
        <f aca="false">SUMPRODUCT((Rules!$A$2:$A$60=E$1)*Rules!$C$2:$C$60*ISNUMBER(SEARCH(Rules!$D$2:$D$60,$D122)))</f>
        <v>0</v>
      </c>
      <c r="F122" s="0" t="n">
        <f aca="false">SUMPRODUCT((Rules!$A$2:$A$60=F$1)*Rules!$C$2:$C$60*ISNUMBER(SEARCH(Rules!$D$2:$D$60,$D122)))</f>
        <v>0</v>
      </c>
      <c r="G122" s="0" t="n">
        <f aca="false">SUMPRODUCT((Rules!$A$2:$A$60=G$1)*Rules!$C$2:$C$60*ISNUMBER(SEARCH(Rules!$D$2:$D$60,$D122)))</f>
        <v>0</v>
      </c>
      <c r="H122" s="0" t="n">
        <f aca="false">SUMPRODUCT((Rules!$A$2:$A$60=H$1)*Rules!$C$2:$C$60*ISNUMBER(SEARCH(Rules!$D$2:$D$60,$D122)))</f>
        <v>0</v>
      </c>
      <c r="I122" s="0" t="n">
        <f aca="false">SUMPRODUCT((Rules!$A$2:$A$60=I$1)*Rules!$C$2:$C$60*ISNUMBER(SEARCH(Rules!$D$2:$D$60,$D122)))</f>
        <v>2</v>
      </c>
      <c r="J122" s="0" t="n">
        <f aca="false">SUMPRODUCT((Rules!$A$2:$A$60=J$1)*Rules!$C$2:$C$60*ISNUMBER(SEARCH(Rules!$D$2:$D$60,$D122)))</f>
        <v>0</v>
      </c>
      <c r="K122" s="0" t="str">
        <f aca="false">IF(OR(MAX(E122:J122)&lt;Rules!$H$1,MAX(E122:J122)-LARGE(E122:J122,2)&lt;Rules!$H$2),"No label",INDEX($E$1:$J$1,MATCH(MAX(E122:J122),E122:J122,0)))</f>
        <v>No label</v>
      </c>
      <c r="L122" s="0" t="n">
        <f aca="false">SUMPRODUCT((Rules!$A$2:$A$60=L$1)*Rules!$C$2:$C$60*ISNUMBER(SEARCH(Rules!$E$2:$E$60,$D122)))</f>
        <v>0</v>
      </c>
      <c r="M122" s="0" t="n">
        <f aca="false">SUMPRODUCT((Rules!$A$2:$A$60=M$1)*Rules!$C$2:$C$60*ISNUMBER(SEARCH(Rules!$E$2:$E$60,$D122)))</f>
        <v>0</v>
      </c>
      <c r="N122" s="0" t="n">
        <f aca="false">SUMPRODUCT((Rules!$A$2:$A$60=N$1)*Rules!$C$2:$C$60*ISNUMBER(SEARCH(Rules!$E$2:$E$60,$D122)))</f>
        <v>0</v>
      </c>
      <c r="O122" s="0" t="n">
        <f aca="false">SUMPRODUCT((Rules!$A$2:$A$60=O$1)*Rules!$C$2:$C$60*ISNUMBER(SEARCH(Rules!$E$2:$E$60,$D122)))</f>
        <v>6</v>
      </c>
      <c r="P122" s="0" t="n">
        <f aca="false">SUMPRODUCT((Rules!$A$2:$A$60=P$1)*Rules!$C$2:$C$60*ISNUMBER(SEARCH(Rules!$E$2:$E$60,$D122)))</f>
        <v>2</v>
      </c>
      <c r="Q122" s="0" t="n">
        <f aca="false">SUMPRODUCT((Rules!$A$2:$A$60=Q$1)*Rules!$C$2:$C$60*ISNUMBER(SEARCH(Rules!$E$2:$E$60,$D122)))</f>
        <v>0</v>
      </c>
      <c r="R122" s="0" t="str">
        <f aca="false">IF(OR(MAX(L122:Q122)&lt;Rules!$H$1,MAX(L122:Q122)-LARGE(L122:Q122,2)&lt;Rules!$H$2),"No label",INDEX($L$1:$Q$1,MATCH(MAX(L122:Q122),L122:Q122,0)))</f>
        <v>Fees &amp; Charges</v>
      </c>
      <c r="S122" s="0" t="n">
        <f aca="false">SUMPRODUCT(ISNUMBER(SEARCH(" "&amp;Terms!$A$3:$A$821&amp;" ",$D122))*Terms!B$3:B$821)+Terms!B$2</f>
        <v>-5.65553940935465</v>
      </c>
      <c r="T122" s="0" t="n">
        <f aca="false">SUMPRODUCT(ISNUMBER(SEARCH(" "&amp;Terms!$A$3:$A$821&amp;" ",$D122))*Terms!C$3:C$821)+Terms!C$2</f>
        <v>-5.23153606895219</v>
      </c>
      <c r="U122" s="0" t="n">
        <f aca="false">SUMPRODUCT(ISNUMBER(SEARCH(" "&amp;Terms!$A$3:$A$821&amp;" ",$D122))*Terms!D$3:D$821)+Terms!D$2</f>
        <v>7.39984283002394</v>
      </c>
      <c r="V122" s="0" t="n">
        <f aca="false">SUMPRODUCT(ISNUMBER(SEARCH(" "&amp;Terms!$A$3:$A$821&amp;" ",$D122))*Terms!E$3:E$821)+Terms!E$2</f>
        <v>10.7244945398567</v>
      </c>
      <c r="W122" s="0" t="n">
        <f aca="false">SUMPRODUCT(ISNUMBER(SEARCH(" "&amp;Terms!$A$3:$A$821&amp;" ",$D122))*Terms!F$3:F$821)+Terms!F$2</f>
        <v>-1.50283786153842</v>
      </c>
      <c r="X122" s="0" t="n">
        <f aca="false">SUMPRODUCT(ISNUMBER(SEARCH(" "&amp;Terms!$A$3:$A$821&amp;" ",$D122))*Terms!G$3:G$821)+Terms!G$2</f>
        <v>-5.73442403003526</v>
      </c>
      <c r="Y122" s="0" t="str">
        <f aca="false">INDEX($S$1:$X$1,MATCH(MAX(S122:X122),S122:X122,0))</f>
        <v>Fees &amp; Charges</v>
      </c>
      <c r="Z122" s="0" t="s">
        <v>2608</v>
      </c>
    </row>
    <row r="123" customFormat="false" ht="15" hidden="false" customHeight="false" outlineLevel="0" collapsed="false">
      <c r="A123" s="0" t="str">
        <f aca="false">Complaints!A123</f>
        <v>C0122</v>
      </c>
      <c r="B123" s="0" t="str">
        <f aca="false">Complaints!B123</f>
        <v>I am writing to complain. I spent an hour on hold and then the call was cut off. I do not think it was explained properly when I bought it. Please sort this out.</v>
      </c>
      <c r="C123" s="0" t="str">
        <f aca="false">Complaints!C123</f>
        <v>Customer Service</v>
      </c>
      <c r="D123" s="0" t="str">
        <f aca="false">" "&amp;TRIM(SUBSTITUTE(SUBSTITUTE(SUBSTITUTE(SUBSTITUTE(SUBSTITUTE(SUBSTITUTE(SUBSTITUTE(SUBSTITUTE(SUBSTITUTE(SUBSTITUTE(SUBSTITUTE(SUBSTITUTE(SUBSTITUTE(SUBSTITUTE(SUBSTITUTE(SUBSTITUTE(LOWER(B123),"."," "),","," "),"'"," "),"’"," "),"!"," "),"?"," "),";"," "),":"," "),"-"," "),"("," "),")"," "),"""", " "),"£"," "),"&amp;"," "),"/"," "),"%"," "))&amp;" "</f>
        <v> i am writing to complain i spent an hour on hold and then the call was cut off i do not think it was explained properly when i bought it please sort this out </v>
      </c>
      <c r="E123" s="0" t="n">
        <f aca="false">SUMPRODUCT((Rules!$A$2:$A$60=E$1)*Rules!$C$2:$C$60*ISNUMBER(SEARCH(Rules!$D$2:$D$60,$D123)))</f>
        <v>0</v>
      </c>
      <c r="F123" s="0" t="n">
        <f aca="false">SUMPRODUCT((Rules!$A$2:$A$60=F$1)*Rules!$C$2:$C$60*ISNUMBER(SEARCH(Rules!$D$2:$D$60,$D123)))</f>
        <v>0</v>
      </c>
      <c r="G123" s="0" t="n">
        <f aca="false">SUMPRODUCT((Rules!$A$2:$A$60=G$1)*Rules!$C$2:$C$60*ISNUMBER(SEARCH(Rules!$D$2:$D$60,$D123)))</f>
        <v>0</v>
      </c>
      <c r="H123" s="0" t="n">
        <f aca="false">SUMPRODUCT((Rules!$A$2:$A$60=H$1)*Rules!$C$2:$C$60*ISNUMBER(SEARCH(Rules!$D$2:$D$60,$D123)))</f>
        <v>0</v>
      </c>
      <c r="I123" s="0" t="n">
        <f aca="false">SUMPRODUCT((Rules!$A$2:$A$60=I$1)*Rules!$C$2:$C$60*ISNUMBER(SEARCH(Rules!$D$2:$D$60,$D123)))</f>
        <v>0</v>
      </c>
      <c r="J123" s="0" t="n">
        <f aca="false">SUMPRODUCT((Rules!$A$2:$A$60=J$1)*Rules!$C$2:$C$60*ISNUMBER(SEARCH(Rules!$D$2:$D$60,$D123)))</f>
        <v>3</v>
      </c>
      <c r="K123" s="0" t="str">
        <f aca="false">IF(OR(MAX(E123:J123)&lt;Rules!$H$1,MAX(E123:J123)-LARGE(E123:J123,2)&lt;Rules!$H$2),"No label",INDEX($E$1:$J$1,MATCH(MAX(E123:J123),E123:J123,0)))</f>
        <v>Customer Service</v>
      </c>
      <c r="L123" s="0" t="n">
        <f aca="false">SUMPRODUCT((Rules!$A$2:$A$60=L$1)*Rules!$C$2:$C$60*ISNUMBER(SEARCH(Rules!$E$2:$E$60,$D123)))</f>
        <v>0</v>
      </c>
      <c r="M123" s="0" t="n">
        <f aca="false">SUMPRODUCT((Rules!$A$2:$A$60=M$1)*Rules!$C$2:$C$60*ISNUMBER(SEARCH(Rules!$E$2:$E$60,$D123)))</f>
        <v>0</v>
      </c>
      <c r="N123" s="0" t="n">
        <f aca="false">SUMPRODUCT((Rules!$A$2:$A$60=N$1)*Rules!$C$2:$C$60*ISNUMBER(SEARCH(Rules!$E$2:$E$60,$D123)))</f>
        <v>0</v>
      </c>
      <c r="O123" s="0" t="n">
        <f aca="false">SUMPRODUCT((Rules!$A$2:$A$60=O$1)*Rules!$C$2:$C$60*ISNUMBER(SEARCH(Rules!$E$2:$E$60,$D123)))</f>
        <v>0</v>
      </c>
      <c r="P123" s="0" t="n">
        <f aca="false">SUMPRODUCT((Rules!$A$2:$A$60=P$1)*Rules!$C$2:$C$60*ISNUMBER(SEARCH(Rules!$E$2:$E$60,$D123)))</f>
        <v>0</v>
      </c>
      <c r="Q123" s="0" t="n">
        <f aca="false">SUMPRODUCT((Rules!$A$2:$A$60=Q$1)*Rules!$C$2:$C$60*ISNUMBER(SEARCH(Rules!$E$2:$E$60,$D123)))</f>
        <v>3</v>
      </c>
      <c r="R123" s="0" t="str">
        <f aca="false">IF(OR(MAX(L123:Q123)&lt;Rules!$H$1,MAX(L123:Q123)-LARGE(L123:Q123,2)&lt;Rules!$H$2),"No label",INDEX($L$1:$Q$1,MATCH(MAX(L123:Q123),L123:Q123,0)))</f>
        <v>Customer Service</v>
      </c>
      <c r="S123" s="0" t="n">
        <f aca="false">SUMPRODUCT(ISNUMBER(SEARCH(" "&amp;Terms!$A$3:$A$821&amp;" ",$D123))*Terms!B$3:B$821)+Terms!B$2</f>
        <v>-3.43599234470699</v>
      </c>
      <c r="T123" s="0" t="n">
        <f aca="false">SUMPRODUCT(ISNUMBER(SEARCH(" "&amp;Terms!$A$3:$A$821&amp;" ",$D123))*Terms!C$3:C$821)+Terms!C$2</f>
        <v>8.0164050093485</v>
      </c>
      <c r="U123" s="0" t="n">
        <f aca="false">SUMPRODUCT(ISNUMBER(SEARCH(" "&amp;Terms!$A$3:$A$821&amp;" ",$D123))*Terms!D$3:D$821)+Terms!D$2</f>
        <v>-0.633506056328562</v>
      </c>
      <c r="V123" s="0" t="n">
        <f aca="false">SUMPRODUCT(ISNUMBER(SEARCH(" "&amp;Terms!$A$3:$A$821&amp;" ",$D123))*Terms!E$3:E$821)+Terms!E$2</f>
        <v>-0.928885178066257</v>
      </c>
      <c r="W123" s="0" t="n">
        <f aca="false">SUMPRODUCT(ISNUMBER(SEARCH(" "&amp;Terms!$A$3:$A$821&amp;" ",$D123))*Terms!F$3:F$821)+Terms!F$2</f>
        <v>0.58697196983754</v>
      </c>
      <c r="X123" s="0" t="n">
        <f aca="false">SUMPRODUCT(ISNUMBER(SEARCH(" "&amp;Terms!$A$3:$A$821&amp;" ",$D123))*Terms!G$3:G$821)+Terms!G$2</f>
        <v>-3.60499340008413</v>
      </c>
      <c r="Y123" s="0" t="str">
        <f aca="false">INDEX($S$1:$X$1,MATCH(MAX(S123:X123),S123:X123,0))</f>
        <v>Customer Service</v>
      </c>
      <c r="Z123" s="0" t="s">
        <v>2607</v>
      </c>
    </row>
    <row r="124" customFormat="false" ht="15" hidden="false" customHeight="false" outlineLevel="0" collapsed="false">
      <c r="A124" s="0" t="str">
        <f aca="false">Complaints!A124</f>
        <v>C0123</v>
      </c>
      <c r="B124" s="0" t="str">
        <f aca="false">Complaints!B124</f>
        <v>I have been a customer for years. The direct debit setup was delayed and I missed a bill because of it.</v>
      </c>
      <c r="C124" s="0" t="str">
        <f aca="false">Complaints!C124</f>
        <v>Delays &amp; Processing</v>
      </c>
      <c r="D124" s="0" t="str">
        <f aca="false">" "&amp;TRIM(SUBSTITUTE(SUBSTITUTE(SUBSTITUTE(SUBSTITUTE(SUBSTITUTE(SUBSTITUTE(SUBSTITUTE(SUBSTITUTE(SUBSTITUTE(SUBSTITUTE(SUBSTITUTE(SUBSTITUTE(SUBSTITUTE(SUBSTITUTE(SUBSTITUTE(SUBSTITUTE(LOWER(B124),"."," "),","," "),"'"," "),"’"," "),"!"," "),"?"," "),";"," "),":"," "),"-"," "),"("," "),")"," "),"""", " "),"£"," "),"&amp;"," "),"/"," "),"%"," "))&amp;" "</f>
        <v> i have been a customer for years the direct debit setup was delayed and i missed a bill because of it </v>
      </c>
      <c r="E124" s="0" t="n">
        <f aca="false">SUMPRODUCT((Rules!$A$2:$A$60=E$1)*Rules!$C$2:$C$60*ISNUMBER(SEARCH(Rules!$D$2:$D$60,$D124)))</f>
        <v>0</v>
      </c>
      <c r="F124" s="0" t="n">
        <f aca="false">SUMPRODUCT((Rules!$A$2:$A$60=F$1)*Rules!$C$2:$C$60*ISNUMBER(SEARCH(Rules!$D$2:$D$60,$D124)))</f>
        <v>0</v>
      </c>
      <c r="G124" s="0" t="n">
        <f aca="false">SUMPRODUCT((Rules!$A$2:$A$60=G$1)*Rules!$C$2:$C$60*ISNUMBER(SEARCH(Rules!$D$2:$D$60,$D124)))</f>
        <v>0</v>
      </c>
      <c r="H124" s="0" t="n">
        <f aca="false">SUMPRODUCT((Rules!$A$2:$A$60=H$1)*Rules!$C$2:$C$60*ISNUMBER(SEARCH(Rules!$D$2:$D$60,$D124)))</f>
        <v>0</v>
      </c>
      <c r="I124" s="0" t="n">
        <f aca="false">SUMPRODUCT((Rules!$A$2:$A$60=I$1)*Rules!$C$2:$C$60*ISNUMBER(SEARCH(Rules!$D$2:$D$60,$D124)))</f>
        <v>2</v>
      </c>
      <c r="J124" s="0" t="n">
        <f aca="false">SUMPRODUCT((Rules!$A$2:$A$60=J$1)*Rules!$C$2:$C$60*ISNUMBER(SEARCH(Rules!$D$2:$D$60,$D124)))</f>
        <v>0</v>
      </c>
      <c r="K124" s="0" t="str">
        <f aca="false">IF(OR(MAX(E124:J124)&lt;Rules!$H$1,MAX(E124:J124)-LARGE(E124:J124,2)&lt;Rules!$H$2),"No label",INDEX($E$1:$J$1,MATCH(MAX(E124:J124),E124:J124,0)))</f>
        <v>No label</v>
      </c>
      <c r="L124" s="0" t="n">
        <f aca="false">SUMPRODUCT((Rules!$A$2:$A$60=L$1)*Rules!$C$2:$C$60*ISNUMBER(SEARCH(Rules!$E$2:$E$60,$D124)))</f>
        <v>0</v>
      </c>
      <c r="M124" s="0" t="n">
        <f aca="false">SUMPRODUCT((Rules!$A$2:$A$60=M$1)*Rules!$C$2:$C$60*ISNUMBER(SEARCH(Rules!$E$2:$E$60,$D124)))</f>
        <v>0</v>
      </c>
      <c r="N124" s="0" t="n">
        <f aca="false">SUMPRODUCT((Rules!$A$2:$A$60=N$1)*Rules!$C$2:$C$60*ISNUMBER(SEARCH(Rules!$E$2:$E$60,$D124)))</f>
        <v>0</v>
      </c>
      <c r="O124" s="0" t="n">
        <f aca="false">SUMPRODUCT((Rules!$A$2:$A$60=O$1)*Rules!$C$2:$C$60*ISNUMBER(SEARCH(Rules!$E$2:$E$60,$D124)))</f>
        <v>2</v>
      </c>
      <c r="P124" s="0" t="n">
        <f aca="false">SUMPRODUCT((Rules!$A$2:$A$60=P$1)*Rules!$C$2:$C$60*ISNUMBER(SEARCH(Rules!$E$2:$E$60,$D124)))</f>
        <v>2</v>
      </c>
      <c r="Q124" s="0" t="n">
        <f aca="false">SUMPRODUCT((Rules!$A$2:$A$60=Q$1)*Rules!$C$2:$C$60*ISNUMBER(SEARCH(Rules!$E$2:$E$60,$D124)))</f>
        <v>0</v>
      </c>
      <c r="R124" s="0" t="str">
        <f aca="false">IF(OR(MAX(L124:Q124)&lt;Rules!$H$1,MAX(L124:Q124)-LARGE(L124:Q124,2)&lt;Rules!$H$2),"No label",INDEX($L$1:$Q$1,MATCH(MAX(L124:Q124),L124:Q124,0)))</f>
        <v>No label</v>
      </c>
      <c r="S124" s="0" t="n">
        <f aca="false">SUMPRODUCT(ISNUMBER(SEARCH(" "&amp;Terms!$A$3:$A$821&amp;" ",$D124))*Terms!B$3:B$821)+Terms!B$2</f>
        <v>-2.50399331923637</v>
      </c>
      <c r="T124" s="0" t="n">
        <f aca="false">SUMPRODUCT(ISNUMBER(SEARCH(" "&amp;Terms!$A$3:$A$821&amp;" ",$D124))*Terms!C$3:C$821)+Terms!C$2</f>
        <v>-1.55894169270012</v>
      </c>
      <c r="U124" s="0" t="n">
        <f aca="false">SUMPRODUCT(ISNUMBER(SEARCH(" "&amp;Terms!$A$3:$A$821&amp;" ",$D124))*Terms!D$3:D$821)+Terms!D$2</f>
        <v>12.041171091185</v>
      </c>
      <c r="V124" s="0" t="n">
        <f aca="false">SUMPRODUCT(ISNUMBER(SEARCH(" "&amp;Terms!$A$3:$A$821&amp;" ",$D124))*Terms!E$3:E$821)+Terms!E$2</f>
        <v>-4.03308088403283</v>
      </c>
      <c r="W124" s="0" t="n">
        <f aca="false">SUMPRODUCT(ISNUMBER(SEARCH(" "&amp;Terms!$A$3:$A$821&amp;" ",$D124))*Terms!F$3:F$821)+Terms!F$2</f>
        <v>-0.977188202560204</v>
      </c>
      <c r="X124" s="0" t="n">
        <f aca="false">SUMPRODUCT(ISNUMBER(SEARCH(" "&amp;Terms!$A$3:$A$821&amp;" ",$D124))*Terms!G$3:G$821)+Terms!G$2</f>
        <v>-2.96796699265535</v>
      </c>
      <c r="Y124" s="0" t="str">
        <f aca="false">INDEX($S$1:$X$1,MATCH(MAX(S124:X124),S124:X124,0))</f>
        <v>Delays &amp; Processing</v>
      </c>
      <c r="Z124" s="0" t="s">
        <v>2607</v>
      </c>
    </row>
    <row r="125" customFormat="false" ht="15" hidden="false" customHeight="false" outlineLevel="0" collapsed="false">
      <c r="A125" s="0" t="str">
        <f aca="false">Complaints!A125</f>
        <v>C0124</v>
      </c>
      <c r="B125" s="0" t="str">
        <f aca="false">Complaints!B125</f>
        <v>The closure of my old account has dragged on for months. There was also a fee involved. I expect compensation.</v>
      </c>
      <c r="C125" s="0" t="str">
        <f aca="false">Complaints!C125</f>
        <v>Delays &amp; Processing</v>
      </c>
      <c r="D125" s="0" t="str">
        <f aca="false">" "&amp;TRIM(SUBSTITUTE(SUBSTITUTE(SUBSTITUTE(SUBSTITUTE(SUBSTITUTE(SUBSTITUTE(SUBSTITUTE(SUBSTITUTE(SUBSTITUTE(SUBSTITUTE(SUBSTITUTE(SUBSTITUTE(SUBSTITUTE(SUBSTITUTE(SUBSTITUTE(SUBSTITUTE(LOWER(B125),"."," "),","," "),"'"," "),"’"," "),"!"," "),"?"," "),";"," "),":"," "),"-"," "),"("," "),")"," "),"""", " "),"£"," "),"&amp;"," "),"/"," "),"%"," "))&amp;" "</f>
        <v> the closure of my old account has dragged on for months there was also a fee involved i expect compensation </v>
      </c>
      <c r="E125" s="0" t="n">
        <f aca="false">SUMPRODUCT((Rules!$A$2:$A$60=E$1)*Rules!$C$2:$C$60*ISNUMBER(SEARCH(Rules!$D$2:$D$60,$D125)))</f>
        <v>0</v>
      </c>
      <c r="F125" s="0" t="n">
        <f aca="false">SUMPRODUCT((Rules!$A$2:$A$60=F$1)*Rules!$C$2:$C$60*ISNUMBER(SEARCH(Rules!$D$2:$D$60,$D125)))</f>
        <v>0</v>
      </c>
      <c r="G125" s="0" t="n">
        <f aca="false">SUMPRODUCT((Rules!$A$2:$A$60=G$1)*Rules!$C$2:$C$60*ISNUMBER(SEARCH(Rules!$D$2:$D$60,$D125)))</f>
        <v>0</v>
      </c>
      <c r="H125" s="0" t="n">
        <f aca="false">SUMPRODUCT((Rules!$A$2:$A$60=H$1)*Rules!$C$2:$C$60*ISNUMBER(SEARCH(Rules!$D$2:$D$60,$D125)))</f>
        <v>2</v>
      </c>
      <c r="I125" s="0" t="n">
        <f aca="false">SUMPRODUCT((Rules!$A$2:$A$60=I$1)*Rules!$C$2:$C$60*ISNUMBER(SEARCH(Rules!$D$2:$D$60,$D125)))</f>
        <v>2</v>
      </c>
      <c r="J125" s="0" t="n">
        <f aca="false">SUMPRODUCT((Rules!$A$2:$A$60=J$1)*Rules!$C$2:$C$60*ISNUMBER(SEARCH(Rules!$D$2:$D$60,$D125)))</f>
        <v>0</v>
      </c>
      <c r="K125" s="0" t="str">
        <f aca="false">IF(OR(MAX(E125:J125)&lt;Rules!$H$1,MAX(E125:J125)-LARGE(E125:J125,2)&lt;Rules!$H$2),"No label",INDEX($E$1:$J$1,MATCH(MAX(E125:J125),E125:J125,0)))</f>
        <v>No label</v>
      </c>
      <c r="L125" s="0" t="n">
        <f aca="false">SUMPRODUCT((Rules!$A$2:$A$60=L$1)*Rules!$C$2:$C$60*ISNUMBER(SEARCH(Rules!$E$2:$E$60,$D125)))</f>
        <v>0</v>
      </c>
      <c r="M125" s="0" t="n">
        <f aca="false">SUMPRODUCT((Rules!$A$2:$A$60=M$1)*Rules!$C$2:$C$60*ISNUMBER(SEARCH(Rules!$E$2:$E$60,$D125)))</f>
        <v>0</v>
      </c>
      <c r="N125" s="0" t="n">
        <f aca="false">SUMPRODUCT((Rules!$A$2:$A$60=N$1)*Rules!$C$2:$C$60*ISNUMBER(SEARCH(Rules!$E$2:$E$60,$D125)))</f>
        <v>0</v>
      </c>
      <c r="O125" s="0" t="n">
        <f aca="false">SUMPRODUCT((Rules!$A$2:$A$60=O$1)*Rules!$C$2:$C$60*ISNUMBER(SEARCH(Rules!$E$2:$E$60,$D125)))</f>
        <v>2</v>
      </c>
      <c r="P125" s="0" t="n">
        <f aca="false">SUMPRODUCT((Rules!$A$2:$A$60=P$1)*Rules!$C$2:$C$60*ISNUMBER(SEARCH(Rules!$E$2:$E$60,$D125)))</f>
        <v>2</v>
      </c>
      <c r="Q125" s="0" t="n">
        <f aca="false">SUMPRODUCT((Rules!$A$2:$A$60=Q$1)*Rules!$C$2:$C$60*ISNUMBER(SEARCH(Rules!$E$2:$E$60,$D125)))</f>
        <v>0</v>
      </c>
      <c r="R125" s="0" t="str">
        <f aca="false">IF(OR(MAX(L125:Q125)&lt;Rules!$H$1,MAX(L125:Q125)-LARGE(L125:Q125,2)&lt;Rules!$H$2),"No label",INDEX($L$1:$Q$1,MATCH(MAX(L125:Q125),L125:Q125,0)))</f>
        <v>No label</v>
      </c>
      <c r="S125" s="0" t="n">
        <f aca="false">SUMPRODUCT(ISNUMBER(SEARCH(" "&amp;Terms!$A$3:$A$821&amp;" ",$D125))*Terms!B$3:B$821)+Terms!B$2</f>
        <v>2.25663085800563</v>
      </c>
      <c r="T125" s="0" t="n">
        <f aca="false">SUMPRODUCT(ISNUMBER(SEARCH(" "&amp;Terms!$A$3:$A$821&amp;" ",$D125))*Terms!C$3:C$821)+Terms!C$2</f>
        <v>-4.28724227879447</v>
      </c>
      <c r="U125" s="0" t="n">
        <f aca="false">SUMPRODUCT(ISNUMBER(SEARCH(" "&amp;Terms!$A$3:$A$821&amp;" ",$D125))*Terms!D$3:D$821)+Terms!D$2</f>
        <v>8.16611705108692</v>
      </c>
      <c r="V125" s="0" t="n">
        <f aca="false">SUMPRODUCT(ISNUMBER(SEARCH(" "&amp;Terms!$A$3:$A$821&amp;" ",$D125))*Terms!E$3:E$821)+Terms!E$2</f>
        <v>-1.52069518972566</v>
      </c>
      <c r="W125" s="0" t="n">
        <f aca="false">SUMPRODUCT(ISNUMBER(SEARCH(" "&amp;Terms!$A$3:$A$821&amp;" ",$D125))*Terms!F$3:F$821)+Terms!F$2</f>
        <v>0.436310195935663</v>
      </c>
      <c r="X125" s="0" t="n">
        <f aca="false">SUMPRODUCT(ISNUMBER(SEARCH(" "&amp;Terms!$A$3:$A$821&amp;" ",$D125))*Terms!G$3:G$821)+Terms!G$2</f>
        <v>-5.05112063650797</v>
      </c>
      <c r="Y125" s="0" t="str">
        <f aca="false">INDEX($S$1:$X$1,MATCH(MAX(S125:X125),S125:X125,0))</f>
        <v>Delays &amp; Processing</v>
      </c>
      <c r="Z125" s="0" t="s">
        <v>2607</v>
      </c>
    </row>
    <row r="126" customFormat="false" ht="15" hidden="false" customHeight="false" outlineLevel="0" collapsed="false">
      <c r="A126" s="0" t="str">
        <f aca="false">Complaints!A126</f>
        <v>C0125</v>
      </c>
      <c r="B126" s="0" t="str">
        <f aca="false">Complaints!B126</f>
        <v>I am writing to complain. There are transactions on my card I do not recognise. Also, my mortgage switch is taking far longer than you said it would.</v>
      </c>
      <c r="C126" s="0" t="str">
        <f aca="false">Complaints!C126</f>
        <v>Fraud &amp; Scams</v>
      </c>
      <c r="D126" s="0" t="str">
        <f aca="false">" "&amp;TRIM(SUBSTITUTE(SUBSTITUTE(SUBSTITUTE(SUBSTITUTE(SUBSTITUTE(SUBSTITUTE(SUBSTITUTE(SUBSTITUTE(SUBSTITUTE(SUBSTITUTE(SUBSTITUTE(SUBSTITUTE(SUBSTITUTE(SUBSTITUTE(SUBSTITUTE(SUBSTITUTE(LOWER(B126),"."," "),","," "),"'"," "),"’"," "),"!"," "),"?"," "),";"," "),":"," "),"-"," "),"("," "),")"," "),"""", " "),"£"," "),"&amp;"," "),"/"," "),"%"," "))&amp;" "</f>
        <v> i am writing to complain there are transactions on my card i do not recognise also my mortgage switch is taking far longer than you said it would </v>
      </c>
      <c r="E126" s="0" t="n">
        <f aca="false">SUMPRODUCT((Rules!$A$2:$A$60=E$1)*Rules!$C$2:$C$60*ISNUMBER(SEARCH(Rules!$D$2:$D$60,$D126)))</f>
        <v>2</v>
      </c>
      <c r="F126" s="0" t="n">
        <f aca="false">SUMPRODUCT((Rules!$A$2:$A$60=F$1)*Rules!$C$2:$C$60*ISNUMBER(SEARCH(Rules!$D$2:$D$60,$D126)))</f>
        <v>0</v>
      </c>
      <c r="G126" s="0" t="n">
        <f aca="false">SUMPRODUCT((Rules!$A$2:$A$60=G$1)*Rules!$C$2:$C$60*ISNUMBER(SEARCH(Rules!$D$2:$D$60,$D126)))</f>
        <v>0</v>
      </c>
      <c r="H126" s="0" t="n">
        <f aca="false">SUMPRODUCT((Rules!$A$2:$A$60=H$1)*Rules!$C$2:$C$60*ISNUMBER(SEARCH(Rules!$D$2:$D$60,$D126)))</f>
        <v>0</v>
      </c>
      <c r="I126" s="0" t="n">
        <f aca="false">SUMPRODUCT((Rules!$A$2:$A$60=I$1)*Rules!$C$2:$C$60*ISNUMBER(SEARCH(Rules!$D$2:$D$60,$D126)))</f>
        <v>2</v>
      </c>
      <c r="J126" s="0" t="n">
        <f aca="false">SUMPRODUCT((Rules!$A$2:$A$60=J$1)*Rules!$C$2:$C$60*ISNUMBER(SEARCH(Rules!$D$2:$D$60,$D126)))</f>
        <v>0</v>
      </c>
      <c r="K126" s="0" t="str">
        <f aca="false">IF(OR(MAX(E126:J126)&lt;Rules!$H$1,MAX(E126:J126)-LARGE(E126:J126,2)&lt;Rules!$H$2),"No label",INDEX($E$1:$J$1,MATCH(MAX(E126:J126),E126:J126,0)))</f>
        <v>No label</v>
      </c>
      <c r="L126" s="0" t="n">
        <f aca="false">SUMPRODUCT((Rules!$A$2:$A$60=L$1)*Rules!$C$2:$C$60*ISNUMBER(SEARCH(Rules!$E$2:$E$60,$D126)))</f>
        <v>2</v>
      </c>
      <c r="M126" s="0" t="n">
        <f aca="false">SUMPRODUCT((Rules!$A$2:$A$60=M$1)*Rules!$C$2:$C$60*ISNUMBER(SEARCH(Rules!$E$2:$E$60,$D126)))</f>
        <v>0</v>
      </c>
      <c r="N126" s="0" t="n">
        <f aca="false">SUMPRODUCT((Rules!$A$2:$A$60=N$1)*Rules!$C$2:$C$60*ISNUMBER(SEARCH(Rules!$E$2:$E$60,$D126)))</f>
        <v>0</v>
      </c>
      <c r="O126" s="0" t="n">
        <f aca="false">SUMPRODUCT((Rules!$A$2:$A$60=O$1)*Rules!$C$2:$C$60*ISNUMBER(SEARCH(Rules!$E$2:$E$60,$D126)))</f>
        <v>0</v>
      </c>
      <c r="P126" s="0" t="n">
        <f aca="false">SUMPRODUCT((Rules!$A$2:$A$60=P$1)*Rules!$C$2:$C$60*ISNUMBER(SEARCH(Rules!$E$2:$E$60,$D126)))</f>
        <v>2</v>
      </c>
      <c r="Q126" s="0" t="n">
        <f aca="false">SUMPRODUCT((Rules!$A$2:$A$60=Q$1)*Rules!$C$2:$C$60*ISNUMBER(SEARCH(Rules!$E$2:$E$60,$D126)))</f>
        <v>0</v>
      </c>
      <c r="R126" s="0" t="str">
        <f aca="false">IF(OR(MAX(L126:Q126)&lt;Rules!$H$1,MAX(L126:Q126)-LARGE(L126:Q126,2)&lt;Rules!$H$2),"No label",INDEX($L$1:$Q$1,MATCH(MAX(L126:Q126),L126:Q126,0)))</f>
        <v>No label</v>
      </c>
      <c r="S126" s="0" t="n">
        <f aca="false">SUMPRODUCT(ISNUMBER(SEARCH(" "&amp;Terms!$A$3:$A$821&amp;" ",$D126))*Terms!B$3:B$821)+Terms!B$2</f>
        <v>-3.90941882845996</v>
      </c>
      <c r="T126" s="0" t="n">
        <f aca="false">SUMPRODUCT(ISNUMBER(SEARCH(" "&amp;Terms!$A$3:$A$821&amp;" ",$D126))*Terms!C$3:C$821)+Terms!C$2</f>
        <v>-0.0939780929658841</v>
      </c>
      <c r="U126" s="0" t="n">
        <f aca="false">SUMPRODUCT(ISNUMBER(SEARCH(" "&amp;Terms!$A$3:$A$821&amp;" ",$D126))*Terms!D$3:D$821)+Terms!D$2</f>
        <v>9.96560368364857</v>
      </c>
      <c r="V126" s="0" t="n">
        <f aca="false">SUMPRODUCT(ISNUMBER(SEARCH(" "&amp;Terms!$A$3:$A$821&amp;" ",$D126))*Terms!E$3:E$821)+Terms!E$2</f>
        <v>-5.24829976060568</v>
      </c>
      <c r="W126" s="0" t="n">
        <f aca="false">SUMPRODUCT(ISNUMBER(SEARCH(" "&amp;Terms!$A$3:$A$821&amp;" ",$D126))*Terms!F$3:F$821)+Terms!F$2</f>
        <v>3.33251586148841</v>
      </c>
      <c r="X126" s="0" t="n">
        <f aca="false">SUMPRODUCT(ISNUMBER(SEARCH(" "&amp;Terms!$A$3:$A$821&amp;" ",$D126))*Terms!G$3:G$821)+Terms!G$2</f>
        <v>-4.04642286310537</v>
      </c>
      <c r="Y126" s="0" t="str">
        <f aca="false">INDEX($S$1:$X$1,MATCH(MAX(S126:X126),S126:X126,0))</f>
        <v>Delays &amp; Processing</v>
      </c>
      <c r="Z126" s="0" t="s">
        <v>2608</v>
      </c>
    </row>
    <row r="127" customFormat="false" ht="15" hidden="false" customHeight="false" outlineLevel="0" collapsed="false">
      <c r="A127" s="0" t="str">
        <f aca="false">Complaints!A127</f>
        <v>C0126</v>
      </c>
      <c r="B127" s="0" t="str">
        <f aca="false">Complaints!B127</f>
        <v>There is an unexpected charge on my statement of £25. I could not log in to check either.</v>
      </c>
      <c r="C127" s="0" t="str">
        <f aca="false">Complaints!C127</f>
        <v>Fees &amp; Charges</v>
      </c>
      <c r="D127" s="0" t="str">
        <f aca="false">" "&amp;TRIM(SUBSTITUTE(SUBSTITUTE(SUBSTITUTE(SUBSTITUTE(SUBSTITUTE(SUBSTITUTE(SUBSTITUTE(SUBSTITUTE(SUBSTITUTE(SUBSTITUTE(SUBSTITUTE(SUBSTITUTE(SUBSTITUTE(SUBSTITUTE(SUBSTITUTE(SUBSTITUTE(LOWER(B127),"."," "),","," "),"'"," "),"’"," "),"!"," "),"?"," "),";"," "),":"," "),"-"," "),"("," "),")"," "),"""", " "),"£"," "),"&amp;"," "),"/"," "),"%"," "))&amp;" "</f>
        <v> there is an unexpected charge on my statement of 25 i could not log in to check either </v>
      </c>
      <c r="E127" s="0" t="n">
        <f aca="false">SUMPRODUCT((Rules!$A$2:$A$60=E$1)*Rules!$C$2:$C$60*ISNUMBER(SEARCH(Rules!$D$2:$D$60,$D127)))</f>
        <v>0</v>
      </c>
      <c r="F127" s="0" t="n">
        <f aca="false">SUMPRODUCT((Rules!$A$2:$A$60=F$1)*Rules!$C$2:$C$60*ISNUMBER(SEARCH(Rules!$D$2:$D$60,$D127)))</f>
        <v>0</v>
      </c>
      <c r="G127" s="0" t="n">
        <f aca="false">SUMPRODUCT((Rules!$A$2:$A$60=G$1)*Rules!$C$2:$C$60*ISNUMBER(SEARCH(Rules!$D$2:$D$60,$D127)))</f>
        <v>3</v>
      </c>
      <c r="H127" s="0" t="n">
        <f aca="false">SUMPRODUCT((Rules!$A$2:$A$60=H$1)*Rules!$C$2:$C$60*ISNUMBER(SEARCH(Rules!$D$2:$D$60,$D127)))</f>
        <v>3</v>
      </c>
      <c r="I127" s="0" t="n">
        <f aca="false">SUMPRODUCT((Rules!$A$2:$A$60=I$1)*Rules!$C$2:$C$60*ISNUMBER(SEARCH(Rules!$D$2:$D$60,$D127)))</f>
        <v>0</v>
      </c>
      <c r="J127" s="0" t="n">
        <f aca="false">SUMPRODUCT((Rules!$A$2:$A$60=J$1)*Rules!$C$2:$C$60*ISNUMBER(SEARCH(Rules!$D$2:$D$60,$D127)))</f>
        <v>0</v>
      </c>
      <c r="K127" s="0" t="str">
        <f aca="false">IF(OR(MAX(E127:J127)&lt;Rules!$H$1,MAX(E127:J127)-LARGE(E127:J127,2)&lt;Rules!$H$2),"No label",INDEX($E$1:$J$1,MATCH(MAX(E127:J127),E127:J127,0)))</f>
        <v>No label</v>
      </c>
      <c r="L127" s="0" t="n">
        <f aca="false">SUMPRODUCT((Rules!$A$2:$A$60=L$1)*Rules!$C$2:$C$60*ISNUMBER(SEARCH(Rules!$E$2:$E$60,$D127)))</f>
        <v>0</v>
      </c>
      <c r="M127" s="0" t="n">
        <f aca="false">SUMPRODUCT((Rules!$A$2:$A$60=M$1)*Rules!$C$2:$C$60*ISNUMBER(SEARCH(Rules!$E$2:$E$60,$D127)))</f>
        <v>0</v>
      </c>
      <c r="N127" s="0" t="n">
        <f aca="false">SUMPRODUCT((Rules!$A$2:$A$60=N$1)*Rules!$C$2:$C$60*ISNUMBER(SEARCH(Rules!$E$2:$E$60,$D127)))</f>
        <v>3</v>
      </c>
      <c r="O127" s="0" t="n">
        <f aca="false">SUMPRODUCT((Rules!$A$2:$A$60=O$1)*Rules!$C$2:$C$60*ISNUMBER(SEARCH(Rules!$E$2:$E$60,$D127)))</f>
        <v>5</v>
      </c>
      <c r="P127" s="0" t="n">
        <f aca="false">SUMPRODUCT((Rules!$A$2:$A$60=P$1)*Rules!$C$2:$C$60*ISNUMBER(SEARCH(Rules!$E$2:$E$60,$D127)))</f>
        <v>0</v>
      </c>
      <c r="Q127" s="0" t="n">
        <f aca="false">SUMPRODUCT((Rules!$A$2:$A$60=Q$1)*Rules!$C$2:$C$60*ISNUMBER(SEARCH(Rules!$E$2:$E$60,$D127)))</f>
        <v>0</v>
      </c>
      <c r="R127" s="0" t="str">
        <f aca="false">IF(OR(MAX(L127:Q127)&lt;Rules!$H$1,MAX(L127:Q127)-LARGE(L127:Q127,2)&lt;Rules!$H$2),"No label",INDEX($L$1:$Q$1,MATCH(MAX(L127:Q127),L127:Q127,0)))</f>
        <v>Fees &amp; Charges</v>
      </c>
      <c r="S127" s="0" t="n">
        <f aca="false">SUMPRODUCT(ISNUMBER(SEARCH(" "&amp;Terms!$A$3:$A$821&amp;" ",$D127))*Terms!B$3:B$821)+Terms!B$2</f>
        <v>-3.70520447042772</v>
      </c>
      <c r="T127" s="0" t="n">
        <f aca="false">SUMPRODUCT(ISNUMBER(SEARCH(" "&amp;Terms!$A$3:$A$821&amp;" ",$D127))*Terms!C$3:C$821)+Terms!C$2</f>
        <v>-2.06238005589037</v>
      </c>
      <c r="U127" s="0" t="n">
        <f aca="false">SUMPRODUCT(ISNUMBER(SEARCH(" "&amp;Terms!$A$3:$A$821&amp;" ",$D127))*Terms!D$3:D$821)+Terms!D$2</f>
        <v>-1.85825320221874</v>
      </c>
      <c r="V127" s="0" t="n">
        <f aca="false">SUMPRODUCT(ISNUMBER(SEARCH(" "&amp;Terms!$A$3:$A$821&amp;" ",$D127))*Terms!E$3:E$821)+Terms!E$2</f>
        <v>9.97880903027391</v>
      </c>
      <c r="W127" s="0" t="n">
        <f aca="false">SUMPRODUCT(ISNUMBER(SEARCH(" "&amp;Terms!$A$3:$A$821&amp;" ",$D127))*Terms!F$3:F$821)+Terms!F$2</f>
        <v>-0.964570645887897</v>
      </c>
      <c r="X127" s="0" t="n">
        <f aca="false">SUMPRODUCT(ISNUMBER(SEARCH(" "&amp;Terms!$A$3:$A$821&amp;" ",$D127))*Terms!G$3:G$821)+Terms!G$2</f>
        <v>-1.38840065584909</v>
      </c>
      <c r="Y127" s="0" t="str">
        <f aca="false">INDEX($S$1:$X$1,MATCH(MAX(S127:X127),S127:X127,0))</f>
        <v>Fees &amp; Charges</v>
      </c>
      <c r="Z127" s="0" t="s">
        <v>2608</v>
      </c>
    </row>
    <row r="128" customFormat="false" ht="15" hidden="false" customHeight="false" outlineLevel="0" collapsed="false">
      <c r="A128" s="0" t="str">
        <f aca="false">Complaints!A128</f>
        <v>C0127</v>
      </c>
      <c r="B128" s="0" t="str">
        <f aca="false">Complaints!B128</f>
        <v>I am writing to complain. It has taken six weeks to process my claim and nobody has updated me. I could not log in to check either. Please escalate this.</v>
      </c>
      <c r="C128" s="0" t="str">
        <f aca="false">Complaints!C128</f>
        <v>Delays &amp; Processing</v>
      </c>
      <c r="D128" s="0" t="str">
        <f aca="false">" "&amp;TRIM(SUBSTITUTE(SUBSTITUTE(SUBSTITUTE(SUBSTITUTE(SUBSTITUTE(SUBSTITUTE(SUBSTITUTE(SUBSTITUTE(SUBSTITUTE(SUBSTITUTE(SUBSTITUTE(SUBSTITUTE(SUBSTITUTE(SUBSTITUTE(SUBSTITUTE(SUBSTITUTE(LOWER(B128),"."," "),","," "),"'"," "),"’"," "),"!"," "),"?"," "),";"," "),":"," "),"-"," "),"("," "),")"," "),"""", " "),"£"," "),"&amp;"," "),"/"," "),"%"," "))&amp;" "</f>
        <v> i am writing to complain it has taken six weeks to process my claim and nobody has updated me i could not log in to check either please escalate this </v>
      </c>
      <c r="E128" s="0" t="n">
        <f aca="false">SUMPRODUCT((Rules!$A$2:$A$60=E$1)*Rules!$C$2:$C$60*ISNUMBER(SEARCH(Rules!$D$2:$D$60,$D128)))</f>
        <v>0</v>
      </c>
      <c r="F128" s="0" t="n">
        <f aca="false">SUMPRODUCT((Rules!$A$2:$A$60=F$1)*Rules!$C$2:$C$60*ISNUMBER(SEARCH(Rules!$D$2:$D$60,$D128)))</f>
        <v>0</v>
      </c>
      <c r="G128" s="0" t="n">
        <f aca="false">SUMPRODUCT((Rules!$A$2:$A$60=G$1)*Rules!$C$2:$C$60*ISNUMBER(SEARCH(Rules!$D$2:$D$60,$D128)))</f>
        <v>3</v>
      </c>
      <c r="H128" s="0" t="n">
        <f aca="false">SUMPRODUCT((Rules!$A$2:$A$60=H$1)*Rules!$C$2:$C$60*ISNUMBER(SEARCH(Rules!$D$2:$D$60,$D128)))</f>
        <v>0</v>
      </c>
      <c r="I128" s="0" t="n">
        <f aca="false">SUMPRODUCT((Rules!$A$2:$A$60=I$1)*Rules!$C$2:$C$60*ISNUMBER(SEARCH(Rules!$D$2:$D$60,$D128)))</f>
        <v>2</v>
      </c>
      <c r="J128" s="0" t="n">
        <f aca="false">SUMPRODUCT((Rules!$A$2:$A$60=J$1)*Rules!$C$2:$C$60*ISNUMBER(SEARCH(Rules!$D$2:$D$60,$D128)))</f>
        <v>0</v>
      </c>
      <c r="K128" s="0" t="str">
        <f aca="false">IF(OR(MAX(E128:J128)&lt;Rules!$H$1,MAX(E128:J128)-LARGE(E128:J128,2)&lt;Rules!$H$2),"No label",INDEX($E$1:$J$1,MATCH(MAX(E128:J128),E128:J128,0)))</f>
        <v>No label</v>
      </c>
      <c r="L128" s="0" t="n">
        <f aca="false">SUMPRODUCT((Rules!$A$2:$A$60=L$1)*Rules!$C$2:$C$60*ISNUMBER(SEARCH(Rules!$E$2:$E$60,$D128)))</f>
        <v>0</v>
      </c>
      <c r="M128" s="0" t="n">
        <f aca="false">SUMPRODUCT((Rules!$A$2:$A$60=M$1)*Rules!$C$2:$C$60*ISNUMBER(SEARCH(Rules!$E$2:$E$60,$D128)))</f>
        <v>0</v>
      </c>
      <c r="N128" s="0" t="n">
        <f aca="false">SUMPRODUCT((Rules!$A$2:$A$60=N$1)*Rules!$C$2:$C$60*ISNUMBER(SEARCH(Rules!$E$2:$E$60,$D128)))</f>
        <v>3</v>
      </c>
      <c r="O128" s="0" t="n">
        <f aca="false">SUMPRODUCT((Rules!$A$2:$A$60=O$1)*Rules!$C$2:$C$60*ISNUMBER(SEARCH(Rules!$E$2:$E$60,$D128)))</f>
        <v>0</v>
      </c>
      <c r="P128" s="0" t="n">
        <f aca="false">SUMPRODUCT((Rules!$A$2:$A$60=P$1)*Rules!$C$2:$C$60*ISNUMBER(SEARCH(Rules!$E$2:$E$60,$D128)))</f>
        <v>2</v>
      </c>
      <c r="Q128" s="0" t="n">
        <f aca="false">SUMPRODUCT((Rules!$A$2:$A$60=Q$1)*Rules!$C$2:$C$60*ISNUMBER(SEARCH(Rules!$E$2:$E$60,$D128)))</f>
        <v>0</v>
      </c>
      <c r="R128" s="0" t="str">
        <f aca="false">IF(OR(MAX(L128:Q128)&lt;Rules!$H$1,MAX(L128:Q128)-LARGE(L128:Q128,2)&lt;Rules!$H$2),"No label",INDEX($L$1:$Q$1,MATCH(MAX(L128:Q128),L128:Q128,0)))</f>
        <v>No label</v>
      </c>
      <c r="S128" s="0" t="n">
        <f aca="false">SUMPRODUCT(ISNUMBER(SEARCH(" "&amp;Terms!$A$3:$A$821&amp;" ",$D128))*Terms!B$3:B$821)+Terms!B$2</f>
        <v>-2.59964317995896</v>
      </c>
      <c r="T128" s="0" t="n">
        <f aca="false">SUMPRODUCT(ISNUMBER(SEARCH(" "&amp;Terms!$A$3:$A$821&amp;" ",$D128))*Terms!C$3:C$821)+Terms!C$2</f>
        <v>-2.20524062449702</v>
      </c>
      <c r="U128" s="0" t="n">
        <f aca="false">SUMPRODUCT(ISNUMBER(SEARCH(" "&amp;Terms!$A$3:$A$821&amp;" ",$D128))*Terms!D$3:D$821)+Terms!D$2</f>
        <v>9.36353571580028</v>
      </c>
      <c r="V128" s="0" t="n">
        <f aca="false">SUMPRODUCT(ISNUMBER(SEARCH(" "&amp;Terms!$A$3:$A$821&amp;" ",$D128))*Terms!E$3:E$821)+Terms!E$2</f>
        <v>-1.53580350808328</v>
      </c>
      <c r="W128" s="0" t="n">
        <f aca="false">SUMPRODUCT(ISNUMBER(SEARCH(" "&amp;Terms!$A$3:$A$821&amp;" ",$D128))*Terms!F$3:F$821)+Terms!F$2</f>
        <v>-2.29597753946259</v>
      </c>
      <c r="X128" s="0" t="n">
        <f aca="false">SUMPRODUCT(ISNUMBER(SEARCH(" "&amp;Terms!$A$3:$A$821&amp;" ",$D128))*Terms!G$3:G$821)+Terms!G$2</f>
        <v>-0.726870863798352</v>
      </c>
      <c r="Y128" s="0" t="str">
        <f aca="false">INDEX($S$1:$X$1,MATCH(MAX(S128:X128),S128:X128,0))</f>
        <v>Delays &amp; Processing</v>
      </c>
      <c r="Z128" s="0" t="s">
        <v>2608</v>
      </c>
    </row>
    <row r="129" customFormat="false" ht="15" hidden="false" customHeight="false" outlineLevel="0" collapsed="false">
      <c r="A129" s="0" t="str">
        <f aca="false">Complaints!A129</f>
        <v>C0128</v>
      </c>
      <c r="B129" s="0" t="str">
        <f aca="false">Complaints!B129</f>
        <v>The adviser did not explain the risks of the investment. Also, a fake text message led me to a website and my money disappeared. I would like a response in writing.</v>
      </c>
      <c r="C129" s="0" t="str">
        <f aca="false">Complaints!C129</f>
        <v>Mis-selling</v>
      </c>
      <c r="D129" s="0" t="str">
        <f aca="false">" "&amp;TRIM(SUBSTITUTE(SUBSTITUTE(SUBSTITUTE(SUBSTITUTE(SUBSTITUTE(SUBSTITUTE(SUBSTITUTE(SUBSTITUTE(SUBSTITUTE(SUBSTITUTE(SUBSTITUTE(SUBSTITUTE(SUBSTITUTE(SUBSTITUTE(SUBSTITUTE(SUBSTITUTE(LOWER(B129),"."," "),","," "),"'"," "),"’"," "),"!"," "),"?"," "),";"," "),":"," "),"-"," "),"("," "),")"," "),"""", " "),"£"," "),"&amp;"," "),"/"," "),"%"," "))&amp;" "</f>
        <v> the adviser did not explain the risks of the investment also a fake text message led me to a website and my money disappeared i would like a response in writing </v>
      </c>
      <c r="E129" s="0" t="n">
        <f aca="false">SUMPRODUCT((Rules!$A$2:$A$60=E$1)*Rules!$C$2:$C$60*ISNUMBER(SEARCH(Rules!$D$2:$D$60,$D129)))</f>
        <v>2</v>
      </c>
      <c r="F129" s="0" t="n">
        <f aca="false">SUMPRODUCT((Rules!$A$2:$A$60=F$1)*Rules!$C$2:$C$60*ISNUMBER(SEARCH(Rules!$D$2:$D$60,$D129)))</f>
        <v>4</v>
      </c>
      <c r="G129" s="0" t="n">
        <f aca="false">SUMPRODUCT((Rules!$A$2:$A$60=G$1)*Rules!$C$2:$C$60*ISNUMBER(SEARCH(Rules!$D$2:$D$60,$D129)))</f>
        <v>0</v>
      </c>
      <c r="H129" s="0" t="n">
        <f aca="false">SUMPRODUCT((Rules!$A$2:$A$60=H$1)*Rules!$C$2:$C$60*ISNUMBER(SEARCH(Rules!$D$2:$D$60,$D129)))</f>
        <v>0</v>
      </c>
      <c r="I129" s="0" t="n">
        <f aca="false">SUMPRODUCT((Rules!$A$2:$A$60=I$1)*Rules!$C$2:$C$60*ISNUMBER(SEARCH(Rules!$D$2:$D$60,$D129)))</f>
        <v>0</v>
      </c>
      <c r="J129" s="0" t="n">
        <f aca="false">SUMPRODUCT((Rules!$A$2:$A$60=J$1)*Rules!$C$2:$C$60*ISNUMBER(SEARCH(Rules!$D$2:$D$60,$D129)))</f>
        <v>0</v>
      </c>
      <c r="K129" s="0" t="str">
        <f aca="false">IF(OR(MAX(E129:J129)&lt;Rules!$H$1,MAX(E129:J129)-LARGE(E129:J129,2)&lt;Rules!$H$2),"No label",INDEX($E$1:$J$1,MATCH(MAX(E129:J129),E129:J129,0)))</f>
        <v>Mis-selling</v>
      </c>
      <c r="L129" s="0" t="n">
        <f aca="false">SUMPRODUCT((Rules!$A$2:$A$60=L$1)*Rules!$C$2:$C$60*ISNUMBER(SEARCH(Rules!$E$2:$E$60,$D129)))</f>
        <v>2</v>
      </c>
      <c r="M129" s="0" t="n">
        <f aca="false">SUMPRODUCT((Rules!$A$2:$A$60=M$1)*Rules!$C$2:$C$60*ISNUMBER(SEARCH(Rules!$E$2:$E$60,$D129)))</f>
        <v>6</v>
      </c>
      <c r="N129" s="0" t="n">
        <f aca="false">SUMPRODUCT((Rules!$A$2:$A$60=N$1)*Rules!$C$2:$C$60*ISNUMBER(SEARCH(Rules!$E$2:$E$60,$D129)))</f>
        <v>0</v>
      </c>
      <c r="O129" s="0" t="n">
        <f aca="false">SUMPRODUCT((Rules!$A$2:$A$60=O$1)*Rules!$C$2:$C$60*ISNUMBER(SEARCH(Rules!$E$2:$E$60,$D129)))</f>
        <v>0</v>
      </c>
      <c r="P129" s="0" t="n">
        <f aca="false">SUMPRODUCT((Rules!$A$2:$A$60=P$1)*Rules!$C$2:$C$60*ISNUMBER(SEARCH(Rules!$E$2:$E$60,$D129)))</f>
        <v>0</v>
      </c>
      <c r="Q129" s="0" t="n">
        <f aca="false">SUMPRODUCT((Rules!$A$2:$A$60=Q$1)*Rules!$C$2:$C$60*ISNUMBER(SEARCH(Rules!$E$2:$E$60,$D129)))</f>
        <v>1</v>
      </c>
      <c r="R129" s="0" t="str">
        <f aca="false">IF(OR(MAX(L129:Q129)&lt;Rules!$H$1,MAX(L129:Q129)-LARGE(L129:Q129,2)&lt;Rules!$H$2),"No label",INDEX($L$1:$Q$1,MATCH(MAX(L129:Q129),L129:Q129,0)))</f>
        <v>Mis-selling</v>
      </c>
      <c r="S129" s="0" t="n">
        <f aca="false">SUMPRODUCT(ISNUMBER(SEARCH(" "&amp;Terms!$A$3:$A$821&amp;" ",$D129))*Terms!B$3:B$821)+Terms!B$2</f>
        <v>-2.68448631510196</v>
      </c>
      <c r="T129" s="0" t="n">
        <f aca="false">SUMPRODUCT(ISNUMBER(SEARCH(" "&amp;Terms!$A$3:$A$821&amp;" ",$D129))*Terms!C$3:C$821)+Terms!C$2</f>
        <v>-3.84644817357393</v>
      </c>
      <c r="U129" s="0" t="n">
        <f aca="false">SUMPRODUCT(ISNUMBER(SEARCH(" "&amp;Terms!$A$3:$A$821&amp;" ",$D129))*Terms!D$3:D$821)+Terms!D$2</f>
        <v>-5.91129460247558</v>
      </c>
      <c r="V129" s="0" t="n">
        <f aca="false">SUMPRODUCT(ISNUMBER(SEARCH(" "&amp;Terms!$A$3:$A$821&amp;" ",$D129))*Terms!E$3:E$821)+Terms!E$2</f>
        <v>-6.98209200905485</v>
      </c>
      <c r="W129" s="0" t="n">
        <f aca="false">SUMPRODUCT(ISNUMBER(SEARCH(" "&amp;Terms!$A$3:$A$821&amp;" ",$D129))*Terms!F$3:F$821)+Terms!F$2</f>
        <v>8.64270259714618</v>
      </c>
      <c r="X129" s="0" t="n">
        <f aca="false">SUMPRODUCT(ISNUMBER(SEARCH(" "&amp;Terms!$A$3:$A$821&amp;" ",$D129))*Terms!G$3:G$821)+Terms!G$2</f>
        <v>10.7816185030602</v>
      </c>
      <c r="Y129" s="0" t="str">
        <f aca="false">INDEX($S$1:$X$1,MATCH(MAX(S129:X129),S129:X129,0))</f>
        <v>Mis-selling</v>
      </c>
      <c r="Z129" s="0" t="s">
        <v>2607</v>
      </c>
    </row>
    <row r="130" customFormat="false" ht="15" hidden="false" customHeight="false" outlineLevel="0" collapsed="false">
      <c r="A130" s="0" t="str">
        <f aca="false">Complaints!A130</f>
        <v>C0129</v>
      </c>
      <c r="B130" s="0" t="str">
        <f aca="false">Complaints!B130</f>
        <v>Please look into what happened on my account. I expect compensation.</v>
      </c>
      <c r="C130" s="0" t="str">
        <f aca="false">Complaints!C130</f>
        <v>Delays &amp; Processing</v>
      </c>
      <c r="D130" s="0" t="str">
        <f aca="false">" "&amp;TRIM(SUBSTITUTE(SUBSTITUTE(SUBSTITUTE(SUBSTITUTE(SUBSTITUTE(SUBSTITUTE(SUBSTITUTE(SUBSTITUTE(SUBSTITUTE(SUBSTITUTE(SUBSTITUTE(SUBSTITUTE(SUBSTITUTE(SUBSTITUTE(SUBSTITUTE(SUBSTITUTE(LOWER(B130),"."," "),","," "),"'"," "),"’"," "),"!"," "),"?"," "),";"," "),":"," "),"-"," "),"("," "),")"," "),"""", " "),"£"," "),"&amp;"," "),"/"," "),"%"," "))&amp;" "</f>
        <v> please look into what happened on my account i expect compensation </v>
      </c>
      <c r="E130" s="0" t="n">
        <f aca="false">SUMPRODUCT((Rules!$A$2:$A$60=E$1)*Rules!$C$2:$C$60*ISNUMBER(SEARCH(Rules!$D$2:$D$60,$D130)))</f>
        <v>0</v>
      </c>
      <c r="F130" s="0" t="n">
        <f aca="false">SUMPRODUCT((Rules!$A$2:$A$60=F$1)*Rules!$C$2:$C$60*ISNUMBER(SEARCH(Rules!$D$2:$D$60,$D130)))</f>
        <v>0</v>
      </c>
      <c r="G130" s="0" t="n">
        <f aca="false">SUMPRODUCT((Rules!$A$2:$A$60=G$1)*Rules!$C$2:$C$60*ISNUMBER(SEARCH(Rules!$D$2:$D$60,$D130)))</f>
        <v>0</v>
      </c>
      <c r="H130" s="0" t="n">
        <f aca="false">SUMPRODUCT((Rules!$A$2:$A$60=H$1)*Rules!$C$2:$C$60*ISNUMBER(SEARCH(Rules!$D$2:$D$60,$D130)))</f>
        <v>0</v>
      </c>
      <c r="I130" s="0" t="n">
        <f aca="false">SUMPRODUCT((Rules!$A$2:$A$60=I$1)*Rules!$C$2:$C$60*ISNUMBER(SEARCH(Rules!$D$2:$D$60,$D130)))</f>
        <v>0</v>
      </c>
      <c r="J130" s="0" t="n">
        <f aca="false">SUMPRODUCT((Rules!$A$2:$A$60=J$1)*Rules!$C$2:$C$60*ISNUMBER(SEARCH(Rules!$D$2:$D$60,$D130)))</f>
        <v>0</v>
      </c>
      <c r="K130" s="0" t="str">
        <f aca="false">IF(OR(MAX(E130:J130)&lt;Rules!$H$1,MAX(E130:J130)-LARGE(E130:J130,2)&lt;Rules!$H$2),"No label",INDEX($E$1:$J$1,MATCH(MAX(E130:J130),E130:J130,0)))</f>
        <v>No label</v>
      </c>
      <c r="L130" s="0" t="n">
        <f aca="false">SUMPRODUCT((Rules!$A$2:$A$60=L$1)*Rules!$C$2:$C$60*ISNUMBER(SEARCH(Rules!$E$2:$E$60,$D130)))</f>
        <v>0</v>
      </c>
      <c r="M130" s="0" t="n">
        <f aca="false">SUMPRODUCT((Rules!$A$2:$A$60=M$1)*Rules!$C$2:$C$60*ISNUMBER(SEARCH(Rules!$E$2:$E$60,$D130)))</f>
        <v>0</v>
      </c>
      <c r="N130" s="0" t="n">
        <f aca="false">SUMPRODUCT((Rules!$A$2:$A$60=N$1)*Rules!$C$2:$C$60*ISNUMBER(SEARCH(Rules!$E$2:$E$60,$D130)))</f>
        <v>0</v>
      </c>
      <c r="O130" s="0" t="n">
        <f aca="false">SUMPRODUCT((Rules!$A$2:$A$60=O$1)*Rules!$C$2:$C$60*ISNUMBER(SEARCH(Rules!$E$2:$E$60,$D130)))</f>
        <v>0</v>
      </c>
      <c r="P130" s="0" t="n">
        <f aca="false">SUMPRODUCT((Rules!$A$2:$A$60=P$1)*Rules!$C$2:$C$60*ISNUMBER(SEARCH(Rules!$E$2:$E$60,$D130)))</f>
        <v>0</v>
      </c>
      <c r="Q130" s="0" t="n">
        <f aca="false">SUMPRODUCT((Rules!$A$2:$A$60=Q$1)*Rules!$C$2:$C$60*ISNUMBER(SEARCH(Rules!$E$2:$E$60,$D130)))</f>
        <v>0</v>
      </c>
      <c r="R130" s="0" t="str">
        <f aca="false">IF(OR(MAX(L130:Q130)&lt;Rules!$H$1,MAX(L130:Q130)-LARGE(L130:Q130,2)&lt;Rules!$H$2),"No label",INDEX($L$1:$Q$1,MATCH(MAX(L130:Q130),L130:Q130,0)))</f>
        <v>No label</v>
      </c>
      <c r="S130" s="0" t="n">
        <f aca="false">SUMPRODUCT(ISNUMBER(SEARCH(" "&amp;Terms!$A$3:$A$821&amp;" ",$D130))*Terms!B$3:B$821)+Terms!B$2</f>
        <v>3.50089268768748</v>
      </c>
      <c r="T130" s="0" t="n">
        <f aca="false">SUMPRODUCT(ISNUMBER(SEARCH(" "&amp;Terms!$A$3:$A$821&amp;" ",$D130))*Terms!C$3:C$821)+Terms!C$2</f>
        <v>-2.51456167199055</v>
      </c>
      <c r="U130" s="0" t="n">
        <f aca="false">SUMPRODUCT(ISNUMBER(SEARCH(" "&amp;Terms!$A$3:$A$821&amp;" ",$D130))*Terms!D$3:D$821)+Terms!D$2</f>
        <v>1.66414538397101</v>
      </c>
      <c r="V130" s="0" t="n">
        <f aca="false">SUMPRODUCT(ISNUMBER(SEARCH(" "&amp;Terms!$A$3:$A$821&amp;" ",$D130))*Terms!E$3:E$821)+Terms!E$2</f>
        <v>-0.896302516211349</v>
      </c>
      <c r="W130" s="0" t="n">
        <f aca="false">SUMPRODUCT(ISNUMBER(SEARCH(" "&amp;Terms!$A$3:$A$821&amp;" ",$D130))*Terms!F$3:F$821)+Terms!F$2</f>
        <v>1.37985806842907</v>
      </c>
      <c r="X130" s="0" t="n">
        <f aca="false">SUMPRODUCT(ISNUMBER(SEARCH(" "&amp;Terms!$A$3:$A$821&amp;" ",$D130))*Terms!G$3:G$821)+Terms!G$2</f>
        <v>-3.13403195188557</v>
      </c>
      <c r="Y130" s="0" t="str">
        <f aca="false">INDEX($S$1:$X$1,MATCH(MAX(S130:X130),S130:X130,0))</f>
        <v>Account Access</v>
      </c>
      <c r="Z130" s="0" t="s">
        <v>2607</v>
      </c>
    </row>
    <row r="131" customFormat="false" ht="15" hidden="false" customHeight="false" outlineLevel="0" collapsed="false">
      <c r="A131" s="0" t="str">
        <f aca="false">Complaints!A131</f>
        <v>C0130</v>
      </c>
      <c r="B131" s="0" t="str">
        <f aca="false">Complaints!B131</f>
        <v>This is the second time I have raised this. I was tricked into moving savings to a safe account that was not safe. Please sort this out.</v>
      </c>
      <c r="C131" s="0" t="str">
        <f aca="false">Complaints!C131</f>
        <v>Fraud &amp; Scams</v>
      </c>
      <c r="D131" s="0" t="str">
        <f aca="false">" "&amp;TRIM(SUBSTITUTE(SUBSTITUTE(SUBSTITUTE(SUBSTITUTE(SUBSTITUTE(SUBSTITUTE(SUBSTITUTE(SUBSTITUTE(SUBSTITUTE(SUBSTITUTE(SUBSTITUTE(SUBSTITUTE(SUBSTITUTE(SUBSTITUTE(SUBSTITUTE(SUBSTITUTE(LOWER(B131),"."," "),","," "),"'"," "),"’"," "),"!"," "),"?"," "),";"," "),":"," "),"-"," "),"("," "),")"," "),"""", " "),"£"," "),"&amp;"," "),"/"," "),"%"," "))&amp;" "</f>
        <v> this is the second time i have raised this i was tricked into moving savings to a safe account that was not safe please sort this out </v>
      </c>
      <c r="E131" s="0" t="n">
        <f aca="false">SUMPRODUCT((Rules!$A$2:$A$60=E$1)*Rules!$C$2:$C$60*ISNUMBER(SEARCH(Rules!$D$2:$D$60,$D131)))</f>
        <v>2</v>
      </c>
      <c r="F131" s="0" t="n">
        <f aca="false">SUMPRODUCT((Rules!$A$2:$A$60=F$1)*Rules!$C$2:$C$60*ISNUMBER(SEARCH(Rules!$D$2:$D$60,$D131)))</f>
        <v>0</v>
      </c>
      <c r="G131" s="0" t="n">
        <f aca="false">SUMPRODUCT((Rules!$A$2:$A$60=G$1)*Rules!$C$2:$C$60*ISNUMBER(SEARCH(Rules!$D$2:$D$60,$D131)))</f>
        <v>0</v>
      </c>
      <c r="H131" s="0" t="n">
        <f aca="false">SUMPRODUCT((Rules!$A$2:$A$60=H$1)*Rules!$C$2:$C$60*ISNUMBER(SEARCH(Rules!$D$2:$D$60,$D131)))</f>
        <v>0</v>
      </c>
      <c r="I131" s="0" t="n">
        <f aca="false">SUMPRODUCT((Rules!$A$2:$A$60=I$1)*Rules!$C$2:$C$60*ISNUMBER(SEARCH(Rules!$D$2:$D$60,$D131)))</f>
        <v>0</v>
      </c>
      <c r="J131" s="0" t="n">
        <f aca="false">SUMPRODUCT((Rules!$A$2:$A$60=J$1)*Rules!$C$2:$C$60*ISNUMBER(SEARCH(Rules!$D$2:$D$60,$D131)))</f>
        <v>0</v>
      </c>
      <c r="K131" s="0" t="str">
        <f aca="false">IF(OR(MAX(E131:J131)&lt;Rules!$H$1,MAX(E131:J131)-LARGE(E131:J131,2)&lt;Rules!$H$2),"No label",INDEX($E$1:$J$1,MATCH(MAX(E131:J131),E131:J131,0)))</f>
        <v>No label</v>
      </c>
      <c r="L131" s="0" t="n">
        <f aca="false">SUMPRODUCT((Rules!$A$2:$A$60=L$1)*Rules!$C$2:$C$60*ISNUMBER(SEARCH(Rules!$E$2:$E$60,$D131)))</f>
        <v>2</v>
      </c>
      <c r="M131" s="0" t="n">
        <f aca="false">SUMPRODUCT((Rules!$A$2:$A$60=M$1)*Rules!$C$2:$C$60*ISNUMBER(SEARCH(Rules!$E$2:$E$60,$D131)))</f>
        <v>0</v>
      </c>
      <c r="N131" s="0" t="n">
        <f aca="false">SUMPRODUCT((Rules!$A$2:$A$60=N$1)*Rules!$C$2:$C$60*ISNUMBER(SEARCH(Rules!$E$2:$E$60,$D131)))</f>
        <v>0</v>
      </c>
      <c r="O131" s="0" t="n">
        <f aca="false">SUMPRODUCT((Rules!$A$2:$A$60=O$1)*Rules!$C$2:$C$60*ISNUMBER(SEARCH(Rules!$E$2:$E$60,$D131)))</f>
        <v>0</v>
      </c>
      <c r="P131" s="0" t="n">
        <f aca="false">SUMPRODUCT((Rules!$A$2:$A$60=P$1)*Rules!$C$2:$C$60*ISNUMBER(SEARCH(Rules!$E$2:$E$60,$D131)))</f>
        <v>0</v>
      </c>
      <c r="Q131" s="0" t="n">
        <f aca="false">SUMPRODUCT((Rules!$A$2:$A$60=Q$1)*Rules!$C$2:$C$60*ISNUMBER(SEARCH(Rules!$E$2:$E$60,$D131)))</f>
        <v>0</v>
      </c>
      <c r="R131" s="0" t="str">
        <f aca="false">IF(OR(MAX(L131:Q131)&lt;Rules!$H$1,MAX(L131:Q131)-LARGE(L131:Q131,2)&lt;Rules!$H$2),"No label",INDEX($L$1:$Q$1,MATCH(MAX(L131:Q131),L131:Q131,0)))</f>
        <v>No label</v>
      </c>
      <c r="S131" s="0" t="n">
        <f aca="false">SUMPRODUCT(ISNUMBER(SEARCH(" "&amp;Terms!$A$3:$A$821&amp;" ",$D131))*Terms!B$3:B$821)+Terms!B$2</f>
        <v>-5.28453213463265</v>
      </c>
      <c r="T131" s="0" t="n">
        <f aca="false">SUMPRODUCT(ISNUMBER(SEARCH(" "&amp;Terms!$A$3:$A$821&amp;" ",$D131))*Terms!C$3:C$821)+Terms!C$2</f>
        <v>-2.95198343211412</v>
      </c>
      <c r="U131" s="0" t="n">
        <f aca="false">SUMPRODUCT(ISNUMBER(SEARCH(" "&amp;Terms!$A$3:$A$821&amp;" ",$D131))*Terms!D$3:D$821)+Terms!D$2</f>
        <v>1.92598511894978</v>
      </c>
      <c r="V131" s="0" t="n">
        <f aca="false">SUMPRODUCT(ISNUMBER(SEARCH(" "&amp;Terms!$A$3:$A$821&amp;" ",$D131))*Terms!E$3:E$821)+Terms!E$2</f>
        <v>0.878217625386378</v>
      </c>
      <c r="W131" s="0" t="n">
        <f aca="false">SUMPRODUCT(ISNUMBER(SEARCH(" "&amp;Terms!$A$3:$A$821&amp;" ",$D131))*Terms!F$3:F$821)+Terms!F$2</f>
        <v>10.6491933964409</v>
      </c>
      <c r="X131" s="0" t="n">
        <f aca="false">SUMPRODUCT(ISNUMBER(SEARCH(" "&amp;Terms!$A$3:$A$821&amp;" ",$D131))*Terms!G$3:G$821)+Terms!G$2</f>
        <v>-5.21688057403022</v>
      </c>
      <c r="Y131" s="0" t="str">
        <f aca="false">INDEX($S$1:$X$1,MATCH(MAX(S131:X131),S131:X131,0))</f>
        <v>Fraud &amp; Scams</v>
      </c>
      <c r="Z131" s="0" t="s">
        <v>2607</v>
      </c>
    </row>
    <row r="132" customFormat="false" ht="15" hidden="false" customHeight="false" outlineLevel="0" collapsed="false">
      <c r="A132" s="0" t="str">
        <f aca="false">Complaints!A132</f>
        <v>C0131</v>
      </c>
      <c r="B132" s="0" t="str">
        <f aca="false">Complaints!B132</f>
        <v>I have been a customer for years. The direct debit setup was delayed and I missed a bill because of it. Please escalate this.</v>
      </c>
      <c r="C132" s="0" t="str">
        <f aca="false">Complaints!C132</f>
        <v>Delays &amp; Processing</v>
      </c>
      <c r="D132" s="0" t="str">
        <f aca="false">" "&amp;TRIM(SUBSTITUTE(SUBSTITUTE(SUBSTITUTE(SUBSTITUTE(SUBSTITUTE(SUBSTITUTE(SUBSTITUTE(SUBSTITUTE(SUBSTITUTE(SUBSTITUTE(SUBSTITUTE(SUBSTITUTE(SUBSTITUTE(SUBSTITUTE(SUBSTITUTE(SUBSTITUTE(LOWER(B132),"."," "),","," "),"'"," "),"’"," "),"!"," "),"?"," "),";"," "),":"," "),"-"," "),"("," "),")"," "),"""", " "),"£"," "),"&amp;"," "),"/"," "),"%"," "))&amp;" "</f>
        <v> i have been a customer for years the direct debit setup was delayed and i missed a bill because of it please escalate this </v>
      </c>
      <c r="E132" s="0" t="n">
        <f aca="false">SUMPRODUCT((Rules!$A$2:$A$60=E$1)*Rules!$C$2:$C$60*ISNUMBER(SEARCH(Rules!$D$2:$D$60,$D132)))</f>
        <v>0</v>
      </c>
      <c r="F132" s="0" t="n">
        <f aca="false">SUMPRODUCT((Rules!$A$2:$A$60=F$1)*Rules!$C$2:$C$60*ISNUMBER(SEARCH(Rules!$D$2:$D$60,$D132)))</f>
        <v>0</v>
      </c>
      <c r="G132" s="0" t="n">
        <f aca="false">SUMPRODUCT((Rules!$A$2:$A$60=G$1)*Rules!$C$2:$C$60*ISNUMBER(SEARCH(Rules!$D$2:$D$60,$D132)))</f>
        <v>0</v>
      </c>
      <c r="H132" s="0" t="n">
        <f aca="false">SUMPRODUCT((Rules!$A$2:$A$60=H$1)*Rules!$C$2:$C$60*ISNUMBER(SEARCH(Rules!$D$2:$D$60,$D132)))</f>
        <v>0</v>
      </c>
      <c r="I132" s="0" t="n">
        <f aca="false">SUMPRODUCT((Rules!$A$2:$A$60=I$1)*Rules!$C$2:$C$60*ISNUMBER(SEARCH(Rules!$D$2:$D$60,$D132)))</f>
        <v>2</v>
      </c>
      <c r="J132" s="0" t="n">
        <f aca="false">SUMPRODUCT((Rules!$A$2:$A$60=J$1)*Rules!$C$2:$C$60*ISNUMBER(SEARCH(Rules!$D$2:$D$60,$D132)))</f>
        <v>0</v>
      </c>
      <c r="K132" s="0" t="str">
        <f aca="false">IF(OR(MAX(E132:J132)&lt;Rules!$H$1,MAX(E132:J132)-LARGE(E132:J132,2)&lt;Rules!$H$2),"No label",INDEX($E$1:$J$1,MATCH(MAX(E132:J132),E132:J132,0)))</f>
        <v>No label</v>
      </c>
      <c r="L132" s="0" t="n">
        <f aca="false">SUMPRODUCT((Rules!$A$2:$A$60=L$1)*Rules!$C$2:$C$60*ISNUMBER(SEARCH(Rules!$E$2:$E$60,$D132)))</f>
        <v>0</v>
      </c>
      <c r="M132" s="0" t="n">
        <f aca="false">SUMPRODUCT((Rules!$A$2:$A$60=M$1)*Rules!$C$2:$C$60*ISNUMBER(SEARCH(Rules!$E$2:$E$60,$D132)))</f>
        <v>0</v>
      </c>
      <c r="N132" s="0" t="n">
        <f aca="false">SUMPRODUCT((Rules!$A$2:$A$60=N$1)*Rules!$C$2:$C$60*ISNUMBER(SEARCH(Rules!$E$2:$E$60,$D132)))</f>
        <v>0</v>
      </c>
      <c r="O132" s="0" t="n">
        <f aca="false">SUMPRODUCT((Rules!$A$2:$A$60=O$1)*Rules!$C$2:$C$60*ISNUMBER(SEARCH(Rules!$E$2:$E$60,$D132)))</f>
        <v>2</v>
      </c>
      <c r="P132" s="0" t="n">
        <f aca="false">SUMPRODUCT((Rules!$A$2:$A$60=P$1)*Rules!$C$2:$C$60*ISNUMBER(SEARCH(Rules!$E$2:$E$60,$D132)))</f>
        <v>2</v>
      </c>
      <c r="Q132" s="0" t="n">
        <f aca="false">SUMPRODUCT((Rules!$A$2:$A$60=Q$1)*Rules!$C$2:$C$60*ISNUMBER(SEARCH(Rules!$E$2:$E$60,$D132)))</f>
        <v>0</v>
      </c>
      <c r="R132" s="0" t="str">
        <f aca="false">IF(OR(MAX(L132:Q132)&lt;Rules!$H$1,MAX(L132:Q132)-LARGE(L132:Q132,2)&lt;Rules!$H$2),"No label",INDEX($L$1:$Q$1,MATCH(MAX(L132:Q132),L132:Q132,0)))</f>
        <v>No label</v>
      </c>
      <c r="S132" s="0" t="n">
        <f aca="false">SUMPRODUCT(ISNUMBER(SEARCH(" "&amp;Terms!$A$3:$A$821&amp;" ",$D132))*Terms!B$3:B$821)+Terms!B$2</f>
        <v>-2.46840199627172</v>
      </c>
      <c r="T132" s="0" t="n">
        <f aca="false">SUMPRODUCT(ISNUMBER(SEARCH(" "&amp;Terms!$A$3:$A$821&amp;" ",$D132))*Terms!C$3:C$821)+Terms!C$2</f>
        <v>-1.45056621183383</v>
      </c>
      <c r="U132" s="0" t="n">
        <f aca="false">SUMPRODUCT(ISNUMBER(SEARCH(" "&amp;Terms!$A$3:$A$821&amp;" ",$D132))*Terms!D$3:D$821)+Terms!D$2</f>
        <v>11.819788533955</v>
      </c>
      <c r="V132" s="0" t="n">
        <f aca="false">SUMPRODUCT(ISNUMBER(SEARCH(" "&amp;Terms!$A$3:$A$821&amp;" ",$D132))*Terms!E$3:E$821)+Terms!E$2</f>
        <v>-3.66570805682568</v>
      </c>
      <c r="W132" s="0" t="n">
        <f aca="false">SUMPRODUCT(ISNUMBER(SEARCH(" "&amp;Terms!$A$3:$A$821&amp;" ",$D132))*Terms!F$3:F$821)+Terms!F$2</f>
        <v>-1.50482726375963</v>
      </c>
      <c r="X132" s="0" t="n">
        <f aca="false">SUMPRODUCT(ISNUMBER(SEARCH(" "&amp;Terms!$A$3:$A$821&amp;" ",$D132))*Terms!G$3:G$821)+Terms!G$2</f>
        <v>-2.73028500526401</v>
      </c>
      <c r="Y132" s="0" t="str">
        <f aca="false">INDEX($S$1:$X$1,MATCH(MAX(S132:X132),S132:X132,0))</f>
        <v>Delays &amp; Processing</v>
      </c>
      <c r="Z132" s="0" t="s">
        <v>2608</v>
      </c>
    </row>
    <row r="133" customFormat="false" ht="15" hidden="false" customHeight="false" outlineLevel="0" collapsed="false">
      <c r="A133" s="0" t="str">
        <f aca="false">Complaints!A133</f>
        <v>C0132</v>
      </c>
      <c r="B133" s="0" t="str">
        <f aca="false">Complaints!B133</f>
        <v>I was passed between for departments and no one took ownership. I could not log in to check either. Please sort this out.</v>
      </c>
      <c r="C133" s="0" t="str">
        <f aca="false">Complaints!C133</f>
        <v>Customer Service</v>
      </c>
      <c r="D133" s="0" t="str">
        <f aca="false">" "&amp;TRIM(SUBSTITUTE(SUBSTITUTE(SUBSTITUTE(SUBSTITUTE(SUBSTITUTE(SUBSTITUTE(SUBSTITUTE(SUBSTITUTE(SUBSTITUTE(SUBSTITUTE(SUBSTITUTE(SUBSTITUTE(SUBSTITUTE(SUBSTITUTE(SUBSTITUTE(SUBSTITUTE(LOWER(B133),"."," "),","," "),"'"," "),"’"," "),"!"," "),"?"," "),";"," "),":"," "),"-"," "),"("," "),")"," "),"""", " "),"£"," "),"&amp;"," "),"/"," "),"%"," "))&amp;" "</f>
        <v> i was passed between for departments and no one took ownership i could not log in to check either please sort this out </v>
      </c>
      <c r="E133" s="0" t="n">
        <f aca="false">SUMPRODUCT((Rules!$A$2:$A$60=E$1)*Rules!$C$2:$C$60*ISNUMBER(SEARCH(Rules!$D$2:$D$60,$D133)))</f>
        <v>0</v>
      </c>
      <c r="F133" s="0" t="n">
        <f aca="false">SUMPRODUCT((Rules!$A$2:$A$60=F$1)*Rules!$C$2:$C$60*ISNUMBER(SEARCH(Rules!$D$2:$D$60,$D133)))</f>
        <v>0</v>
      </c>
      <c r="G133" s="0" t="n">
        <f aca="false">SUMPRODUCT((Rules!$A$2:$A$60=G$1)*Rules!$C$2:$C$60*ISNUMBER(SEARCH(Rules!$D$2:$D$60,$D133)))</f>
        <v>3</v>
      </c>
      <c r="H133" s="0" t="n">
        <f aca="false">SUMPRODUCT((Rules!$A$2:$A$60=H$1)*Rules!$C$2:$C$60*ISNUMBER(SEARCH(Rules!$D$2:$D$60,$D133)))</f>
        <v>0</v>
      </c>
      <c r="I133" s="0" t="n">
        <f aca="false">SUMPRODUCT((Rules!$A$2:$A$60=I$1)*Rules!$C$2:$C$60*ISNUMBER(SEARCH(Rules!$D$2:$D$60,$D133)))</f>
        <v>0</v>
      </c>
      <c r="J133" s="0" t="n">
        <f aca="false">SUMPRODUCT((Rules!$A$2:$A$60=J$1)*Rules!$C$2:$C$60*ISNUMBER(SEARCH(Rules!$D$2:$D$60,$D133)))</f>
        <v>2</v>
      </c>
      <c r="K133" s="0" t="str">
        <f aca="false">IF(OR(MAX(E133:J133)&lt;Rules!$H$1,MAX(E133:J133)-LARGE(E133:J133,2)&lt;Rules!$H$2),"No label",INDEX($E$1:$J$1,MATCH(MAX(E133:J133),E133:J133,0)))</f>
        <v>No label</v>
      </c>
      <c r="L133" s="0" t="n">
        <f aca="false">SUMPRODUCT((Rules!$A$2:$A$60=L$1)*Rules!$C$2:$C$60*ISNUMBER(SEARCH(Rules!$E$2:$E$60,$D133)))</f>
        <v>0</v>
      </c>
      <c r="M133" s="0" t="n">
        <f aca="false">SUMPRODUCT((Rules!$A$2:$A$60=M$1)*Rules!$C$2:$C$60*ISNUMBER(SEARCH(Rules!$E$2:$E$60,$D133)))</f>
        <v>0</v>
      </c>
      <c r="N133" s="0" t="n">
        <f aca="false">SUMPRODUCT((Rules!$A$2:$A$60=N$1)*Rules!$C$2:$C$60*ISNUMBER(SEARCH(Rules!$E$2:$E$60,$D133)))</f>
        <v>3</v>
      </c>
      <c r="O133" s="0" t="n">
        <f aca="false">SUMPRODUCT((Rules!$A$2:$A$60=O$1)*Rules!$C$2:$C$60*ISNUMBER(SEARCH(Rules!$E$2:$E$60,$D133)))</f>
        <v>0</v>
      </c>
      <c r="P133" s="0" t="n">
        <f aca="false">SUMPRODUCT((Rules!$A$2:$A$60=P$1)*Rules!$C$2:$C$60*ISNUMBER(SEARCH(Rules!$E$2:$E$60,$D133)))</f>
        <v>0</v>
      </c>
      <c r="Q133" s="0" t="n">
        <f aca="false">SUMPRODUCT((Rules!$A$2:$A$60=Q$1)*Rules!$C$2:$C$60*ISNUMBER(SEARCH(Rules!$E$2:$E$60,$D133)))</f>
        <v>2</v>
      </c>
      <c r="R133" s="0" t="str">
        <f aca="false">IF(OR(MAX(L133:Q133)&lt;Rules!$H$1,MAX(L133:Q133)-LARGE(L133:Q133,2)&lt;Rules!$H$2),"No label",INDEX($L$1:$Q$1,MATCH(MAX(L133:Q133),L133:Q133,0)))</f>
        <v>No label</v>
      </c>
      <c r="S133" s="0" t="n">
        <f aca="false">SUMPRODUCT(ISNUMBER(SEARCH(" "&amp;Terms!$A$3:$A$821&amp;" ",$D133))*Terms!B$3:B$821)+Terms!B$2</f>
        <v>-3.95563569139248</v>
      </c>
      <c r="T133" s="0" t="n">
        <f aca="false">SUMPRODUCT(ISNUMBER(SEARCH(" "&amp;Terms!$A$3:$A$821&amp;" ",$D133))*Terms!C$3:C$821)+Terms!C$2</f>
        <v>8.98507783686772</v>
      </c>
      <c r="U133" s="0" t="n">
        <f aca="false">SUMPRODUCT(ISNUMBER(SEARCH(" "&amp;Terms!$A$3:$A$821&amp;" ",$D133))*Terms!D$3:D$821)+Terms!D$2</f>
        <v>-0.961759554244768</v>
      </c>
      <c r="V133" s="0" t="n">
        <f aca="false">SUMPRODUCT(ISNUMBER(SEARCH(" "&amp;Terms!$A$3:$A$821&amp;" ",$D133))*Terms!E$3:E$821)+Terms!E$2</f>
        <v>1.39466081291218</v>
      </c>
      <c r="W133" s="0" t="n">
        <f aca="false">SUMPRODUCT(ISNUMBER(SEARCH(" "&amp;Terms!$A$3:$A$821&amp;" ",$D133))*Terms!F$3:F$821)+Terms!F$2</f>
        <v>-2.67673995384751</v>
      </c>
      <c r="X133" s="0" t="n">
        <f aca="false">SUMPRODUCT(ISNUMBER(SEARCH(" "&amp;Terms!$A$3:$A$821&amp;" ",$D133))*Terms!G$3:G$821)+Terms!G$2</f>
        <v>-2.78560345029506</v>
      </c>
      <c r="Y133" s="0" t="str">
        <f aca="false">INDEX($S$1:$X$1,MATCH(MAX(S133:X133),S133:X133,0))</f>
        <v>Customer Service</v>
      </c>
      <c r="Z133" s="0" t="s">
        <v>2607</v>
      </c>
    </row>
    <row r="134" customFormat="false" ht="15" hidden="false" customHeight="false" outlineLevel="0" collapsed="false">
      <c r="A134" s="0" t="str">
        <f aca="false">Complaints!A134</f>
        <v>C0133</v>
      </c>
      <c r="B134" s="0" t="str">
        <f aca="false">Complaints!B134</f>
        <v>My card reader stopped working and I cannot approve payments. This is not acceptable.</v>
      </c>
      <c r="C134" s="0" t="str">
        <f aca="false">Complaints!C134</f>
        <v>Account Access</v>
      </c>
      <c r="D134" s="0" t="str">
        <f aca="false">" "&amp;TRIM(SUBSTITUTE(SUBSTITUTE(SUBSTITUTE(SUBSTITUTE(SUBSTITUTE(SUBSTITUTE(SUBSTITUTE(SUBSTITUTE(SUBSTITUTE(SUBSTITUTE(SUBSTITUTE(SUBSTITUTE(SUBSTITUTE(SUBSTITUTE(SUBSTITUTE(SUBSTITUTE(LOWER(B134),"."," "),","," "),"'"," "),"’"," "),"!"," "),"?"," "),";"," "),":"," "),"-"," "),"("," "),")"," "),"""", " "),"£"," "),"&amp;"," "),"/"," "),"%"," "))&amp;" "</f>
        <v> my card reader stopped working and i cannot approve payments this is not acceptable </v>
      </c>
      <c r="E134" s="0" t="n">
        <f aca="false">SUMPRODUCT((Rules!$A$2:$A$60=E$1)*Rules!$C$2:$C$60*ISNUMBER(SEARCH(Rules!$D$2:$D$60,$D134)))</f>
        <v>0</v>
      </c>
      <c r="F134" s="0" t="n">
        <f aca="false">SUMPRODUCT((Rules!$A$2:$A$60=F$1)*Rules!$C$2:$C$60*ISNUMBER(SEARCH(Rules!$D$2:$D$60,$D134)))</f>
        <v>0</v>
      </c>
      <c r="G134" s="0" t="n">
        <f aca="false">SUMPRODUCT((Rules!$A$2:$A$60=G$1)*Rules!$C$2:$C$60*ISNUMBER(SEARCH(Rules!$D$2:$D$60,$D134)))</f>
        <v>0</v>
      </c>
      <c r="H134" s="0" t="n">
        <f aca="false">SUMPRODUCT((Rules!$A$2:$A$60=H$1)*Rules!$C$2:$C$60*ISNUMBER(SEARCH(Rules!$D$2:$D$60,$D134)))</f>
        <v>0</v>
      </c>
      <c r="I134" s="0" t="n">
        <f aca="false">SUMPRODUCT((Rules!$A$2:$A$60=I$1)*Rules!$C$2:$C$60*ISNUMBER(SEARCH(Rules!$D$2:$D$60,$D134)))</f>
        <v>0</v>
      </c>
      <c r="J134" s="0" t="n">
        <f aca="false">SUMPRODUCT((Rules!$A$2:$A$60=J$1)*Rules!$C$2:$C$60*ISNUMBER(SEARCH(Rules!$D$2:$D$60,$D134)))</f>
        <v>0</v>
      </c>
      <c r="K134" s="0" t="str">
        <f aca="false">IF(OR(MAX(E134:J134)&lt;Rules!$H$1,MAX(E134:J134)-LARGE(E134:J134,2)&lt;Rules!$H$2),"No label",INDEX($E$1:$J$1,MATCH(MAX(E134:J134),E134:J134,0)))</f>
        <v>No label</v>
      </c>
      <c r="L134" s="0" t="n">
        <f aca="false">SUMPRODUCT((Rules!$A$2:$A$60=L$1)*Rules!$C$2:$C$60*ISNUMBER(SEARCH(Rules!$E$2:$E$60,$D134)))</f>
        <v>0</v>
      </c>
      <c r="M134" s="0" t="n">
        <f aca="false">SUMPRODUCT((Rules!$A$2:$A$60=M$1)*Rules!$C$2:$C$60*ISNUMBER(SEARCH(Rules!$E$2:$E$60,$D134)))</f>
        <v>0</v>
      </c>
      <c r="N134" s="0" t="n">
        <f aca="false">SUMPRODUCT((Rules!$A$2:$A$60=N$1)*Rules!$C$2:$C$60*ISNUMBER(SEARCH(Rules!$E$2:$E$60,$D134)))</f>
        <v>1</v>
      </c>
      <c r="O134" s="0" t="n">
        <f aca="false">SUMPRODUCT((Rules!$A$2:$A$60=O$1)*Rules!$C$2:$C$60*ISNUMBER(SEARCH(Rules!$E$2:$E$60,$D134)))</f>
        <v>0</v>
      </c>
      <c r="P134" s="0" t="n">
        <f aca="false">SUMPRODUCT((Rules!$A$2:$A$60=P$1)*Rules!$C$2:$C$60*ISNUMBER(SEARCH(Rules!$E$2:$E$60,$D134)))</f>
        <v>0</v>
      </c>
      <c r="Q134" s="0" t="n">
        <f aca="false">SUMPRODUCT((Rules!$A$2:$A$60=Q$1)*Rules!$C$2:$C$60*ISNUMBER(SEARCH(Rules!$E$2:$E$60,$D134)))</f>
        <v>0</v>
      </c>
      <c r="R134" s="0" t="str">
        <f aca="false">IF(OR(MAX(L134:Q134)&lt;Rules!$H$1,MAX(L134:Q134)-LARGE(L134:Q134,2)&lt;Rules!$H$2),"No label",INDEX($L$1:$Q$1,MATCH(MAX(L134:Q134),L134:Q134,0)))</f>
        <v>No label</v>
      </c>
      <c r="S134" s="0" t="n">
        <f aca="false">SUMPRODUCT(ISNUMBER(SEARCH(" "&amp;Terms!$A$3:$A$821&amp;" ",$D134))*Terms!B$3:B$821)+Terms!B$2</f>
        <v>16.7013845254361</v>
      </c>
      <c r="T134" s="0" t="n">
        <f aca="false">SUMPRODUCT(ISNUMBER(SEARCH(" "&amp;Terms!$A$3:$A$821&amp;" ",$D134))*Terms!C$3:C$821)+Terms!C$2</f>
        <v>-1.11033012346838</v>
      </c>
      <c r="U134" s="0" t="n">
        <f aca="false">SUMPRODUCT(ISNUMBER(SEARCH(" "&amp;Terms!$A$3:$A$821&amp;" ",$D134))*Terms!D$3:D$821)+Terms!D$2</f>
        <v>-2.37138591772173</v>
      </c>
      <c r="V134" s="0" t="n">
        <f aca="false">SUMPRODUCT(ISNUMBER(SEARCH(" "&amp;Terms!$A$3:$A$821&amp;" ",$D134))*Terms!E$3:E$821)+Terms!E$2</f>
        <v>-5.73172117791768</v>
      </c>
      <c r="W134" s="0" t="n">
        <f aca="false">SUMPRODUCT(ISNUMBER(SEARCH(" "&amp;Terms!$A$3:$A$821&amp;" ",$D134))*Terms!F$3:F$821)+Terms!F$2</f>
        <v>0.117199110305697</v>
      </c>
      <c r="X134" s="0" t="n">
        <f aca="false">SUMPRODUCT(ISNUMBER(SEARCH(" "&amp;Terms!$A$3:$A$821&amp;" ",$D134))*Terms!G$3:G$821)+Terms!G$2</f>
        <v>-7.60514641663394</v>
      </c>
      <c r="Y134" s="0" t="str">
        <f aca="false">INDEX($S$1:$X$1,MATCH(MAX(S134:X134),S134:X134,0))</f>
        <v>Account Access</v>
      </c>
      <c r="Z134" s="0" t="s">
        <v>2607</v>
      </c>
    </row>
    <row r="135" customFormat="false" ht="15" hidden="false" customHeight="false" outlineLevel="0" collapsed="false">
      <c r="A135" s="0" t="str">
        <f aca="false">Complaints!A135</f>
        <v>C0134</v>
      </c>
      <c r="B135" s="0" t="str">
        <f aca="false">Complaints!B135</f>
        <v>Frankly, The pension transfer advice I received was poor and I have lost out. I want this put right.</v>
      </c>
      <c r="C135" s="0" t="str">
        <f aca="false">Complaints!C135</f>
        <v>Mis-selling</v>
      </c>
      <c r="D135" s="0" t="str">
        <f aca="false">" "&amp;TRIM(SUBSTITUTE(SUBSTITUTE(SUBSTITUTE(SUBSTITUTE(SUBSTITUTE(SUBSTITUTE(SUBSTITUTE(SUBSTITUTE(SUBSTITUTE(SUBSTITUTE(SUBSTITUTE(SUBSTITUTE(SUBSTITUTE(SUBSTITUTE(SUBSTITUTE(SUBSTITUTE(LOWER(B135),"."," "),","," "),"'"," "),"’"," "),"!"," "),"?"," "),";"," "),":"," "),"-"," "),"("," "),")"," "),"""", " "),"£"," "),"&amp;"," "),"/"," "),"%"," "))&amp;" "</f>
        <v> frankly the pension transfer advice i received was poor and i have lost out i want this put right </v>
      </c>
      <c r="E135" s="0" t="n">
        <f aca="false">SUMPRODUCT((Rules!$A$2:$A$60=E$1)*Rules!$C$2:$C$60*ISNUMBER(SEARCH(Rules!$D$2:$D$60,$D135)))</f>
        <v>0</v>
      </c>
      <c r="F135" s="0" t="n">
        <f aca="false">SUMPRODUCT((Rules!$A$2:$A$60=F$1)*Rules!$C$2:$C$60*ISNUMBER(SEARCH(Rules!$D$2:$D$60,$D135)))</f>
        <v>2</v>
      </c>
      <c r="G135" s="0" t="n">
        <f aca="false">SUMPRODUCT((Rules!$A$2:$A$60=G$1)*Rules!$C$2:$C$60*ISNUMBER(SEARCH(Rules!$D$2:$D$60,$D135)))</f>
        <v>0</v>
      </c>
      <c r="H135" s="0" t="n">
        <f aca="false">SUMPRODUCT((Rules!$A$2:$A$60=H$1)*Rules!$C$2:$C$60*ISNUMBER(SEARCH(Rules!$D$2:$D$60,$D135)))</f>
        <v>0</v>
      </c>
      <c r="I135" s="0" t="n">
        <f aca="false">SUMPRODUCT((Rules!$A$2:$A$60=I$1)*Rules!$C$2:$C$60*ISNUMBER(SEARCH(Rules!$D$2:$D$60,$D135)))</f>
        <v>0</v>
      </c>
      <c r="J135" s="0" t="n">
        <f aca="false">SUMPRODUCT((Rules!$A$2:$A$60=J$1)*Rules!$C$2:$C$60*ISNUMBER(SEARCH(Rules!$D$2:$D$60,$D135)))</f>
        <v>0</v>
      </c>
      <c r="K135" s="0" t="str">
        <f aca="false">IF(OR(MAX(E135:J135)&lt;Rules!$H$1,MAX(E135:J135)-LARGE(E135:J135,2)&lt;Rules!$H$2),"No label",INDEX($E$1:$J$1,MATCH(MAX(E135:J135),E135:J135,0)))</f>
        <v>No label</v>
      </c>
      <c r="L135" s="0" t="n">
        <f aca="false">SUMPRODUCT((Rules!$A$2:$A$60=L$1)*Rules!$C$2:$C$60*ISNUMBER(SEARCH(Rules!$E$2:$E$60,$D135)))</f>
        <v>0</v>
      </c>
      <c r="M135" s="0" t="n">
        <f aca="false">SUMPRODUCT((Rules!$A$2:$A$60=M$1)*Rules!$C$2:$C$60*ISNUMBER(SEARCH(Rules!$E$2:$E$60,$D135)))</f>
        <v>2</v>
      </c>
      <c r="N135" s="0" t="n">
        <f aca="false">SUMPRODUCT((Rules!$A$2:$A$60=N$1)*Rules!$C$2:$C$60*ISNUMBER(SEARCH(Rules!$E$2:$E$60,$D135)))</f>
        <v>0</v>
      </c>
      <c r="O135" s="0" t="n">
        <f aca="false">SUMPRODUCT((Rules!$A$2:$A$60=O$1)*Rules!$C$2:$C$60*ISNUMBER(SEARCH(Rules!$E$2:$E$60,$D135)))</f>
        <v>0</v>
      </c>
      <c r="P135" s="0" t="n">
        <f aca="false">SUMPRODUCT((Rules!$A$2:$A$60=P$1)*Rules!$C$2:$C$60*ISNUMBER(SEARCH(Rules!$E$2:$E$60,$D135)))</f>
        <v>0</v>
      </c>
      <c r="Q135" s="0" t="n">
        <f aca="false">SUMPRODUCT((Rules!$A$2:$A$60=Q$1)*Rules!$C$2:$C$60*ISNUMBER(SEARCH(Rules!$E$2:$E$60,$D135)))</f>
        <v>0</v>
      </c>
      <c r="R135" s="0" t="str">
        <f aca="false">IF(OR(MAX(L135:Q135)&lt;Rules!$H$1,MAX(L135:Q135)-LARGE(L135:Q135,2)&lt;Rules!$H$2),"No label",INDEX($L$1:$Q$1,MATCH(MAX(L135:Q135),L135:Q135,0)))</f>
        <v>No label</v>
      </c>
      <c r="S135" s="0" t="n">
        <f aca="false">SUMPRODUCT(ISNUMBER(SEARCH(" "&amp;Terms!$A$3:$A$821&amp;" ",$D135))*Terms!B$3:B$821)+Terms!B$2</f>
        <v>-4.59587102294724</v>
      </c>
      <c r="T135" s="0" t="n">
        <f aca="false">SUMPRODUCT(ISNUMBER(SEARCH(" "&amp;Terms!$A$3:$A$821&amp;" ",$D135))*Terms!C$3:C$821)+Terms!C$2</f>
        <v>-4.6832632014349</v>
      </c>
      <c r="U135" s="0" t="n">
        <f aca="false">SUMPRODUCT(ISNUMBER(SEARCH(" "&amp;Terms!$A$3:$A$821&amp;" ",$D135))*Terms!D$3:D$821)+Terms!D$2</f>
        <v>0.928095333896076</v>
      </c>
      <c r="V135" s="0" t="n">
        <f aca="false">SUMPRODUCT(ISNUMBER(SEARCH(" "&amp;Terms!$A$3:$A$821&amp;" ",$D135))*Terms!E$3:E$821)+Terms!E$2</f>
        <v>-0.755933372666779</v>
      </c>
      <c r="W135" s="0" t="n">
        <f aca="false">SUMPRODUCT(ISNUMBER(SEARCH(" "&amp;Terms!$A$3:$A$821&amp;" ",$D135))*Terms!F$3:F$821)+Terms!F$2</f>
        <v>-0.419775104676341</v>
      </c>
      <c r="X135" s="0" t="n">
        <f aca="false">SUMPRODUCT(ISNUMBER(SEARCH(" "&amp;Terms!$A$3:$A$821&amp;" ",$D135))*Terms!G$3:G$821)+Terms!G$2</f>
        <v>9.52674736782928</v>
      </c>
      <c r="Y135" s="0" t="str">
        <f aca="false">INDEX($S$1:$X$1,MATCH(MAX(S135:X135),S135:X135,0))</f>
        <v>Mis-selling</v>
      </c>
      <c r="Z135" s="0" t="s">
        <v>2607</v>
      </c>
    </row>
    <row r="136" customFormat="false" ht="15" hidden="false" customHeight="false" outlineLevel="0" collapsed="false">
      <c r="A136" s="0" t="str">
        <f aca="false">Complaints!A136</f>
        <v>C0135</v>
      </c>
      <c r="B136" s="0" t="str">
        <f aca="false">Complaints!B136</f>
        <v>Hello, I was tricked into moving savings to a safe account that was not safe.</v>
      </c>
      <c r="C136" s="0" t="str">
        <f aca="false">Complaints!C136</f>
        <v>Fraud &amp; Scams</v>
      </c>
      <c r="D136" s="0" t="str">
        <f aca="false">" "&amp;TRIM(SUBSTITUTE(SUBSTITUTE(SUBSTITUTE(SUBSTITUTE(SUBSTITUTE(SUBSTITUTE(SUBSTITUTE(SUBSTITUTE(SUBSTITUTE(SUBSTITUTE(SUBSTITUTE(SUBSTITUTE(SUBSTITUTE(SUBSTITUTE(SUBSTITUTE(SUBSTITUTE(LOWER(B136),"."," "),","," "),"'"," "),"’"," "),"!"," "),"?"," "),";"," "),":"," "),"-"," "),"("," "),")"," "),"""", " "),"£"," "),"&amp;"," "),"/"," "),"%"," "))&amp;" "</f>
        <v> hello i was tricked into moving savings to a safe account that was not safe </v>
      </c>
      <c r="E136" s="0" t="n">
        <f aca="false">SUMPRODUCT((Rules!$A$2:$A$60=E$1)*Rules!$C$2:$C$60*ISNUMBER(SEARCH(Rules!$D$2:$D$60,$D136)))</f>
        <v>2</v>
      </c>
      <c r="F136" s="0" t="n">
        <f aca="false">SUMPRODUCT((Rules!$A$2:$A$60=F$1)*Rules!$C$2:$C$60*ISNUMBER(SEARCH(Rules!$D$2:$D$60,$D136)))</f>
        <v>0</v>
      </c>
      <c r="G136" s="0" t="n">
        <f aca="false">SUMPRODUCT((Rules!$A$2:$A$60=G$1)*Rules!$C$2:$C$60*ISNUMBER(SEARCH(Rules!$D$2:$D$60,$D136)))</f>
        <v>0</v>
      </c>
      <c r="H136" s="0" t="n">
        <f aca="false">SUMPRODUCT((Rules!$A$2:$A$60=H$1)*Rules!$C$2:$C$60*ISNUMBER(SEARCH(Rules!$D$2:$D$60,$D136)))</f>
        <v>0</v>
      </c>
      <c r="I136" s="0" t="n">
        <f aca="false">SUMPRODUCT((Rules!$A$2:$A$60=I$1)*Rules!$C$2:$C$60*ISNUMBER(SEARCH(Rules!$D$2:$D$60,$D136)))</f>
        <v>0</v>
      </c>
      <c r="J136" s="0" t="n">
        <f aca="false">SUMPRODUCT((Rules!$A$2:$A$60=J$1)*Rules!$C$2:$C$60*ISNUMBER(SEARCH(Rules!$D$2:$D$60,$D136)))</f>
        <v>0</v>
      </c>
      <c r="K136" s="0" t="str">
        <f aca="false">IF(OR(MAX(E136:J136)&lt;Rules!$H$1,MAX(E136:J136)-LARGE(E136:J136,2)&lt;Rules!$H$2),"No label",INDEX($E$1:$J$1,MATCH(MAX(E136:J136),E136:J136,0)))</f>
        <v>No label</v>
      </c>
      <c r="L136" s="0" t="n">
        <f aca="false">SUMPRODUCT((Rules!$A$2:$A$60=L$1)*Rules!$C$2:$C$60*ISNUMBER(SEARCH(Rules!$E$2:$E$60,$D136)))</f>
        <v>2</v>
      </c>
      <c r="M136" s="0" t="n">
        <f aca="false">SUMPRODUCT((Rules!$A$2:$A$60=M$1)*Rules!$C$2:$C$60*ISNUMBER(SEARCH(Rules!$E$2:$E$60,$D136)))</f>
        <v>0</v>
      </c>
      <c r="N136" s="0" t="n">
        <f aca="false">SUMPRODUCT((Rules!$A$2:$A$60=N$1)*Rules!$C$2:$C$60*ISNUMBER(SEARCH(Rules!$E$2:$E$60,$D136)))</f>
        <v>0</v>
      </c>
      <c r="O136" s="0" t="n">
        <f aca="false">SUMPRODUCT((Rules!$A$2:$A$60=O$1)*Rules!$C$2:$C$60*ISNUMBER(SEARCH(Rules!$E$2:$E$60,$D136)))</f>
        <v>0</v>
      </c>
      <c r="P136" s="0" t="n">
        <f aca="false">SUMPRODUCT((Rules!$A$2:$A$60=P$1)*Rules!$C$2:$C$60*ISNUMBER(SEARCH(Rules!$E$2:$E$60,$D136)))</f>
        <v>0</v>
      </c>
      <c r="Q136" s="0" t="n">
        <f aca="false">SUMPRODUCT((Rules!$A$2:$A$60=Q$1)*Rules!$C$2:$C$60*ISNUMBER(SEARCH(Rules!$E$2:$E$60,$D136)))</f>
        <v>0</v>
      </c>
      <c r="R136" s="0" t="str">
        <f aca="false">IF(OR(MAX(L136:Q136)&lt;Rules!$H$1,MAX(L136:Q136)-LARGE(L136:Q136,2)&lt;Rules!$H$2),"No label",INDEX($L$1:$Q$1,MATCH(MAX(L136:Q136),L136:Q136,0)))</f>
        <v>No label</v>
      </c>
      <c r="S136" s="0" t="n">
        <f aca="false">SUMPRODUCT(ISNUMBER(SEARCH(" "&amp;Terms!$A$3:$A$821&amp;" ",$D136))*Terms!B$3:B$821)+Terms!B$2</f>
        <v>-0.957863895428549</v>
      </c>
      <c r="T136" s="0" t="n">
        <f aca="false">SUMPRODUCT(ISNUMBER(SEARCH(" "&amp;Terms!$A$3:$A$821&amp;" ",$D136))*Terms!C$3:C$821)+Terms!C$2</f>
        <v>-5.14508910766908</v>
      </c>
      <c r="U136" s="0" t="n">
        <f aca="false">SUMPRODUCT(ISNUMBER(SEARCH(" "&amp;Terms!$A$3:$A$821&amp;" ",$D136))*Terms!D$3:D$821)+Terms!D$2</f>
        <v>1.07004944569527</v>
      </c>
      <c r="V136" s="0" t="n">
        <f aca="false">SUMPRODUCT(ISNUMBER(SEARCH(" "&amp;Terms!$A$3:$A$821&amp;" ",$D136))*Terms!E$3:E$821)+Terms!E$2</f>
        <v>-0.550346904579407</v>
      </c>
      <c r="W136" s="0" t="n">
        <f aca="false">SUMPRODUCT(ISNUMBER(SEARCH(" "&amp;Terms!$A$3:$A$821&amp;" ",$D136))*Terms!F$3:F$821)+Terms!F$2</f>
        <v>9.49390716620638</v>
      </c>
      <c r="X136" s="0" t="n">
        <f aca="false">SUMPRODUCT(ISNUMBER(SEARCH(" "&amp;Terms!$A$3:$A$821&amp;" ",$D136))*Terms!G$3:G$821)+Terms!G$2</f>
        <v>-3.91065670422453</v>
      </c>
      <c r="Y136" s="0" t="str">
        <f aca="false">INDEX($S$1:$X$1,MATCH(MAX(S136:X136),S136:X136,0))</f>
        <v>Fraud &amp; Scams</v>
      </c>
      <c r="Z136" s="0" t="s">
        <v>2607</v>
      </c>
    </row>
    <row r="137" customFormat="false" ht="15" hidden="false" customHeight="false" outlineLevel="0" collapsed="false">
      <c r="A137" s="0" t="str">
        <f aca="false">Complaints!A137</f>
        <v>C0136</v>
      </c>
      <c r="B137" s="0" t="str">
        <f aca="false">Complaints!B137</f>
        <v>I am writing to complain. I was hit with a penalty charge for a payment I made on time. This is not acceptable.</v>
      </c>
      <c r="C137" s="0" t="str">
        <f aca="false">Complaints!C137</f>
        <v>Fees &amp; Charges</v>
      </c>
      <c r="D137" s="0" t="str">
        <f aca="false">" "&amp;TRIM(SUBSTITUTE(SUBSTITUTE(SUBSTITUTE(SUBSTITUTE(SUBSTITUTE(SUBSTITUTE(SUBSTITUTE(SUBSTITUTE(SUBSTITUTE(SUBSTITUTE(SUBSTITUTE(SUBSTITUTE(SUBSTITUTE(SUBSTITUTE(SUBSTITUTE(SUBSTITUTE(LOWER(B137),"."," "),","," "),"'"," "),"’"," "),"!"," "),"?"," "),";"," "),":"," "),"-"," "),"("," "),")"," "),"""", " "),"£"," "),"&amp;"," "),"/"," "),"%"," "))&amp;" "</f>
        <v> i am writing to complain i was hit with a penalty charge for a payment i made on time this is not acceptable </v>
      </c>
      <c r="E137" s="0" t="n">
        <f aca="false">SUMPRODUCT((Rules!$A$2:$A$60=E$1)*Rules!$C$2:$C$60*ISNUMBER(SEARCH(Rules!$D$2:$D$60,$D137)))</f>
        <v>0</v>
      </c>
      <c r="F137" s="0" t="n">
        <f aca="false">SUMPRODUCT((Rules!$A$2:$A$60=F$1)*Rules!$C$2:$C$60*ISNUMBER(SEARCH(Rules!$D$2:$D$60,$D137)))</f>
        <v>0</v>
      </c>
      <c r="G137" s="0" t="n">
        <f aca="false">SUMPRODUCT((Rules!$A$2:$A$60=G$1)*Rules!$C$2:$C$60*ISNUMBER(SEARCH(Rules!$D$2:$D$60,$D137)))</f>
        <v>0</v>
      </c>
      <c r="H137" s="0" t="n">
        <f aca="false">SUMPRODUCT((Rules!$A$2:$A$60=H$1)*Rules!$C$2:$C$60*ISNUMBER(SEARCH(Rules!$D$2:$D$60,$D137)))</f>
        <v>4</v>
      </c>
      <c r="I137" s="0" t="n">
        <f aca="false">SUMPRODUCT((Rules!$A$2:$A$60=I$1)*Rules!$C$2:$C$60*ISNUMBER(SEARCH(Rules!$D$2:$D$60,$D137)))</f>
        <v>0</v>
      </c>
      <c r="J137" s="0" t="n">
        <f aca="false">SUMPRODUCT((Rules!$A$2:$A$60=J$1)*Rules!$C$2:$C$60*ISNUMBER(SEARCH(Rules!$D$2:$D$60,$D137)))</f>
        <v>0</v>
      </c>
      <c r="K137" s="0" t="str">
        <f aca="false">IF(OR(MAX(E137:J137)&lt;Rules!$H$1,MAX(E137:J137)-LARGE(E137:J137,2)&lt;Rules!$H$2),"No label",INDEX($E$1:$J$1,MATCH(MAX(E137:J137),E137:J137,0)))</f>
        <v>Fees &amp; Charges</v>
      </c>
      <c r="L137" s="0" t="n">
        <f aca="false">SUMPRODUCT((Rules!$A$2:$A$60=L$1)*Rules!$C$2:$C$60*ISNUMBER(SEARCH(Rules!$E$2:$E$60,$D137)))</f>
        <v>0</v>
      </c>
      <c r="M137" s="0" t="n">
        <f aca="false">SUMPRODUCT((Rules!$A$2:$A$60=M$1)*Rules!$C$2:$C$60*ISNUMBER(SEARCH(Rules!$E$2:$E$60,$D137)))</f>
        <v>0</v>
      </c>
      <c r="N137" s="0" t="n">
        <f aca="false">SUMPRODUCT((Rules!$A$2:$A$60=N$1)*Rules!$C$2:$C$60*ISNUMBER(SEARCH(Rules!$E$2:$E$60,$D137)))</f>
        <v>1</v>
      </c>
      <c r="O137" s="0" t="n">
        <f aca="false">SUMPRODUCT((Rules!$A$2:$A$60=O$1)*Rules!$C$2:$C$60*ISNUMBER(SEARCH(Rules!$E$2:$E$60,$D137)))</f>
        <v>6</v>
      </c>
      <c r="P137" s="0" t="n">
        <f aca="false">SUMPRODUCT((Rules!$A$2:$A$60=P$1)*Rules!$C$2:$C$60*ISNUMBER(SEARCH(Rules!$E$2:$E$60,$D137)))</f>
        <v>0</v>
      </c>
      <c r="Q137" s="0" t="n">
        <f aca="false">SUMPRODUCT((Rules!$A$2:$A$60=Q$1)*Rules!$C$2:$C$60*ISNUMBER(SEARCH(Rules!$E$2:$E$60,$D137)))</f>
        <v>0</v>
      </c>
      <c r="R137" s="0" t="str">
        <f aca="false">IF(OR(MAX(L137:Q137)&lt;Rules!$H$1,MAX(L137:Q137)-LARGE(L137:Q137,2)&lt;Rules!$H$2),"No label",INDEX($L$1:$Q$1,MATCH(MAX(L137:Q137),L137:Q137,0)))</f>
        <v>Fees &amp; Charges</v>
      </c>
      <c r="S137" s="0" t="n">
        <f aca="false">SUMPRODUCT(ISNUMBER(SEARCH(" "&amp;Terms!$A$3:$A$821&amp;" ",$D137))*Terms!B$3:B$821)+Terms!B$2</f>
        <v>-3.28569107368647</v>
      </c>
      <c r="T137" s="0" t="n">
        <f aca="false">SUMPRODUCT(ISNUMBER(SEARCH(" "&amp;Terms!$A$3:$A$821&amp;" ",$D137))*Terms!C$3:C$821)+Terms!C$2</f>
        <v>-0.548670285253423</v>
      </c>
      <c r="U137" s="0" t="n">
        <f aca="false">SUMPRODUCT(ISNUMBER(SEARCH(" "&amp;Terms!$A$3:$A$821&amp;" ",$D137))*Terms!D$3:D$821)+Terms!D$2</f>
        <v>0.901215274014164</v>
      </c>
      <c r="V137" s="0" t="n">
        <f aca="false">SUMPRODUCT(ISNUMBER(SEARCH(" "&amp;Terms!$A$3:$A$821&amp;" ",$D137))*Terms!E$3:E$821)+Terms!E$2</f>
        <v>7.22573314110977</v>
      </c>
      <c r="W137" s="0" t="n">
        <f aca="false">SUMPRODUCT(ISNUMBER(SEARCH(" "&amp;Terms!$A$3:$A$821&amp;" ",$D137))*Terms!F$3:F$821)+Terms!F$2</f>
        <v>-1.98886530704044</v>
      </c>
      <c r="X137" s="0" t="n">
        <f aca="false">SUMPRODUCT(ISNUMBER(SEARCH(" "&amp;Terms!$A$3:$A$821&amp;" ",$D137))*Terms!G$3:G$821)+Terms!G$2</f>
        <v>-2.30372174914352</v>
      </c>
      <c r="Y137" s="0" t="str">
        <f aca="false">INDEX($S$1:$X$1,MATCH(MAX(S137:X137),S137:X137,0))</f>
        <v>Fees &amp; Charges</v>
      </c>
      <c r="Z137" s="0" t="s">
        <v>2607</v>
      </c>
    </row>
    <row r="138" customFormat="false" ht="15" hidden="false" customHeight="false" outlineLevel="0" collapsed="false">
      <c r="A138" s="0" t="str">
        <f aca="false">Complaints!A138</f>
        <v>C0137</v>
      </c>
      <c r="B138" s="0" t="str">
        <f aca="false">Complaints!B138</f>
        <v>I think I was the victim f a scam and sent money to a fraudster. I expect compensation.</v>
      </c>
      <c r="C138" s="0" t="str">
        <f aca="false">Complaints!C138</f>
        <v>Fraud &amp; Scams</v>
      </c>
      <c r="D138" s="0" t="str">
        <f aca="false">" "&amp;TRIM(SUBSTITUTE(SUBSTITUTE(SUBSTITUTE(SUBSTITUTE(SUBSTITUTE(SUBSTITUTE(SUBSTITUTE(SUBSTITUTE(SUBSTITUTE(SUBSTITUTE(SUBSTITUTE(SUBSTITUTE(SUBSTITUTE(SUBSTITUTE(SUBSTITUTE(SUBSTITUTE(LOWER(B138),"."," "),","," "),"'"," "),"’"," "),"!"," "),"?"," "),";"," "),":"," "),"-"," "),"("," "),")"," "),"""", " "),"£"," "),"&amp;"," "),"/"," "),"%"," "))&amp;" "</f>
        <v> i think i was the victim f a scam and sent money to a fraudster i expect compensation </v>
      </c>
      <c r="E138" s="0" t="n">
        <f aca="false">SUMPRODUCT((Rules!$A$2:$A$60=E$1)*Rules!$C$2:$C$60*ISNUMBER(SEARCH(Rules!$D$2:$D$60,$D138)))</f>
        <v>6</v>
      </c>
      <c r="F138" s="0" t="n">
        <f aca="false">SUMPRODUCT((Rules!$A$2:$A$60=F$1)*Rules!$C$2:$C$60*ISNUMBER(SEARCH(Rules!$D$2:$D$60,$D138)))</f>
        <v>0</v>
      </c>
      <c r="G138" s="0" t="n">
        <f aca="false">SUMPRODUCT((Rules!$A$2:$A$60=G$1)*Rules!$C$2:$C$60*ISNUMBER(SEARCH(Rules!$D$2:$D$60,$D138)))</f>
        <v>0</v>
      </c>
      <c r="H138" s="0" t="n">
        <f aca="false">SUMPRODUCT((Rules!$A$2:$A$60=H$1)*Rules!$C$2:$C$60*ISNUMBER(SEARCH(Rules!$D$2:$D$60,$D138)))</f>
        <v>0</v>
      </c>
      <c r="I138" s="0" t="n">
        <f aca="false">SUMPRODUCT((Rules!$A$2:$A$60=I$1)*Rules!$C$2:$C$60*ISNUMBER(SEARCH(Rules!$D$2:$D$60,$D138)))</f>
        <v>0</v>
      </c>
      <c r="J138" s="0" t="n">
        <f aca="false">SUMPRODUCT((Rules!$A$2:$A$60=J$1)*Rules!$C$2:$C$60*ISNUMBER(SEARCH(Rules!$D$2:$D$60,$D138)))</f>
        <v>0</v>
      </c>
      <c r="K138" s="0" t="str">
        <f aca="false">IF(OR(MAX(E138:J138)&lt;Rules!$H$1,MAX(E138:J138)-LARGE(E138:J138,2)&lt;Rules!$H$2),"No label",INDEX($E$1:$J$1,MATCH(MAX(E138:J138),E138:J138,0)))</f>
        <v>Fraud &amp; Scams</v>
      </c>
      <c r="L138" s="0" t="n">
        <f aca="false">SUMPRODUCT((Rules!$A$2:$A$60=L$1)*Rules!$C$2:$C$60*ISNUMBER(SEARCH(Rules!$E$2:$E$60,$D138)))</f>
        <v>6</v>
      </c>
      <c r="M138" s="0" t="n">
        <f aca="false">SUMPRODUCT((Rules!$A$2:$A$60=M$1)*Rules!$C$2:$C$60*ISNUMBER(SEARCH(Rules!$E$2:$E$60,$D138)))</f>
        <v>0</v>
      </c>
      <c r="N138" s="0" t="n">
        <f aca="false">SUMPRODUCT((Rules!$A$2:$A$60=N$1)*Rules!$C$2:$C$60*ISNUMBER(SEARCH(Rules!$E$2:$E$60,$D138)))</f>
        <v>0</v>
      </c>
      <c r="O138" s="0" t="n">
        <f aca="false">SUMPRODUCT((Rules!$A$2:$A$60=O$1)*Rules!$C$2:$C$60*ISNUMBER(SEARCH(Rules!$E$2:$E$60,$D138)))</f>
        <v>0</v>
      </c>
      <c r="P138" s="0" t="n">
        <f aca="false">SUMPRODUCT((Rules!$A$2:$A$60=P$1)*Rules!$C$2:$C$60*ISNUMBER(SEARCH(Rules!$E$2:$E$60,$D138)))</f>
        <v>0</v>
      </c>
      <c r="Q138" s="0" t="n">
        <f aca="false">SUMPRODUCT((Rules!$A$2:$A$60=Q$1)*Rules!$C$2:$C$60*ISNUMBER(SEARCH(Rules!$E$2:$E$60,$D138)))</f>
        <v>0</v>
      </c>
      <c r="R138" s="0" t="str">
        <f aca="false">IF(OR(MAX(L138:Q138)&lt;Rules!$H$1,MAX(L138:Q138)-LARGE(L138:Q138,2)&lt;Rules!$H$2),"No label",INDEX($L$1:$Q$1,MATCH(MAX(L138:Q138),L138:Q138,0)))</f>
        <v>Fraud &amp; Scams</v>
      </c>
      <c r="S138" s="0" t="n">
        <f aca="false">SUMPRODUCT(ISNUMBER(SEARCH(" "&amp;Terms!$A$3:$A$821&amp;" ",$D138))*Terms!B$3:B$821)+Terms!B$2</f>
        <v>2.35105654065348</v>
      </c>
      <c r="T138" s="0" t="n">
        <f aca="false">SUMPRODUCT(ISNUMBER(SEARCH(" "&amp;Terms!$A$3:$A$821&amp;" ",$D138))*Terms!C$3:C$821)+Terms!C$2</f>
        <v>-4.83844461075844</v>
      </c>
      <c r="U138" s="0" t="n">
        <f aca="false">SUMPRODUCT(ISNUMBER(SEARCH(" "&amp;Terms!$A$3:$A$821&amp;" ",$D138))*Terms!D$3:D$821)+Terms!D$2</f>
        <v>-1.47355967132218</v>
      </c>
      <c r="V138" s="0" t="n">
        <f aca="false">SUMPRODUCT(ISNUMBER(SEARCH(" "&amp;Terms!$A$3:$A$821&amp;" ",$D138))*Terms!E$3:E$821)+Terms!E$2</f>
        <v>-3.10556645709219</v>
      </c>
      <c r="W138" s="0" t="n">
        <f aca="false">SUMPRODUCT(ISNUMBER(SEARCH(" "&amp;Terms!$A$3:$A$821&amp;" ",$D138))*Terms!F$3:F$821)+Terms!F$2</f>
        <v>10.6476500466001</v>
      </c>
      <c r="X138" s="0" t="n">
        <f aca="false">SUMPRODUCT(ISNUMBER(SEARCH(" "&amp;Terms!$A$3:$A$821&amp;" ",$D138))*Terms!G$3:G$821)+Terms!G$2</f>
        <v>-3.58113584808066</v>
      </c>
      <c r="Y138" s="0" t="str">
        <f aca="false">INDEX($S$1:$X$1,MATCH(MAX(S138:X138),S138:X138,0))</f>
        <v>Fraud &amp; Scams</v>
      </c>
      <c r="Z138" s="0" t="s">
        <v>2607</v>
      </c>
    </row>
    <row r="139" customFormat="false" ht="15" hidden="false" customHeight="false" outlineLevel="0" collapsed="false">
      <c r="A139" s="0" t="str">
        <f aca="false">Complaints!A139</f>
        <v>C0138</v>
      </c>
      <c r="B139" s="0" t="str">
        <f aca="false">Complaints!B139</f>
        <v>This is the second time I have raised this. The fraud team closed my case without investigating properly. I do not think it was explained properly when I bought it. Please sort this out.</v>
      </c>
      <c r="C139" s="0" t="str">
        <f aca="false">Complaints!C139</f>
        <v>Fraud &amp; Scams</v>
      </c>
      <c r="D139" s="0" t="str">
        <f aca="false">" "&amp;TRIM(SUBSTITUTE(SUBSTITUTE(SUBSTITUTE(SUBSTITUTE(SUBSTITUTE(SUBSTITUTE(SUBSTITUTE(SUBSTITUTE(SUBSTITUTE(SUBSTITUTE(SUBSTITUTE(SUBSTITUTE(SUBSTITUTE(SUBSTITUTE(SUBSTITUTE(SUBSTITUTE(LOWER(B139),"."," "),","," "),"'"," "),"’"," "),"!"," "),"?"," "),";"," "),":"," "),"-"," "),"("," "),")"," "),"""", " "),"£"," "),"&amp;"," "),"/"," "),"%"," "))&amp;" "</f>
        <v> this is the second time i have raised this the fraud team closed my case without investigating properly i do not think it was explained properly when i bought it please sort this out </v>
      </c>
      <c r="E139" s="0" t="n">
        <f aca="false">SUMPRODUCT((Rules!$A$2:$A$60=E$1)*Rules!$C$2:$C$60*ISNUMBER(SEARCH(Rules!$D$2:$D$60,$D139)))</f>
        <v>3</v>
      </c>
      <c r="F139" s="0" t="n">
        <f aca="false">SUMPRODUCT((Rules!$A$2:$A$60=F$1)*Rules!$C$2:$C$60*ISNUMBER(SEARCH(Rules!$D$2:$D$60,$D139)))</f>
        <v>0</v>
      </c>
      <c r="G139" s="0" t="n">
        <f aca="false">SUMPRODUCT((Rules!$A$2:$A$60=G$1)*Rules!$C$2:$C$60*ISNUMBER(SEARCH(Rules!$D$2:$D$60,$D139)))</f>
        <v>0</v>
      </c>
      <c r="H139" s="0" t="n">
        <f aca="false">SUMPRODUCT((Rules!$A$2:$A$60=H$1)*Rules!$C$2:$C$60*ISNUMBER(SEARCH(Rules!$D$2:$D$60,$D139)))</f>
        <v>0</v>
      </c>
      <c r="I139" s="0" t="n">
        <f aca="false">SUMPRODUCT((Rules!$A$2:$A$60=I$1)*Rules!$C$2:$C$60*ISNUMBER(SEARCH(Rules!$D$2:$D$60,$D139)))</f>
        <v>0</v>
      </c>
      <c r="J139" s="0" t="n">
        <f aca="false">SUMPRODUCT((Rules!$A$2:$A$60=J$1)*Rules!$C$2:$C$60*ISNUMBER(SEARCH(Rules!$D$2:$D$60,$D139)))</f>
        <v>0</v>
      </c>
      <c r="K139" s="0" t="str">
        <f aca="false">IF(OR(MAX(E139:J139)&lt;Rules!$H$1,MAX(E139:J139)-LARGE(E139:J139,2)&lt;Rules!$H$2),"No label",INDEX($E$1:$J$1,MATCH(MAX(E139:J139),E139:J139,0)))</f>
        <v>Fraud &amp; Scams</v>
      </c>
      <c r="L139" s="0" t="n">
        <f aca="false">SUMPRODUCT((Rules!$A$2:$A$60=L$1)*Rules!$C$2:$C$60*ISNUMBER(SEARCH(Rules!$E$2:$E$60,$D139)))</f>
        <v>3</v>
      </c>
      <c r="M139" s="0" t="n">
        <f aca="false">SUMPRODUCT((Rules!$A$2:$A$60=M$1)*Rules!$C$2:$C$60*ISNUMBER(SEARCH(Rules!$E$2:$E$60,$D139)))</f>
        <v>0</v>
      </c>
      <c r="N139" s="0" t="n">
        <f aca="false">SUMPRODUCT((Rules!$A$2:$A$60=N$1)*Rules!$C$2:$C$60*ISNUMBER(SEARCH(Rules!$E$2:$E$60,$D139)))</f>
        <v>0</v>
      </c>
      <c r="O139" s="0" t="n">
        <f aca="false">SUMPRODUCT((Rules!$A$2:$A$60=O$1)*Rules!$C$2:$C$60*ISNUMBER(SEARCH(Rules!$E$2:$E$60,$D139)))</f>
        <v>0</v>
      </c>
      <c r="P139" s="0" t="n">
        <f aca="false">SUMPRODUCT((Rules!$A$2:$A$60=P$1)*Rules!$C$2:$C$60*ISNUMBER(SEARCH(Rules!$E$2:$E$60,$D139)))</f>
        <v>0</v>
      </c>
      <c r="Q139" s="0" t="n">
        <f aca="false">SUMPRODUCT((Rules!$A$2:$A$60=Q$1)*Rules!$C$2:$C$60*ISNUMBER(SEARCH(Rules!$E$2:$E$60,$D139)))</f>
        <v>0</v>
      </c>
      <c r="R139" s="0" t="str">
        <f aca="false">IF(OR(MAX(L139:Q139)&lt;Rules!$H$1,MAX(L139:Q139)-LARGE(L139:Q139,2)&lt;Rules!$H$2),"No label",INDEX($L$1:$Q$1,MATCH(MAX(L139:Q139),L139:Q139,0)))</f>
        <v>Fraud &amp; Scams</v>
      </c>
      <c r="S139" s="0" t="n">
        <f aca="false">SUMPRODUCT(ISNUMBER(SEARCH(" "&amp;Terms!$A$3:$A$821&amp;" ",$D139))*Terms!B$3:B$821)+Terms!B$2</f>
        <v>-7.33319771324985</v>
      </c>
      <c r="T139" s="0" t="n">
        <f aca="false">SUMPRODUCT(ISNUMBER(SEARCH(" "&amp;Terms!$A$3:$A$821&amp;" ",$D139))*Terms!C$3:C$821)+Terms!C$2</f>
        <v>2.17551399095189</v>
      </c>
      <c r="U139" s="0" t="n">
        <f aca="false">SUMPRODUCT(ISNUMBER(SEARCH(" "&amp;Terms!$A$3:$A$821&amp;" ",$D139))*Terms!D$3:D$821)+Terms!D$2</f>
        <v>-3.51709946759141</v>
      </c>
      <c r="V139" s="0" t="n">
        <f aca="false">SUMPRODUCT(ISNUMBER(SEARCH(" "&amp;Terms!$A$3:$A$821&amp;" ",$D139))*Terms!E$3:E$821)+Terms!E$2</f>
        <v>0.977178473897677</v>
      </c>
      <c r="W139" s="0" t="n">
        <f aca="false">SUMPRODUCT(ISNUMBER(SEARCH(" "&amp;Terms!$A$3:$A$821&amp;" ",$D139))*Terms!F$3:F$821)+Terms!F$2</f>
        <v>12.9790958711863</v>
      </c>
      <c r="X139" s="0" t="n">
        <f aca="false">SUMPRODUCT(ISNUMBER(SEARCH(" "&amp;Terms!$A$3:$A$821&amp;" ",$D139))*Terms!G$3:G$821)+Terms!G$2</f>
        <v>-5.28149115519451</v>
      </c>
      <c r="Y139" s="0" t="str">
        <f aca="false">INDEX($S$1:$X$1,MATCH(MAX(S139:X139),S139:X139,0))</f>
        <v>Fraud &amp; Scams</v>
      </c>
      <c r="Z139" s="0" t="s">
        <v>2607</v>
      </c>
    </row>
    <row r="140" customFormat="false" ht="15" hidden="false" customHeight="false" outlineLevel="0" collapsed="false">
      <c r="A140" s="0" t="str">
        <f aca="false">Complaints!A140</f>
        <v>C0139</v>
      </c>
      <c r="B140" s="0" t="str">
        <f aca="false">Complaints!B140</f>
        <v>I am writing to complain. The brochure said guaranteed returns and my money has lost value. Also, why has my interest rate gone up without notice, it is costing me more every month. I would like a response in writing.</v>
      </c>
      <c r="C140" s="0" t="str">
        <f aca="false">Complaints!C140</f>
        <v>Mis-selling</v>
      </c>
      <c r="D140" s="0" t="str">
        <f aca="false">" "&amp;TRIM(SUBSTITUTE(SUBSTITUTE(SUBSTITUTE(SUBSTITUTE(SUBSTITUTE(SUBSTITUTE(SUBSTITUTE(SUBSTITUTE(SUBSTITUTE(SUBSTITUTE(SUBSTITUTE(SUBSTITUTE(SUBSTITUTE(SUBSTITUTE(SUBSTITUTE(SUBSTITUTE(LOWER(B140),"."," "),","," "),"'"," "),"’"," "),"!"," "),"?"," "),";"," "),":"," "),"-"," "),"("," "),")"," "),"""", " "),"£"," "),"&amp;"," "),"/"," "),"%"," "))&amp;" "</f>
        <v> i am writing to complain the brochure said guaranteed returns and my money has lost value also why has my interest rate gone up without notice it is costing me more every month i would like a response in writing </v>
      </c>
      <c r="E140" s="0" t="n">
        <f aca="false">SUMPRODUCT((Rules!$A$2:$A$60=E$1)*Rules!$C$2:$C$60*ISNUMBER(SEARCH(Rules!$D$2:$D$60,$D140)))</f>
        <v>0</v>
      </c>
      <c r="F140" s="0" t="n">
        <f aca="false">SUMPRODUCT((Rules!$A$2:$A$60=F$1)*Rules!$C$2:$C$60*ISNUMBER(SEARCH(Rules!$D$2:$D$60,$D140)))</f>
        <v>2</v>
      </c>
      <c r="G140" s="0" t="n">
        <f aca="false">SUMPRODUCT((Rules!$A$2:$A$60=G$1)*Rules!$C$2:$C$60*ISNUMBER(SEARCH(Rules!$D$2:$D$60,$D140)))</f>
        <v>0</v>
      </c>
      <c r="H140" s="0" t="n">
        <f aca="false">SUMPRODUCT((Rules!$A$2:$A$60=H$1)*Rules!$C$2:$C$60*ISNUMBER(SEARCH(Rules!$D$2:$D$60,$D140)))</f>
        <v>2</v>
      </c>
      <c r="I140" s="0" t="n">
        <f aca="false">SUMPRODUCT((Rules!$A$2:$A$60=I$1)*Rules!$C$2:$C$60*ISNUMBER(SEARCH(Rules!$D$2:$D$60,$D140)))</f>
        <v>0</v>
      </c>
      <c r="J140" s="0" t="n">
        <f aca="false">SUMPRODUCT((Rules!$A$2:$A$60=J$1)*Rules!$C$2:$C$60*ISNUMBER(SEARCH(Rules!$D$2:$D$60,$D140)))</f>
        <v>0</v>
      </c>
      <c r="K140" s="0" t="str">
        <f aca="false">IF(OR(MAX(E140:J140)&lt;Rules!$H$1,MAX(E140:J140)-LARGE(E140:J140,2)&lt;Rules!$H$2),"No label",INDEX($E$1:$J$1,MATCH(MAX(E140:J140),E140:J140,0)))</f>
        <v>No label</v>
      </c>
      <c r="L140" s="0" t="n">
        <f aca="false">SUMPRODUCT((Rules!$A$2:$A$60=L$1)*Rules!$C$2:$C$60*ISNUMBER(SEARCH(Rules!$E$2:$E$60,$D140)))</f>
        <v>0</v>
      </c>
      <c r="M140" s="0" t="n">
        <f aca="false">SUMPRODUCT((Rules!$A$2:$A$60=M$1)*Rules!$C$2:$C$60*ISNUMBER(SEARCH(Rules!$E$2:$E$60,$D140)))</f>
        <v>2</v>
      </c>
      <c r="N140" s="0" t="n">
        <f aca="false">SUMPRODUCT((Rules!$A$2:$A$60=N$1)*Rules!$C$2:$C$60*ISNUMBER(SEARCH(Rules!$E$2:$E$60,$D140)))</f>
        <v>0</v>
      </c>
      <c r="O140" s="0" t="n">
        <f aca="false">SUMPRODUCT((Rules!$A$2:$A$60=O$1)*Rules!$C$2:$C$60*ISNUMBER(SEARCH(Rules!$E$2:$E$60,$D140)))</f>
        <v>2</v>
      </c>
      <c r="P140" s="0" t="n">
        <f aca="false">SUMPRODUCT((Rules!$A$2:$A$60=P$1)*Rules!$C$2:$C$60*ISNUMBER(SEARCH(Rules!$E$2:$E$60,$D140)))</f>
        <v>0</v>
      </c>
      <c r="Q140" s="0" t="n">
        <f aca="false">SUMPRODUCT((Rules!$A$2:$A$60=Q$1)*Rules!$C$2:$C$60*ISNUMBER(SEARCH(Rules!$E$2:$E$60,$D140)))</f>
        <v>0</v>
      </c>
      <c r="R140" s="0" t="str">
        <f aca="false">IF(OR(MAX(L140:Q140)&lt;Rules!$H$1,MAX(L140:Q140)-LARGE(L140:Q140,2)&lt;Rules!$H$2),"No label",INDEX($L$1:$Q$1,MATCH(MAX(L140:Q140),L140:Q140,0)))</f>
        <v>No label</v>
      </c>
      <c r="S140" s="0" t="n">
        <f aca="false">SUMPRODUCT(ISNUMBER(SEARCH(" "&amp;Terms!$A$3:$A$821&amp;" ",$D140))*Terms!B$3:B$821)+Terms!B$2</f>
        <v>-5.42331949294722</v>
      </c>
      <c r="T140" s="0" t="n">
        <f aca="false">SUMPRODUCT(ISNUMBER(SEARCH(" "&amp;Terms!$A$3:$A$821&amp;" ",$D140))*Terms!C$3:C$821)+Terms!C$2</f>
        <v>-6.03024739602503</v>
      </c>
      <c r="U140" s="0" t="n">
        <f aca="false">SUMPRODUCT(ISNUMBER(SEARCH(" "&amp;Terms!$A$3:$A$821&amp;" ",$D140))*Terms!D$3:D$821)+Terms!D$2</f>
        <v>0.255251754687443</v>
      </c>
      <c r="V140" s="0" t="n">
        <f aca="false">SUMPRODUCT(ISNUMBER(SEARCH(" "&amp;Terms!$A$3:$A$821&amp;" ",$D140))*Terms!E$3:E$821)+Terms!E$2</f>
        <v>1.17201774568423</v>
      </c>
      <c r="W140" s="0" t="n">
        <f aca="false">SUMPRODUCT(ISNUMBER(SEARCH(" "&amp;Terms!$A$3:$A$821&amp;" ",$D140))*Terms!F$3:F$821)+Terms!F$2</f>
        <v>-1.99383778664048</v>
      </c>
      <c r="X140" s="0" t="n">
        <f aca="false">SUMPRODUCT(ISNUMBER(SEARCH(" "&amp;Terms!$A$3:$A$821&amp;" ",$D140))*Terms!G$3:G$821)+Terms!G$2</f>
        <v>12.0201351752412</v>
      </c>
      <c r="Y140" s="0" t="str">
        <f aca="false">INDEX($S$1:$X$1,MATCH(MAX(S140:X140),S140:X140,0))</f>
        <v>Mis-selling</v>
      </c>
      <c r="Z140" s="0" t="s">
        <v>2607</v>
      </c>
    </row>
    <row r="141" customFormat="false" ht="15" hidden="false" customHeight="false" outlineLevel="0" collapsed="false">
      <c r="A141" s="0" t="str">
        <f aca="false">Complaints!A141</f>
        <v>C0140</v>
      </c>
      <c r="B141" s="0" t="str">
        <f aca="false">Complaints!B141</f>
        <v>To whom it may concern, I feel I was treated badly because of my age. Also, my mortgage switch is taking far longer than you said it would.</v>
      </c>
      <c r="C141" s="0" t="str">
        <f aca="false">Complaints!C141</f>
        <v>Customer Service</v>
      </c>
      <c r="D141" s="0" t="str">
        <f aca="false">" "&amp;TRIM(SUBSTITUTE(SUBSTITUTE(SUBSTITUTE(SUBSTITUTE(SUBSTITUTE(SUBSTITUTE(SUBSTITUTE(SUBSTITUTE(SUBSTITUTE(SUBSTITUTE(SUBSTITUTE(SUBSTITUTE(SUBSTITUTE(SUBSTITUTE(SUBSTITUTE(SUBSTITUTE(LOWER(B141),"."," "),","," "),"'"," "),"’"," "),"!"," "),"?"," "),";"," "),":"," "),"-"," "),"("," "),")"," "),"""", " "),"£"," "),"&amp;"," "),"/"," "),"%"," "))&amp;" "</f>
        <v> to whom it may concern i feel i was treated badly because of my age also my mortgage switch is taking far longer than you said it would </v>
      </c>
      <c r="E141" s="0" t="n">
        <f aca="false">SUMPRODUCT((Rules!$A$2:$A$60=E$1)*Rules!$C$2:$C$60*ISNUMBER(SEARCH(Rules!$D$2:$D$60,$D141)))</f>
        <v>0</v>
      </c>
      <c r="F141" s="0" t="n">
        <f aca="false">SUMPRODUCT((Rules!$A$2:$A$60=F$1)*Rules!$C$2:$C$60*ISNUMBER(SEARCH(Rules!$D$2:$D$60,$D141)))</f>
        <v>0</v>
      </c>
      <c r="G141" s="0" t="n">
        <f aca="false">SUMPRODUCT((Rules!$A$2:$A$60=G$1)*Rules!$C$2:$C$60*ISNUMBER(SEARCH(Rules!$D$2:$D$60,$D141)))</f>
        <v>0</v>
      </c>
      <c r="H141" s="0" t="n">
        <f aca="false">SUMPRODUCT((Rules!$A$2:$A$60=H$1)*Rules!$C$2:$C$60*ISNUMBER(SEARCH(Rules!$D$2:$D$60,$D141)))</f>
        <v>0</v>
      </c>
      <c r="I141" s="0" t="n">
        <f aca="false">SUMPRODUCT((Rules!$A$2:$A$60=I$1)*Rules!$C$2:$C$60*ISNUMBER(SEARCH(Rules!$D$2:$D$60,$D141)))</f>
        <v>2</v>
      </c>
      <c r="J141" s="0" t="n">
        <f aca="false">SUMPRODUCT((Rules!$A$2:$A$60=J$1)*Rules!$C$2:$C$60*ISNUMBER(SEARCH(Rules!$D$2:$D$60,$D141)))</f>
        <v>3</v>
      </c>
      <c r="K141" s="0" t="str">
        <f aca="false">IF(OR(MAX(E141:J141)&lt;Rules!$H$1,MAX(E141:J141)-LARGE(E141:J141,2)&lt;Rules!$H$2),"No label",INDEX($E$1:$J$1,MATCH(MAX(E141:J141),E141:J141,0)))</f>
        <v>No label</v>
      </c>
      <c r="L141" s="0" t="n">
        <f aca="false">SUMPRODUCT((Rules!$A$2:$A$60=L$1)*Rules!$C$2:$C$60*ISNUMBER(SEARCH(Rules!$E$2:$E$60,$D141)))</f>
        <v>0</v>
      </c>
      <c r="M141" s="0" t="n">
        <f aca="false">SUMPRODUCT((Rules!$A$2:$A$60=M$1)*Rules!$C$2:$C$60*ISNUMBER(SEARCH(Rules!$E$2:$E$60,$D141)))</f>
        <v>0</v>
      </c>
      <c r="N141" s="0" t="n">
        <f aca="false">SUMPRODUCT((Rules!$A$2:$A$60=N$1)*Rules!$C$2:$C$60*ISNUMBER(SEARCH(Rules!$E$2:$E$60,$D141)))</f>
        <v>0</v>
      </c>
      <c r="O141" s="0" t="n">
        <f aca="false">SUMPRODUCT((Rules!$A$2:$A$60=O$1)*Rules!$C$2:$C$60*ISNUMBER(SEARCH(Rules!$E$2:$E$60,$D141)))</f>
        <v>0</v>
      </c>
      <c r="P141" s="0" t="n">
        <f aca="false">SUMPRODUCT((Rules!$A$2:$A$60=P$1)*Rules!$C$2:$C$60*ISNUMBER(SEARCH(Rules!$E$2:$E$60,$D141)))</f>
        <v>2</v>
      </c>
      <c r="Q141" s="0" t="n">
        <f aca="false">SUMPRODUCT((Rules!$A$2:$A$60=Q$1)*Rules!$C$2:$C$60*ISNUMBER(SEARCH(Rules!$E$2:$E$60,$D141)))</f>
        <v>3</v>
      </c>
      <c r="R141" s="0" t="str">
        <f aca="false">IF(OR(MAX(L141:Q141)&lt;Rules!$H$1,MAX(L141:Q141)-LARGE(L141:Q141,2)&lt;Rules!$H$2),"No label",INDEX($L$1:$Q$1,MATCH(MAX(L141:Q141),L141:Q141,0)))</f>
        <v>No label</v>
      </c>
      <c r="S141" s="0" t="n">
        <f aca="false">SUMPRODUCT(ISNUMBER(SEARCH(" "&amp;Terms!$A$3:$A$821&amp;" ",$D141))*Terms!B$3:B$821)+Terms!B$2</f>
        <v>-4.33803887232506</v>
      </c>
      <c r="T141" s="0" t="n">
        <f aca="false">SUMPRODUCT(ISNUMBER(SEARCH(" "&amp;Terms!$A$3:$A$821&amp;" ",$D141))*Terms!C$3:C$821)+Terms!C$2</f>
        <v>8.66498777257836</v>
      </c>
      <c r="U141" s="0" t="n">
        <f aca="false">SUMPRODUCT(ISNUMBER(SEARCH(" "&amp;Terms!$A$3:$A$821&amp;" ",$D141))*Terms!D$3:D$821)+Terms!D$2</f>
        <v>6.56380845985703</v>
      </c>
      <c r="V141" s="0" t="n">
        <f aca="false">SUMPRODUCT(ISNUMBER(SEARCH(" "&amp;Terms!$A$3:$A$821&amp;" ",$D141))*Terms!E$3:E$821)+Terms!E$2</f>
        <v>-3.85926372818388</v>
      </c>
      <c r="W141" s="0" t="n">
        <f aca="false">SUMPRODUCT(ISNUMBER(SEARCH(" "&amp;Terms!$A$3:$A$821&amp;" ",$D141))*Terms!F$3:F$821)+Terms!F$2</f>
        <v>-4.15387408474899</v>
      </c>
      <c r="X141" s="0" t="n">
        <f aca="false">SUMPRODUCT(ISNUMBER(SEARCH(" "&amp;Terms!$A$3:$A$821&amp;" ",$D141))*Terms!G$3:G$821)+Terms!G$2</f>
        <v>-2.87761954717736</v>
      </c>
      <c r="Y141" s="0" t="str">
        <f aca="false">INDEX($S$1:$X$1,MATCH(MAX(S141:X141),S141:X141,0))</f>
        <v>Customer Service</v>
      </c>
      <c r="Z141" s="0" t="s">
        <v>2607</v>
      </c>
    </row>
    <row r="142" customFormat="false" ht="15" hidden="false" customHeight="false" outlineLevel="0" collapsed="false">
      <c r="A142" s="0" t="str">
        <f aca="false">Complaints!A142</f>
        <v>C0141</v>
      </c>
      <c r="B142" s="0" t="str">
        <f aca="false">Complaints!B142</f>
        <v>The salesperson pushed me into a plan I did not need. Also, the paperwork was submitted a month ago and I am still waiting. I expect compensation.</v>
      </c>
      <c r="C142" s="0" t="str">
        <f aca="false">Complaints!C142</f>
        <v>Mis-selling</v>
      </c>
      <c r="D142" s="0" t="str">
        <f aca="false">" "&amp;TRIM(SUBSTITUTE(SUBSTITUTE(SUBSTITUTE(SUBSTITUTE(SUBSTITUTE(SUBSTITUTE(SUBSTITUTE(SUBSTITUTE(SUBSTITUTE(SUBSTITUTE(SUBSTITUTE(SUBSTITUTE(SUBSTITUTE(SUBSTITUTE(SUBSTITUTE(SUBSTITUTE(LOWER(B142),"."," "),","," "),"'"," "),"’"," "),"!"," "),"?"," "),";"," "),":"," "),"-"," "),"("," "),")"," "),"""", " "),"£"," "),"&amp;"," "),"/"," "),"%"," "))&amp;" "</f>
        <v> the salesperson pushed me into a plan i did not need also the paperwork was submitted a month ago and i am still waiting i expect compensation </v>
      </c>
      <c r="E142" s="0" t="n">
        <f aca="false">SUMPRODUCT((Rules!$A$2:$A$60=E$1)*Rules!$C$2:$C$60*ISNUMBER(SEARCH(Rules!$D$2:$D$60,$D142)))</f>
        <v>0</v>
      </c>
      <c r="F142" s="0" t="n">
        <f aca="false">SUMPRODUCT((Rules!$A$2:$A$60=F$1)*Rules!$C$2:$C$60*ISNUMBER(SEARCH(Rules!$D$2:$D$60,$D142)))</f>
        <v>2</v>
      </c>
      <c r="G142" s="0" t="n">
        <f aca="false">SUMPRODUCT((Rules!$A$2:$A$60=G$1)*Rules!$C$2:$C$60*ISNUMBER(SEARCH(Rules!$D$2:$D$60,$D142)))</f>
        <v>0</v>
      </c>
      <c r="H142" s="0" t="n">
        <f aca="false">SUMPRODUCT((Rules!$A$2:$A$60=H$1)*Rules!$C$2:$C$60*ISNUMBER(SEARCH(Rules!$D$2:$D$60,$D142)))</f>
        <v>0</v>
      </c>
      <c r="I142" s="0" t="n">
        <f aca="false">SUMPRODUCT((Rules!$A$2:$A$60=I$1)*Rules!$C$2:$C$60*ISNUMBER(SEARCH(Rules!$D$2:$D$60,$D142)))</f>
        <v>2</v>
      </c>
      <c r="J142" s="0" t="n">
        <f aca="false">SUMPRODUCT((Rules!$A$2:$A$60=J$1)*Rules!$C$2:$C$60*ISNUMBER(SEARCH(Rules!$D$2:$D$60,$D142)))</f>
        <v>0</v>
      </c>
      <c r="K142" s="0" t="str">
        <f aca="false">IF(OR(MAX(E142:J142)&lt;Rules!$H$1,MAX(E142:J142)-LARGE(E142:J142,2)&lt;Rules!$H$2),"No label",INDEX($E$1:$J$1,MATCH(MAX(E142:J142),E142:J142,0)))</f>
        <v>No label</v>
      </c>
      <c r="L142" s="0" t="n">
        <f aca="false">SUMPRODUCT((Rules!$A$2:$A$60=L$1)*Rules!$C$2:$C$60*ISNUMBER(SEARCH(Rules!$E$2:$E$60,$D142)))</f>
        <v>0</v>
      </c>
      <c r="M142" s="0" t="n">
        <f aca="false">SUMPRODUCT((Rules!$A$2:$A$60=M$1)*Rules!$C$2:$C$60*ISNUMBER(SEARCH(Rules!$E$2:$E$60,$D142)))</f>
        <v>2</v>
      </c>
      <c r="N142" s="0" t="n">
        <f aca="false">SUMPRODUCT((Rules!$A$2:$A$60=N$1)*Rules!$C$2:$C$60*ISNUMBER(SEARCH(Rules!$E$2:$E$60,$D142)))</f>
        <v>0</v>
      </c>
      <c r="O142" s="0" t="n">
        <f aca="false">SUMPRODUCT((Rules!$A$2:$A$60=O$1)*Rules!$C$2:$C$60*ISNUMBER(SEARCH(Rules!$E$2:$E$60,$D142)))</f>
        <v>0</v>
      </c>
      <c r="P142" s="0" t="n">
        <f aca="false">SUMPRODUCT((Rules!$A$2:$A$60=P$1)*Rules!$C$2:$C$60*ISNUMBER(SEARCH(Rules!$E$2:$E$60,$D142)))</f>
        <v>2</v>
      </c>
      <c r="Q142" s="0" t="n">
        <f aca="false">SUMPRODUCT((Rules!$A$2:$A$60=Q$1)*Rules!$C$2:$C$60*ISNUMBER(SEARCH(Rules!$E$2:$E$60,$D142)))</f>
        <v>0</v>
      </c>
      <c r="R142" s="0" t="str">
        <f aca="false">IF(OR(MAX(L142:Q142)&lt;Rules!$H$1,MAX(L142:Q142)-LARGE(L142:Q142,2)&lt;Rules!$H$2),"No label",INDEX($L$1:$Q$1,MATCH(MAX(L142:Q142),L142:Q142,0)))</f>
        <v>No label</v>
      </c>
      <c r="S142" s="0" t="n">
        <f aca="false">SUMPRODUCT(ISNUMBER(SEARCH(" "&amp;Terms!$A$3:$A$821&amp;" ",$D142))*Terms!B$3:B$821)+Terms!B$2</f>
        <v>-1.14119227263069</v>
      </c>
      <c r="T142" s="0" t="n">
        <f aca="false">SUMPRODUCT(ISNUMBER(SEARCH(" "&amp;Terms!$A$3:$A$821&amp;" ",$D142))*Terms!C$3:C$821)+Terms!C$2</f>
        <v>-1.42640946342267</v>
      </c>
      <c r="U142" s="0" t="n">
        <f aca="false">SUMPRODUCT(ISNUMBER(SEARCH(" "&amp;Terms!$A$3:$A$821&amp;" ",$D142))*Terms!D$3:D$821)+Terms!D$2</f>
        <v>1.57862960580591</v>
      </c>
      <c r="V142" s="0" t="n">
        <f aca="false">SUMPRODUCT(ISNUMBER(SEARCH(" "&amp;Terms!$A$3:$A$821&amp;" ",$D142))*Terms!E$3:E$821)+Terms!E$2</f>
        <v>-3.37974069867692</v>
      </c>
      <c r="W142" s="0" t="n">
        <f aca="false">SUMPRODUCT(ISNUMBER(SEARCH(" "&amp;Terms!$A$3:$A$821&amp;" ",$D142))*Terms!F$3:F$821)+Terms!F$2</f>
        <v>-1.35564257495182</v>
      </c>
      <c r="X142" s="0" t="n">
        <f aca="false">SUMPRODUCT(ISNUMBER(SEARCH(" "&amp;Terms!$A$3:$A$821&amp;" ",$D142))*Terms!G$3:G$821)+Terms!G$2</f>
        <v>5.72435540387629</v>
      </c>
      <c r="Y142" s="0" t="str">
        <f aca="false">INDEX($S$1:$X$1,MATCH(MAX(S142:X142),S142:X142,0))</f>
        <v>Mis-selling</v>
      </c>
      <c r="Z142" s="0" t="s">
        <v>2607</v>
      </c>
    </row>
    <row r="143" customFormat="false" ht="15" hidden="false" customHeight="false" outlineLevel="0" collapsed="false">
      <c r="A143" s="0" t="str">
        <f aca="false">Complaints!A143</f>
        <v>C0142</v>
      </c>
      <c r="B143" s="0" t="str">
        <f aca="false">Complaints!B143</f>
        <v>There is an unexpected charge on my statement of £60. This is not acceptable.</v>
      </c>
      <c r="C143" s="0" t="str">
        <f aca="false">Complaints!C143</f>
        <v>Fees &amp; Charges</v>
      </c>
      <c r="D143" s="0" t="str">
        <f aca="false">" "&amp;TRIM(SUBSTITUTE(SUBSTITUTE(SUBSTITUTE(SUBSTITUTE(SUBSTITUTE(SUBSTITUTE(SUBSTITUTE(SUBSTITUTE(SUBSTITUTE(SUBSTITUTE(SUBSTITUTE(SUBSTITUTE(SUBSTITUTE(SUBSTITUTE(SUBSTITUTE(SUBSTITUTE(LOWER(B143),"."," "),","," "),"'"," "),"’"," "),"!"," "),"?"," "),";"," "),":"," "),"-"," "),"("," "),")"," "),"""", " "),"£"," "),"&amp;"," "),"/"," "),"%"," "))&amp;" "</f>
        <v> there is an unexpected charge on my statement of 60 this is not acceptable </v>
      </c>
      <c r="E143" s="0" t="n">
        <f aca="false">SUMPRODUCT((Rules!$A$2:$A$60=E$1)*Rules!$C$2:$C$60*ISNUMBER(SEARCH(Rules!$D$2:$D$60,$D143)))</f>
        <v>0</v>
      </c>
      <c r="F143" s="0" t="n">
        <f aca="false">SUMPRODUCT((Rules!$A$2:$A$60=F$1)*Rules!$C$2:$C$60*ISNUMBER(SEARCH(Rules!$D$2:$D$60,$D143)))</f>
        <v>0</v>
      </c>
      <c r="G143" s="0" t="n">
        <f aca="false">SUMPRODUCT((Rules!$A$2:$A$60=G$1)*Rules!$C$2:$C$60*ISNUMBER(SEARCH(Rules!$D$2:$D$60,$D143)))</f>
        <v>0</v>
      </c>
      <c r="H143" s="0" t="n">
        <f aca="false">SUMPRODUCT((Rules!$A$2:$A$60=H$1)*Rules!$C$2:$C$60*ISNUMBER(SEARCH(Rules!$D$2:$D$60,$D143)))</f>
        <v>3</v>
      </c>
      <c r="I143" s="0" t="n">
        <f aca="false">SUMPRODUCT((Rules!$A$2:$A$60=I$1)*Rules!$C$2:$C$60*ISNUMBER(SEARCH(Rules!$D$2:$D$60,$D143)))</f>
        <v>0</v>
      </c>
      <c r="J143" s="0" t="n">
        <f aca="false">SUMPRODUCT((Rules!$A$2:$A$60=J$1)*Rules!$C$2:$C$60*ISNUMBER(SEARCH(Rules!$D$2:$D$60,$D143)))</f>
        <v>0</v>
      </c>
      <c r="K143" s="0" t="str">
        <f aca="false">IF(OR(MAX(E143:J143)&lt;Rules!$H$1,MAX(E143:J143)-LARGE(E143:J143,2)&lt;Rules!$H$2),"No label",INDEX($E$1:$J$1,MATCH(MAX(E143:J143),E143:J143,0)))</f>
        <v>Fees &amp; Charges</v>
      </c>
      <c r="L143" s="0" t="n">
        <f aca="false">SUMPRODUCT((Rules!$A$2:$A$60=L$1)*Rules!$C$2:$C$60*ISNUMBER(SEARCH(Rules!$E$2:$E$60,$D143)))</f>
        <v>0</v>
      </c>
      <c r="M143" s="0" t="n">
        <f aca="false">SUMPRODUCT((Rules!$A$2:$A$60=M$1)*Rules!$C$2:$C$60*ISNUMBER(SEARCH(Rules!$E$2:$E$60,$D143)))</f>
        <v>0</v>
      </c>
      <c r="N143" s="0" t="n">
        <f aca="false">SUMPRODUCT((Rules!$A$2:$A$60=N$1)*Rules!$C$2:$C$60*ISNUMBER(SEARCH(Rules!$E$2:$E$60,$D143)))</f>
        <v>1</v>
      </c>
      <c r="O143" s="0" t="n">
        <f aca="false">SUMPRODUCT((Rules!$A$2:$A$60=O$1)*Rules!$C$2:$C$60*ISNUMBER(SEARCH(Rules!$E$2:$E$60,$D143)))</f>
        <v>5</v>
      </c>
      <c r="P143" s="0" t="n">
        <f aca="false">SUMPRODUCT((Rules!$A$2:$A$60=P$1)*Rules!$C$2:$C$60*ISNUMBER(SEARCH(Rules!$E$2:$E$60,$D143)))</f>
        <v>0</v>
      </c>
      <c r="Q143" s="0" t="n">
        <f aca="false">SUMPRODUCT((Rules!$A$2:$A$60=Q$1)*Rules!$C$2:$C$60*ISNUMBER(SEARCH(Rules!$E$2:$E$60,$D143)))</f>
        <v>0</v>
      </c>
      <c r="R143" s="0" t="str">
        <f aca="false">IF(OR(MAX(L143:Q143)&lt;Rules!$H$1,MAX(L143:Q143)-LARGE(L143:Q143,2)&lt;Rules!$H$2),"No label",INDEX($L$1:$Q$1,MATCH(MAX(L143:Q143),L143:Q143,0)))</f>
        <v>Fees &amp; Charges</v>
      </c>
      <c r="S143" s="0" t="n">
        <f aca="false">SUMPRODUCT(ISNUMBER(SEARCH(" "&amp;Terms!$A$3:$A$821&amp;" ",$D143))*Terms!B$3:B$821)+Terms!B$2</f>
        <v>-2.04084822372753</v>
      </c>
      <c r="T143" s="0" t="n">
        <f aca="false">SUMPRODUCT(ISNUMBER(SEARCH(" "&amp;Terms!$A$3:$A$821&amp;" ",$D143))*Terms!C$3:C$821)+Terms!C$2</f>
        <v>-2.91929458644101</v>
      </c>
      <c r="U143" s="0" t="n">
        <f aca="false">SUMPRODUCT(ISNUMBER(SEARCH(" "&amp;Terms!$A$3:$A$821&amp;" ",$D143))*Terms!D$3:D$821)+Terms!D$2</f>
        <v>-1.69492941378984</v>
      </c>
      <c r="V143" s="0" t="n">
        <f aca="false">SUMPRODUCT(ISNUMBER(SEARCH(" "&amp;Terms!$A$3:$A$821&amp;" ",$D143))*Terms!E$3:E$821)+Terms!E$2</f>
        <v>8.84475986195612</v>
      </c>
      <c r="W143" s="0" t="n">
        <f aca="false">SUMPRODUCT(ISNUMBER(SEARCH(" "&amp;Terms!$A$3:$A$821&amp;" ",$D143))*Terms!F$3:F$821)+Terms!F$2</f>
        <v>-0.464579449170461</v>
      </c>
      <c r="X143" s="0" t="n">
        <f aca="false">SUMPRODUCT(ISNUMBER(SEARCH(" "&amp;Terms!$A$3:$A$821&amp;" ",$D143))*Terms!G$3:G$821)+Terms!G$2</f>
        <v>-1.72510818882719</v>
      </c>
      <c r="Y143" s="0" t="str">
        <f aca="false">INDEX($S$1:$X$1,MATCH(MAX(S143:X143),S143:X143,0))</f>
        <v>Fees &amp; Charges</v>
      </c>
      <c r="Z143" s="0" t="s">
        <v>2607</v>
      </c>
    </row>
    <row r="144" customFormat="false" ht="15" hidden="false" customHeight="false" outlineLevel="0" collapsed="false">
      <c r="A144" s="0" t="str">
        <f aca="false">Complaints!A144</f>
        <v>C0143</v>
      </c>
      <c r="B144" s="0" t="str">
        <f aca="false">Complaints!B144</f>
        <v>Your advisor gave me different answers on two separate calls.</v>
      </c>
      <c r="C144" s="0" t="str">
        <f aca="false">Complaints!C144</f>
        <v>Customer Service</v>
      </c>
      <c r="D144" s="0" t="str">
        <f aca="false">" "&amp;TRIM(SUBSTITUTE(SUBSTITUTE(SUBSTITUTE(SUBSTITUTE(SUBSTITUTE(SUBSTITUTE(SUBSTITUTE(SUBSTITUTE(SUBSTITUTE(SUBSTITUTE(SUBSTITUTE(SUBSTITUTE(SUBSTITUTE(SUBSTITUTE(SUBSTITUTE(SUBSTITUTE(LOWER(B144),"."," "),","," "),"'"," "),"’"," "),"!"," "),"?"," "),";"," "),":"," "),"-"," "),"("," "),")"," "),"""", " "),"£"," "),"&amp;"," "),"/"," "),"%"," "))&amp;" "</f>
        <v> your advisor gave me different answers on two separate calls </v>
      </c>
      <c r="E144" s="0" t="n">
        <f aca="false">SUMPRODUCT((Rules!$A$2:$A$60=E$1)*Rules!$C$2:$C$60*ISNUMBER(SEARCH(Rules!$D$2:$D$60,$D144)))</f>
        <v>0</v>
      </c>
      <c r="F144" s="0" t="n">
        <f aca="false">SUMPRODUCT((Rules!$A$2:$A$60=F$1)*Rules!$C$2:$C$60*ISNUMBER(SEARCH(Rules!$D$2:$D$60,$D144)))</f>
        <v>0</v>
      </c>
      <c r="G144" s="0" t="n">
        <f aca="false">SUMPRODUCT((Rules!$A$2:$A$60=G$1)*Rules!$C$2:$C$60*ISNUMBER(SEARCH(Rules!$D$2:$D$60,$D144)))</f>
        <v>0</v>
      </c>
      <c r="H144" s="0" t="n">
        <f aca="false">SUMPRODUCT((Rules!$A$2:$A$60=H$1)*Rules!$C$2:$C$60*ISNUMBER(SEARCH(Rules!$D$2:$D$60,$D144)))</f>
        <v>0</v>
      </c>
      <c r="I144" s="0" t="n">
        <f aca="false">SUMPRODUCT((Rules!$A$2:$A$60=I$1)*Rules!$C$2:$C$60*ISNUMBER(SEARCH(Rules!$D$2:$D$60,$D144)))</f>
        <v>0</v>
      </c>
      <c r="J144" s="0" t="n">
        <f aca="false">SUMPRODUCT((Rules!$A$2:$A$60=J$1)*Rules!$C$2:$C$60*ISNUMBER(SEARCH(Rules!$D$2:$D$60,$D144)))</f>
        <v>1</v>
      </c>
      <c r="K144" s="0" t="str">
        <f aca="false">IF(OR(MAX(E144:J144)&lt;Rules!$H$1,MAX(E144:J144)-LARGE(E144:J144,2)&lt;Rules!$H$2),"No label",INDEX($E$1:$J$1,MATCH(MAX(E144:J144),E144:J144,0)))</f>
        <v>No label</v>
      </c>
      <c r="L144" s="0" t="n">
        <f aca="false">SUMPRODUCT((Rules!$A$2:$A$60=L$1)*Rules!$C$2:$C$60*ISNUMBER(SEARCH(Rules!$E$2:$E$60,$D144)))</f>
        <v>0</v>
      </c>
      <c r="M144" s="0" t="n">
        <f aca="false">SUMPRODUCT((Rules!$A$2:$A$60=M$1)*Rules!$C$2:$C$60*ISNUMBER(SEARCH(Rules!$E$2:$E$60,$D144)))</f>
        <v>4</v>
      </c>
      <c r="N144" s="0" t="n">
        <f aca="false">SUMPRODUCT((Rules!$A$2:$A$60=N$1)*Rules!$C$2:$C$60*ISNUMBER(SEARCH(Rules!$E$2:$E$60,$D144)))</f>
        <v>0</v>
      </c>
      <c r="O144" s="0" t="n">
        <f aca="false">SUMPRODUCT((Rules!$A$2:$A$60=O$1)*Rules!$C$2:$C$60*ISNUMBER(SEARCH(Rules!$E$2:$E$60,$D144)))</f>
        <v>0</v>
      </c>
      <c r="P144" s="0" t="n">
        <f aca="false">SUMPRODUCT((Rules!$A$2:$A$60=P$1)*Rules!$C$2:$C$60*ISNUMBER(SEARCH(Rules!$E$2:$E$60,$D144)))</f>
        <v>0</v>
      </c>
      <c r="Q144" s="0" t="n">
        <f aca="false">SUMPRODUCT((Rules!$A$2:$A$60=Q$1)*Rules!$C$2:$C$60*ISNUMBER(SEARCH(Rules!$E$2:$E$60,$D144)))</f>
        <v>1</v>
      </c>
      <c r="R144" s="0" t="str">
        <f aca="false">IF(OR(MAX(L144:Q144)&lt;Rules!$H$1,MAX(L144:Q144)-LARGE(L144:Q144,2)&lt;Rules!$H$2),"No label",INDEX($L$1:$Q$1,MATCH(MAX(L144:Q144),L144:Q144,0)))</f>
        <v>Mis-selling</v>
      </c>
      <c r="S144" s="0" t="n">
        <f aca="false">SUMPRODUCT(ISNUMBER(SEARCH(" "&amp;Terms!$A$3:$A$821&amp;" ",$D144))*Terms!B$3:B$821)+Terms!B$2</f>
        <v>0.0129842988079753</v>
      </c>
      <c r="T144" s="0" t="n">
        <f aca="false">SUMPRODUCT(ISNUMBER(SEARCH(" "&amp;Terms!$A$3:$A$821&amp;" ",$D144))*Terms!C$3:C$821)+Terms!C$2</f>
        <v>12.1875951711588</v>
      </c>
      <c r="U144" s="0" t="n">
        <f aca="false">SUMPRODUCT(ISNUMBER(SEARCH(" "&amp;Terms!$A$3:$A$821&amp;" ",$D144))*Terms!D$3:D$821)+Terms!D$2</f>
        <v>-2.91594721889199</v>
      </c>
      <c r="V144" s="0" t="n">
        <f aca="false">SUMPRODUCT(ISNUMBER(SEARCH(" "&amp;Terms!$A$3:$A$821&amp;" ",$D144))*Terms!E$3:E$821)+Terms!E$2</f>
        <v>-5.17591481289966</v>
      </c>
      <c r="W144" s="0" t="n">
        <f aca="false">SUMPRODUCT(ISNUMBER(SEARCH(" "&amp;Terms!$A$3:$A$821&amp;" ",$D144))*Terms!F$3:F$821)+Terms!F$2</f>
        <v>-1.84684772168306</v>
      </c>
      <c r="X144" s="0" t="n">
        <f aca="false">SUMPRODUCT(ISNUMBER(SEARCH(" "&amp;Terms!$A$3:$A$821&amp;" ",$D144))*Terms!G$3:G$821)+Terms!G$2</f>
        <v>-2.261869716492</v>
      </c>
      <c r="Y144" s="0" t="str">
        <f aca="false">INDEX($S$1:$X$1,MATCH(MAX(S144:X144),S144:X144,0))</f>
        <v>Customer Service</v>
      </c>
      <c r="Z144" s="0" t="s">
        <v>2607</v>
      </c>
    </row>
    <row r="145" customFormat="false" ht="15" hidden="false" customHeight="false" outlineLevel="0" collapsed="false">
      <c r="A145" s="0" t="str">
        <f aca="false">Complaints!A145</f>
        <v>C0144</v>
      </c>
      <c r="B145" s="0" t="str">
        <f aca="false">Complaints!B145</f>
        <v>I spent an hour on hold and then the call was cut off. This is not acceptable.</v>
      </c>
      <c r="C145" s="0" t="str">
        <f aca="false">Complaints!C145</f>
        <v>Customer Service</v>
      </c>
      <c r="D145" s="0" t="str">
        <f aca="false">" "&amp;TRIM(SUBSTITUTE(SUBSTITUTE(SUBSTITUTE(SUBSTITUTE(SUBSTITUTE(SUBSTITUTE(SUBSTITUTE(SUBSTITUTE(SUBSTITUTE(SUBSTITUTE(SUBSTITUTE(SUBSTITUTE(SUBSTITUTE(SUBSTITUTE(SUBSTITUTE(SUBSTITUTE(LOWER(B145),"."," "),","," "),"'"," "),"’"," "),"!"," "),"?"," "),";"," "),":"," "),"-"," "),"("," "),")"," "),"""", " "),"£"," "),"&amp;"," "),"/"," "),"%"," "))&amp;" "</f>
        <v> i spent an hour on hold and then the call was cut off this is not acceptable </v>
      </c>
      <c r="E145" s="0" t="n">
        <f aca="false">SUMPRODUCT((Rules!$A$2:$A$60=E$1)*Rules!$C$2:$C$60*ISNUMBER(SEARCH(Rules!$D$2:$D$60,$D145)))</f>
        <v>0</v>
      </c>
      <c r="F145" s="0" t="n">
        <f aca="false">SUMPRODUCT((Rules!$A$2:$A$60=F$1)*Rules!$C$2:$C$60*ISNUMBER(SEARCH(Rules!$D$2:$D$60,$D145)))</f>
        <v>0</v>
      </c>
      <c r="G145" s="0" t="n">
        <f aca="false">SUMPRODUCT((Rules!$A$2:$A$60=G$1)*Rules!$C$2:$C$60*ISNUMBER(SEARCH(Rules!$D$2:$D$60,$D145)))</f>
        <v>0</v>
      </c>
      <c r="H145" s="0" t="n">
        <f aca="false">SUMPRODUCT((Rules!$A$2:$A$60=H$1)*Rules!$C$2:$C$60*ISNUMBER(SEARCH(Rules!$D$2:$D$60,$D145)))</f>
        <v>0</v>
      </c>
      <c r="I145" s="0" t="n">
        <f aca="false">SUMPRODUCT((Rules!$A$2:$A$60=I$1)*Rules!$C$2:$C$60*ISNUMBER(SEARCH(Rules!$D$2:$D$60,$D145)))</f>
        <v>0</v>
      </c>
      <c r="J145" s="0" t="n">
        <f aca="false">SUMPRODUCT((Rules!$A$2:$A$60=J$1)*Rules!$C$2:$C$60*ISNUMBER(SEARCH(Rules!$D$2:$D$60,$D145)))</f>
        <v>3</v>
      </c>
      <c r="K145" s="0" t="str">
        <f aca="false">IF(OR(MAX(E145:J145)&lt;Rules!$H$1,MAX(E145:J145)-LARGE(E145:J145,2)&lt;Rules!$H$2),"No label",INDEX($E$1:$J$1,MATCH(MAX(E145:J145),E145:J145,0)))</f>
        <v>Customer Service</v>
      </c>
      <c r="L145" s="0" t="n">
        <f aca="false">SUMPRODUCT((Rules!$A$2:$A$60=L$1)*Rules!$C$2:$C$60*ISNUMBER(SEARCH(Rules!$E$2:$E$60,$D145)))</f>
        <v>0</v>
      </c>
      <c r="M145" s="0" t="n">
        <f aca="false">SUMPRODUCT((Rules!$A$2:$A$60=M$1)*Rules!$C$2:$C$60*ISNUMBER(SEARCH(Rules!$E$2:$E$60,$D145)))</f>
        <v>0</v>
      </c>
      <c r="N145" s="0" t="n">
        <f aca="false">SUMPRODUCT((Rules!$A$2:$A$60=N$1)*Rules!$C$2:$C$60*ISNUMBER(SEARCH(Rules!$E$2:$E$60,$D145)))</f>
        <v>1</v>
      </c>
      <c r="O145" s="0" t="n">
        <f aca="false">SUMPRODUCT((Rules!$A$2:$A$60=O$1)*Rules!$C$2:$C$60*ISNUMBER(SEARCH(Rules!$E$2:$E$60,$D145)))</f>
        <v>0</v>
      </c>
      <c r="P145" s="0" t="n">
        <f aca="false">SUMPRODUCT((Rules!$A$2:$A$60=P$1)*Rules!$C$2:$C$60*ISNUMBER(SEARCH(Rules!$E$2:$E$60,$D145)))</f>
        <v>0</v>
      </c>
      <c r="Q145" s="0" t="n">
        <f aca="false">SUMPRODUCT((Rules!$A$2:$A$60=Q$1)*Rules!$C$2:$C$60*ISNUMBER(SEARCH(Rules!$E$2:$E$60,$D145)))</f>
        <v>3</v>
      </c>
      <c r="R145" s="0" t="str">
        <f aca="false">IF(OR(MAX(L145:Q145)&lt;Rules!$H$1,MAX(L145:Q145)-LARGE(L145:Q145,2)&lt;Rules!$H$2),"No label",INDEX($L$1:$Q$1,MATCH(MAX(L145:Q145),L145:Q145,0)))</f>
        <v>Customer Service</v>
      </c>
      <c r="S145" s="0" t="n">
        <f aca="false">SUMPRODUCT(ISNUMBER(SEARCH(" "&amp;Terms!$A$3:$A$821&amp;" ",$D145))*Terms!B$3:B$821)+Terms!B$2</f>
        <v>-0.0897350985551159</v>
      </c>
      <c r="T145" s="0" t="n">
        <f aca="false">SUMPRODUCT(ISNUMBER(SEARCH(" "&amp;Terms!$A$3:$A$821&amp;" ",$D145))*Terms!C$3:C$821)+Terms!C$2</f>
        <v>5.63611363084907</v>
      </c>
      <c r="U145" s="0" t="n">
        <f aca="false">SUMPRODUCT(ISNUMBER(SEARCH(" "&amp;Terms!$A$3:$A$821&amp;" ",$D145))*Terms!D$3:D$821)+Terms!D$2</f>
        <v>-0.940963387418895</v>
      </c>
      <c r="V145" s="0" t="n">
        <f aca="false">SUMPRODUCT(ISNUMBER(SEARCH(" "&amp;Terms!$A$3:$A$821&amp;" ",$D145))*Terms!E$3:E$821)+Terms!E$2</f>
        <v>-4.13648924714367</v>
      </c>
      <c r="W145" s="0" t="n">
        <f aca="false">SUMPRODUCT(ISNUMBER(SEARCH(" "&amp;Terms!$A$3:$A$821&amp;" ",$D145))*Terms!F$3:F$821)+Terms!F$2</f>
        <v>-0.557526382742719</v>
      </c>
      <c r="X145" s="0" t="n">
        <f aca="false">SUMPRODUCT(ISNUMBER(SEARCH(" "&amp;Terms!$A$3:$A$821&amp;" ",$D145))*Terms!G$3:G$821)+Terms!G$2</f>
        <v>0.0886004850114352</v>
      </c>
      <c r="Y145" s="0" t="str">
        <f aca="false">INDEX($S$1:$X$1,MATCH(MAX(S145:X145),S145:X145,0))</f>
        <v>Customer Service</v>
      </c>
      <c r="Z145" s="0" t="s">
        <v>2607</v>
      </c>
    </row>
    <row r="146" customFormat="false" ht="15" hidden="false" customHeight="false" outlineLevel="0" collapsed="false">
      <c r="A146" s="0" t="str">
        <f aca="false">Complaints!A146</f>
        <v>C0145</v>
      </c>
      <c r="B146" s="0" t="str">
        <f aca="false">Complaints!B146</f>
        <v>Hello, The app crashes every time I try to open my statements. It has also been taking far too long. I expect compensation.</v>
      </c>
      <c r="C146" s="0" t="str">
        <f aca="false">Complaints!C146</f>
        <v>Account Access</v>
      </c>
      <c r="D146" s="0" t="str">
        <f aca="false">" "&amp;TRIM(SUBSTITUTE(SUBSTITUTE(SUBSTITUTE(SUBSTITUTE(SUBSTITUTE(SUBSTITUTE(SUBSTITUTE(SUBSTITUTE(SUBSTITUTE(SUBSTITUTE(SUBSTITUTE(SUBSTITUTE(SUBSTITUTE(SUBSTITUTE(SUBSTITUTE(SUBSTITUTE(LOWER(B146),"."," "),","," "),"'"," "),"’"," "),"!"," "),"?"," "),";"," "),":"," "),"-"," "),"("," "),")"," "),"""", " "),"£"," "),"&amp;"," "),"/"," "),"%"," "))&amp;" "</f>
        <v> hello the app crashes every time i try to open my statements it has also been taking far too long i expect compensation </v>
      </c>
      <c r="E146" s="0" t="n">
        <f aca="false">SUMPRODUCT((Rules!$A$2:$A$60=E$1)*Rules!$C$2:$C$60*ISNUMBER(SEARCH(Rules!$D$2:$D$60,$D146)))</f>
        <v>0</v>
      </c>
      <c r="F146" s="0" t="n">
        <f aca="false">SUMPRODUCT((Rules!$A$2:$A$60=F$1)*Rules!$C$2:$C$60*ISNUMBER(SEARCH(Rules!$D$2:$D$60,$D146)))</f>
        <v>0</v>
      </c>
      <c r="G146" s="0" t="n">
        <f aca="false">SUMPRODUCT((Rules!$A$2:$A$60=G$1)*Rules!$C$2:$C$60*ISNUMBER(SEARCH(Rules!$D$2:$D$60,$D146)))</f>
        <v>3</v>
      </c>
      <c r="H146" s="0" t="n">
        <f aca="false">SUMPRODUCT((Rules!$A$2:$A$60=H$1)*Rules!$C$2:$C$60*ISNUMBER(SEARCH(Rules!$D$2:$D$60,$D146)))</f>
        <v>0</v>
      </c>
      <c r="I146" s="0" t="n">
        <f aca="false">SUMPRODUCT((Rules!$A$2:$A$60=I$1)*Rules!$C$2:$C$60*ISNUMBER(SEARCH(Rules!$D$2:$D$60,$D146)))</f>
        <v>0</v>
      </c>
      <c r="J146" s="0" t="n">
        <f aca="false">SUMPRODUCT((Rules!$A$2:$A$60=J$1)*Rules!$C$2:$C$60*ISNUMBER(SEARCH(Rules!$D$2:$D$60,$D146)))</f>
        <v>0</v>
      </c>
      <c r="K146" s="0" t="str">
        <f aca="false">IF(OR(MAX(E146:J146)&lt;Rules!$H$1,MAX(E146:J146)-LARGE(E146:J146,2)&lt;Rules!$H$2),"No label",INDEX($E$1:$J$1,MATCH(MAX(E146:J146),E146:J146,0)))</f>
        <v>Account Access</v>
      </c>
      <c r="L146" s="0" t="n">
        <f aca="false">SUMPRODUCT((Rules!$A$2:$A$60=L$1)*Rules!$C$2:$C$60*ISNUMBER(SEARCH(Rules!$E$2:$E$60,$D146)))</f>
        <v>0</v>
      </c>
      <c r="M146" s="0" t="n">
        <f aca="false">SUMPRODUCT((Rules!$A$2:$A$60=M$1)*Rules!$C$2:$C$60*ISNUMBER(SEARCH(Rules!$E$2:$E$60,$D146)))</f>
        <v>0</v>
      </c>
      <c r="N146" s="0" t="n">
        <f aca="false">SUMPRODUCT((Rules!$A$2:$A$60=N$1)*Rules!$C$2:$C$60*ISNUMBER(SEARCH(Rules!$E$2:$E$60,$D146)))</f>
        <v>3</v>
      </c>
      <c r="O146" s="0" t="n">
        <f aca="false">SUMPRODUCT((Rules!$A$2:$A$60=O$1)*Rules!$C$2:$C$60*ISNUMBER(SEARCH(Rules!$E$2:$E$60,$D146)))</f>
        <v>1</v>
      </c>
      <c r="P146" s="0" t="n">
        <f aca="false">SUMPRODUCT((Rules!$A$2:$A$60=P$1)*Rules!$C$2:$C$60*ISNUMBER(SEARCH(Rules!$E$2:$E$60,$D146)))</f>
        <v>0</v>
      </c>
      <c r="Q146" s="0" t="n">
        <f aca="false">SUMPRODUCT((Rules!$A$2:$A$60=Q$1)*Rules!$C$2:$C$60*ISNUMBER(SEARCH(Rules!$E$2:$E$60,$D146)))</f>
        <v>0</v>
      </c>
      <c r="R146" s="0" t="str">
        <f aca="false">IF(OR(MAX(L146:Q146)&lt;Rules!$H$1,MAX(L146:Q146)-LARGE(L146:Q146,2)&lt;Rules!$H$2),"No label",INDEX($L$1:$Q$1,MATCH(MAX(L146:Q146),L146:Q146,0)))</f>
        <v>Account Access</v>
      </c>
      <c r="S146" s="0" t="n">
        <f aca="false">SUMPRODUCT(ISNUMBER(SEARCH(" "&amp;Terms!$A$3:$A$821&amp;" ",$D146))*Terms!B$3:B$821)+Terms!B$2</f>
        <v>10.9806988612807</v>
      </c>
      <c r="T146" s="0" t="n">
        <f aca="false">SUMPRODUCT(ISNUMBER(SEARCH(" "&amp;Terms!$A$3:$A$821&amp;" ",$D146))*Terms!C$3:C$821)+Terms!C$2</f>
        <v>-0.572946983524823</v>
      </c>
      <c r="U146" s="0" t="n">
        <f aca="false">SUMPRODUCT(ISNUMBER(SEARCH(" "&amp;Terms!$A$3:$A$821&amp;" ",$D146))*Terms!D$3:D$821)+Terms!D$2</f>
        <v>-4.05500867149974</v>
      </c>
      <c r="V146" s="0" t="n">
        <f aca="false">SUMPRODUCT(ISNUMBER(SEARCH(" "&amp;Terms!$A$3:$A$821&amp;" ",$D146))*Terms!E$3:E$821)+Terms!E$2</f>
        <v>-0.132274155788706</v>
      </c>
      <c r="W146" s="0" t="n">
        <f aca="false">SUMPRODUCT(ISNUMBER(SEARCH(" "&amp;Terms!$A$3:$A$821&amp;" ",$D146))*Terms!F$3:F$821)+Terms!F$2</f>
        <v>-1.89317760124651</v>
      </c>
      <c r="X146" s="0" t="n">
        <f aca="false">SUMPRODUCT(ISNUMBER(SEARCH(" "&amp;Terms!$A$3:$A$821&amp;" ",$D146))*Terms!G$3:G$821)+Terms!G$2</f>
        <v>-4.32729144922086</v>
      </c>
      <c r="Y146" s="0" t="str">
        <f aca="false">INDEX($S$1:$X$1,MATCH(MAX(S146:X146),S146:X146,0))</f>
        <v>Account Access</v>
      </c>
      <c r="Z146" s="0" t="s">
        <v>2607</v>
      </c>
    </row>
    <row r="147" customFormat="false" ht="15" hidden="false" customHeight="false" outlineLevel="0" collapsed="false">
      <c r="A147" s="0" t="str">
        <f aca="false">Complaints!A147</f>
        <v>C0146</v>
      </c>
      <c r="B147" s="0" t="str">
        <f aca="false">Complaints!B147</f>
        <v>To whom it ay concern, I was charged a monthly fee that nobody told me about. I would like a response in writing.</v>
      </c>
      <c r="C147" s="0" t="str">
        <f aca="false">Complaints!C147</f>
        <v>Fees &amp; Charges</v>
      </c>
      <c r="D147" s="0" t="str">
        <f aca="false">" "&amp;TRIM(SUBSTITUTE(SUBSTITUTE(SUBSTITUTE(SUBSTITUTE(SUBSTITUTE(SUBSTITUTE(SUBSTITUTE(SUBSTITUTE(SUBSTITUTE(SUBSTITUTE(SUBSTITUTE(SUBSTITUTE(SUBSTITUTE(SUBSTITUTE(SUBSTITUTE(SUBSTITUTE(LOWER(B147),"."," "),","," "),"'"," "),"’"," "),"!"," "),"?"," "),";"," "),":"," "),"-"," "),"("," "),")"," "),"""", " "),"£"," "),"&amp;"," "),"/"," "),"%"," "))&amp;" "</f>
        <v> to whom it ay concern i was charged a monthly fee that nobody told me about i would like a response in writing </v>
      </c>
      <c r="E147" s="0" t="n">
        <f aca="false">SUMPRODUCT((Rules!$A$2:$A$60=E$1)*Rules!$C$2:$C$60*ISNUMBER(SEARCH(Rules!$D$2:$D$60,$D147)))</f>
        <v>0</v>
      </c>
      <c r="F147" s="0" t="n">
        <f aca="false">SUMPRODUCT((Rules!$A$2:$A$60=F$1)*Rules!$C$2:$C$60*ISNUMBER(SEARCH(Rules!$D$2:$D$60,$D147)))</f>
        <v>0</v>
      </c>
      <c r="G147" s="0" t="n">
        <f aca="false">SUMPRODUCT((Rules!$A$2:$A$60=G$1)*Rules!$C$2:$C$60*ISNUMBER(SEARCH(Rules!$D$2:$D$60,$D147)))</f>
        <v>0</v>
      </c>
      <c r="H147" s="0" t="n">
        <f aca="false">SUMPRODUCT((Rules!$A$2:$A$60=H$1)*Rules!$C$2:$C$60*ISNUMBER(SEARCH(Rules!$D$2:$D$60,$D147)))</f>
        <v>4</v>
      </c>
      <c r="I147" s="0" t="n">
        <f aca="false">SUMPRODUCT((Rules!$A$2:$A$60=I$1)*Rules!$C$2:$C$60*ISNUMBER(SEARCH(Rules!$D$2:$D$60,$D147)))</f>
        <v>0</v>
      </c>
      <c r="J147" s="0" t="n">
        <f aca="false">SUMPRODUCT((Rules!$A$2:$A$60=J$1)*Rules!$C$2:$C$60*ISNUMBER(SEARCH(Rules!$D$2:$D$60,$D147)))</f>
        <v>0</v>
      </c>
      <c r="K147" s="0" t="str">
        <f aca="false">IF(OR(MAX(E147:J147)&lt;Rules!$H$1,MAX(E147:J147)-LARGE(E147:J147,2)&lt;Rules!$H$2),"No label",INDEX($E$1:$J$1,MATCH(MAX(E147:J147),E147:J147,0)))</f>
        <v>Fees &amp; Charges</v>
      </c>
      <c r="L147" s="0" t="n">
        <f aca="false">SUMPRODUCT((Rules!$A$2:$A$60=L$1)*Rules!$C$2:$C$60*ISNUMBER(SEARCH(Rules!$E$2:$E$60,$D147)))</f>
        <v>0</v>
      </c>
      <c r="M147" s="0" t="n">
        <f aca="false">SUMPRODUCT((Rules!$A$2:$A$60=M$1)*Rules!$C$2:$C$60*ISNUMBER(SEARCH(Rules!$E$2:$E$60,$D147)))</f>
        <v>0</v>
      </c>
      <c r="N147" s="0" t="n">
        <f aca="false">SUMPRODUCT((Rules!$A$2:$A$60=N$1)*Rules!$C$2:$C$60*ISNUMBER(SEARCH(Rules!$E$2:$E$60,$D147)))</f>
        <v>0</v>
      </c>
      <c r="O147" s="0" t="n">
        <f aca="false">SUMPRODUCT((Rules!$A$2:$A$60=O$1)*Rules!$C$2:$C$60*ISNUMBER(SEARCH(Rules!$E$2:$E$60,$D147)))</f>
        <v>6</v>
      </c>
      <c r="P147" s="0" t="n">
        <f aca="false">SUMPRODUCT((Rules!$A$2:$A$60=P$1)*Rules!$C$2:$C$60*ISNUMBER(SEARCH(Rules!$E$2:$E$60,$D147)))</f>
        <v>0</v>
      </c>
      <c r="Q147" s="0" t="n">
        <f aca="false">SUMPRODUCT((Rules!$A$2:$A$60=Q$1)*Rules!$C$2:$C$60*ISNUMBER(SEARCH(Rules!$E$2:$E$60,$D147)))</f>
        <v>0</v>
      </c>
      <c r="R147" s="0" t="str">
        <f aca="false">IF(OR(MAX(L147:Q147)&lt;Rules!$H$1,MAX(L147:Q147)-LARGE(L147:Q147,2)&lt;Rules!$H$2),"No label",INDEX($L$1:$Q$1,MATCH(MAX(L147:Q147),L147:Q147,0)))</f>
        <v>Fees &amp; Charges</v>
      </c>
      <c r="S147" s="0" t="n">
        <f aca="false">SUMPRODUCT(ISNUMBER(SEARCH(" "&amp;Terms!$A$3:$A$821&amp;" ",$D147))*Terms!B$3:B$821)+Terms!B$2</f>
        <v>-1.82656549944257</v>
      </c>
      <c r="T147" s="0" t="n">
        <f aca="false">SUMPRODUCT(ISNUMBER(SEARCH(" "&amp;Terms!$A$3:$A$821&amp;" ",$D147))*Terms!C$3:C$821)+Terms!C$2</f>
        <v>-4.55737796169678</v>
      </c>
      <c r="U147" s="0" t="n">
        <f aca="false">SUMPRODUCT(ISNUMBER(SEARCH(" "&amp;Terms!$A$3:$A$821&amp;" ",$D147))*Terms!D$3:D$821)+Terms!D$2</f>
        <v>-2.47445030702573</v>
      </c>
      <c r="V147" s="0" t="n">
        <f aca="false">SUMPRODUCT(ISNUMBER(SEARCH(" "&amp;Terms!$A$3:$A$821&amp;" ",$D147))*Terms!E$3:E$821)+Terms!E$2</f>
        <v>11.4830082948731</v>
      </c>
      <c r="W147" s="0" t="n">
        <f aca="false">SUMPRODUCT(ISNUMBER(SEARCH(" "&amp;Terms!$A$3:$A$821&amp;" ",$D147))*Terms!F$3:F$821)+Terms!F$2</f>
        <v>-4.00280530686691</v>
      </c>
      <c r="X147" s="0" t="n">
        <f aca="false">SUMPRODUCT(ISNUMBER(SEARCH(" "&amp;Terms!$A$3:$A$821&amp;" ",$D147))*Terms!G$3:G$821)+Terms!G$2</f>
        <v>1.37819078015894</v>
      </c>
      <c r="Y147" s="0" t="str">
        <f aca="false">INDEX($S$1:$X$1,MATCH(MAX(S147:X147),S147:X147,0))</f>
        <v>Fees &amp; Charges</v>
      </c>
      <c r="Z147" s="0" t="s">
        <v>2607</v>
      </c>
    </row>
    <row r="148" customFormat="false" ht="15" hidden="false" customHeight="false" outlineLevel="0" collapsed="false">
      <c r="A148" s="0" t="str">
        <f aca="false">Complaints!A148</f>
        <v>C0147</v>
      </c>
      <c r="B148" s="0" t="str">
        <f aca="false">Complaints!B148</f>
        <v>I have been a customer for years. It has taken six weeks to process my claim and nobody has updated me.</v>
      </c>
      <c r="C148" s="0" t="str">
        <f aca="false">Complaints!C148</f>
        <v>Delays &amp; Processing</v>
      </c>
      <c r="D148" s="0" t="str">
        <f aca="false">" "&amp;TRIM(SUBSTITUTE(SUBSTITUTE(SUBSTITUTE(SUBSTITUTE(SUBSTITUTE(SUBSTITUTE(SUBSTITUTE(SUBSTITUTE(SUBSTITUTE(SUBSTITUTE(SUBSTITUTE(SUBSTITUTE(SUBSTITUTE(SUBSTITUTE(SUBSTITUTE(SUBSTITUTE(LOWER(B148),"."," "),","," "),"'"," "),"’"," "),"!"," "),"?"," "),";"," "),":"," "),"-"," "),"("," "),")"," "),"""", " "),"£"," "),"&amp;"," "),"/"," "),"%"," "))&amp;" "</f>
        <v> i have been a customer for years it has taken six weeks to process my claim and nobody has updated me </v>
      </c>
      <c r="E148" s="0" t="n">
        <f aca="false">SUMPRODUCT((Rules!$A$2:$A$60=E$1)*Rules!$C$2:$C$60*ISNUMBER(SEARCH(Rules!$D$2:$D$60,$D148)))</f>
        <v>0</v>
      </c>
      <c r="F148" s="0" t="n">
        <f aca="false">SUMPRODUCT((Rules!$A$2:$A$60=F$1)*Rules!$C$2:$C$60*ISNUMBER(SEARCH(Rules!$D$2:$D$60,$D148)))</f>
        <v>0</v>
      </c>
      <c r="G148" s="0" t="n">
        <f aca="false">SUMPRODUCT((Rules!$A$2:$A$60=G$1)*Rules!$C$2:$C$60*ISNUMBER(SEARCH(Rules!$D$2:$D$60,$D148)))</f>
        <v>0</v>
      </c>
      <c r="H148" s="0" t="n">
        <f aca="false">SUMPRODUCT((Rules!$A$2:$A$60=H$1)*Rules!$C$2:$C$60*ISNUMBER(SEARCH(Rules!$D$2:$D$60,$D148)))</f>
        <v>0</v>
      </c>
      <c r="I148" s="0" t="n">
        <f aca="false">SUMPRODUCT((Rules!$A$2:$A$60=I$1)*Rules!$C$2:$C$60*ISNUMBER(SEARCH(Rules!$D$2:$D$60,$D148)))</f>
        <v>2</v>
      </c>
      <c r="J148" s="0" t="n">
        <f aca="false">SUMPRODUCT((Rules!$A$2:$A$60=J$1)*Rules!$C$2:$C$60*ISNUMBER(SEARCH(Rules!$D$2:$D$60,$D148)))</f>
        <v>0</v>
      </c>
      <c r="K148" s="0" t="str">
        <f aca="false">IF(OR(MAX(E148:J148)&lt;Rules!$H$1,MAX(E148:J148)-LARGE(E148:J148,2)&lt;Rules!$H$2),"No label",INDEX($E$1:$J$1,MATCH(MAX(E148:J148),E148:J148,0)))</f>
        <v>No label</v>
      </c>
      <c r="L148" s="0" t="n">
        <f aca="false">SUMPRODUCT((Rules!$A$2:$A$60=L$1)*Rules!$C$2:$C$60*ISNUMBER(SEARCH(Rules!$E$2:$E$60,$D148)))</f>
        <v>0</v>
      </c>
      <c r="M148" s="0" t="n">
        <f aca="false">SUMPRODUCT((Rules!$A$2:$A$60=M$1)*Rules!$C$2:$C$60*ISNUMBER(SEARCH(Rules!$E$2:$E$60,$D148)))</f>
        <v>0</v>
      </c>
      <c r="N148" s="0" t="n">
        <f aca="false">SUMPRODUCT((Rules!$A$2:$A$60=N$1)*Rules!$C$2:$C$60*ISNUMBER(SEARCH(Rules!$E$2:$E$60,$D148)))</f>
        <v>0</v>
      </c>
      <c r="O148" s="0" t="n">
        <f aca="false">SUMPRODUCT((Rules!$A$2:$A$60=O$1)*Rules!$C$2:$C$60*ISNUMBER(SEARCH(Rules!$E$2:$E$60,$D148)))</f>
        <v>0</v>
      </c>
      <c r="P148" s="0" t="n">
        <f aca="false">SUMPRODUCT((Rules!$A$2:$A$60=P$1)*Rules!$C$2:$C$60*ISNUMBER(SEARCH(Rules!$E$2:$E$60,$D148)))</f>
        <v>2</v>
      </c>
      <c r="Q148" s="0" t="n">
        <f aca="false">SUMPRODUCT((Rules!$A$2:$A$60=Q$1)*Rules!$C$2:$C$60*ISNUMBER(SEARCH(Rules!$E$2:$E$60,$D148)))</f>
        <v>0</v>
      </c>
      <c r="R148" s="0" t="str">
        <f aca="false">IF(OR(MAX(L148:Q148)&lt;Rules!$H$1,MAX(L148:Q148)-LARGE(L148:Q148,2)&lt;Rules!$H$2),"No label",INDEX($L$1:$Q$1,MATCH(MAX(L148:Q148),L148:Q148,0)))</f>
        <v>No label</v>
      </c>
      <c r="S148" s="0" t="n">
        <f aca="false">SUMPRODUCT(ISNUMBER(SEARCH(" "&amp;Terms!$A$3:$A$821&amp;" ",$D148))*Terms!B$3:B$821)+Terms!B$2</f>
        <v>-1.40904994259723</v>
      </c>
      <c r="T148" s="0" t="n">
        <f aca="false">SUMPRODUCT(ISNUMBER(SEARCH(" "&amp;Terms!$A$3:$A$821&amp;" ",$D148))*Terms!C$3:C$821)+Terms!C$2</f>
        <v>-1.97903050502448</v>
      </c>
      <c r="U148" s="0" t="n">
        <f aca="false">SUMPRODUCT(ISNUMBER(SEARCH(" "&amp;Terms!$A$3:$A$821&amp;" ",$D148))*Terms!D$3:D$821)+Terms!D$2</f>
        <v>8.32722612884187</v>
      </c>
      <c r="V148" s="0" t="n">
        <f aca="false">SUMPRODUCT(ISNUMBER(SEARCH(" "&amp;Terms!$A$3:$A$821&amp;" ",$D148))*Terms!E$3:E$821)+Terms!E$2</f>
        <v>-1.83559287597639</v>
      </c>
      <c r="W148" s="0" t="n">
        <f aca="false">SUMPRODUCT(ISNUMBER(SEARCH(" "&amp;Terms!$A$3:$A$821&amp;" ",$D148))*Terms!F$3:F$821)+Terms!F$2</f>
        <v>-1.57503929870595</v>
      </c>
      <c r="X148" s="0" t="n">
        <f aca="false">SUMPRODUCT(ISNUMBER(SEARCH(" "&amp;Terms!$A$3:$A$821&amp;" ",$D148))*Terms!G$3:G$821)+Terms!G$2</f>
        <v>-1.52851350653773</v>
      </c>
      <c r="Y148" s="0" t="str">
        <f aca="false">INDEX($S$1:$X$1,MATCH(MAX(S148:X148),S148:X148,0))</f>
        <v>Delays &amp; Processing</v>
      </c>
      <c r="Z148" s="0" t="s">
        <v>2608</v>
      </c>
    </row>
    <row r="149" customFormat="false" ht="15" hidden="false" customHeight="false" outlineLevel="0" collapsed="false">
      <c r="A149" s="0" t="str">
        <f aca="false">Complaints!A149</f>
        <v>C0148</v>
      </c>
      <c r="B149" s="0" t="str">
        <f aca="false">Complaints!B149</f>
        <v>I have been a customer for years. Nobody checked whether I could afford the credit agreement.</v>
      </c>
      <c r="C149" s="0" t="str">
        <f aca="false">Complaints!C149</f>
        <v>Mis-selling</v>
      </c>
      <c r="D149" s="0" t="str">
        <f aca="false">" "&amp;TRIM(SUBSTITUTE(SUBSTITUTE(SUBSTITUTE(SUBSTITUTE(SUBSTITUTE(SUBSTITUTE(SUBSTITUTE(SUBSTITUTE(SUBSTITUTE(SUBSTITUTE(SUBSTITUTE(SUBSTITUTE(SUBSTITUTE(SUBSTITUTE(SUBSTITUTE(SUBSTITUTE(LOWER(B149),"."," "),","," "),"'"," "),"’"," "),"!"," "),"?"," "),";"," "),":"," "),"-"," "),"("," "),")"," "),"""", " "),"£"," "),"&amp;"," "),"/"," "),"%"," "))&amp;" "</f>
        <v> i have been a customer for years nobody checked whether i could afford the credit agreement </v>
      </c>
      <c r="E149" s="0" t="n">
        <f aca="false">SUMPRODUCT((Rules!$A$2:$A$60=E$1)*Rules!$C$2:$C$60*ISNUMBER(SEARCH(Rules!$D$2:$D$60,$D149)))</f>
        <v>0</v>
      </c>
      <c r="F149" s="0" t="n">
        <f aca="false">SUMPRODUCT((Rules!$A$2:$A$60=F$1)*Rules!$C$2:$C$60*ISNUMBER(SEARCH(Rules!$D$2:$D$60,$D149)))</f>
        <v>0</v>
      </c>
      <c r="G149" s="0" t="n">
        <f aca="false">SUMPRODUCT((Rules!$A$2:$A$60=G$1)*Rules!$C$2:$C$60*ISNUMBER(SEARCH(Rules!$D$2:$D$60,$D149)))</f>
        <v>0</v>
      </c>
      <c r="H149" s="0" t="n">
        <f aca="false">SUMPRODUCT((Rules!$A$2:$A$60=H$1)*Rules!$C$2:$C$60*ISNUMBER(SEARCH(Rules!$D$2:$D$60,$D149)))</f>
        <v>0</v>
      </c>
      <c r="I149" s="0" t="n">
        <f aca="false">SUMPRODUCT((Rules!$A$2:$A$60=I$1)*Rules!$C$2:$C$60*ISNUMBER(SEARCH(Rules!$D$2:$D$60,$D149)))</f>
        <v>0</v>
      </c>
      <c r="J149" s="0" t="n">
        <f aca="false">SUMPRODUCT((Rules!$A$2:$A$60=J$1)*Rules!$C$2:$C$60*ISNUMBER(SEARCH(Rules!$D$2:$D$60,$D149)))</f>
        <v>0</v>
      </c>
      <c r="K149" s="0" t="str">
        <f aca="false">IF(OR(MAX(E149:J149)&lt;Rules!$H$1,MAX(E149:J149)-LARGE(E149:J149,2)&lt;Rules!$H$2),"No label",INDEX($E$1:$J$1,MATCH(MAX(E149:J149),E149:J149,0)))</f>
        <v>No label</v>
      </c>
      <c r="L149" s="0" t="n">
        <f aca="false">SUMPRODUCT((Rules!$A$2:$A$60=L$1)*Rules!$C$2:$C$60*ISNUMBER(SEARCH(Rules!$E$2:$E$60,$D149)))</f>
        <v>0</v>
      </c>
      <c r="M149" s="0" t="n">
        <f aca="false">SUMPRODUCT((Rules!$A$2:$A$60=M$1)*Rules!$C$2:$C$60*ISNUMBER(SEARCH(Rules!$E$2:$E$60,$D149)))</f>
        <v>0</v>
      </c>
      <c r="N149" s="0" t="n">
        <f aca="false">SUMPRODUCT((Rules!$A$2:$A$60=N$1)*Rules!$C$2:$C$60*ISNUMBER(SEARCH(Rules!$E$2:$E$60,$D149)))</f>
        <v>0</v>
      </c>
      <c r="O149" s="0" t="n">
        <f aca="false">SUMPRODUCT((Rules!$A$2:$A$60=O$1)*Rules!$C$2:$C$60*ISNUMBER(SEARCH(Rules!$E$2:$E$60,$D149)))</f>
        <v>0</v>
      </c>
      <c r="P149" s="0" t="n">
        <f aca="false">SUMPRODUCT((Rules!$A$2:$A$60=P$1)*Rules!$C$2:$C$60*ISNUMBER(SEARCH(Rules!$E$2:$E$60,$D149)))</f>
        <v>0</v>
      </c>
      <c r="Q149" s="0" t="n">
        <f aca="false">SUMPRODUCT((Rules!$A$2:$A$60=Q$1)*Rules!$C$2:$C$60*ISNUMBER(SEARCH(Rules!$E$2:$E$60,$D149)))</f>
        <v>0</v>
      </c>
      <c r="R149" s="0" t="str">
        <f aca="false">IF(OR(MAX(L149:Q149)&lt;Rules!$H$1,MAX(L149:Q149)-LARGE(L149:Q149,2)&lt;Rules!$H$2),"No label",INDEX($L$1:$Q$1,MATCH(MAX(L149:Q149),L149:Q149,0)))</f>
        <v>No label</v>
      </c>
      <c r="S149" s="0" t="n">
        <f aca="false">SUMPRODUCT(ISNUMBER(SEARCH(" "&amp;Terms!$A$3:$A$821&amp;" ",$D149))*Terms!B$3:B$821)+Terms!B$2</f>
        <v>-1.35027469266211</v>
      </c>
      <c r="T149" s="0" t="n">
        <f aca="false">SUMPRODUCT(ISNUMBER(SEARCH(" "&amp;Terms!$A$3:$A$821&amp;" ",$D149))*Terms!C$3:C$821)+Terms!C$2</f>
        <v>-1.77124052280126</v>
      </c>
      <c r="U149" s="0" t="n">
        <f aca="false">SUMPRODUCT(ISNUMBER(SEARCH(" "&amp;Terms!$A$3:$A$821&amp;" ",$D149))*Terms!D$3:D$821)+Terms!D$2</f>
        <v>-0.445518808898105</v>
      </c>
      <c r="V149" s="0" t="n">
        <f aca="false">SUMPRODUCT(ISNUMBER(SEARCH(" "&amp;Terms!$A$3:$A$821&amp;" ",$D149))*Terms!E$3:E$821)+Terms!E$2</f>
        <v>-0.351286197175728</v>
      </c>
      <c r="W149" s="0" t="n">
        <f aca="false">SUMPRODUCT(ISNUMBER(SEARCH(" "&amp;Terms!$A$3:$A$821&amp;" ",$D149))*Terms!F$3:F$821)+Terms!F$2</f>
        <v>-4.12302450377537</v>
      </c>
      <c r="X149" s="0" t="n">
        <f aca="false">SUMPRODUCT(ISNUMBER(SEARCH(" "&amp;Terms!$A$3:$A$821&amp;" ",$D149))*Terms!G$3:G$821)+Terms!G$2</f>
        <v>8.04134472531269</v>
      </c>
      <c r="Y149" s="0" t="str">
        <f aca="false">INDEX($S$1:$X$1,MATCH(MAX(S149:X149),S149:X149,0))</f>
        <v>Mis-selling</v>
      </c>
      <c r="Z149" s="0" t="s">
        <v>2607</v>
      </c>
    </row>
    <row r="150" customFormat="false" ht="15" hidden="false" customHeight="false" outlineLevel="0" collapsed="false">
      <c r="A150" s="0" t="str">
        <f aca="false">Complaints!A150</f>
        <v>C0149</v>
      </c>
      <c r="B150" s="0" t="str">
        <f aca="false">Complaints!B150</f>
        <v>My account was frozen and I cannot get in to move money. There was also a fee involved. I want this put right.</v>
      </c>
      <c r="C150" s="0" t="str">
        <f aca="false">Complaints!C150</f>
        <v>Account Access</v>
      </c>
      <c r="D150" s="0" t="str">
        <f aca="false">" "&amp;TRIM(SUBSTITUTE(SUBSTITUTE(SUBSTITUTE(SUBSTITUTE(SUBSTITUTE(SUBSTITUTE(SUBSTITUTE(SUBSTITUTE(SUBSTITUTE(SUBSTITUTE(SUBSTITUTE(SUBSTITUTE(SUBSTITUTE(SUBSTITUTE(SUBSTITUTE(SUBSTITUTE(LOWER(B150),"."," "),","," "),"'"," "),"’"," "),"!"," "),"?"," "),";"," "),":"," "),"-"," "),"("," "),")"," "),"""", " "),"£"," "),"&amp;"," "),"/"," "),"%"," "))&amp;" "</f>
        <v> my account was frozen and i cannot get in to move money there was also a fee involved i want this put right </v>
      </c>
      <c r="E150" s="0" t="n">
        <f aca="false">SUMPRODUCT((Rules!$A$2:$A$60=E$1)*Rules!$C$2:$C$60*ISNUMBER(SEARCH(Rules!$D$2:$D$60,$D150)))</f>
        <v>0</v>
      </c>
      <c r="F150" s="0" t="n">
        <f aca="false">SUMPRODUCT((Rules!$A$2:$A$60=F$1)*Rules!$C$2:$C$60*ISNUMBER(SEARCH(Rules!$D$2:$D$60,$D150)))</f>
        <v>0</v>
      </c>
      <c r="G150" s="0" t="n">
        <f aca="false">SUMPRODUCT((Rules!$A$2:$A$60=G$1)*Rules!$C$2:$C$60*ISNUMBER(SEARCH(Rules!$D$2:$D$60,$D150)))</f>
        <v>0</v>
      </c>
      <c r="H150" s="0" t="n">
        <f aca="false">SUMPRODUCT((Rules!$A$2:$A$60=H$1)*Rules!$C$2:$C$60*ISNUMBER(SEARCH(Rules!$D$2:$D$60,$D150)))</f>
        <v>2</v>
      </c>
      <c r="I150" s="0" t="n">
        <f aca="false">SUMPRODUCT((Rules!$A$2:$A$60=I$1)*Rules!$C$2:$C$60*ISNUMBER(SEARCH(Rules!$D$2:$D$60,$D150)))</f>
        <v>0</v>
      </c>
      <c r="J150" s="0" t="n">
        <f aca="false">SUMPRODUCT((Rules!$A$2:$A$60=J$1)*Rules!$C$2:$C$60*ISNUMBER(SEARCH(Rules!$D$2:$D$60,$D150)))</f>
        <v>0</v>
      </c>
      <c r="K150" s="0" t="str">
        <f aca="false">IF(OR(MAX(E150:J150)&lt;Rules!$H$1,MAX(E150:J150)-LARGE(E150:J150,2)&lt;Rules!$H$2),"No label",INDEX($E$1:$J$1,MATCH(MAX(E150:J150),E150:J150,0)))</f>
        <v>No label</v>
      </c>
      <c r="L150" s="0" t="n">
        <f aca="false">SUMPRODUCT((Rules!$A$2:$A$60=L$1)*Rules!$C$2:$C$60*ISNUMBER(SEARCH(Rules!$E$2:$E$60,$D150)))</f>
        <v>0</v>
      </c>
      <c r="M150" s="0" t="n">
        <f aca="false">SUMPRODUCT((Rules!$A$2:$A$60=M$1)*Rules!$C$2:$C$60*ISNUMBER(SEARCH(Rules!$E$2:$E$60,$D150)))</f>
        <v>0</v>
      </c>
      <c r="N150" s="0" t="n">
        <f aca="false">SUMPRODUCT((Rules!$A$2:$A$60=N$1)*Rules!$C$2:$C$60*ISNUMBER(SEARCH(Rules!$E$2:$E$60,$D150)))</f>
        <v>0</v>
      </c>
      <c r="O150" s="0" t="n">
        <f aca="false">SUMPRODUCT((Rules!$A$2:$A$60=O$1)*Rules!$C$2:$C$60*ISNUMBER(SEARCH(Rules!$E$2:$E$60,$D150)))</f>
        <v>2</v>
      </c>
      <c r="P150" s="0" t="n">
        <f aca="false">SUMPRODUCT((Rules!$A$2:$A$60=P$1)*Rules!$C$2:$C$60*ISNUMBER(SEARCH(Rules!$E$2:$E$60,$D150)))</f>
        <v>0</v>
      </c>
      <c r="Q150" s="0" t="n">
        <f aca="false">SUMPRODUCT((Rules!$A$2:$A$60=Q$1)*Rules!$C$2:$C$60*ISNUMBER(SEARCH(Rules!$E$2:$E$60,$D150)))</f>
        <v>0</v>
      </c>
      <c r="R150" s="0" t="str">
        <f aca="false">IF(OR(MAX(L150:Q150)&lt;Rules!$H$1,MAX(L150:Q150)-LARGE(L150:Q150,2)&lt;Rules!$H$2),"No label",INDEX($L$1:$Q$1,MATCH(MAX(L150:Q150),L150:Q150,0)))</f>
        <v>No label</v>
      </c>
      <c r="S150" s="0" t="n">
        <f aca="false">SUMPRODUCT(ISNUMBER(SEARCH(" "&amp;Terms!$A$3:$A$821&amp;" ",$D150))*Terms!B$3:B$821)+Terms!B$2</f>
        <v>4.40030994805953</v>
      </c>
      <c r="T150" s="0" t="n">
        <f aca="false">SUMPRODUCT(ISNUMBER(SEARCH(" "&amp;Terms!$A$3:$A$821&amp;" ",$D150))*Terms!C$3:C$821)+Terms!C$2</f>
        <v>-6.65248389054042</v>
      </c>
      <c r="U150" s="0" t="n">
        <f aca="false">SUMPRODUCT(ISNUMBER(SEARCH(" "&amp;Terms!$A$3:$A$821&amp;" ",$D150))*Terms!D$3:D$821)+Terms!D$2</f>
        <v>-0.427441475009989</v>
      </c>
      <c r="V150" s="0" t="n">
        <f aca="false">SUMPRODUCT(ISNUMBER(SEARCH(" "&amp;Terms!$A$3:$A$821&amp;" ",$D150))*Terms!E$3:E$821)+Terms!E$2</f>
        <v>1.41147515932273</v>
      </c>
      <c r="W150" s="0" t="n">
        <f aca="false">SUMPRODUCT(ISNUMBER(SEARCH(" "&amp;Terms!$A$3:$A$821&amp;" ",$D150))*Terms!F$3:F$821)+Terms!F$2</f>
        <v>2.62329535549583</v>
      </c>
      <c r="X150" s="0" t="n">
        <f aca="false">SUMPRODUCT(ISNUMBER(SEARCH(" "&amp;Terms!$A$3:$A$821&amp;" ",$D150))*Terms!G$3:G$821)+Terms!G$2</f>
        <v>-1.35515509732759</v>
      </c>
      <c r="Y150" s="0" t="str">
        <f aca="false">INDEX($S$1:$X$1,MATCH(MAX(S150:X150),S150:X150,0))</f>
        <v>Account Access</v>
      </c>
      <c r="Z150" s="0" t="s">
        <v>2607</v>
      </c>
    </row>
    <row r="151" customFormat="false" ht="15" hidden="false" customHeight="false" outlineLevel="0" collapsed="false">
      <c r="A151" s="0" t="str">
        <f aca="false">Complaints!A151</f>
        <v>C0150</v>
      </c>
      <c r="B151" s="0" t="str">
        <f aca="false">Complaints!B151</f>
        <v>I was misled about what the insurance actually included.</v>
      </c>
      <c r="C151" s="0" t="str">
        <f aca="false">Complaints!C151</f>
        <v>Mis-selling</v>
      </c>
      <c r="D151" s="0" t="str">
        <f aca="false">" "&amp;TRIM(SUBSTITUTE(SUBSTITUTE(SUBSTITUTE(SUBSTITUTE(SUBSTITUTE(SUBSTITUTE(SUBSTITUTE(SUBSTITUTE(SUBSTITUTE(SUBSTITUTE(SUBSTITUTE(SUBSTITUTE(SUBSTITUTE(SUBSTITUTE(SUBSTITUTE(SUBSTITUTE(LOWER(B151),"."," "),","," "),"'"," "),"’"," "),"!"," "),"?"," "),";"," "),":"," "),"-"," "),"("," "),")"," "),"""", " "),"£"," "),"&amp;"," "),"/"," "),"%"," "))&amp;" "</f>
        <v> i was misled about what the insurance actually included </v>
      </c>
      <c r="E151" s="0" t="n">
        <f aca="false">SUMPRODUCT((Rules!$A$2:$A$60=E$1)*Rules!$C$2:$C$60*ISNUMBER(SEARCH(Rules!$D$2:$D$60,$D151)))</f>
        <v>0</v>
      </c>
      <c r="F151" s="0" t="n">
        <f aca="false">SUMPRODUCT((Rules!$A$2:$A$60=F$1)*Rules!$C$2:$C$60*ISNUMBER(SEARCH(Rules!$D$2:$D$60,$D151)))</f>
        <v>4</v>
      </c>
      <c r="G151" s="0" t="n">
        <f aca="false">SUMPRODUCT((Rules!$A$2:$A$60=G$1)*Rules!$C$2:$C$60*ISNUMBER(SEARCH(Rules!$D$2:$D$60,$D151)))</f>
        <v>0</v>
      </c>
      <c r="H151" s="0" t="n">
        <f aca="false">SUMPRODUCT((Rules!$A$2:$A$60=H$1)*Rules!$C$2:$C$60*ISNUMBER(SEARCH(Rules!$D$2:$D$60,$D151)))</f>
        <v>0</v>
      </c>
      <c r="I151" s="0" t="n">
        <f aca="false">SUMPRODUCT((Rules!$A$2:$A$60=I$1)*Rules!$C$2:$C$60*ISNUMBER(SEARCH(Rules!$D$2:$D$60,$D151)))</f>
        <v>0</v>
      </c>
      <c r="J151" s="0" t="n">
        <f aca="false">SUMPRODUCT((Rules!$A$2:$A$60=J$1)*Rules!$C$2:$C$60*ISNUMBER(SEARCH(Rules!$D$2:$D$60,$D151)))</f>
        <v>0</v>
      </c>
      <c r="K151" s="0" t="str">
        <f aca="false">IF(OR(MAX(E151:J151)&lt;Rules!$H$1,MAX(E151:J151)-LARGE(E151:J151,2)&lt;Rules!$H$2),"No label",INDEX($E$1:$J$1,MATCH(MAX(E151:J151),E151:J151,0)))</f>
        <v>Mis-selling</v>
      </c>
      <c r="L151" s="0" t="n">
        <f aca="false">SUMPRODUCT((Rules!$A$2:$A$60=L$1)*Rules!$C$2:$C$60*ISNUMBER(SEARCH(Rules!$E$2:$E$60,$D151)))</f>
        <v>0</v>
      </c>
      <c r="M151" s="0" t="n">
        <f aca="false">SUMPRODUCT((Rules!$A$2:$A$60=M$1)*Rules!$C$2:$C$60*ISNUMBER(SEARCH(Rules!$E$2:$E$60,$D151)))</f>
        <v>4</v>
      </c>
      <c r="N151" s="0" t="n">
        <f aca="false">SUMPRODUCT((Rules!$A$2:$A$60=N$1)*Rules!$C$2:$C$60*ISNUMBER(SEARCH(Rules!$E$2:$E$60,$D151)))</f>
        <v>0</v>
      </c>
      <c r="O151" s="0" t="n">
        <f aca="false">SUMPRODUCT((Rules!$A$2:$A$60=O$1)*Rules!$C$2:$C$60*ISNUMBER(SEARCH(Rules!$E$2:$E$60,$D151)))</f>
        <v>0</v>
      </c>
      <c r="P151" s="0" t="n">
        <f aca="false">SUMPRODUCT((Rules!$A$2:$A$60=P$1)*Rules!$C$2:$C$60*ISNUMBER(SEARCH(Rules!$E$2:$E$60,$D151)))</f>
        <v>0</v>
      </c>
      <c r="Q151" s="0" t="n">
        <f aca="false">SUMPRODUCT((Rules!$A$2:$A$60=Q$1)*Rules!$C$2:$C$60*ISNUMBER(SEARCH(Rules!$E$2:$E$60,$D151)))</f>
        <v>0</v>
      </c>
      <c r="R151" s="0" t="str">
        <f aca="false">IF(OR(MAX(L151:Q151)&lt;Rules!$H$1,MAX(L151:Q151)-LARGE(L151:Q151,2)&lt;Rules!$H$2),"No label",INDEX($L$1:$Q$1,MATCH(MAX(L151:Q151),L151:Q151,0)))</f>
        <v>Mis-selling</v>
      </c>
      <c r="S151" s="0" t="n">
        <f aca="false">SUMPRODUCT(ISNUMBER(SEARCH(" "&amp;Terms!$A$3:$A$821&amp;" ",$D151))*Terms!B$3:B$821)+Terms!B$2</f>
        <v>-2.17605776402325</v>
      </c>
      <c r="T151" s="0" t="n">
        <f aca="false">SUMPRODUCT(ISNUMBER(SEARCH(" "&amp;Terms!$A$3:$A$821&amp;" ",$D151))*Terms!C$3:C$821)+Terms!C$2</f>
        <v>-3.73981248658135</v>
      </c>
      <c r="U151" s="0" t="n">
        <f aca="false">SUMPRODUCT(ISNUMBER(SEARCH(" "&amp;Terms!$A$3:$A$821&amp;" ",$D151))*Terms!D$3:D$821)+Terms!D$2</f>
        <v>-0.998416820527632</v>
      </c>
      <c r="V151" s="0" t="n">
        <f aca="false">SUMPRODUCT(ISNUMBER(SEARCH(" "&amp;Terms!$A$3:$A$821&amp;" ",$D151))*Terms!E$3:E$821)+Terms!E$2</f>
        <v>-0.4724440146755</v>
      </c>
      <c r="W151" s="0" t="n">
        <f aca="false">SUMPRODUCT(ISNUMBER(SEARCH(" "&amp;Terms!$A$3:$A$821&amp;" ",$D151))*Terms!F$3:F$821)+Terms!F$2</f>
        <v>-4.52812794221121</v>
      </c>
      <c r="X151" s="0" t="n">
        <f aca="false">SUMPRODUCT(ISNUMBER(SEARCH(" "&amp;Terms!$A$3:$A$821&amp;" ",$D151))*Terms!G$3:G$821)+Terms!G$2</f>
        <v>11.9148590280191</v>
      </c>
      <c r="Y151" s="0" t="str">
        <f aca="false">INDEX($S$1:$X$1,MATCH(MAX(S151:X151),S151:X151,0))</f>
        <v>Mis-selling</v>
      </c>
      <c r="Z151" s="0" t="s">
        <v>2607</v>
      </c>
    </row>
    <row r="152" customFormat="false" ht="15" hidden="false" customHeight="false" outlineLevel="0" collapsed="false">
      <c r="A152" s="0" t="str">
        <f aca="false">Complaints!A152</f>
        <v>C0151</v>
      </c>
      <c r="B152" s="0" t="str">
        <f aca="false">Complaints!B152</f>
        <v>I am writing to complain. I was hit with a penalty charge for a payment I made on time. I am worried it might be fraud. I want this put right.</v>
      </c>
      <c r="C152" s="0" t="str">
        <f aca="false">Complaints!C152</f>
        <v>Fees &amp; Charges</v>
      </c>
      <c r="D152" s="0" t="str">
        <f aca="false">" "&amp;TRIM(SUBSTITUTE(SUBSTITUTE(SUBSTITUTE(SUBSTITUTE(SUBSTITUTE(SUBSTITUTE(SUBSTITUTE(SUBSTITUTE(SUBSTITUTE(SUBSTITUTE(SUBSTITUTE(SUBSTITUTE(SUBSTITUTE(SUBSTITUTE(SUBSTITUTE(SUBSTITUTE(LOWER(B152),"."," "),","," "),"'"," "),"’"," "),"!"," "),"?"," "),";"," "),":"," "),"-"," "),"("," "),")"," "),"""", " "),"£"," "),"&amp;"," "),"/"," "),"%"," "))&amp;" "</f>
        <v> i am writing to complain i was hit with a penalty charge for a payment i made on time i am worried it might be fraud i want this put right </v>
      </c>
      <c r="E152" s="0" t="n">
        <f aca="false">SUMPRODUCT((Rules!$A$2:$A$60=E$1)*Rules!$C$2:$C$60*ISNUMBER(SEARCH(Rules!$D$2:$D$60,$D152)))</f>
        <v>3</v>
      </c>
      <c r="F152" s="0" t="n">
        <f aca="false">SUMPRODUCT((Rules!$A$2:$A$60=F$1)*Rules!$C$2:$C$60*ISNUMBER(SEARCH(Rules!$D$2:$D$60,$D152)))</f>
        <v>0</v>
      </c>
      <c r="G152" s="0" t="n">
        <f aca="false">SUMPRODUCT((Rules!$A$2:$A$60=G$1)*Rules!$C$2:$C$60*ISNUMBER(SEARCH(Rules!$D$2:$D$60,$D152)))</f>
        <v>0</v>
      </c>
      <c r="H152" s="0" t="n">
        <f aca="false">SUMPRODUCT((Rules!$A$2:$A$60=H$1)*Rules!$C$2:$C$60*ISNUMBER(SEARCH(Rules!$D$2:$D$60,$D152)))</f>
        <v>4</v>
      </c>
      <c r="I152" s="0" t="n">
        <f aca="false">SUMPRODUCT((Rules!$A$2:$A$60=I$1)*Rules!$C$2:$C$60*ISNUMBER(SEARCH(Rules!$D$2:$D$60,$D152)))</f>
        <v>0</v>
      </c>
      <c r="J152" s="0" t="n">
        <f aca="false">SUMPRODUCT((Rules!$A$2:$A$60=J$1)*Rules!$C$2:$C$60*ISNUMBER(SEARCH(Rules!$D$2:$D$60,$D152)))</f>
        <v>0</v>
      </c>
      <c r="K152" s="0" t="str">
        <f aca="false">IF(OR(MAX(E152:J152)&lt;Rules!$H$1,MAX(E152:J152)-LARGE(E152:J152,2)&lt;Rules!$H$2),"No label",INDEX($E$1:$J$1,MATCH(MAX(E152:J152),E152:J152,0)))</f>
        <v>No label</v>
      </c>
      <c r="L152" s="0" t="n">
        <f aca="false">SUMPRODUCT((Rules!$A$2:$A$60=L$1)*Rules!$C$2:$C$60*ISNUMBER(SEARCH(Rules!$E$2:$E$60,$D152)))</f>
        <v>3</v>
      </c>
      <c r="M152" s="0" t="n">
        <f aca="false">SUMPRODUCT((Rules!$A$2:$A$60=M$1)*Rules!$C$2:$C$60*ISNUMBER(SEARCH(Rules!$E$2:$E$60,$D152)))</f>
        <v>0</v>
      </c>
      <c r="N152" s="0" t="n">
        <f aca="false">SUMPRODUCT((Rules!$A$2:$A$60=N$1)*Rules!$C$2:$C$60*ISNUMBER(SEARCH(Rules!$E$2:$E$60,$D152)))</f>
        <v>0</v>
      </c>
      <c r="O152" s="0" t="n">
        <f aca="false">SUMPRODUCT((Rules!$A$2:$A$60=O$1)*Rules!$C$2:$C$60*ISNUMBER(SEARCH(Rules!$E$2:$E$60,$D152)))</f>
        <v>6</v>
      </c>
      <c r="P152" s="0" t="n">
        <f aca="false">SUMPRODUCT((Rules!$A$2:$A$60=P$1)*Rules!$C$2:$C$60*ISNUMBER(SEARCH(Rules!$E$2:$E$60,$D152)))</f>
        <v>0</v>
      </c>
      <c r="Q152" s="0" t="n">
        <f aca="false">SUMPRODUCT((Rules!$A$2:$A$60=Q$1)*Rules!$C$2:$C$60*ISNUMBER(SEARCH(Rules!$E$2:$E$60,$D152)))</f>
        <v>0</v>
      </c>
      <c r="R152" s="0" t="str">
        <f aca="false">IF(OR(MAX(L152:Q152)&lt;Rules!$H$1,MAX(L152:Q152)-LARGE(L152:Q152,2)&lt;Rules!$H$2),"No label",INDEX($L$1:$Q$1,MATCH(MAX(L152:Q152),L152:Q152,0)))</f>
        <v>Fees &amp; Charges</v>
      </c>
      <c r="S152" s="0" t="n">
        <f aca="false">SUMPRODUCT(ISNUMBER(SEARCH(" "&amp;Terms!$A$3:$A$821&amp;" ",$D152))*Terms!B$3:B$821)+Terms!B$2</f>
        <v>-4.68506672477451</v>
      </c>
      <c r="T152" s="0" t="n">
        <f aca="false">SUMPRODUCT(ISNUMBER(SEARCH(" "&amp;Terms!$A$3:$A$821&amp;" ",$D152))*Terms!C$3:C$821)+Terms!C$2</f>
        <v>-1.35564285345687</v>
      </c>
      <c r="U152" s="0" t="n">
        <f aca="false">SUMPRODUCT(ISNUMBER(SEARCH(" "&amp;Terms!$A$3:$A$821&amp;" ",$D152))*Terms!D$3:D$821)+Terms!D$2</f>
        <v>-0.29939646110664</v>
      </c>
      <c r="V152" s="0" t="n">
        <f aca="false">SUMPRODUCT(ISNUMBER(SEARCH(" "&amp;Terms!$A$3:$A$821&amp;" ",$D152))*Terms!E$3:E$821)+Terms!E$2</f>
        <v>9.31976908673458</v>
      </c>
      <c r="W152" s="0" t="n">
        <f aca="false">SUMPRODUCT(ISNUMBER(SEARCH(" "&amp;Terms!$A$3:$A$821&amp;" ",$D152))*Terms!F$3:F$821)+Terms!F$2</f>
        <v>0.0598181103647389</v>
      </c>
      <c r="X152" s="0" t="n">
        <f aca="false">SUMPRODUCT(ISNUMBER(SEARCH(" "&amp;Terms!$A$3:$A$821&amp;" ",$D152))*Terms!G$3:G$821)+Terms!G$2</f>
        <v>-3.03948115776122</v>
      </c>
      <c r="Y152" s="0" t="str">
        <f aca="false">INDEX($S$1:$X$1,MATCH(MAX(S152:X152),S152:X152,0))</f>
        <v>Fees &amp; Charges</v>
      </c>
      <c r="Z152" s="0" t="s">
        <v>2607</v>
      </c>
    </row>
    <row r="153" customFormat="false" ht="15" hidden="false" customHeight="false" outlineLevel="0" collapsed="false">
      <c r="A153" s="0" t="str">
        <f aca="false">Complaints!A153</f>
        <v>C0152</v>
      </c>
      <c r="B153" s="0" t="str">
        <f aca="false">Complaints!B153</f>
        <v>Hello, I feel I was treated badly because of my age.</v>
      </c>
      <c r="C153" s="0" t="str">
        <f aca="false">Complaints!C153</f>
        <v>Customer Service</v>
      </c>
      <c r="D153" s="0" t="str">
        <f aca="false">" "&amp;TRIM(SUBSTITUTE(SUBSTITUTE(SUBSTITUTE(SUBSTITUTE(SUBSTITUTE(SUBSTITUTE(SUBSTITUTE(SUBSTITUTE(SUBSTITUTE(SUBSTITUTE(SUBSTITUTE(SUBSTITUTE(SUBSTITUTE(SUBSTITUTE(SUBSTITUTE(SUBSTITUTE(LOWER(B153),"."," "),","," "),"'"," "),"’"," "),"!"," "),"?"," "),";"," "),":"," "),"-"," "),"("," "),")"," "),"""", " "),"£"," "),"&amp;"," "),"/"," "),"%"," "))&amp;" "</f>
        <v> hello i feel i was treated badly because of my age </v>
      </c>
      <c r="E153" s="0" t="n">
        <f aca="false">SUMPRODUCT((Rules!$A$2:$A$60=E$1)*Rules!$C$2:$C$60*ISNUMBER(SEARCH(Rules!$D$2:$D$60,$D153)))</f>
        <v>0</v>
      </c>
      <c r="F153" s="0" t="n">
        <f aca="false">SUMPRODUCT((Rules!$A$2:$A$60=F$1)*Rules!$C$2:$C$60*ISNUMBER(SEARCH(Rules!$D$2:$D$60,$D153)))</f>
        <v>0</v>
      </c>
      <c r="G153" s="0" t="n">
        <f aca="false">SUMPRODUCT((Rules!$A$2:$A$60=G$1)*Rules!$C$2:$C$60*ISNUMBER(SEARCH(Rules!$D$2:$D$60,$D153)))</f>
        <v>0</v>
      </c>
      <c r="H153" s="0" t="n">
        <f aca="false">SUMPRODUCT((Rules!$A$2:$A$60=H$1)*Rules!$C$2:$C$60*ISNUMBER(SEARCH(Rules!$D$2:$D$60,$D153)))</f>
        <v>0</v>
      </c>
      <c r="I153" s="0" t="n">
        <f aca="false">SUMPRODUCT((Rules!$A$2:$A$60=I$1)*Rules!$C$2:$C$60*ISNUMBER(SEARCH(Rules!$D$2:$D$60,$D153)))</f>
        <v>0</v>
      </c>
      <c r="J153" s="0" t="n">
        <f aca="false">SUMPRODUCT((Rules!$A$2:$A$60=J$1)*Rules!$C$2:$C$60*ISNUMBER(SEARCH(Rules!$D$2:$D$60,$D153)))</f>
        <v>3</v>
      </c>
      <c r="K153" s="0" t="str">
        <f aca="false">IF(OR(MAX(E153:J153)&lt;Rules!$H$1,MAX(E153:J153)-LARGE(E153:J153,2)&lt;Rules!$H$2),"No label",INDEX($E$1:$J$1,MATCH(MAX(E153:J153),E153:J153,0)))</f>
        <v>Customer Service</v>
      </c>
      <c r="L153" s="0" t="n">
        <f aca="false">SUMPRODUCT((Rules!$A$2:$A$60=L$1)*Rules!$C$2:$C$60*ISNUMBER(SEARCH(Rules!$E$2:$E$60,$D153)))</f>
        <v>0</v>
      </c>
      <c r="M153" s="0" t="n">
        <f aca="false">SUMPRODUCT((Rules!$A$2:$A$60=M$1)*Rules!$C$2:$C$60*ISNUMBER(SEARCH(Rules!$E$2:$E$60,$D153)))</f>
        <v>0</v>
      </c>
      <c r="N153" s="0" t="n">
        <f aca="false">SUMPRODUCT((Rules!$A$2:$A$60=N$1)*Rules!$C$2:$C$60*ISNUMBER(SEARCH(Rules!$E$2:$E$60,$D153)))</f>
        <v>0</v>
      </c>
      <c r="O153" s="0" t="n">
        <f aca="false">SUMPRODUCT((Rules!$A$2:$A$60=O$1)*Rules!$C$2:$C$60*ISNUMBER(SEARCH(Rules!$E$2:$E$60,$D153)))</f>
        <v>0</v>
      </c>
      <c r="P153" s="0" t="n">
        <f aca="false">SUMPRODUCT((Rules!$A$2:$A$60=P$1)*Rules!$C$2:$C$60*ISNUMBER(SEARCH(Rules!$E$2:$E$60,$D153)))</f>
        <v>0</v>
      </c>
      <c r="Q153" s="0" t="n">
        <f aca="false">SUMPRODUCT((Rules!$A$2:$A$60=Q$1)*Rules!$C$2:$C$60*ISNUMBER(SEARCH(Rules!$E$2:$E$60,$D153)))</f>
        <v>3</v>
      </c>
      <c r="R153" s="0" t="str">
        <f aca="false">IF(OR(MAX(L153:Q153)&lt;Rules!$H$1,MAX(L153:Q153)-LARGE(L153:Q153,2)&lt;Rules!$H$2),"No label",INDEX($L$1:$Q$1,MATCH(MAX(L153:Q153),L153:Q153,0)))</f>
        <v>Customer Service</v>
      </c>
      <c r="S153" s="0" t="n">
        <f aca="false">SUMPRODUCT(ISNUMBER(SEARCH(" "&amp;Terms!$A$3:$A$821&amp;" ",$D153))*Terms!B$3:B$821)+Terms!B$2</f>
        <v>0.356131905146186</v>
      </c>
      <c r="T153" s="0" t="n">
        <f aca="false">SUMPRODUCT(ISNUMBER(SEARCH(" "&amp;Terms!$A$3:$A$821&amp;" ",$D153))*Terms!C$3:C$821)+Terms!C$2</f>
        <v>9.31679971218031</v>
      </c>
      <c r="U153" s="0" t="n">
        <f aca="false">SUMPRODUCT(ISNUMBER(SEARCH(" "&amp;Terms!$A$3:$A$821&amp;" ",$D153))*Terms!D$3:D$821)+Terms!D$2</f>
        <v>-4.48788964165737</v>
      </c>
      <c r="V153" s="0" t="n">
        <f aca="false">SUMPRODUCT(ISNUMBER(SEARCH(" "&amp;Terms!$A$3:$A$821&amp;" ",$D153))*Terms!E$3:E$821)+Terms!E$2</f>
        <v>-2.75611810887627</v>
      </c>
      <c r="W153" s="0" t="n">
        <f aca="false">SUMPRODUCT(ISNUMBER(SEARCH(" "&amp;Terms!$A$3:$A$821&amp;" ",$D153))*Terms!F$3:F$821)+Terms!F$2</f>
        <v>-2.09443189566373</v>
      </c>
      <c r="X153" s="0" t="n">
        <f aca="false">SUMPRODUCT(ISNUMBER(SEARCH(" "&amp;Terms!$A$3:$A$821&amp;" ",$D153))*Terms!G$3:G$821)+Terms!G$2</f>
        <v>-0.334491971129016</v>
      </c>
      <c r="Y153" s="0" t="str">
        <f aca="false">INDEX($S$1:$X$1,MATCH(MAX(S153:X153),S153:X153,0))</f>
        <v>Customer Service</v>
      </c>
      <c r="Z153" s="0" t="s">
        <v>2607</v>
      </c>
    </row>
    <row r="154" customFormat="false" ht="15" hidden="false" customHeight="false" outlineLevel="0" collapsed="false">
      <c r="A154" s="0" t="str">
        <f aca="false">Complaints!A154</f>
        <v>C0153</v>
      </c>
      <c r="B154" s="0" t="str">
        <f aca="false">Complaints!B154</f>
        <v>Hello, My card reader stopped working and I cannot approve payments. This is not acceptable.</v>
      </c>
      <c r="C154" s="0" t="str">
        <f aca="false">Complaints!C154</f>
        <v>Account Access</v>
      </c>
      <c r="D154" s="0" t="str">
        <f aca="false">" "&amp;TRIM(SUBSTITUTE(SUBSTITUTE(SUBSTITUTE(SUBSTITUTE(SUBSTITUTE(SUBSTITUTE(SUBSTITUTE(SUBSTITUTE(SUBSTITUTE(SUBSTITUTE(SUBSTITUTE(SUBSTITUTE(SUBSTITUTE(SUBSTITUTE(SUBSTITUTE(SUBSTITUTE(LOWER(B154),"."," "),","," "),"'"," "),"’"," "),"!"," "),"?"," "),";"," "),":"," "),"-"," "),"("," "),")"," "),"""", " "),"£"," "),"&amp;"," "),"/"," "),"%"," "))&amp;" "</f>
        <v> hello my card reader stopped working and i cannot approve payments this is not acceptable </v>
      </c>
      <c r="E154" s="0" t="n">
        <f aca="false">SUMPRODUCT((Rules!$A$2:$A$60=E$1)*Rules!$C$2:$C$60*ISNUMBER(SEARCH(Rules!$D$2:$D$60,$D154)))</f>
        <v>0</v>
      </c>
      <c r="F154" s="0" t="n">
        <f aca="false">SUMPRODUCT((Rules!$A$2:$A$60=F$1)*Rules!$C$2:$C$60*ISNUMBER(SEARCH(Rules!$D$2:$D$60,$D154)))</f>
        <v>0</v>
      </c>
      <c r="G154" s="0" t="n">
        <f aca="false">SUMPRODUCT((Rules!$A$2:$A$60=G$1)*Rules!$C$2:$C$60*ISNUMBER(SEARCH(Rules!$D$2:$D$60,$D154)))</f>
        <v>0</v>
      </c>
      <c r="H154" s="0" t="n">
        <f aca="false">SUMPRODUCT((Rules!$A$2:$A$60=H$1)*Rules!$C$2:$C$60*ISNUMBER(SEARCH(Rules!$D$2:$D$60,$D154)))</f>
        <v>0</v>
      </c>
      <c r="I154" s="0" t="n">
        <f aca="false">SUMPRODUCT((Rules!$A$2:$A$60=I$1)*Rules!$C$2:$C$60*ISNUMBER(SEARCH(Rules!$D$2:$D$60,$D154)))</f>
        <v>0</v>
      </c>
      <c r="J154" s="0" t="n">
        <f aca="false">SUMPRODUCT((Rules!$A$2:$A$60=J$1)*Rules!$C$2:$C$60*ISNUMBER(SEARCH(Rules!$D$2:$D$60,$D154)))</f>
        <v>0</v>
      </c>
      <c r="K154" s="0" t="str">
        <f aca="false">IF(OR(MAX(E154:J154)&lt;Rules!$H$1,MAX(E154:J154)-LARGE(E154:J154,2)&lt;Rules!$H$2),"No label",INDEX($E$1:$J$1,MATCH(MAX(E154:J154),E154:J154,0)))</f>
        <v>No label</v>
      </c>
      <c r="L154" s="0" t="n">
        <f aca="false">SUMPRODUCT((Rules!$A$2:$A$60=L$1)*Rules!$C$2:$C$60*ISNUMBER(SEARCH(Rules!$E$2:$E$60,$D154)))</f>
        <v>0</v>
      </c>
      <c r="M154" s="0" t="n">
        <f aca="false">SUMPRODUCT((Rules!$A$2:$A$60=M$1)*Rules!$C$2:$C$60*ISNUMBER(SEARCH(Rules!$E$2:$E$60,$D154)))</f>
        <v>0</v>
      </c>
      <c r="N154" s="0" t="n">
        <f aca="false">SUMPRODUCT((Rules!$A$2:$A$60=N$1)*Rules!$C$2:$C$60*ISNUMBER(SEARCH(Rules!$E$2:$E$60,$D154)))</f>
        <v>1</v>
      </c>
      <c r="O154" s="0" t="n">
        <f aca="false">SUMPRODUCT((Rules!$A$2:$A$60=O$1)*Rules!$C$2:$C$60*ISNUMBER(SEARCH(Rules!$E$2:$E$60,$D154)))</f>
        <v>0</v>
      </c>
      <c r="P154" s="0" t="n">
        <f aca="false">SUMPRODUCT((Rules!$A$2:$A$60=P$1)*Rules!$C$2:$C$60*ISNUMBER(SEARCH(Rules!$E$2:$E$60,$D154)))</f>
        <v>0</v>
      </c>
      <c r="Q154" s="0" t="n">
        <f aca="false">SUMPRODUCT((Rules!$A$2:$A$60=Q$1)*Rules!$C$2:$C$60*ISNUMBER(SEARCH(Rules!$E$2:$E$60,$D154)))</f>
        <v>0</v>
      </c>
      <c r="R154" s="0" t="str">
        <f aca="false">IF(OR(MAX(L154:Q154)&lt;Rules!$H$1,MAX(L154:Q154)-LARGE(L154:Q154,2)&lt;Rules!$H$2),"No label",INDEX($L$1:$Q$1,MATCH(MAX(L154:Q154),L154:Q154,0)))</f>
        <v>No label</v>
      </c>
      <c r="S154" s="0" t="n">
        <f aca="false">SUMPRODUCT(ISNUMBER(SEARCH(" "&amp;Terms!$A$3:$A$821&amp;" ",$D154))*Terms!B$3:B$821)+Terms!B$2</f>
        <v>17.1482198526127</v>
      </c>
      <c r="T154" s="0" t="n">
        <f aca="false">SUMPRODUCT(ISNUMBER(SEARCH(" "&amp;Terms!$A$3:$A$821&amp;" ",$D154))*Terms!C$3:C$821)+Terms!C$2</f>
        <v>-0.662505058868264</v>
      </c>
      <c r="U154" s="0" t="n">
        <f aca="false">SUMPRODUCT(ISNUMBER(SEARCH(" "&amp;Terms!$A$3:$A$821&amp;" ",$D154))*Terms!D$3:D$821)+Terms!D$2</f>
        <v>-3.62200962272215</v>
      </c>
      <c r="V154" s="0" t="n">
        <f aca="false">SUMPRODUCT(ISNUMBER(SEARCH(" "&amp;Terms!$A$3:$A$821&amp;" ",$D154))*Terms!E$3:E$821)+Terms!E$2</f>
        <v>-5.26937947693968</v>
      </c>
      <c r="W154" s="0" t="n">
        <f aca="false">SUMPRODUCT(ISNUMBER(SEARCH(" "&amp;Terms!$A$3:$A$821&amp;" ",$D154))*Terms!F$3:F$821)+Terms!F$2</f>
        <v>-0.0791969447243117</v>
      </c>
      <c r="X154" s="0" t="n">
        <f aca="false">SUMPRODUCT(ISNUMBER(SEARCH(" "&amp;Terms!$A$3:$A$821&amp;" ",$D154))*Terms!G$3:G$821)+Terms!G$2</f>
        <v>-7.51512874935819</v>
      </c>
      <c r="Y154" s="0" t="str">
        <f aca="false">INDEX($S$1:$X$1,MATCH(MAX(S154:X154),S154:X154,0))</f>
        <v>Account Access</v>
      </c>
      <c r="Z154" s="0" t="s">
        <v>2607</v>
      </c>
    </row>
    <row r="155" customFormat="false" ht="15" hidden="false" customHeight="false" outlineLevel="0" collapsed="false">
      <c r="A155" s="0" t="str">
        <f aca="false">Complaints!A155</f>
        <v>C0154</v>
      </c>
      <c r="B155" s="0" t="str">
        <f aca="false">Complaints!B155</f>
        <v>To whom it may concern, My account was frozen and I cannot get in to move money. I am worried it might be fraud. I would like a response in writing.</v>
      </c>
      <c r="C155" s="0" t="str">
        <f aca="false">Complaints!C155</f>
        <v>Account Access</v>
      </c>
      <c r="D155" s="0" t="str">
        <f aca="false">" "&amp;TRIM(SUBSTITUTE(SUBSTITUTE(SUBSTITUTE(SUBSTITUTE(SUBSTITUTE(SUBSTITUTE(SUBSTITUTE(SUBSTITUTE(SUBSTITUTE(SUBSTITUTE(SUBSTITUTE(SUBSTITUTE(SUBSTITUTE(SUBSTITUTE(SUBSTITUTE(SUBSTITUTE(LOWER(B155),"."," "),","," "),"'"," "),"’"," "),"!"," "),"?"," "),";"," "),":"," "),"-"," "),"("," "),")"," "),"""", " "),"£"," "),"&amp;"," "),"/"," "),"%"," "))&amp;" "</f>
        <v> to whom it may concern my account was frozen and i cannot get in to move money i am worried it might be fraud i would like a response in writing </v>
      </c>
      <c r="E155" s="0" t="n">
        <f aca="false">SUMPRODUCT((Rules!$A$2:$A$60=E$1)*Rules!$C$2:$C$60*ISNUMBER(SEARCH(Rules!$D$2:$D$60,$D155)))</f>
        <v>3</v>
      </c>
      <c r="F155" s="0" t="n">
        <f aca="false">SUMPRODUCT((Rules!$A$2:$A$60=F$1)*Rules!$C$2:$C$60*ISNUMBER(SEARCH(Rules!$D$2:$D$60,$D155)))</f>
        <v>0</v>
      </c>
      <c r="G155" s="0" t="n">
        <f aca="false">SUMPRODUCT((Rules!$A$2:$A$60=G$1)*Rules!$C$2:$C$60*ISNUMBER(SEARCH(Rules!$D$2:$D$60,$D155)))</f>
        <v>0</v>
      </c>
      <c r="H155" s="0" t="n">
        <f aca="false">SUMPRODUCT((Rules!$A$2:$A$60=H$1)*Rules!$C$2:$C$60*ISNUMBER(SEARCH(Rules!$D$2:$D$60,$D155)))</f>
        <v>0</v>
      </c>
      <c r="I155" s="0" t="n">
        <f aca="false">SUMPRODUCT((Rules!$A$2:$A$60=I$1)*Rules!$C$2:$C$60*ISNUMBER(SEARCH(Rules!$D$2:$D$60,$D155)))</f>
        <v>0</v>
      </c>
      <c r="J155" s="0" t="n">
        <f aca="false">SUMPRODUCT((Rules!$A$2:$A$60=J$1)*Rules!$C$2:$C$60*ISNUMBER(SEARCH(Rules!$D$2:$D$60,$D155)))</f>
        <v>0</v>
      </c>
      <c r="K155" s="0" t="str">
        <f aca="false">IF(OR(MAX(E155:J155)&lt;Rules!$H$1,MAX(E155:J155)-LARGE(E155:J155,2)&lt;Rules!$H$2),"No label",INDEX($E$1:$J$1,MATCH(MAX(E155:J155),E155:J155,0)))</f>
        <v>Fraud &amp; Scams</v>
      </c>
      <c r="L155" s="0" t="n">
        <f aca="false">SUMPRODUCT((Rules!$A$2:$A$60=L$1)*Rules!$C$2:$C$60*ISNUMBER(SEARCH(Rules!$E$2:$E$60,$D155)))</f>
        <v>3</v>
      </c>
      <c r="M155" s="0" t="n">
        <f aca="false">SUMPRODUCT((Rules!$A$2:$A$60=M$1)*Rules!$C$2:$C$60*ISNUMBER(SEARCH(Rules!$E$2:$E$60,$D155)))</f>
        <v>0</v>
      </c>
      <c r="N155" s="0" t="n">
        <f aca="false">SUMPRODUCT((Rules!$A$2:$A$60=N$1)*Rules!$C$2:$C$60*ISNUMBER(SEARCH(Rules!$E$2:$E$60,$D155)))</f>
        <v>0</v>
      </c>
      <c r="O155" s="0" t="n">
        <f aca="false">SUMPRODUCT((Rules!$A$2:$A$60=O$1)*Rules!$C$2:$C$60*ISNUMBER(SEARCH(Rules!$E$2:$E$60,$D155)))</f>
        <v>0</v>
      </c>
      <c r="P155" s="0" t="n">
        <f aca="false">SUMPRODUCT((Rules!$A$2:$A$60=P$1)*Rules!$C$2:$C$60*ISNUMBER(SEARCH(Rules!$E$2:$E$60,$D155)))</f>
        <v>0</v>
      </c>
      <c r="Q155" s="0" t="n">
        <f aca="false">SUMPRODUCT((Rules!$A$2:$A$60=Q$1)*Rules!$C$2:$C$60*ISNUMBER(SEARCH(Rules!$E$2:$E$60,$D155)))</f>
        <v>0</v>
      </c>
      <c r="R155" s="0" t="str">
        <f aca="false">IF(OR(MAX(L155:Q155)&lt;Rules!$H$1,MAX(L155:Q155)-LARGE(L155:Q155,2)&lt;Rules!$H$2),"No label",INDEX($L$1:$Q$1,MATCH(MAX(L155:Q155),L155:Q155,0)))</f>
        <v>Fraud &amp; Scams</v>
      </c>
      <c r="S155" s="0" t="n">
        <f aca="false">SUMPRODUCT(ISNUMBER(SEARCH(" "&amp;Terms!$A$3:$A$821&amp;" ",$D155))*Terms!B$3:B$821)+Terms!B$2</f>
        <v>5.45254377939446</v>
      </c>
      <c r="T155" s="0" t="n">
        <f aca="false">SUMPRODUCT(ISNUMBER(SEARCH(" "&amp;Terms!$A$3:$A$821&amp;" ",$D155))*Terms!C$3:C$821)+Terms!C$2</f>
        <v>-3.77684717015278</v>
      </c>
      <c r="U155" s="0" t="n">
        <f aca="false">SUMPRODUCT(ISNUMBER(SEARCH(" "&amp;Terms!$A$3:$A$821&amp;" ",$D155))*Terms!D$3:D$821)+Terms!D$2</f>
        <v>0.137098281479382</v>
      </c>
      <c r="V155" s="0" t="n">
        <f aca="false">SUMPRODUCT(ISNUMBER(SEARCH(" "&amp;Terms!$A$3:$A$821&amp;" ",$D155))*Terms!E$3:E$821)+Terms!E$2</f>
        <v>-1.26775093149791</v>
      </c>
      <c r="W155" s="0" t="n">
        <f aca="false">SUMPRODUCT(ISNUMBER(SEARCH(" "&amp;Terms!$A$3:$A$821&amp;" ",$D155))*Terms!F$3:F$821)+Terms!F$2</f>
        <v>-0.66267914077632</v>
      </c>
      <c r="X155" s="0" t="n">
        <f aca="false">SUMPRODUCT(ISNUMBER(SEARCH(" "&amp;Terms!$A$3:$A$821&amp;" ",$D155))*Terms!G$3:G$821)+Terms!G$2</f>
        <v>0.117635181553251</v>
      </c>
      <c r="Y155" s="0" t="str">
        <f aca="false">INDEX($S$1:$X$1,MATCH(MAX(S155:X155),S155:X155,0))</f>
        <v>Account Access</v>
      </c>
      <c r="Z155" s="0" t="s">
        <v>2607</v>
      </c>
    </row>
    <row r="156" customFormat="false" ht="15" hidden="false" customHeight="false" outlineLevel="0" collapsed="false">
      <c r="A156" s="0" t="str">
        <f aca="false">Complaints!A156</f>
        <v>C0155</v>
      </c>
      <c r="B156" s="0" t="str">
        <f aca="false">Complaints!B156</f>
        <v>The closure of my old account has dragged on for months. I also spent ages on hold when I called about it. I expect compensation.</v>
      </c>
      <c r="C156" s="0" t="str">
        <f aca="false">Complaints!C156</f>
        <v>Delays &amp; Processing</v>
      </c>
      <c r="D156" s="0" t="str">
        <f aca="false">" "&amp;TRIM(SUBSTITUTE(SUBSTITUTE(SUBSTITUTE(SUBSTITUTE(SUBSTITUTE(SUBSTITUTE(SUBSTITUTE(SUBSTITUTE(SUBSTITUTE(SUBSTITUTE(SUBSTITUTE(SUBSTITUTE(SUBSTITUTE(SUBSTITUTE(SUBSTITUTE(SUBSTITUTE(LOWER(B156),"."," "),","," "),"'"," "),"’"," "),"!"," "),"?"," "),";"," "),":"," "),"-"," "),"("," "),")"," "),"""", " "),"£"," "),"&amp;"," "),"/"," "),"%"," "))&amp;" "</f>
        <v> the closure of my old account has dragged on for months i also spent ages on hold when i called about it i expect compensation </v>
      </c>
      <c r="E156" s="0" t="n">
        <f aca="false">SUMPRODUCT((Rules!$A$2:$A$60=E$1)*Rules!$C$2:$C$60*ISNUMBER(SEARCH(Rules!$D$2:$D$60,$D156)))</f>
        <v>0</v>
      </c>
      <c r="F156" s="0" t="n">
        <f aca="false">SUMPRODUCT((Rules!$A$2:$A$60=F$1)*Rules!$C$2:$C$60*ISNUMBER(SEARCH(Rules!$D$2:$D$60,$D156)))</f>
        <v>0</v>
      </c>
      <c r="G156" s="0" t="n">
        <f aca="false">SUMPRODUCT((Rules!$A$2:$A$60=G$1)*Rules!$C$2:$C$60*ISNUMBER(SEARCH(Rules!$D$2:$D$60,$D156)))</f>
        <v>0</v>
      </c>
      <c r="H156" s="0" t="n">
        <f aca="false">SUMPRODUCT((Rules!$A$2:$A$60=H$1)*Rules!$C$2:$C$60*ISNUMBER(SEARCH(Rules!$D$2:$D$60,$D156)))</f>
        <v>0</v>
      </c>
      <c r="I156" s="0" t="n">
        <f aca="false">SUMPRODUCT((Rules!$A$2:$A$60=I$1)*Rules!$C$2:$C$60*ISNUMBER(SEARCH(Rules!$D$2:$D$60,$D156)))</f>
        <v>2</v>
      </c>
      <c r="J156" s="0" t="n">
        <f aca="false">SUMPRODUCT((Rules!$A$2:$A$60=J$1)*Rules!$C$2:$C$60*ISNUMBER(SEARCH(Rules!$D$2:$D$60,$D156)))</f>
        <v>3</v>
      </c>
      <c r="K156" s="0" t="str">
        <f aca="false">IF(OR(MAX(E156:J156)&lt;Rules!$H$1,MAX(E156:J156)-LARGE(E156:J156,2)&lt;Rules!$H$2),"No label",INDEX($E$1:$J$1,MATCH(MAX(E156:J156),E156:J156,0)))</f>
        <v>No label</v>
      </c>
      <c r="L156" s="0" t="n">
        <f aca="false">SUMPRODUCT((Rules!$A$2:$A$60=L$1)*Rules!$C$2:$C$60*ISNUMBER(SEARCH(Rules!$E$2:$E$60,$D156)))</f>
        <v>0</v>
      </c>
      <c r="M156" s="0" t="n">
        <f aca="false">SUMPRODUCT((Rules!$A$2:$A$60=M$1)*Rules!$C$2:$C$60*ISNUMBER(SEARCH(Rules!$E$2:$E$60,$D156)))</f>
        <v>0</v>
      </c>
      <c r="N156" s="0" t="n">
        <f aca="false">SUMPRODUCT((Rules!$A$2:$A$60=N$1)*Rules!$C$2:$C$60*ISNUMBER(SEARCH(Rules!$E$2:$E$60,$D156)))</f>
        <v>0</v>
      </c>
      <c r="O156" s="0" t="n">
        <f aca="false">SUMPRODUCT((Rules!$A$2:$A$60=O$1)*Rules!$C$2:$C$60*ISNUMBER(SEARCH(Rules!$E$2:$E$60,$D156)))</f>
        <v>0</v>
      </c>
      <c r="P156" s="0" t="n">
        <f aca="false">SUMPRODUCT((Rules!$A$2:$A$60=P$1)*Rules!$C$2:$C$60*ISNUMBER(SEARCH(Rules!$E$2:$E$60,$D156)))</f>
        <v>2</v>
      </c>
      <c r="Q156" s="0" t="n">
        <f aca="false">SUMPRODUCT((Rules!$A$2:$A$60=Q$1)*Rules!$C$2:$C$60*ISNUMBER(SEARCH(Rules!$E$2:$E$60,$D156)))</f>
        <v>3</v>
      </c>
      <c r="R156" s="0" t="str">
        <f aca="false">IF(OR(MAX(L156:Q156)&lt;Rules!$H$1,MAX(L156:Q156)-LARGE(L156:Q156,2)&lt;Rules!$H$2),"No label",INDEX($L$1:$Q$1,MATCH(MAX(L156:Q156),L156:Q156,0)))</f>
        <v>No label</v>
      </c>
      <c r="S156" s="0" t="n">
        <f aca="false">SUMPRODUCT(ISNUMBER(SEARCH(" "&amp;Terms!$A$3:$A$821&amp;" ",$D156))*Terms!B$3:B$821)+Terms!B$2</f>
        <v>1.39440712729606</v>
      </c>
      <c r="T156" s="0" t="n">
        <f aca="false">SUMPRODUCT(ISNUMBER(SEARCH(" "&amp;Terms!$A$3:$A$821&amp;" ",$D156))*Terms!C$3:C$821)+Terms!C$2</f>
        <v>-1.31742093980357</v>
      </c>
      <c r="U156" s="0" t="n">
        <f aca="false">SUMPRODUCT(ISNUMBER(SEARCH(" "&amp;Terms!$A$3:$A$821&amp;" ",$D156))*Terms!D$3:D$821)+Terms!D$2</f>
        <v>7.86923754581335</v>
      </c>
      <c r="V156" s="0" t="n">
        <f aca="false">SUMPRODUCT(ISNUMBER(SEARCH(" "&amp;Terms!$A$3:$A$821&amp;" ",$D156))*Terms!E$3:E$821)+Terms!E$2</f>
        <v>-4.00974994464434</v>
      </c>
      <c r="W156" s="0" t="n">
        <f aca="false">SUMPRODUCT(ISNUMBER(SEARCH(" "&amp;Terms!$A$3:$A$821&amp;" ",$D156))*Terms!F$3:F$821)+Terms!F$2</f>
        <v>0.267335452602296</v>
      </c>
      <c r="X156" s="0" t="n">
        <f aca="false">SUMPRODUCT(ISNUMBER(SEARCH(" "&amp;Terms!$A$3:$A$821&amp;" ",$D156))*Terms!G$3:G$821)+Terms!G$2</f>
        <v>-4.20380924126369</v>
      </c>
      <c r="Y156" s="0" t="str">
        <f aca="false">INDEX($S$1:$X$1,MATCH(MAX(S156:X156),S156:X156,0))</f>
        <v>Delays &amp; Processing</v>
      </c>
      <c r="Z156" s="0" t="s">
        <v>2607</v>
      </c>
    </row>
    <row r="157" customFormat="false" ht="15" hidden="false" customHeight="false" outlineLevel="0" collapsed="false">
      <c r="A157" s="0" t="str">
        <f aca="false">Complaints!A157</f>
        <v>C0156</v>
      </c>
      <c r="B157" s="0" t="str">
        <f aca="false">Complaints!B157</f>
        <v>My card was cloned and used abroad. Also, the closure of my old account has dragged on for months. I want this put right.</v>
      </c>
      <c r="C157" s="0" t="str">
        <f aca="false">Complaints!C157</f>
        <v>Fraud &amp; Scams</v>
      </c>
      <c r="D157" s="0" t="str">
        <f aca="false">" "&amp;TRIM(SUBSTITUTE(SUBSTITUTE(SUBSTITUTE(SUBSTITUTE(SUBSTITUTE(SUBSTITUTE(SUBSTITUTE(SUBSTITUTE(SUBSTITUTE(SUBSTITUTE(SUBSTITUTE(SUBSTITUTE(SUBSTITUTE(SUBSTITUTE(SUBSTITUTE(SUBSTITUTE(LOWER(B157),"."," "),","," "),"'"," "),"’"," "),"!"," "),"?"," "),";"," "),":"," "),"-"," "),"("," "),")"," "),"""", " "),"£"," "),"&amp;"," "),"/"," "),"%"," "))&amp;" "</f>
        <v> my card was cloned and used abroad also the closure of my old account has dragged on for months i want this put right </v>
      </c>
      <c r="E157" s="0" t="n">
        <f aca="false">SUMPRODUCT((Rules!$A$2:$A$60=E$1)*Rules!$C$2:$C$60*ISNUMBER(SEARCH(Rules!$D$2:$D$60,$D157)))</f>
        <v>3</v>
      </c>
      <c r="F157" s="0" t="n">
        <f aca="false">SUMPRODUCT((Rules!$A$2:$A$60=F$1)*Rules!$C$2:$C$60*ISNUMBER(SEARCH(Rules!$D$2:$D$60,$D157)))</f>
        <v>0</v>
      </c>
      <c r="G157" s="0" t="n">
        <f aca="false">SUMPRODUCT((Rules!$A$2:$A$60=G$1)*Rules!$C$2:$C$60*ISNUMBER(SEARCH(Rules!$D$2:$D$60,$D157)))</f>
        <v>0</v>
      </c>
      <c r="H157" s="0" t="n">
        <f aca="false">SUMPRODUCT((Rules!$A$2:$A$60=H$1)*Rules!$C$2:$C$60*ISNUMBER(SEARCH(Rules!$D$2:$D$60,$D157)))</f>
        <v>0</v>
      </c>
      <c r="I157" s="0" t="n">
        <f aca="false">SUMPRODUCT((Rules!$A$2:$A$60=I$1)*Rules!$C$2:$C$60*ISNUMBER(SEARCH(Rules!$D$2:$D$60,$D157)))</f>
        <v>2</v>
      </c>
      <c r="J157" s="0" t="n">
        <f aca="false">SUMPRODUCT((Rules!$A$2:$A$60=J$1)*Rules!$C$2:$C$60*ISNUMBER(SEARCH(Rules!$D$2:$D$60,$D157)))</f>
        <v>0</v>
      </c>
      <c r="K157" s="0" t="str">
        <f aca="false">IF(OR(MAX(E157:J157)&lt;Rules!$H$1,MAX(E157:J157)-LARGE(E157:J157,2)&lt;Rules!$H$2),"No label",INDEX($E$1:$J$1,MATCH(MAX(E157:J157),E157:J157,0)))</f>
        <v>No label</v>
      </c>
      <c r="L157" s="0" t="n">
        <f aca="false">SUMPRODUCT((Rules!$A$2:$A$60=L$1)*Rules!$C$2:$C$60*ISNUMBER(SEARCH(Rules!$E$2:$E$60,$D157)))</f>
        <v>3</v>
      </c>
      <c r="M157" s="0" t="n">
        <f aca="false">SUMPRODUCT((Rules!$A$2:$A$60=M$1)*Rules!$C$2:$C$60*ISNUMBER(SEARCH(Rules!$E$2:$E$60,$D157)))</f>
        <v>0</v>
      </c>
      <c r="N157" s="0" t="n">
        <f aca="false">SUMPRODUCT((Rules!$A$2:$A$60=N$1)*Rules!$C$2:$C$60*ISNUMBER(SEARCH(Rules!$E$2:$E$60,$D157)))</f>
        <v>0</v>
      </c>
      <c r="O157" s="0" t="n">
        <f aca="false">SUMPRODUCT((Rules!$A$2:$A$60=O$1)*Rules!$C$2:$C$60*ISNUMBER(SEARCH(Rules!$E$2:$E$60,$D157)))</f>
        <v>0</v>
      </c>
      <c r="P157" s="0" t="n">
        <f aca="false">SUMPRODUCT((Rules!$A$2:$A$60=P$1)*Rules!$C$2:$C$60*ISNUMBER(SEARCH(Rules!$E$2:$E$60,$D157)))</f>
        <v>2</v>
      </c>
      <c r="Q157" s="0" t="n">
        <f aca="false">SUMPRODUCT((Rules!$A$2:$A$60=Q$1)*Rules!$C$2:$C$60*ISNUMBER(SEARCH(Rules!$E$2:$E$60,$D157)))</f>
        <v>0</v>
      </c>
      <c r="R157" s="0" t="str">
        <f aca="false">IF(OR(MAX(L157:Q157)&lt;Rules!$H$1,MAX(L157:Q157)-LARGE(L157:Q157,2)&lt;Rules!$H$2),"No label",INDEX($L$1:$Q$1,MATCH(MAX(L157:Q157),L157:Q157,0)))</f>
        <v>No label</v>
      </c>
      <c r="S157" s="0" t="n">
        <f aca="false">SUMPRODUCT(ISNUMBER(SEARCH(" "&amp;Terms!$A$3:$A$821&amp;" ",$D157))*Terms!B$3:B$821)+Terms!B$2</f>
        <v>-2.21392163536635</v>
      </c>
      <c r="T157" s="0" t="n">
        <f aca="false">SUMPRODUCT(ISNUMBER(SEARCH(" "&amp;Terms!$A$3:$A$821&amp;" ",$D157))*Terms!C$3:C$821)+Terms!C$2</f>
        <v>-5.18503104864662</v>
      </c>
      <c r="U157" s="0" t="n">
        <f aca="false">SUMPRODUCT(ISNUMBER(SEARCH(" "&amp;Terms!$A$3:$A$821&amp;" ",$D157))*Terms!D$3:D$821)+Terms!D$2</f>
        <v>4.71177318992449</v>
      </c>
      <c r="V157" s="0" t="n">
        <f aca="false">SUMPRODUCT(ISNUMBER(SEARCH(" "&amp;Terms!$A$3:$A$821&amp;" ",$D157))*Terms!E$3:E$821)+Terms!E$2</f>
        <v>-3.3125472428669</v>
      </c>
      <c r="W157" s="0" t="n">
        <f aca="false">SUMPRODUCT(ISNUMBER(SEARCH(" "&amp;Terms!$A$3:$A$821&amp;" ",$D157))*Terms!F$3:F$821)+Terms!F$2</f>
        <v>11.4687907940413</v>
      </c>
      <c r="X157" s="0" t="n">
        <f aca="false">SUMPRODUCT(ISNUMBER(SEARCH(" "&amp;Terms!$A$3:$A$821&amp;" ",$D157))*Terms!G$3:G$821)+Terms!G$2</f>
        <v>-5.46906405708584</v>
      </c>
      <c r="Y157" s="0" t="str">
        <f aca="false">INDEX($S$1:$X$1,MATCH(MAX(S157:X157),S157:X157,0))</f>
        <v>Fraud &amp; Scams</v>
      </c>
      <c r="Z157" s="0" t="s">
        <v>2607</v>
      </c>
    </row>
    <row r="158" customFormat="false" ht="15" hidden="false" customHeight="false" outlineLevel="0" collapsed="false">
      <c r="A158" s="0" t="str">
        <f aca="false">Complaints!A158</f>
        <v>C0157</v>
      </c>
      <c r="B158" s="0" t="str">
        <f aca="false">Complaints!B158</f>
        <v>The app crashes every time I try to open my statements. There was also a fee involved. I want this put right.</v>
      </c>
      <c r="C158" s="0" t="str">
        <f aca="false">Complaints!C158</f>
        <v>Account Access</v>
      </c>
      <c r="D158" s="0" t="str">
        <f aca="false">" "&amp;TRIM(SUBSTITUTE(SUBSTITUTE(SUBSTITUTE(SUBSTITUTE(SUBSTITUTE(SUBSTITUTE(SUBSTITUTE(SUBSTITUTE(SUBSTITUTE(SUBSTITUTE(SUBSTITUTE(SUBSTITUTE(SUBSTITUTE(SUBSTITUTE(SUBSTITUTE(SUBSTITUTE(LOWER(B158),"."," "),","," "),"'"," "),"’"," "),"!"," "),"?"," "),";"," "),":"," "),"-"," "),"("," "),")"," "),"""", " "),"£"," "),"&amp;"," "),"/"," "),"%"," "))&amp;" "</f>
        <v> the app crashes every time i try to open my statements there was also a fee involved i want this put right </v>
      </c>
      <c r="E158" s="0" t="n">
        <f aca="false">SUMPRODUCT((Rules!$A$2:$A$60=E$1)*Rules!$C$2:$C$60*ISNUMBER(SEARCH(Rules!$D$2:$D$60,$D158)))</f>
        <v>0</v>
      </c>
      <c r="F158" s="0" t="n">
        <f aca="false">SUMPRODUCT((Rules!$A$2:$A$60=F$1)*Rules!$C$2:$C$60*ISNUMBER(SEARCH(Rules!$D$2:$D$60,$D158)))</f>
        <v>0</v>
      </c>
      <c r="G158" s="0" t="n">
        <f aca="false">SUMPRODUCT((Rules!$A$2:$A$60=G$1)*Rules!$C$2:$C$60*ISNUMBER(SEARCH(Rules!$D$2:$D$60,$D158)))</f>
        <v>3</v>
      </c>
      <c r="H158" s="0" t="n">
        <f aca="false">SUMPRODUCT((Rules!$A$2:$A$60=H$1)*Rules!$C$2:$C$60*ISNUMBER(SEARCH(Rules!$D$2:$D$60,$D158)))</f>
        <v>2</v>
      </c>
      <c r="I158" s="0" t="n">
        <f aca="false">SUMPRODUCT((Rules!$A$2:$A$60=I$1)*Rules!$C$2:$C$60*ISNUMBER(SEARCH(Rules!$D$2:$D$60,$D158)))</f>
        <v>0</v>
      </c>
      <c r="J158" s="0" t="n">
        <f aca="false">SUMPRODUCT((Rules!$A$2:$A$60=J$1)*Rules!$C$2:$C$60*ISNUMBER(SEARCH(Rules!$D$2:$D$60,$D158)))</f>
        <v>0</v>
      </c>
      <c r="K158" s="0" t="str">
        <f aca="false">IF(OR(MAX(E158:J158)&lt;Rules!$H$1,MAX(E158:J158)-LARGE(E158:J158,2)&lt;Rules!$H$2),"No label",INDEX($E$1:$J$1,MATCH(MAX(E158:J158),E158:J158,0)))</f>
        <v>No label</v>
      </c>
      <c r="L158" s="0" t="n">
        <f aca="false">SUMPRODUCT((Rules!$A$2:$A$60=L$1)*Rules!$C$2:$C$60*ISNUMBER(SEARCH(Rules!$E$2:$E$60,$D158)))</f>
        <v>0</v>
      </c>
      <c r="M158" s="0" t="n">
        <f aca="false">SUMPRODUCT((Rules!$A$2:$A$60=M$1)*Rules!$C$2:$C$60*ISNUMBER(SEARCH(Rules!$E$2:$E$60,$D158)))</f>
        <v>0</v>
      </c>
      <c r="N158" s="0" t="n">
        <f aca="false">SUMPRODUCT((Rules!$A$2:$A$60=N$1)*Rules!$C$2:$C$60*ISNUMBER(SEARCH(Rules!$E$2:$E$60,$D158)))</f>
        <v>3</v>
      </c>
      <c r="O158" s="0" t="n">
        <f aca="false">SUMPRODUCT((Rules!$A$2:$A$60=O$1)*Rules!$C$2:$C$60*ISNUMBER(SEARCH(Rules!$E$2:$E$60,$D158)))</f>
        <v>3</v>
      </c>
      <c r="P158" s="0" t="n">
        <f aca="false">SUMPRODUCT((Rules!$A$2:$A$60=P$1)*Rules!$C$2:$C$60*ISNUMBER(SEARCH(Rules!$E$2:$E$60,$D158)))</f>
        <v>0</v>
      </c>
      <c r="Q158" s="0" t="n">
        <f aca="false">SUMPRODUCT((Rules!$A$2:$A$60=Q$1)*Rules!$C$2:$C$60*ISNUMBER(SEARCH(Rules!$E$2:$E$60,$D158)))</f>
        <v>0</v>
      </c>
      <c r="R158" s="0" t="str">
        <f aca="false">IF(OR(MAX(L158:Q158)&lt;Rules!$H$1,MAX(L158:Q158)-LARGE(L158:Q158,2)&lt;Rules!$H$2),"No label",INDEX($L$1:$Q$1,MATCH(MAX(L158:Q158),L158:Q158,0)))</f>
        <v>No label</v>
      </c>
      <c r="S158" s="0" t="n">
        <f aca="false">SUMPRODUCT(ISNUMBER(SEARCH(" "&amp;Terms!$A$3:$A$821&amp;" ",$D158))*Terms!B$3:B$821)+Terms!B$2</f>
        <v>8.44399274216106</v>
      </c>
      <c r="T158" s="0" t="n">
        <f aca="false">SUMPRODUCT(ISNUMBER(SEARCH(" "&amp;Terms!$A$3:$A$821&amp;" ",$D158))*Terms!C$3:C$821)+Terms!C$2</f>
        <v>-3.62035211744241</v>
      </c>
      <c r="U158" s="0" t="n">
        <f aca="false">SUMPRODUCT(ISNUMBER(SEARCH(" "&amp;Terms!$A$3:$A$821&amp;" ",$D158))*Terms!D$3:D$821)+Terms!D$2</f>
        <v>-3.31829380564795</v>
      </c>
      <c r="V158" s="0" t="n">
        <f aca="false">SUMPRODUCT(ISNUMBER(SEARCH(" "&amp;Terms!$A$3:$A$821&amp;" ",$D158))*Terms!E$3:E$821)+Terms!E$2</f>
        <v>2.51540449085995</v>
      </c>
      <c r="W158" s="0" t="n">
        <f aca="false">SUMPRODUCT(ISNUMBER(SEARCH(" "&amp;Terms!$A$3:$A$821&amp;" ",$D158))*Terms!F$3:F$821)+Terms!F$2</f>
        <v>-1.30903466227368</v>
      </c>
      <c r="X158" s="0" t="n">
        <f aca="false">SUMPRODUCT(ISNUMBER(SEARCH(" "&amp;Terms!$A$3:$A$821&amp;" ",$D158))*Terms!G$3:G$821)+Terms!G$2</f>
        <v>-2.71171664765685</v>
      </c>
      <c r="Y158" s="0" t="str">
        <f aca="false">INDEX($S$1:$X$1,MATCH(MAX(S158:X158),S158:X158,0))</f>
        <v>Account Access</v>
      </c>
      <c r="Z158" s="0" t="s">
        <v>2607</v>
      </c>
    </row>
    <row r="159" customFormat="false" ht="15" hidden="false" customHeight="false" outlineLevel="0" collapsed="false">
      <c r="A159" s="0" t="str">
        <f aca="false">Complaints!A159</f>
        <v>C0158</v>
      </c>
      <c r="B159" s="0" t="str">
        <f aca="false">Complaints!B159</f>
        <v>This has caused me a lot of stress and I want answers. I want this put right.</v>
      </c>
      <c r="C159" s="0" t="str">
        <f aca="false">Complaints!C159</f>
        <v>Fees &amp; Charges</v>
      </c>
      <c r="D159" s="0" t="str">
        <f aca="false">" "&amp;TRIM(SUBSTITUTE(SUBSTITUTE(SUBSTITUTE(SUBSTITUTE(SUBSTITUTE(SUBSTITUTE(SUBSTITUTE(SUBSTITUTE(SUBSTITUTE(SUBSTITUTE(SUBSTITUTE(SUBSTITUTE(SUBSTITUTE(SUBSTITUTE(SUBSTITUTE(SUBSTITUTE(LOWER(B159),"."," "),","," "),"'"," "),"’"," "),"!"," "),"?"," "),";"," "),":"," "),"-"," "),"("," "),")"," "),"""", " "),"£"," "),"&amp;"," "),"/"," "),"%"," "))&amp;" "</f>
        <v> this has caused me a lot of stress and i want answers i want this put right </v>
      </c>
      <c r="E159" s="0" t="n">
        <f aca="false">SUMPRODUCT((Rules!$A$2:$A$60=E$1)*Rules!$C$2:$C$60*ISNUMBER(SEARCH(Rules!$D$2:$D$60,$D159)))</f>
        <v>0</v>
      </c>
      <c r="F159" s="0" t="n">
        <f aca="false">SUMPRODUCT((Rules!$A$2:$A$60=F$1)*Rules!$C$2:$C$60*ISNUMBER(SEARCH(Rules!$D$2:$D$60,$D159)))</f>
        <v>0</v>
      </c>
      <c r="G159" s="0" t="n">
        <f aca="false">SUMPRODUCT((Rules!$A$2:$A$60=G$1)*Rules!$C$2:$C$60*ISNUMBER(SEARCH(Rules!$D$2:$D$60,$D159)))</f>
        <v>0</v>
      </c>
      <c r="H159" s="0" t="n">
        <f aca="false">SUMPRODUCT((Rules!$A$2:$A$60=H$1)*Rules!$C$2:$C$60*ISNUMBER(SEARCH(Rules!$D$2:$D$60,$D159)))</f>
        <v>0</v>
      </c>
      <c r="I159" s="0" t="n">
        <f aca="false">SUMPRODUCT((Rules!$A$2:$A$60=I$1)*Rules!$C$2:$C$60*ISNUMBER(SEARCH(Rules!$D$2:$D$60,$D159)))</f>
        <v>0</v>
      </c>
      <c r="J159" s="0" t="n">
        <f aca="false">SUMPRODUCT((Rules!$A$2:$A$60=J$1)*Rules!$C$2:$C$60*ISNUMBER(SEARCH(Rules!$D$2:$D$60,$D159)))</f>
        <v>0</v>
      </c>
      <c r="K159" s="0" t="str">
        <f aca="false">IF(OR(MAX(E159:J159)&lt;Rules!$H$1,MAX(E159:J159)-LARGE(E159:J159,2)&lt;Rules!$H$2),"No label",INDEX($E$1:$J$1,MATCH(MAX(E159:J159),E159:J159,0)))</f>
        <v>No label</v>
      </c>
      <c r="L159" s="0" t="n">
        <f aca="false">SUMPRODUCT((Rules!$A$2:$A$60=L$1)*Rules!$C$2:$C$60*ISNUMBER(SEARCH(Rules!$E$2:$E$60,$D159)))</f>
        <v>0</v>
      </c>
      <c r="M159" s="0" t="n">
        <f aca="false">SUMPRODUCT((Rules!$A$2:$A$60=M$1)*Rules!$C$2:$C$60*ISNUMBER(SEARCH(Rules!$E$2:$E$60,$D159)))</f>
        <v>0</v>
      </c>
      <c r="N159" s="0" t="n">
        <f aca="false">SUMPRODUCT((Rules!$A$2:$A$60=N$1)*Rules!$C$2:$C$60*ISNUMBER(SEARCH(Rules!$E$2:$E$60,$D159)))</f>
        <v>0</v>
      </c>
      <c r="O159" s="0" t="n">
        <f aca="false">SUMPRODUCT((Rules!$A$2:$A$60=O$1)*Rules!$C$2:$C$60*ISNUMBER(SEARCH(Rules!$E$2:$E$60,$D159)))</f>
        <v>0</v>
      </c>
      <c r="P159" s="0" t="n">
        <f aca="false">SUMPRODUCT((Rules!$A$2:$A$60=P$1)*Rules!$C$2:$C$60*ISNUMBER(SEARCH(Rules!$E$2:$E$60,$D159)))</f>
        <v>0</v>
      </c>
      <c r="Q159" s="0" t="n">
        <f aca="false">SUMPRODUCT((Rules!$A$2:$A$60=Q$1)*Rules!$C$2:$C$60*ISNUMBER(SEARCH(Rules!$E$2:$E$60,$D159)))</f>
        <v>0</v>
      </c>
      <c r="R159" s="0" t="str">
        <f aca="false">IF(OR(MAX(L159:Q159)&lt;Rules!$H$1,MAX(L159:Q159)-LARGE(L159:Q159,2)&lt;Rules!$H$2),"No label",INDEX($L$1:$Q$1,MATCH(MAX(L159:Q159),L159:Q159,0)))</f>
        <v>No label</v>
      </c>
      <c r="S159" s="0" t="n">
        <f aca="false">SUMPRODUCT(ISNUMBER(SEARCH(" "&amp;Terms!$A$3:$A$821&amp;" ",$D159))*Terms!B$3:B$821)+Terms!B$2</f>
        <v>0.96535040700231</v>
      </c>
      <c r="T159" s="0" t="n">
        <f aca="false">SUMPRODUCT(ISNUMBER(SEARCH(" "&amp;Terms!$A$3:$A$821&amp;" ",$D159))*Terms!C$3:C$821)+Terms!C$2</f>
        <v>1.10755389734157</v>
      </c>
      <c r="U159" s="0" t="n">
        <f aca="false">SUMPRODUCT(ISNUMBER(SEARCH(" "&amp;Terms!$A$3:$A$821&amp;" ",$D159))*Terms!D$3:D$821)+Terms!D$2</f>
        <v>1.07129021814274</v>
      </c>
      <c r="V159" s="0" t="n">
        <f aca="false">SUMPRODUCT(ISNUMBER(SEARCH(" "&amp;Terms!$A$3:$A$821&amp;" ",$D159))*Terms!E$3:E$821)+Terms!E$2</f>
        <v>-1.05093635533718</v>
      </c>
      <c r="W159" s="0" t="n">
        <f aca="false">SUMPRODUCT(ISNUMBER(SEARCH(" "&amp;Terms!$A$3:$A$821&amp;" ",$D159))*Terms!F$3:F$821)+Terms!F$2</f>
        <v>0.0412408965868047</v>
      </c>
      <c r="X159" s="0" t="n">
        <f aca="false">SUMPRODUCT(ISNUMBER(SEARCH(" "&amp;Terms!$A$3:$A$821&amp;" ",$D159))*Terms!G$3:G$821)+Terms!G$2</f>
        <v>-2.13449906373615</v>
      </c>
      <c r="Y159" s="0" t="str">
        <f aca="false">INDEX($S$1:$X$1,MATCH(MAX(S159:X159),S159:X159,0))</f>
        <v>Customer Service</v>
      </c>
      <c r="Z159" s="0" t="s">
        <v>2608</v>
      </c>
    </row>
    <row r="160" customFormat="false" ht="15" hidden="false" customHeight="false" outlineLevel="0" collapsed="false">
      <c r="A160" s="0" t="str">
        <f aca="false">Complaints!A160</f>
        <v>C0159</v>
      </c>
      <c r="B160" s="0" t="str">
        <f aca="false">Complaints!B160</f>
        <v>I have been a customer for years. The webchat agent ended the conversation without solving anything. I do not think it was explained properly when I bought it. I would like a response in writing.</v>
      </c>
      <c r="C160" s="0" t="str">
        <f aca="false">Complaints!C160</f>
        <v>Customer Service</v>
      </c>
      <c r="D160" s="0" t="str">
        <f aca="false">" "&amp;TRIM(SUBSTITUTE(SUBSTITUTE(SUBSTITUTE(SUBSTITUTE(SUBSTITUTE(SUBSTITUTE(SUBSTITUTE(SUBSTITUTE(SUBSTITUTE(SUBSTITUTE(SUBSTITUTE(SUBSTITUTE(SUBSTITUTE(SUBSTITUTE(SUBSTITUTE(SUBSTITUTE(LOWER(B160),"."," "),","," "),"'"," "),"’"," "),"!"," "),"?"," "),";"," "),":"," "),"-"," "),"("," "),")"," "),"""", " "),"£"," "),"&amp;"," "),"/"," "),"%"," "))&amp;" "</f>
        <v> i have been a customer for years the webchat agent ended the conversation without solving anything i do not think it was explained properly when i bought it i would like a response in writing </v>
      </c>
      <c r="E160" s="0" t="n">
        <f aca="false">SUMPRODUCT((Rules!$A$2:$A$60=E$1)*Rules!$C$2:$C$60*ISNUMBER(SEARCH(Rules!$D$2:$D$60,$D160)))</f>
        <v>0</v>
      </c>
      <c r="F160" s="0" t="n">
        <f aca="false">SUMPRODUCT((Rules!$A$2:$A$60=F$1)*Rules!$C$2:$C$60*ISNUMBER(SEARCH(Rules!$D$2:$D$60,$D160)))</f>
        <v>0</v>
      </c>
      <c r="G160" s="0" t="n">
        <f aca="false">SUMPRODUCT((Rules!$A$2:$A$60=G$1)*Rules!$C$2:$C$60*ISNUMBER(SEARCH(Rules!$D$2:$D$60,$D160)))</f>
        <v>0</v>
      </c>
      <c r="H160" s="0" t="n">
        <f aca="false">SUMPRODUCT((Rules!$A$2:$A$60=H$1)*Rules!$C$2:$C$60*ISNUMBER(SEARCH(Rules!$D$2:$D$60,$D160)))</f>
        <v>0</v>
      </c>
      <c r="I160" s="0" t="n">
        <f aca="false">SUMPRODUCT((Rules!$A$2:$A$60=I$1)*Rules!$C$2:$C$60*ISNUMBER(SEARCH(Rules!$D$2:$D$60,$D160)))</f>
        <v>0</v>
      </c>
      <c r="J160" s="0" t="n">
        <f aca="false">SUMPRODUCT((Rules!$A$2:$A$60=J$1)*Rules!$C$2:$C$60*ISNUMBER(SEARCH(Rules!$D$2:$D$60,$D160)))</f>
        <v>2</v>
      </c>
      <c r="K160" s="0" t="str">
        <f aca="false">IF(OR(MAX(E160:J160)&lt;Rules!$H$1,MAX(E160:J160)-LARGE(E160:J160,2)&lt;Rules!$H$2),"No label",INDEX($E$1:$J$1,MATCH(MAX(E160:J160),E160:J160,0)))</f>
        <v>No label</v>
      </c>
      <c r="L160" s="0" t="n">
        <f aca="false">SUMPRODUCT((Rules!$A$2:$A$60=L$1)*Rules!$C$2:$C$60*ISNUMBER(SEARCH(Rules!$E$2:$E$60,$D160)))</f>
        <v>0</v>
      </c>
      <c r="M160" s="0" t="n">
        <f aca="false">SUMPRODUCT((Rules!$A$2:$A$60=M$1)*Rules!$C$2:$C$60*ISNUMBER(SEARCH(Rules!$E$2:$E$60,$D160)))</f>
        <v>0</v>
      </c>
      <c r="N160" s="0" t="n">
        <f aca="false">SUMPRODUCT((Rules!$A$2:$A$60=N$1)*Rules!$C$2:$C$60*ISNUMBER(SEARCH(Rules!$E$2:$E$60,$D160)))</f>
        <v>0</v>
      </c>
      <c r="O160" s="0" t="n">
        <f aca="false">SUMPRODUCT((Rules!$A$2:$A$60=O$1)*Rules!$C$2:$C$60*ISNUMBER(SEARCH(Rules!$E$2:$E$60,$D160)))</f>
        <v>0</v>
      </c>
      <c r="P160" s="0" t="n">
        <f aca="false">SUMPRODUCT((Rules!$A$2:$A$60=P$1)*Rules!$C$2:$C$60*ISNUMBER(SEARCH(Rules!$E$2:$E$60,$D160)))</f>
        <v>0</v>
      </c>
      <c r="Q160" s="0" t="n">
        <f aca="false">SUMPRODUCT((Rules!$A$2:$A$60=Q$1)*Rules!$C$2:$C$60*ISNUMBER(SEARCH(Rules!$E$2:$E$60,$D160)))</f>
        <v>2</v>
      </c>
      <c r="R160" s="0" t="str">
        <f aca="false">IF(OR(MAX(L160:Q160)&lt;Rules!$H$1,MAX(L160:Q160)-LARGE(L160:Q160,2)&lt;Rules!$H$2),"No label",INDEX($L$1:$Q$1,MATCH(MAX(L160:Q160),L160:Q160,0)))</f>
        <v>No label</v>
      </c>
      <c r="S160" s="0" t="n">
        <f aca="false">SUMPRODUCT(ISNUMBER(SEARCH(" "&amp;Terms!$A$3:$A$821&amp;" ",$D160))*Terms!B$3:B$821)+Terms!B$2</f>
        <v>-0.590370482680696</v>
      </c>
      <c r="T160" s="0" t="n">
        <f aca="false">SUMPRODUCT(ISNUMBER(SEARCH(" "&amp;Terms!$A$3:$A$821&amp;" ",$D160))*Terms!C$3:C$821)+Terms!C$2</f>
        <v>10.1214480841419</v>
      </c>
      <c r="U160" s="0" t="n">
        <f aca="false">SUMPRODUCT(ISNUMBER(SEARCH(" "&amp;Terms!$A$3:$A$821&amp;" ",$D160))*Terms!D$3:D$821)+Terms!D$2</f>
        <v>-2.68635411877836</v>
      </c>
      <c r="V160" s="0" t="n">
        <f aca="false">SUMPRODUCT(ISNUMBER(SEARCH(" "&amp;Terms!$A$3:$A$821&amp;" ",$D160))*Terms!E$3:E$821)+Terms!E$2</f>
        <v>-1.61812496931895</v>
      </c>
      <c r="W160" s="0" t="n">
        <f aca="false">SUMPRODUCT(ISNUMBER(SEARCH(" "&amp;Terms!$A$3:$A$821&amp;" ",$D160))*Terms!F$3:F$821)+Terms!F$2</f>
        <v>-2.22153123012964</v>
      </c>
      <c r="X160" s="0" t="n">
        <f aca="false">SUMPRODUCT(ISNUMBER(SEARCH(" "&amp;Terms!$A$3:$A$821&amp;" ",$D160))*Terms!G$3:G$821)+Terms!G$2</f>
        <v>-3.00506728323415</v>
      </c>
      <c r="Y160" s="0" t="str">
        <f aca="false">INDEX($S$1:$X$1,MATCH(MAX(S160:X160),S160:X160,0))</f>
        <v>Customer Service</v>
      </c>
      <c r="Z160" s="0" t="s">
        <v>2607</v>
      </c>
    </row>
    <row r="161" customFormat="false" ht="15" hidden="false" customHeight="false" outlineLevel="0" collapsed="false">
      <c r="A161" s="0" t="str">
        <f aca="false">Complaints!A161</f>
        <v>C0160</v>
      </c>
      <c r="B161" s="0" t="str">
        <f aca="false">Complaints!B161</f>
        <v>Please look into what happened on my account. Please escalate this.</v>
      </c>
      <c r="C161" s="0" t="str">
        <f aca="false">Complaints!C161</f>
        <v>Account Access</v>
      </c>
      <c r="D161" s="0" t="str">
        <f aca="false">" "&amp;TRIM(SUBSTITUTE(SUBSTITUTE(SUBSTITUTE(SUBSTITUTE(SUBSTITUTE(SUBSTITUTE(SUBSTITUTE(SUBSTITUTE(SUBSTITUTE(SUBSTITUTE(SUBSTITUTE(SUBSTITUTE(SUBSTITUTE(SUBSTITUTE(SUBSTITUTE(SUBSTITUTE(LOWER(B161),"."," "),","," "),"'"," "),"’"," "),"!"," "),"?"," "),";"," "),":"," "),"-"," "),"("," "),")"," "),"""", " "),"£"," "),"&amp;"," "),"/"," "),"%"," "))&amp;" "</f>
        <v> please look into what happened on my account please escalate this </v>
      </c>
      <c r="E161" s="0" t="n">
        <f aca="false">SUMPRODUCT((Rules!$A$2:$A$60=E$1)*Rules!$C$2:$C$60*ISNUMBER(SEARCH(Rules!$D$2:$D$60,$D161)))</f>
        <v>0</v>
      </c>
      <c r="F161" s="0" t="n">
        <f aca="false">SUMPRODUCT((Rules!$A$2:$A$60=F$1)*Rules!$C$2:$C$60*ISNUMBER(SEARCH(Rules!$D$2:$D$60,$D161)))</f>
        <v>0</v>
      </c>
      <c r="G161" s="0" t="n">
        <f aca="false">SUMPRODUCT((Rules!$A$2:$A$60=G$1)*Rules!$C$2:$C$60*ISNUMBER(SEARCH(Rules!$D$2:$D$60,$D161)))</f>
        <v>0</v>
      </c>
      <c r="H161" s="0" t="n">
        <f aca="false">SUMPRODUCT((Rules!$A$2:$A$60=H$1)*Rules!$C$2:$C$60*ISNUMBER(SEARCH(Rules!$D$2:$D$60,$D161)))</f>
        <v>0</v>
      </c>
      <c r="I161" s="0" t="n">
        <f aca="false">SUMPRODUCT((Rules!$A$2:$A$60=I$1)*Rules!$C$2:$C$60*ISNUMBER(SEARCH(Rules!$D$2:$D$60,$D161)))</f>
        <v>0</v>
      </c>
      <c r="J161" s="0" t="n">
        <f aca="false">SUMPRODUCT((Rules!$A$2:$A$60=J$1)*Rules!$C$2:$C$60*ISNUMBER(SEARCH(Rules!$D$2:$D$60,$D161)))</f>
        <v>0</v>
      </c>
      <c r="K161" s="0" t="str">
        <f aca="false">IF(OR(MAX(E161:J161)&lt;Rules!$H$1,MAX(E161:J161)-LARGE(E161:J161,2)&lt;Rules!$H$2),"No label",INDEX($E$1:$J$1,MATCH(MAX(E161:J161),E161:J161,0)))</f>
        <v>No label</v>
      </c>
      <c r="L161" s="0" t="n">
        <f aca="false">SUMPRODUCT((Rules!$A$2:$A$60=L$1)*Rules!$C$2:$C$60*ISNUMBER(SEARCH(Rules!$E$2:$E$60,$D161)))</f>
        <v>0</v>
      </c>
      <c r="M161" s="0" t="n">
        <f aca="false">SUMPRODUCT((Rules!$A$2:$A$60=M$1)*Rules!$C$2:$C$60*ISNUMBER(SEARCH(Rules!$E$2:$E$60,$D161)))</f>
        <v>0</v>
      </c>
      <c r="N161" s="0" t="n">
        <f aca="false">SUMPRODUCT((Rules!$A$2:$A$60=N$1)*Rules!$C$2:$C$60*ISNUMBER(SEARCH(Rules!$E$2:$E$60,$D161)))</f>
        <v>0</v>
      </c>
      <c r="O161" s="0" t="n">
        <f aca="false">SUMPRODUCT((Rules!$A$2:$A$60=O$1)*Rules!$C$2:$C$60*ISNUMBER(SEARCH(Rules!$E$2:$E$60,$D161)))</f>
        <v>0</v>
      </c>
      <c r="P161" s="0" t="n">
        <f aca="false">SUMPRODUCT((Rules!$A$2:$A$60=P$1)*Rules!$C$2:$C$60*ISNUMBER(SEARCH(Rules!$E$2:$E$60,$D161)))</f>
        <v>0</v>
      </c>
      <c r="Q161" s="0" t="n">
        <f aca="false">SUMPRODUCT((Rules!$A$2:$A$60=Q$1)*Rules!$C$2:$C$60*ISNUMBER(SEARCH(Rules!$E$2:$E$60,$D161)))</f>
        <v>0</v>
      </c>
      <c r="R161" s="0" t="str">
        <f aca="false">IF(OR(MAX(L161:Q161)&lt;Rules!$H$1,MAX(L161:Q161)-LARGE(L161:Q161,2)&lt;Rules!$H$2),"No label",INDEX($L$1:$Q$1,MATCH(MAX(L161:Q161),L161:Q161,0)))</f>
        <v>No label</v>
      </c>
      <c r="S161" s="0" t="n">
        <f aca="false">SUMPRODUCT(ISNUMBER(SEARCH(" "&amp;Terms!$A$3:$A$821&amp;" ",$D161))*Terms!B$3:B$821)+Terms!B$2</f>
        <v>1.11003953882062</v>
      </c>
      <c r="T161" s="0" t="n">
        <f aca="false">SUMPRODUCT(ISNUMBER(SEARCH(" "&amp;Terms!$A$3:$A$821&amp;" ",$D161))*Terms!C$3:C$821)+Terms!C$2</f>
        <v>-1.61539711318398</v>
      </c>
      <c r="U161" s="0" t="n">
        <f aca="false">SUMPRODUCT(ISNUMBER(SEARCH(" "&amp;Terms!$A$3:$A$821&amp;" ",$D161))*Terms!D$3:D$821)+Terms!D$2</f>
        <v>2.41821144356798</v>
      </c>
      <c r="V161" s="0" t="n">
        <f aca="false">SUMPRODUCT(ISNUMBER(SEARCH(" "&amp;Terms!$A$3:$A$821&amp;" ",$D161))*Terms!E$3:E$821)+Terms!E$2</f>
        <v>0.114208646372936</v>
      </c>
      <c r="W161" s="0" t="n">
        <f aca="false">SUMPRODUCT(ISNUMBER(SEARCH(" "&amp;Terms!$A$3:$A$821&amp;" ",$D161))*Terms!F$3:F$821)+Terms!F$2</f>
        <v>-0.577141019999716</v>
      </c>
      <c r="X161" s="0" t="n">
        <f aca="false">SUMPRODUCT(ISNUMBER(SEARCH(" "&amp;Terms!$A$3:$A$821&amp;" ",$D161))*Terms!G$3:G$821)+Terms!G$2</f>
        <v>-1.44992149557774</v>
      </c>
      <c r="Y161" s="0" t="str">
        <f aca="false">INDEX($S$1:$X$1,MATCH(MAX(S161:X161),S161:X161,0))</f>
        <v>Delays &amp; Processing</v>
      </c>
      <c r="Z161" s="0" t="s">
        <v>2607</v>
      </c>
    </row>
    <row r="162" customFormat="false" ht="15" hidden="false" customHeight="false" outlineLevel="0" collapsed="false">
      <c r="A162" s="0" t="str">
        <f aca="false">Complaints!A162</f>
        <v>C0161</v>
      </c>
      <c r="B162" s="0" t="str">
        <f aca="false">Complaints!B162</f>
        <v>I spent an hour on hold and then the call was cut off. This is not acceptable.</v>
      </c>
      <c r="C162" s="0" t="str">
        <f aca="false">Complaints!C162</f>
        <v>Customer Service</v>
      </c>
      <c r="D162" s="0" t="str">
        <f aca="false">" "&amp;TRIM(SUBSTITUTE(SUBSTITUTE(SUBSTITUTE(SUBSTITUTE(SUBSTITUTE(SUBSTITUTE(SUBSTITUTE(SUBSTITUTE(SUBSTITUTE(SUBSTITUTE(SUBSTITUTE(SUBSTITUTE(SUBSTITUTE(SUBSTITUTE(SUBSTITUTE(SUBSTITUTE(LOWER(B162),"."," "),","," "),"'"," "),"’"," "),"!"," "),"?"," "),";"," "),":"," "),"-"," "),"("," "),")"," "),"""", " "),"£"," "),"&amp;"," "),"/"," "),"%"," "))&amp;" "</f>
        <v> i spent an hour on hold and then the call was cut off this is not acceptable </v>
      </c>
      <c r="E162" s="0" t="n">
        <f aca="false">SUMPRODUCT((Rules!$A$2:$A$60=E$1)*Rules!$C$2:$C$60*ISNUMBER(SEARCH(Rules!$D$2:$D$60,$D162)))</f>
        <v>0</v>
      </c>
      <c r="F162" s="0" t="n">
        <f aca="false">SUMPRODUCT((Rules!$A$2:$A$60=F$1)*Rules!$C$2:$C$60*ISNUMBER(SEARCH(Rules!$D$2:$D$60,$D162)))</f>
        <v>0</v>
      </c>
      <c r="G162" s="0" t="n">
        <f aca="false">SUMPRODUCT((Rules!$A$2:$A$60=G$1)*Rules!$C$2:$C$60*ISNUMBER(SEARCH(Rules!$D$2:$D$60,$D162)))</f>
        <v>0</v>
      </c>
      <c r="H162" s="0" t="n">
        <f aca="false">SUMPRODUCT((Rules!$A$2:$A$60=H$1)*Rules!$C$2:$C$60*ISNUMBER(SEARCH(Rules!$D$2:$D$60,$D162)))</f>
        <v>0</v>
      </c>
      <c r="I162" s="0" t="n">
        <f aca="false">SUMPRODUCT((Rules!$A$2:$A$60=I$1)*Rules!$C$2:$C$60*ISNUMBER(SEARCH(Rules!$D$2:$D$60,$D162)))</f>
        <v>0</v>
      </c>
      <c r="J162" s="0" t="n">
        <f aca="false">SUMPRODUCT((Rules!$A$2:$A$60=J$1)*Rules!$C$2:$C$60*ISNUMBER(SEARCH(Rules!$D$2:$D$60,$D162)))</f>
        <v>3</v>
      </c>
      <c r="K162" s="0" t="str">
        <f aca="false">IF(OR(MAX(E162:J162)&lt;Rules!$H$1,MAX(E162:J162)-LARGE(E162:J162,2)&lt;Rules!$H$2),"No label",INDEX($E$1:$J$1,MATCH(MAX(E162:J162),E162:J162,0)))</f>
        <v>Customer Service</v>
      </c>
      <c r="L162" s="0" t="n">
        <f aca="false">SUMPRODUCT((Rules!$A$2:$A$60=L$1)*Rules!$C$2:$C$60*ISNUMBER(SEARCH(Rules!$E$2:$E$60,$D162)))</f>
        <v>0</v>
      </c>
      <c r="M162" s="0" t="n">
        <f aca="false">SUMPRODUCT((Rules!$A$2:$A$60=M$1)*Rules!$C$2:$C$60*ISNUMBER(SEARCH(Rules!$E$2:$E$60,$D162)))</f>
        <v>0</v>
      </c>
      <c r="N162" s="0" t="n">
        <f aca="false">SUMPRODUCT((Rules!$A$2:$A$60=N$1)*Rules!$C$2:$C$60*ISNUMBER(SEARCH(Rules!$E$2:$E$60,$D162)))</f>
        <v>1</v>
      </c>
      <c r="O162" s="0" t="n">
        <f aca="false">SUMPRODUCT((Rules!$A$2:$A$60=O$1)*Rules!$C$2:$C$60*ISNUMBER(SEARCH(Rules!$E$2:$E$60,$D162)))</f>
        <v>0</v>
      </c>
      <c r="P162" s="0" t="n">
        <f aca="false">SUMPRODUCT((Rules!$A$2:$A$60=P$1)*Rules!$C$2:$C$60*ISNUMBER(SEARCH(Rules!$E$2:$E$60,$D162)))</f>
        <v>0</v>
      </c>
      <c r="Q162" s="0" t="n">
        <f aca="false">SUMPRODUCT((Rules!$A$2:$A$60=Q$1)*Rules!$C$2:$C$60*ISNUMBER(SEARCH(Rules!$E$2:$E$60,$D162)))</f>
        <v>3</v>
      </c>
      <c r="R162" s="0" t="str">
        <f aca="false">IF(OR(MAX(L162:Q162)&lt;Rules!$H$1,MAX(L162:Q162)-LARGE(L162:Q162,2)&lt;Rules!$H$2),"No label",INDEX($L$1:$Q$1,MATCH(MAX(L162:Q162),L162:Q162,0)))</f>
        <v>Customer Service</v>
      </c>
      <c r="S162" s="0" t="n">
        <f aca="false">SUMPRODUCT(ISNUMBER(SEARCH(" "&amp;Terms!$A$3:$A$821&amp;" ",$D162))*Terms!B$3:B$821)+Terms!B$2</f>
        <v>-0.0897350985551159</v>
      </c>
      <c r="T162" s="0" t="n">
        <f aca="false">SUMPRODUCT(ISNUMBER(SEARCH(" "&amp;Terms!$A$3:$A$821&amp;" ",$D162))*Terms!C$3:C$821)+Terms!C$2</f>
        <v>5.63611363084907</v>
      </c>
      <c r="U162" s="0" t="n">
        <f aca="false">SUMPRODUCT(ISNUMBER(SEARCH(" "&amp;Terms!$A$3:$A$821&amp;" ",$D162))*Terms!D$3:D$821)+Terms!D$2</f>
        <v>-0.940963387418895</v>
      </c>
      <c r="V162" s="0" t="n">
        <f aca="false">SUMPRODUCT(ISNUMBER(SEARCH(" "&amp;Terms!$A$3:$A$821&amp;" ",$D162))*Terms!E$3:E$821)+Terms!E$2</f>
        <v>-4.13648924714367</v>
      </c>
      <c r="W162" s="0" t="n">
        <f aca="false">SUMPRODUCT(ISNUMBER(SEARCH(" "&amp;Terms!$A$3:$A$821&amp;" ",$D162))*Terms!F$3:F$821)+Terms!F$2</f>
        <v>-0.557526382742719</v>
      </c>
      <c r="X162" s="0" t="n">
        <f aca="false">SUMPRODUCT(ISNUMBER(SEARCH(" "&amp;Terms!$A$3:$A$821&amp;" ",$D162))*Terms!G$3:G$821)+Terms!G$2</f>
        <v>0.0886004850114352</v>
      </c>
      <c r="Y162" s="0" t="str">
        <f aca="false">INDEX($S$1:$X$1,MATCH(MAX(S162:X162),S162:X162,0))</f>
        <v>Customer Service</v>
      </c>
      <c r="Z162" s="0" t="s">
        <v>2608</v>
      </c>
    </row>
    <row r="163" customFormat="false" ht="15" hidden="false" customHeight="false" outlineLevel="0" collapsed="false">
      <c r="A163" s="0" t="str">
        <f aca="false">Complaints!A163</f>
        <v>C0162</v>
      </c>
      <c r="B163" s="0" t="str">
        <f aca="false">Complaints!B163</f>
        <v>I keep getting an error message when I sign in. I also spent ages on hold when I called about it. I expect compensation.</v>
      </c>
      <c r="C163" s="0" t="str">
        <f aca="false">Complaints!C163</f>
        <v>Account Access</v>
      </c>
      <c r="D163" s="0" t="str">
        <f aca="false">" "&amp;TRIM(SUBSTITUTE(SUBSTITUTE(SUBSTITUTE(SUBSTITUTE(SUBSTITUTE(SUBSTITUTE(SUBSTITUTE(SUBSTITUTE(SUBSTITUTE(SUBSTITUTE(SUBSTITUTE(SUBSTITUTE(SUBSTITUTE(SUBSTITUTE(SUBSTITUTE(SUBSTITUTE(LOWER(B163),"."," "),","," "),"'"," "),"’"," "),"!"," "),"?"," "),";"," "),":"," "),"-"," "),"("," "),")"," "),"""", " "),"£"," "),"&amp;"," "),"/"," "),"%"," "))&amp;" "</f>
        <v> i keep getting an error message when i sign in i also spent ages on hold when i called about it i expect compensation </v>
      </c>
      <c r="E163" s="0" t="n">
        <f aca="false">SUMPRODUCT((Rules!$A$2:$A$60=E$1)*Rules!$C$2:$C$60*ISNUMBER(SEARCH(Rules!$D$2:$D$60,$D163)))</f>
        <v>0</v>
      </c>
      <c r="F163" s="0" t="n">
        <f aca="false">SUMPRODUCT((Rules!$A$2:$A$60=F$1)*Rules!$C$2:$C$60*ISNUMBER(SEARCH(Rules!$D$2:$D$60,$D163)))</f>
        <v>0</v>
      </c>
      <c r="G163" s="0" t="n">
        <f aca="false">SUMPRODUCT((Rules!$A$2:$A$60=G$1)*Rules!$C$2:$C$60*ISNUMBER(SEARCH(Rules!$D$2:$D$60,$D163)))</f>
        <v>3</v>
      </c>
      <c r="H163" s="0" t="n">
        <f aca="false">SUMPRODUCT((Rules!$A$2:$A$60=H$1)*Rules!$C$2:$C$60*ISNUMBER(SEARCH(Rules!$D$2:$D$60,$D163)))</f>
        <v>0</v>
      </c>
      <c r="I163" s="0" t="n">
        <f aca="false">SUMPRODUCT((Rules!$A$2:$A$60=I$1)*Rules!$C$2:$C$60*ISNUMBER(SEARCH(Rules!$D$2:$D$60,$D163)))</f>
        <v>0</v>
      </c>
      <c r="J163" s="0" t="n">
        <f aca="false">SUMPRODUCT((Rules!$A$2:$A$60=J$1)*Rules!$C$2:$C$60*ISNUMBER(SEARCH(Rules!$D$2:$D$60,$D163)))</f>
        <v>3</v>
      </c>
      <c r="K163" s="0" t="str">
        <f aca="false">IF(OR(MAX(E163:J163)&lt;Rules!$H$1,MAX(E163:J163)-LARGE(E163:J163,2)&lt;Rules!$H$2),"No label",INDEX($E$1:$J$1,MATCH(MAX(E163:J163),E163:J163,0)))</f>
        <v>No label</v>
      </c>
      <c r="L163" s="0" t="n">
        <f aca="false">SUMPRODUCT((Rules!$A$2:$A$60=L$1)*Rules!$C$2:$C$60*ISNUMBER(SEARCH(Rules!$E$2:$E$60,$D163)))</f>
        <v>0</v>
      </c>
      <c r="M163" s="0" t="n">
        <f aca="false">SUMPRODUCT((Rules!$A$2:$A$60=M$1)*Rules!$C$2:$C$60*ISNUMBER(SEARCH(Rules!$E$2:$E$60,$D163)))</f>
        <v>0</v>
      </c>
      <c r="N163" s="0" t="n">
        <f aca="false">SUMPRODUCT((Rules!$A$2:$A$60=N$1)*Rules!$C$2:$C$60*ISNUMBER(SEARCH(Rules!$E$2:$E$60,$D163)))</f>
        <v>3</v>
      </c>
      <c r="O163" s="0" t="n">
        <f aca="false">SUMPRODUCT((Rules!$A$2:$A$60=O$1)*Rules!$C$2:$C$60*ISNUMBER(SEARCH(Rules!$E$2:$E$60,$D163)))</f>
        <v>0</v>
      </c>
      <c r="P163" s="0" t="n">
        <f aca="false">SUMPRODUCT((Rules!$A$2:$A$60=P$1)*Rules!$C$2:$C$60*ISNUMBER(SEARCH(Rules!$E$2:$E$60,$D163)))</f>
        <v>0</v>
      </c>
      <c r="Q163" s="0" t="n">
        <f aca="false">SUMPRODUCT((Rules!$A$2:$A$60=Q$1)*Rules!$C$2:$C$60*ISNUMBER(SEARCH(Rules!$E$2:$E$60,$D163)))</f>
        <v>3</v>
      </c>
      <c r="R163" s="0" t="str">
        <f aca="false">IF(OR(MAX(L163:Q163)&lt;Rules!$H$1,MAX(L163:Q163)-LARGE(L163:Q163,2)&lt;Rules!$H$2),"No label",INDEX($L$1:$Q$1,MATCH(MAX(L163:Q163),L163:Q163,0)))</f>
        <v>No label</v>
      </c>
      <c r="S163" s="0" t="n">
        <f aca="false">SUMPRODUCT(ISNUMBER(SEARCH(" "&amp;Terms!$A$3:$A$821&amp;" ",$D163))*Terms!B$3:B$821)+Terms!B$2</f>
        <v>12.2872999886289</v>
      </c>
      <c r="T163" s="0" t="n">
        <f aca="false">SUMPRODUCT(ISNUMBER(SEARCH(" "&amp;Terms!$A$3:$A$821&amp;" ",$D163))*Terms!C$3:C$821)+Terms!C$2</f>
        <v>1.75392499660519</v>
      </c>
      <c r="U163" s="0" t="n">
        <f aca="false">SUMPRODUCT(ISNUMBER(SEARCH(" "&amp;Terms!$A$3:$A$821&amp;" ",$D163))*Terms!D$3:D$821)+Terms!D$2</f>
        <v>-3.63620930443448</v>
      </c>
      <c r="V163" s="0" t="n">
        <f aca="false">SUMPRODUCT(ISNUMBER(SEARCH(" "&amp;Terms!$A$3:$A$821&amp;" ",$D163))*Terms!E$3:E$821)+Terms!E$2</f>
        <v>-6.27377202256015</v>
      </c>
      <c r="W163" s="0" t="n">
        <f aca="false">SUMPRODUCT(ISNUMBER(SEARCH(" "&amp;Terms!$A$3:$A$821&amp;" ",$D163))*Terms!F$3:F$821)+Terms!F$2</f>
        <v>0.181612103743591</v>
      </c>
      <c r="X163" s="0" t="n">
        <f aca="false">SUMPRODUCT(ISNUMBER(SEARCH(" "&amp;Terms!$A$3:$A$821&amp;" ",$D163))*Terms!G$3:G$821)+Terms!G$2</f>
        <v>-4.31285576198297</v>
      </c>
      <c r="Y163" s="0" t="str">
        <f aca="false">INDEX($S$1:$X$1,MATCH(MAX(S163:X163),S163:X163,0))</f>
        <v>Account Access</v>
      </c>
      <c r="Z163" s="0" t="s">
        <v>2607</v>
      </c>
    </row>
    <row r="164" customFormat="false" ht="15" hidden="false" customHeight="false" outlineLevel="0" collapsed="false">
      <c r="A164" s="0" t="str">
        <f aca="false">Complaints!A164</f>
        <v>C0163</v>
      </c>
      <c r="B164" s="0" t="str">
        <f aca="false">Complaints!B164</f>
        <v>You promised the money within three working days and it is still outstanding.</v>
      </c>
      <c r="C164" s="0" t="str">
        <f aca="false">Complaints!C164</f>
        <v>Delays &amp; Processing</v>
      </c>
      <c r="D164" s="0" t="str">
        <f aca="false">" "&amp;TRIM(SUBSTITUTE(SUBSTITUTE(SUBSTITUTE(SUBSTITUTE(SUBSTITUTE(SUBSTITUTE(SUBSTITUTE(SUBSTITUTE(SUBSTITUTE(SUBSTITUTE(SUBSTITUTE(SUBSTITUTE(SUBSTITUTE(SUBSTITUTE(SUBSTITUTE(SUBSTITUTE(LOWER(B164),"."," "),","," "),"'"," "),"’"," "),"!"," "),"?"," "),";"," "),":"," "),"-"," "),"("," "),")"," "),"""", " "),"£"," "),"&amp;"," "),"/"," "),"%"," "))&amp;" "</f>
        <v> you promised the money within three working days and it is still outstanding </v>
      </c>
      <c r="E164" s="0" t="n">
        <f aca="false">SUMPRODUCT((Rules!$A$2:$A$60=E$1)*Rules!$C$2:$C$60*ISNUMBER(SEARCH(Rules!$D$2:$D$60,$D164)))</f>
        <v>0</v>
      </c>
      <c r="F164" s="0" t="n">
        <f aca="false">SUMPRODUCT((Rules!$A$2:$A$60=F$1)*Rules!$C$2:$C$60*ISNUMBER(SEARCH(Rules!$D$2:$D$60,$D164)))</f>
        <v>1</v>
      </c>
      <c r="G164" s="0" t="n">
        <f aca="false">SUMPRODUCT((Rules!$A$2:$A$60=G$1)*Rules!$C$2:$C$60*ISNUMBER(SEARCH(Rules!$D$2:$D$60,$D164)))</f>
        <v>0</v>
      </c>
      <c r="H164" s="0" t="n">
        <f aca="false">SUMPRODUCT((Rules!$A$2:$A$60=H$1)*Rules!$C$2:$C$60*ISNUMBER(SEARCH(Rules!$D$2:$D$60,$D164)))</f>
        <v>0</v>
      </c>
      <c r="I164" s="0" t="n">
        <f aca="false">SUMPRODUCT((Rules!$A$2:$A$60=I$1)*Rules!$C$2:$C$60*ISNUMBER(SEARCH(Rules!$D$2:$D$60,$D164)))</f>
        <v>2</v>
      </c>
      <c r="J164" s="0" t="n">
        <f aca="false">SUMPRODUCT((Rules!$A$2:$A$60=J$1)*Rules!$C$2:$C$60*ISNUMBER(SEARCH(Rules!$D$2:$D$60,$D164)))</f>
        <v>0</v>
      </c>
      <c r="K164" s="0" t="str">
        <f aca="false">IF(OR(MAX(E164:J164)&lt;Rules!$H$1,MAX(E164:J164)-LARGE(E164:J164,2)&lt;Rules!$H$2),"No label",INDEX($E$1:$J$1,MATCH(MAX(E164:J164),E164:J164,0)))</f>
        <v>No label</v>
      </c>
      <c r="L164" s="0" t="n">
        <f aca="false">SUMPRODUCT((Rules!$A$2:$A$60=L$1)*Rules!$C$2:$C$60*ISNUMBER(SEARCH(Rules!$E$2:$E$60,$D164)))</f>
        <v>0</v>
      </c>
      <c r="M164" s="0" t="n">
        <f aca="false">SUMPRODUCT((Rules!$A$2:$A$60=M$1)*Rules!$C$2:$C$60*ISNUMBER(SEARCH(Rules!$E$2:$E$60,$D164)))</f>
        <v>1</v>
      </c>
      <c r="N164" s="0" t="n">
        <f aca="false">SUMPRODUCT((Rules!$A$2:$A$60=N$1)*Rules!$C$2:$C$60*ISNUMBER(SEARCH(Rules!$E$2:$E$60,$D164)))</f>
        <v>0</v>
      </c>
      <c r="O164" s="0" t="n">
        <f aca="false">SUMPRODUCT((Rules!$A$2:$A$60=O$1)*Rules!$C$2:$C$60*ISNUMBER(SEARCH(Rules!$E$2:$E$60,$D164)))</f>
        <v>0</v>
      </c>
      <c r="P164" s="0" t="n">
        <f aca="false">SUMPRODUCT((Rules!$A$2:$A$60=P$1)*Rules!$C$2:$C$60*ISNUMBER(SEARCH(Rules!$E$2:$E$60,$D164)))</f>
        <v>2</v>
      </c>
      <c r="Q164" s="0" t="n">
        <f aca="false">SUMPRODUCT((Rules!$A$2:$A$60=Q$1)*Rules!$C$2:$C$60*ISNUMBER(SEARCH(Rules!$E$2:$E$60,$D164)))</f>
        <v>0</v>
      </c>
      <c r="R164" s="0" t="str">
        <f aca="false">IF(OR(MAX(L164:Q164)&lt;Rules!$H$1,MAX(L164:Q164)-LARGE(L164:Q164,2)&lt;Rules!$H$2),"No label",INDEX($L$1:$Q$1,MATCH(MAX(L164:Q164),L164:Q164,0)))</f>
        <v>No label</v>
      </c>
      <c r="S164" s="0" t="n">
        <f aca="false">SUMPRODUCT(ISNUMBER(SEARCH(" "&amp;Terms!$A$3:$A$821&amp;" ",$D164))*Terms!B$3:B$821)+Terms!B$2</f>
        <v>1.41513340526357</v>
      </c>
      <c r="T164" s="0" t="n">
        <f aca="false">SUMPRODUCT(ISNUMBER(SEARCH(" "&amp;Terms!$A$3:$A$821&amp;" ",$D164))*Terms!C$3:C$821)+Terms!C$2</f>
        <v>-3.86645737480364</v>
      </c>
      <c r="U164" s="0" t="n">
        <f aca="false">SUMPRODUCT(ISNUMBER(SEARCH(" "&amp;Terms!$A$3:$A$821&amp;" ",$D164))*Terms!D$3:D$821)+Terms!D$2</f>
        <v>6.90536761019117</v>
      </c>
      <c r="V164" s="0" t="n">
        <f aca="false">SUMPRODUCT(ISNUMBER(SEARCH(" "&amp;Terms!$A$3:$A$821&amp;" ",$D164))*Terms!E$3:E$821)+Terms!E$2</f>
        <v>-2.06575859810439</v>
      </c>
      <c r="W164" s="0" t="n">
        <f aca="false">SUMPRODUCT(ISNUMBER(SEARCH(" "&amp;Terms!$A$3:$A$821&amp;" ",$D164))*Terms!F$3:F$821)+Terms!F$2</f>
        <v>-1.66205162218576</v>
      </c>
      <c r="X164" s="0" t="n">
        <f aca="false">SUMPRODUCT(ISNUMBER(SEARCH(" "&amp;Terms!$A$3:$A$821&amp;" ",$D164))*Terms!G$3:G$821)+Terms!G$2</f>
        <v>-0.726233420360861</v>
      </c>
      <c r="Y164" s="0" t="str">
        <f aca="false">INDEX($S$1:$X$1,MATCH(MAX(S164:X164),S164:X164,0))</f>
        <v>Delays &amp; Processing</v>
      </c>
      <c r="Z164" s="0" t="s">
        <v>2607</v>
      </c>
    </row>
    <row r="165" customFormat="false" ht="15" hidden="false" customHeight="false" outlineLevel="0" collapsed="false">
      <c r="A165" s="0" t="str">
        <f aca="false">Complaints!A165</f>
        <v>C0164</v>
      </c>
      <c r="B165" s="0" t="str">
        <f aca="false">Complaints!B165</f>
        <v>Please look into what happened on my account. I would like a response in writing.</v>
      </c>
      <c r="C165" s="0" t="str">
        <f aca="false">Complaints!C165</f>
        <v>Mis-selling</v>
      </c>
      <c r="D165" s="0" t="str">
        <f aca="false">" "&amp;TRIM(SUBSTITUTE(SUBSTITUTE(SUBSTITUTE(SUBSTITUTE(SUBSTITUTE(SUBSTITUTE(SUBSTITUTE(SUBSTITUTE(SUBSTITUTE(SUBSTITUTE(SUBSTITUTE(SUBSTITUTE(SUBSTITUTE(SUBSTITUTE(SUBSTITUTE(SUBSTITUTE(LOWER(B165),"."," "),","," "),"'"," "),"’"," "),"!"," "),"?"," "),";"," "),":"," "),"-"," "),"("," "),")"," "),"""", " "),"£"," "),"&amp;"," "),"/"," "),"%"," "))&amp;" "</f>
        <v> please look into what happened on my account i would like a response in writing </v>
      </c>
      <c r="E165" s="0" t="n">
        <f aca="false">SUMPRODUCT((Rules!$A$2:$A$60=E$1)*Rules!$C$2:$C$60*ISNUMBER(SEARCH(Rules!$D$2:$D$60,$D165)))</f>
        <v>0</v>
      </c>
      <c r="F165" s="0" t="n">
        <f aca="false">SUMPRODUCT((Rules!$A$2:$A$60=F$1)*Rules!$C$2:$C$60*ISNUMBER(SEARCH(Rules!$D$2:$D$60,$D165)))</f>
        <v>0</v>
      </c>
      <c r="G165" s="0" t="n">
        <f aca="false">SUMPRODUCT((Rules!$A$2:$A$60=G$1)*Rules!$C$2:$C$60*ISNUMBER(SEARCH(Rules!$D$2:$D$60,$D165)))</f>
        <v>0</v>
      </c>
      <c r="H165" s="0" t="n">
        <f aca="false">SUMPRODUCT((Rules!$A$2:$A$60=H$1)*Rules!$C$2:$C$60*ISNUMBER(SEARCH(Rules!$D$2:$D$60,$D165)))</f>
        <v>0</v>
      </c>
      <c r="I165" s="0" t="n">
        <f aca="false">SUMPRODUCT((Rules!$A$2:$A$60=I$1)*Rules!$C$2:$C$60*ISNUMBER(SEARCH(Rules!$D$2:$D$60,$D165)))</f>
        <v>0</v>
      </c>
      <c r="J165" s="0" t="n">
        <f aca="false">SUMPRODUCT((Rules!$A$2:$A$60=J$1)*Rules!$C$2:$C$60*ISNUMBER(SEARCH(Rules!$D$2:$D$60,$D165)))</f>
        <v>0</v>
      </c>
      <c r="K165" s="0" t="str">
        <f aca="false">IF(OR(MAX(E165:J165)&lt;Rules!$H$1,MAX(E165:J165)-LARGE(E165:J165,2)&lt;Rules!$H$2),"No label",INDEX($E$1:$J$1,MATCH(MAX(E165:J165),E165:J165,0)))</f>
        <v>No label</v>
      </c>
      <c r="L165" s="0" t="n">
        <f aca="false">SUMPRODUCT((Rules!$A$2:$A$60=L$1)*Rules!$C$2:$C$60*ISNUMBER(SEARCH(Rules!$E$2:$E$60,$D165)))</f>
        <v>0</v>
      </c>
      <c r="M165" s="0" t="n">
        <f aca="false">SUMPRODUCT((Rules!$A$2:$A$60=M$1)*Rules!$C$2:$C$60*ISNUMBER(SEARCH(Rules!$E$2:$E$60,$D165)))</f>
        <v>0</v>
      </c>
      <c r="N165" s="0" t="n">
        <f aca="false">SUMPRODUCT((Rules!$A$2:$A$60=N$1)*Rules!$C$2:$C$60*ISNUMBER(SEARCH(Rules!$E$2:$E$60,$D165)))</f>
        <v>0</v>
      </c>
      <c r="O165" s="0" t="n">
        <f aca="false">SUMPRODUCT((Rules!$A$2:$A$60=O$1)*Rules!$C$2:$C$60*ISNUMBER(SEARCH(Rules!$E$2:$E$60,$D165)))</f>
        <v>0</v>
      </c>
      <c r="P165" s="0" t="n">
        <f aca="false">SUMPRODUCT((Rules!$A$2:$A$60=P$1)*Rules!$C$2:$C$60*ISNUMBER(SEARCH(Rules!$E$2:$E$60,$D165)))</f>
        <v>0</v>
      </c>
      <c r="Q165" s="0" t="n">
        <f aca="false">SUMPRODUCT((Rules!$A$2:$A$60=Q$1)*Rules!$C$2:$C$60*ISNUMBER(SEARCH(Rules!$E$2:$E$60,$D165)))</f>
        <v>0</v>
      </c>
      <c r="R165" s="0" t="str">
        <f aca="false">IF(OR(MAX(L165:Q165)&lt;Rules!$H$1,MAX(L165:Q165)-LARGE(L165:Q165,2)&lt;Rules!$H$2),"No label",INDEX($L$1:$Q$1,MATCH(MAX(L165:Q165),L165:Q165,0)))</f>
        <v>No label</v>
      </c>
      <c r="S165" s="0" t="n">
        <f aca="false">SUMPRODUCT(ISNUMBER(SEARCH(" "&amp;Terms!$A$3:$A$821&amp;" ",$D165))*Terms!B$3:B$821)+Terms!B$2</f>
        <v>1.24375474394249</v>
      </c>
      <c r="T165" s="0" t="n">
        <f aca="false">SUMPRODUCT(ISNUMBER(SEARCH(" "&amp;Terms!$A$3:$A$821&amp;" ",$D165))*Terms!C$3:C$821)+Terms!C$2</f>
        <v>-2.04264793833498</v>
      </c>
      <c r="U165" s="0" t="n">
        <f aca="false">SUMPRODUCT(ISNUMBER(SEARCH(" "&amp;Terms!$A$3:$A$821&amp;" ",$D165))*Terms!D$3:D$821)+Terms!D$2</f>
        <v>2.48953149004084</v>
      </c>
      <c r="V165" s="0" t="n">
        <f aca="false">SUMPRODUCT(ISNUMBER(SEARCH(" "&amp;Terms!$A$3:$A$821&amp;" ",$D165))*Terms!E$3:E$821)+Terms!E$2</f>
        <v>-0.946870689361677</v>
      </c>
      <c r="W165" s="0" t="n">
        <f aca="false">SUMPRODUCT(ISNUMBER(SEARCH(" "&amp;Terms!$A$3:$A$821&amp;" ",$D165))*Terms!F$3:F$821)+Terms!F$2</f>
        <v>-1.19459184932654</v>
      </c>
      <c r="X165" s="0" t="n">
        <f aca="false">SUMPRODUCT(ISNUMBER(SEARCH(" "&amp;Terms!$A$3:$A$821&amp;" ",$D165))*Terms!G$3:G$821)+Terms!G$2</f>
        <v>0.450824243039953</v>
      </c>
      <c r="Y165" s="0" t="str">
        <f aca="false">INDEX($S$1:$X$1,MATCH(MAX(S165:X165),S165:X165,0))</f>
        <v>Delays &amp; Processing</v>
      </c>
      <c r="Z165" s="0" t="s">
        <v>2607</v>
      </c>
    </row>
    <row r="166" customFormat="false" ht="15" hidden="false" customHeight="false" outlineLevel="0" collapsed="false">
      <c r="A166" s="0" t="str">
        <f aca="false">Complaints!A166</f>
        <v>C0165</v>
      </c>
      <c r="B166" s="0" t="str">
        <f aca="false">Complaints!B166</f>
        <v>I have been a customer for years. The webchat agent ended the conversation without solving anything. Also, i have been billed an annual fee I never agreed to. I expect compensation.</v>
      </c>
      <c r="C166" s="0" t="str">
        <f aca="false">Complaints!C166</f>
        <v>Customer Service</v>
      </c>
      <c r="D166" s="0" t="str">
        <f aca="false">" "&amp;TRIM(SUBSTITUTE(SUBSTITUTE(SUBSTITUTE(SUBSTITUTE(SUBSTITUTE(SUBSTITUTE(SUBSTITUTE(SUBSTITUTE(SUBSTITUTE(SUBSTITUTE(SUBSTITUTE(SUBSTITUTE(SUBSTITUTE(SUBSTITUTE(SUBSTITUTE(SUBSTITUTE(LOWER(B166),"."," "),","," "),"'"," "),"’"," "),"!"," "),"?"," "),";"," "),":"," "),"-"," "),"("," "),")"," "),"""", " "),"£"," "),"&amp;"," "),"/"," "),"%"," "))&amp;" "</f>
        <v> i have been a customer for years the webchat agent ended the conversation without solving anything also i have been billed an annual fee i never agreed to i expect compensation </v>
      </c>
      <c r="E166" s="0" t="n">
        <f aca="false">SUMPRODUCT((Rules!$A$2:$A$60=E$1)*Rules!$C$2:$C$60*ISNUMBER(SEARCH(Rules!$D$2:$D$60,$D166)))</f>
        <v>0</v>
      </c>
      <c r="F166" s="0" t="n">
        <f aca="false">SUMPRODUCT((Rules!$A$2:$A$60=F$1)*Rules!$C$2:$C$60*ISNUMBER(SEARCH(Rules!$D$2:$D$60,$D166)))</f>
        <v>0</v>
      </c>
      <c r="G166" s="0" t="n">
        <f aca="false">SUMPRODUCT((Rules!$A$2:$A$60=G$1)*Rules!$C$2:$C$60*ISNUMBER(SEARCH(Rules!$D$2:$D$60,$D166)))</f>
        <v>0</v>
      </c>
      <c r="H166" s="0" t="n">
        <f aca="false">SUMPRODUCT((Rules!$A$2:$A$60=H$1)*Rules!$C$2:$C$60*ISNUMBER(SEARCH(Rules!$D$2:$D$60,$D166)))</f>
        <v>4</v>
      </c>
      <c r="I166" s="0" t="n">
        <f aca="false">SUMPRODUCT((Rules!$A$2:$A$60=I$1)*Rules!$C$2:$C$60*ISNUMBER(SEARCH(Rules!$D$2:$D$60,$D166)))</f>
        <v>0</v>
      </c>
      <c r="J166" s="0" t="n">
        <f aca="false">SUMPRODUCT((Rules!$A$2:$A$60=J$1)*Rules!$C$2:$C$60*ISNUMBER(SEARCH(Rules!$D$2:$D$60,$D166)))</f>
        <v>2</v>
      </c>
      <c r="K166" s="0" t="str">
        <f aca="false">IF(OR(MAX(E166:J166)&lt;Rules!$H$1,MAX(E166:J166)-LARGE(E166:J166,2)&lt;Rules!$H$2),"No label",INDEX($E$1:$J$1,MATCH(MAX(E166:J166),E166:J166,0)))</f>
        <v>Fees &amp; Charges</v>
      </c>
      <c r="L166" s="0" t="n">
        <f aca="false">SUMPRODUCT((Rules!$A$2:$A$60=L$1)*Rules!$C$2:$C$60*ISNUMBER(SEARCH(Rules!$E$2:$E$60,$D166)))</f>
        <v>0</v>
      </c>
      <c r="M166" s="0" t="n">
        <f aca="false">SUMPRODUCT((Rules!$A$2:$A$60=M$1)*Rules!$C$2:$C$60*ISNUMBER(SEARCH(Rules!$E$2:$E$60,$D166)))</f>
        <v>0</v>
      </c>
      <c r="N166" s="0" t="n">
        <f aca="false">SUMPRODUCT((Rules!$A$2:$A$60=N$1)*Rules!$C$2:$C$60*ISNUMBER(SEARCH(Rules!$E$2:$E$60,$D166)))</f>
        <v>0</v>
      </c>
      <c r="O166" s="0" t="n">
        <f aca="false">SUMPRODUCT((Rules!$A$2:$A$60=O$1)*Rules!$C$2:$C$60*ISNUMBER(SEARCH(Rules!$E$2:$E$60,$D166)))</f>
        <v>4</v>
      </c>
      <c r="P166" s="0" t="n">
        <f aca="false">SUMPRODUCT((Rules!$A$2:$A$60=P$1)*Rules!$C$2:$C$60*ISNUMBER(SEARCH(Rules!$E$2:$E$60,$D166)))</f>
        <v>0</v>
      </c>
      <c r="Q166" s="0" t="n">
        <f aca="false">SUMPRODUCT((Rules!$A$2:$A$60=Q$1)*Rules!$C$2:$C$60*ISNUMBER(SEARCH(Rules!$E$2:$E$60,$D166)))</f>
        <v>2</v>
      </c>
      <c r="R166" s="0" t="str">
        <f aca="false">IF(OR(MAX(L166:Q166)&lt;Rules!$H$1,MAX(L166:Q166)-LARGE(L166:Q166,2)&lt;Rules!$H$2),"No label",INDEX($L$1:$Q$1,MATCH(MAX(L166:Q166),L166:Q166,0)))</f>
        <v>Fees &amp; Charges</v>
      </c>
      <c r="S166" s="0" t="n">
        <f aca="false">SUMPRODUCT(ISNUMBER(SEARCH(" "&amp;Terms!$A$3:$A$821&amp;" ",$D166))*Terms!B$3:B$821)+Terms!B$2</f>
        <v>1.17452261428086</v>
      </c>
      <c r="T166" s="0" t="n">
        <f aca="false">SUMPRODUCT(ISNUMBER(SEARCH(" "&amp;Terms!$A$3:$A$821&amp;" ",$D166))*Terms!C$3:C$821)+Terms!C$2</f>
        <v>8.16290141242416</v>
      </c>
      <c r="U166" s="0" t="n">
        <f aca="false">SUMPRODUCT(ISNUMBER(SEARCH(" "&amp;Terms!$A$3:$A$821&amp;" ",$D166))*Terms!D$3:D$821)+Terms!D$2</f>
        <v>-4.63384316562312</v>
      </c>
      <c r="V166" s="0" t="n">
        <f aca="false">SUMPRODUCT(ISNUMBER(SEARCH(" "&amp;Terms!$A$3:$A$821&amp;" ",$D166))*Terms!E$3:E$821)+Terms!E$2</f>
        <v>7.52265276048496</v>
      </c>
      <c r="W166" s="0" t="n">
        <f aca="false">SUMPRODUCT(ISNUMBER(SEARCH(" "&amp;Terms!$A$3:$A$821&amp;" ",$D166))*Terms!F$3:F$821)+Terms!F$2</f>
        <v>-6.36704128555085</v>
      </c>
      <c r="X166" s="0" t="n">
        <f aca="false">SUMPRODUCT(ISNUMBER(SEARCH(" "&amp;Terms!$A$3:$A$821&amp;" ",$D166))*Terms!G$3:G$821)+Terms!G$2</f>
        <v>-5.85919233601591</v>
      </c>
      <c r="Y166" s="0" t="str">
        <f aca="false">INDEX($S$1:$X$1,MATCH(MAX(S166:X166),S166:X166,0))</f>
        <v>Customer Service</v>
      </c>
      <c r="Z166" s="0" t="s">
        <v>2608</v>
      </c>
    </row>
    <row r="167" customFormat="false" ht="15" hidden="false" customHeight="false" outlineLevel="0" collapsed="false">
      <c r="A167" s="0" t="str">
        <f aca="false">Complaints!A167</f>
        <v>C0166</v>
      </c>
      <c r="B167" s="0" t="str">
        <f aca="false">Complaints!B167</f>
        <v>I am writing to complain. I was tricked into moving savings to a safe account that was not safe. It has also been taking far too long.</v>
      </c>
      <c r="C167" s="0" t="str">
        <f aca="false">Complaints!C167</f>
        <v>Fraud &amp; Scams</v>
      </c>
      <c r="D167" s="0" t="str">
        <f aca="false">" "&amp;TRIM(SUBSTITUTE(SUBSTITUTE(SUBSTITUTE(SUBSTITUTE(SUBSTITUTE(SUBSTITUTE(SUBSTITUTE(SUBSTITUTE(SUBSTITUTE(SUBSTITUTE(SUBSTITUTE(SUBSTITUTE(SUBSTITUTE(SUBSTITUTE(SUBSTITUTE(SUBSTITUTE(LOWER(B167),"."," "),","," "),"'"," "),"’"," "),"!"," "),"?"," "),";"," "),":"," "),"-"," "),"("," "),")"," "),"""", " "),"£"," "),"&amp;"," "),"/"," "),"%"," "))&amp;" "</f>
        <v> i am writing to complain i was tricked into moving savings to a safe account that was not safe it has also been taking far too long </v>
      </c>
      <c r="E167" s="0" t="n">
        <f aca="false">SUMPRODUCT((Rules!$A$2:$A$60=E$1)*Rules!$C$2:$C$60*ISNUMBER(SEARCH(Rules!$D$2:$D$60,$D167)))</f>
        <v>2</v>
      </c>
      <c r="F167" s="0" t="n">
        <f aca="false">SUMPRODUCT((Rules!$A$2:$A$60=F$1)*Rules!$C$2:$C$60*ISNUMBER(SEARCH(Rules!$D$2:$D$60,$D167)))</f>
        <v>0</v>
      </c>
      <c r="G167" s="0" t="n">
        <f aca="false">SUMPRODUCT((Rules!$A$2:$A$60=G$1)*Rules!$C$2:$C$60*ISNUMBER(SEARCH(Rules!$D$2:$D$60,$D167)))</f>
        <v>0</v>
      </c>
      <c r="H167" s="0" t="n">
        <f aca="false">SUMPRODUCT((Rules!$A$2:$A$60=H$1)*Rules!$C$2:$C$60*ISNUMBER(SEARCH(Rules!$D$2:$D$60,$D167)))</f>
        <v>0</v>
      </c>
      <c r="I167" s="0" t="n">
        <f aca="false">SUMPRODUCT((Rules!$A$2:$A$60=I$1)*Rules!$C$2:$C$60*ISNUMBER(SEARCH(Rules!$D$2:$D$60,$D167)))</f>
        <v>0</v>
      </c>
      <c r="J167" s="0" t="n">
        <f aca="false">SUMPRODUCT((Rules!$A$2:$A$60=J$1)*Rules!$C$2:$C$60*ISNUMBER(SEARCH(Rules!$D$2:$D$60,$D167)))</f>
        <v>0</v>
      </c>
      <c r="K167" s="0" t="str">
        <f aca="false">IF(OR(MAX(E167:J167)&lt;Rules!$H$1,MAX(E167:J167)-LARGE(E167:J167,2)&lt;Rules!$H$2),"No label",INDEX($E$1:$J$1,MATCH(MAX(E167:J167),E167:J167,0)))</f>
        <v>No label</v>
      </c>
      <c r="L167" s="0" t="n">
        <f aca="false">SUMPRODUCT((Rules!$A$2:$A$60=L$1)*Rules!$C$2:$C$60*ISNUMBER(SEARCH(Rules!$E$2:$E$60,$D167)))</f>
        <v>2</v>
      </c>
      <c r="M167" s="0" t="n">
        <f aca="false">SUMPRODUCT((Rules!$A$2:$A$60=M$1)*Rules!$C$2:$C$60*ISNUMBER(SEARCH(Rules!$E$2:$E$60,$D167)))</f>
        <v>0</v>
      </c>
      <c r="N167" s="0" t="n">
        <f aca="false">SUMPRODUCT((Rules!$A$2:$A$60=N$1)*Rules!$C$2:$C$60*ISNUMBER(SEARCH(Rules!$E$2:$E$60,$D167)))</f>
        <v>0</v>
      </c>
      <c r="O167" s="0" t="n">
        <f aca="false">SUMPRODUCT((Rules!$A$2:$A$60=O$1)*Rules!$C$2:$C$60*ISNUMBER(SEARCH(Rules!$E$2:$E$60,$D167)))</f>
        <v>0</v>
      </c>
      <c r="P167" s="0" t="n">
        <f aca="false">SUMPRODUCT((Rules!$A$2:$A$60=P$1)*Rules!$C$2:$C$60*ISNUMBER(SEARCH(Rules!$E$2:$E$60,$D167)))</f>
        <v>0</v>
      </c>
      <c r="Q167" s="0" t="n">
        <f aca="false">SUMPRODUCT((Rules!$A$2:$A$60=Q$1)*Rules!$C$2:$C$60*ISNUMBER(SEARCH(Rules!$E$2:$E$60,$D167)))</f>
        <v>0</v>
      </c>
      <c r="R167" s="0" t="str">
        <f aca="false">IF(OR(MAX(L167:Q167)&lt;Rules!$H$1,MAX(L167:Q167)-LARGE(L167:Q167,2)&lt;Rules!$H$2),"No label",INDEX($L$1:$Q$1,MATCH(MAX(L167:Q167),L167:Q167,0)))</f>
        <v>No label</v>
      </c>
      <c r="S167" s="0" t="n">
        <f aca="false">SUMPRODUCT(ISNUMBER(SEARCH(" "&amp;Terms!$A$3:$A$821&amp;" ",$D167))*Terms!B$3:B$821)+Terms!B$2</f>
        <v>-2.31480196821952</v>
      </c>
      <c r="T167" s="0" t="n">
        <f aca="false">SUMPRODUCT(ISNUMBER(SEARCH(" "&amp;Terms!$A$3:$A$821&amp;" ",$D167))*Terms!C$3:C$821)+Terms!C$2</f>
        <v>-4.74517182044113</v>
      </c>
      <c r="U167" s="0" t="n">
        <f aca="false">SUMPRODUCT(ISNUMBER(SEARCH(" "&amp;Terms!$A$3:$A$821&amp;" ",$D167))*Terms!D$3:D$821)+Terms!D$2</f>
        <v>4.45608813697518</v>
      </c>
      <c r="V167" s="0" t="n">
        <f aca="false">SUMPRODUCT(ISNUMBER(SEARCH(" "&amp;Terms!$A$3:$A$821&amp;" ",$D167))*Terms!E$3:E$821)+Terms!E$2</f>
        <v>-1.49061411887488</v>
      </c>
      <c r="W167" s="0" t="n">
        <f aca="false">SUMPRODUCT(ISNUMBER(SEARCH(" "&amp;Terms!$A$3:$A$821&amp;" ",$D167))*Terms!F$3:F$821)+Terms!F$2</f>
        <v>8.95768782260826</v>
      </c>
      <c r="X167" s="0" t="n">
        <f aca="false">SUMPRODUCT(ISNUMBER(SEARCH(" "&amp;Terms!$A$3:$A$821&amp;" ",$D167))*Terms!G$3:G$821)+Terms!G$2</f>
        <v>-4.86318805204783</v>
      </c>
      <c r="Y167" s="0" t="str">
        <f aca="false">INDEX($S$1:$X$1,MATCH(MAX(S167:X167),S167:X167,0))</f>
        <v>Fraud &amp; Scams</v>
      </c>
      <c r="Z167" s="0" t="s">
        <v>2608</v>
      </c>
    </row>
    <row r="168" customFormat="false" ht="15" hidden="false" customHeight="false" outlineLevel="0" collapsed="false">
      <c r="A168" s="0" t="str">
        <f aca="false">Complaints!A168</f>
        <v>C0167</v>
      </c>
      <c r="B168" s="0" t="str">
        <f aca="false">Complaints!B168</f>
        <v>To whom it may concern, Someone has made payments from my account that I did not authorise. Also, the salesperson pushed me into a plan I did not need.</v>
      </c>
      <c r="C168" s="0" t="str">
        <f aca="false">Complaints!C168</f>
        <v>Fraud &amp; Scams</v>
      </c>
      <c r="D168" s="0" t="str">
        <f aca="false">" "&amp;TRIM(SUBSTITUTE(SUBSTITUTE(SUBSTITUTE(SUBSTITUTE(SUBSTITUTE(SUBSTITUTE(SUBSTITUTE(SUBSTITUTE(SUBSTITUTE(SUBSTITUTE(SUBSTITUTE(SUBSTITUTE(SUBSTITUTE(SUBSTITUTE(SUBSTITUTE(SUBSTITUTE(LOWER(B168),"."," "),","," "),"'"," "),"’"," "),"!"," "),"?"," "),";"," "),":"," "),"-"," "),"("," "),")"," "),"""", " "),"£"," "),"&amp;"," "),"/"," "),"%"," "))&amp;" "</f>
        <v> to whom it may concern someone has made payments from my account that i did not authorise also the salesperson pushed me into a plan i did not need </v>
      </c>
      <c r="E168" s="0" t="n">
        <f aca="false">SUMPRODUCT((Rules!$A$2:$A$60=E$1)*Rules!$C$2:$C$60*ISNUMBER(SEARCH(Rules!$D$2:$D$60,$D168)))</f>
        <v>3</v>
      </c>
      <c r="F168" s="0" t="n">
        <f aca="false">SUMPRODUCT((Rules!$A$2:$A$60=F$1)*Rules!$C$2:$C$60*ISNUMBER(SEARCH(Rules!$D$2:$D$60,$D168)))</f>
        <v>2</v>
      </c>
      <c r="G168" s="0" t="n">
        <f aca="false">SUMPRODUCT((Rules!$A$2:$A$60=G$1)*Rules!$C$2:$C$60*ISNUMBER(SEARCH(Rules!$D$2:$D$60,$D168)))</f>
        <v>0</v>
      </c>
      <c r="H168" s="0" t="n">
        <f aca="false">SUMPRODUCT((Rules!$A$2:$A$60=H$1)*Rules!$C$2:$C$60*ISNUMBER(SEARCH(Rules!$D$2:$D$60,$D168)))</f>
        <v>0</v>
      </c>
      <c r="I168" s="0" t="n">
        <f aca="false">SUMPRODUCT((Rules!$A$2:$A$60=I$1)*Rules!$C$2:$C$60*ISNUMBER(SEARCH(Rules!$D$2:$D$60,$D168)))</f>
        <v>0</v>
      </c>
      <c r="J168" s="0" t="n">
        <f aca="false">SUMPRODUCT((Rules!$A$2:$A$60=J$1)*Rules!$C$2:$C$60*ISNUMBER(SEARCH(Rules!$D$2:$D$60,$D168)))</f>
        <v>0</v>
      </c>
      <c r="K168" s="0" t="str">
        <f aca="false">IF(OR(MAX(E168:J168)&lt;Rules!$H$1,MAX(E168:J168)-LARGE(E168:J168,2)&lt;Rules!$H$2),"No label",INDEX($E$1:$J$1,MATCH(MAX(E168:J168),E168:J168,0)))</f>
        <v>No label</v>
      </c>
      <c r="L168" s="0" t="n">
        <f aca="false">SUMPRODUCT((Rules!$A$2:$A$60=L$1)*Rules!$C$2:$C$60*ISNUMBER(SEARCH(Rules!$E$2:$E$60,$D168)))</f>
        <v>3</v>
      </c>
      <c r="M168" s="0" t="n">
        <f aca="false">SUMPRODUCT((Rules!$A$2:$A$60=M$1)*Rules!$C$2:$C$60*ISNUMBER(SEARCH(Rules!$E$2:$E$60,$D168)))</f>
        <v>2</v>
      </c>
      <c r="N168" s="0" t="n">
        <f aca="false">SUMPRODUCT((Rules!$A$2:$A$60=N$1)*Rules!$C$2:$C$60*ISNUMBER(SEARCH(Rules!$E$2:$E$60,$D168)))</f>
        <v>0</v>
      </c>
      <c r="O168" s="0" t="n">
        <f aca="false">SUMPRODUCT((Rules!$A$2:$A$60=O$1)*Rules!$C$2:$C$60*ISNUMBER(SEARCH(Rules!$E$2:$E$60,$D168)))</f>
        <v>0</v>
      </c>
      <c r="P168" s="0" t="n">
        <f aca="false">SUMPRODUCT((Rules!$A$2:$A$60=P$1)*Rules!$C$2:$C$60*ISNUMBER(SEARCH(Rules!$E$2:$E$60,$D168)))</f>
        <v>0</v>
      </c>
      <c r="Q168" s="0" t="n">
        <f aca="false">SUMPRODUCT((Rules!$A$2:$A$60=Q$1)*Rules!$C$2:$C$60*ISNUMBER(SEARCH(Rules!$E$2:$E$60,$D168)))</f>
        <v>0</v>
      </c>
      <c r="R168" s="0" t="str">
        <f aca="false">IF(OR(MAX(L168:Q168)&lt;Rules!$H$1,MAX(L168:Q168)-LARGE(L168:Q168,2)&lt;Rules!$H$2),"No label",INDEX($L$1:$Q$1,MATCH(MAX(L168:Q168),L168:Q168,0)))</f>
        <v>No label</v>
      </c>
      <c r="S168" s="0" t="n">
        <f aca="false">SUMPRODUCT(ISNUMBER(SEARCH(" "&amp;Terms!$A$3:$A$821&amp;" ",$D168))*Terms!B$3:B$821)+Terms!B$2</f>
        <v>-0.936235495261013</v>
      </c>
      <c r="T168" s="0" t="n">
        <f aca="false">SUMPRODUCT(ISNUMBER(SEARCH(" "&amp;Terms!$A$3:$A$821&amp;" ",$D168))*Terms!C$3:C$821)+Terms!C$2</f>
        <v>-1.28446642805661</v>
      </c>
      <c r="U168" s="0" t="n">
        <f aca="false">SUMPRODUCT(ISNUMBER(SEARCH(" "&amp;Terms!$A$3:$A$821&amp;" ",$D168))*Terms!D$3:D$821)+Terms!D$2</f>
        <v>-3.17201839730726</v>
      </c>
      <c r="V168" s="0" t="n">
        <f aca="false">SUMPRODUCT(ISNUMBER(SEARCH(" "&amp;Terms!$A$3:$A$821&amp;" ",$D168))*Terms!E$3:E$821)+Terms!E$2</f>
        <v>-2.76617068729536</v>
      </c>
      <c r="W168" s="0" t="n">
        <f aca="false">SUMPRODUCT(ISNUMBER(SEARCH(" "&amp;Terms!$A$3:$A$821&amp;" ",$D168))*Terms!F$3:F$821)+Terms!F$2</f>
        <v>3.62436925426257</v>
      </c>
      <c r="X168" s="0" t="n">
        <f aca="false">SUMPRODUCT(ISNUMBER(SEARCH(" "&amp;Terms!$A$3:$A$821&amp;" ",$D168))*Terms!G$3:G$821)+Terms!G$2</f>
        <v>4.53452175365777</v>
      </c>
      <c r="Y168" s="0" t="str">
        <f aca="false">INDEX($S$1:$X$1,MATCH(MAX(S168:X168),S168:X168,0))</f>
        <v>Mis-selling</v>
      </c>
      <c r="Z168" s="0" t="s">
        <v>2607</v>
      </c>
    </row>
    <row r="169" customFormat="false" ht="15" hidden="false" customHeight="false" outlineLevel="0" collapsed="false">
      <c r="A169" s="0" t="str">
        <f aca="false">Complaints!A169</f>
        <v>C0168</v>
      </c>
      <c r="B169" s="0" t="str">
        <f aca="false">Complaints!B169</f>
        <v>Hello, My card was cloned and used abroad. I want this put right.</v>
      </c>
      <c r="C169" s="0" t="str">
        <f aca="false">Complaints!C169</f>
        <v>Fraud &amp; Scams</v>
      </c>
      <c r="D169" s="0" t="str">
        <f aca="false">" "&amp;TRIM(SUBSTITUTE(SUBSTITUTE(SUBSTITUTE(SUBSTITUTE(SUBSTITUTE(SUBSTITUTE(SUBSTITUTE(SUBSTITUTE(SUBSTITUTE(SUBSTITUTE(SUBSTITUTE(SUBSTITUTE(SUBSTITUTE(SUBSTITUTE(SUBSTITUTE(SUBSTITUTE(LOWER(B169),"."," "),","," "),"'"," "),"’"," "),"!"," "),"?"," "),";"," "),":"," "),"-"," "),"("," "),")"," "),"""", " "),"£"," "),"&amp;"," "),"/"," "),"%"," "))&amp;" "</f>
        <v> hello my card was cloned and used abroad i want this put right </v>
      </c>
      <c r="E169" s="0" t="n">
        <f aca="false">SUMPRODUCT((Rules!$A$2:$A$60=E$1)*Rules!$C$2:$C$60*ISNUMBER(SEARCH(Rules!$D$2:$D$60,$D169)))</f>
        <v>3</v>
      </c>
      <c r="F169" s="0" t="n">
        <f aca="false">SUMPRODUCT((Rules!$A$2:$A$60=F$1)*Rules!$C$2:$C$60*ISNUMBER(SEARCH(Rules!$D$2:$D$60,$D169)))</f>
        <v>0</v>
      </c>
      <c r="G169" s="0" t="n">
        <f aca="false">SUMPRODUCT((Rules!$A$2:$A$60=G$1)*Rules!$C$2:$C$60*ISNUMBER(SEARCH(Rules!$D$2:$D$60,$D169)))</f>
        <v>0</v>
      </c>
      <c r="H169" s="0" t="n">
        <f aca="false">SUMPRODUCT((Rules!$A$2:$A$60=H$1)*Rules!$C$2:$C$60*ISNUMBER(SEARCH(Rules!$D$2:$D$60,$D169)))</f>
        <v>0</v>
      </c>
      <c r="I169" s="0" t="n">
        <f aca="false">SUMPRODUCT((Rules!$A$2:$A$60=I$1)*Rules!$C$2:$C$60*ISNUMBER(SEARCH(Rules!$D$2:$D$60,$D169)))</f>
        <v>0</v>
      </c>
      <c r="J169" s="0" t="n">
        <f aca="false">SUMPRODUCT((Rules!$A$2:$A$60=J$1)*Rules!$C$2:$C$60*ISNUMBER(SEARCH(Rules!$D$2:$D$60,$D169)))</f>
        <v>0</v>
      </c>
      <c r="K169" s="0" t="str">
        <f aca="false">IF(OR(MAX(E169:J169)&lt;Rules!$H$1,MAX(E169:J169)-LARGE(E169:J169,2)&lt;Rules!$H$2),"No label",INDEX($E$1:$J$1,MATCH(MAX(E169:J169),E169:J169,0)))</f>
        <v>Fraud &amp; Scams</v>
      </c>
      <c r="L169" s="0" t="n">
        <f aca="false">SUMPRODUCT((Rules!$A$2:$A$60=L$1)*Rules!$C$2:$C$60*ISNUMBER(SEARCH(Rules!$E$2:$E$60,$D169)))</f>
        <v>3</v>
      </c>
      <c r="M169" s="0" t="n">
        <f aca="false">SUMPRODUCT((Rules!$A$2:$A$60=M$1)*Rules!$C$2:$C$60*ISNUMBER(SEARCH(Rules!$E$2:$E$60,$D169)))</f>
        <v>0</v>
      </c>
      <c r="N169" s="0" t="n">
        <f aca="false">SUMPRODUCT((Rules!$A$2:$A$60=N$1)*Rules!$C$2:$C$60*ISNUMBER(SEARCH(Rules!$E$2:$E$60,$D169)))</f>
        <v>0</v>
      </c>
      <c r="O169" s="0" t="n">
        <f aca="false">SUMPRODUCT((Rules!$A$2:$A$60=O$1)*Rules!$C$2:$C$60*ISNUMBER(SEARCH(Rules!$E$2:$E$60,$D169)))</f>
        <v>0</v>
      </c>
      <c r="P169" s="0" t="n">
        <f aca="false">SUMPRODUCT((Rules!$A$2:$A$60=P$1)*Rules!$C$2:$C$60*ISNUMBER(SEARCH(Rules!$E$2:$E$60,$D169)))</f>
        <v>0</v>
      </c>
      <c r="Q169" s="0" t="n">
        <f aca="false">SUMPRODUCT((Rules!$A$2:$A$60=Q$1)*Rules!$C$2:$C$60*ISNUMBER(SEARCH(Rules!$E$2:$E$60,$D169)))</f>
        <v>0</v>
      </c>
      <c r="R169" s="0" t="str">
        <f aca="false">IF(OR(MAX(L169:Q169)&lt;Rules!$H$1,MAX(L169:Q169)-LARGE(L169:Q169,2)&lt;Rules!$H$2),"No label",INDEX($L$1:$Q$1,MATCH(MAX(L169:Q169),L169:Q169,0)))</f>
        <v>Fraud &amp; Scams</v>
      </c>
      <c r="S169" s="0" t="n">
        <f aca="false">SUMPRODUCT(ISNUMBER(SEARCH(" "&amp;Terms!$A$3:$A$821&amp;" ",$D169))*Terms!B$3:B$821)+Terms!B$2</f>
        <v>-0.901442659967153</v>
      </c>
      <c r="T169" s="0" t="n">
        <f aca="false">SUMPRODUCT(ISNUMBER(SEARCH(" "&amp;Terms!$A$3:$A$821&amp;" ",$D169))*Terms!C$3:C$821)+Terms!C$2</f>
        <v>-2.62285866709286</v>
      </c>
      <c r="U169" s="0" t="n">
        <f aca="false">SUMPRODUCT(ISNUMBER(SEARCH(" "&amp;Terms!$A$3:$A$821&amp;" ",$D169))*Terms!D$3:D$821)+Terms!D$2</f>
        <v>-5.81663528311727</v>
      </c>
      <c r="V169" s="0" t="n">
        <f aca="false">SUMPRODUCT(ISNUMBER(SEARCH(" "&amp;Terms!$A$3:$A$821&amp;" ",$D169))*Terms!E$3:E$821)+Terms!E$2</f>
        <v>-0.197419433173155</v>
      </c>
      <c r="W169" s="0" t="n">
        <f aca="false">SUMPRODUCT(ISNUMBER(SEARCH(" "&amp;Terms!$A$3:$A$821&amp;" ",$D169))*Terms!F$3:F$821)+Terms!F$2</f>
        <v>11.572504386711</v>
      </c>
      <c r="X169" s="0" t="n">
        <f aca="false">SUMPRODUCT(ISNUMBER(SEARCH(" "&amp;Terms!$A$3:$A$821&amp;" ",$D169))*Terms!G$3:G$821)+Terms!G$2</f>
        <v>-2.03414834336051</v>
      </c>
      <c r="Y169" s="0" t="str">
        <f aca="false">INDEX($S$1:$X$1,MATCH(MAX(S169:X169),S169:X169,0))</f>
        <v>Fraud &amp; Scams</v>
      </c>
      <c r="Z169" s="0" t="s">
        <v>2607</v>
      </c>
    </row>
    <row r="170" customFormat="false" ht="15" hidden="false" customHeight="false" outlineLevel="0" collapsed="false">
      <c r="A170" s="0" t="str">
        <f aca="false">Complaints!A170</f>
        <v>C0169</v>
      </c>
      <c r="B170" s="0" t="str">
        <f aca="false">Complaints!B170</f>
        <v>This is the second time I have raised this. The paperwork was submitted a month ago and I am still waiting. I expect compensation.</v>
      </c>
      <c r="C170" s="0" t="str">
        <f aca="false">Complaints!C170</f>
        <v>Delays &amp; Processing</v>
      </c>
      <c r="D170" s="0" t="str">
        <f aca="false">" "&amp;TRIM(SUBSTITUTE(SUBSTITUTE(SUBSTITUTE(SUBSTITUTE(SUBSTITUTE(SUBSTITUTE(SUBSTITUTE(SUBSTITUTE(SUBSTITUTE(SUBSTITUTE(SUBSTITUTE(SUBSTITUTE(SUBSTITUTE(SUBSTITUTE(SUBSTITUTE(SUBSTITUTE(LOWER(B170),"."," "),","," "),"'"," "),"’"," "),"!"," "),"?"," "),";"," "),":"," "),"-"," "),"("," "),")"," "),"""", " "),"£"," "),"&amp;"," "),"/"," "),"%"," "))&amp;" "</f>
        <v> this is the second time i have raised this the paperwork was submitted a month ago and i am still waiting i expect compensation </v>
      </c>
      <c r="E170" s="0" t="n">
        <f aca="false">SUMPRODUCT((Rules!$A$2:$A$60=E$1)*Rules!$C$2:$C$60*ISNUMBER(SEARCH(Rules!$D$2:$D$60,$D170)))</f>
        <v>0</v>
      </c>
      <c r="F170" s="0" t="n">
        <f aca="false">SUMPRODUCT((Rules!$A$2:$A$60=F$1)*Rules!$C$2:$C$60*ISNUMBER(SEARCH(Rules!$D$2:$D$60,$D170)))</f>
        <v>0</v>
      </c>
      <c r="G170" s="0" t="n">
        <f aca="false">SUMPRODUCT((Rules!$A$2:$A$60=G$1)*Rules!$C$2:$C$60*ISNUMBER(SEARCH(Rules!$D$2:$D$60,$D170)))</f>
        <v>0</v>
      </c>
      <c r="H170" s="0" t="n">
        <f aca="false">SUMPRODUCT((Rules!$A$2:$A$60=H$1)*Rules!$C$2:$C$60*ISNUMBER(SEARCH(Rules!$D$2:$D$60,$D170)))</f>
        <v>0</v>
      </c>
      <c r="I170" s="0" t="n">
        <f aca="false">SUMPRODUCT((Rules!$A$2:$A$60=I$1)*Rules!$C$2:$C$60*ISNUMBER(SEARCH(Rules!$D$2:$D$60,$D170)))</f>
        <v>2</v>
      </c>
      <c r="J170" s="0" t="n">
        <f aca="false">SUMPRODUCT((Rules!$A$2:$A$60=J$1)*Rules!$C$2:$C$60*ISNUMBER(SEARCH(Rules!$D$2:$D$60,$D170)))</f>
        <v>0</v>
      </c>
      <c r="K170" s="0" t="str">
        <f aca="false">IF(OR(MAX(E170:J170)&lt;Rules!$H$1,MAX(E170:J170)-LARGE(E170:J170,2)&lt;Rules!$H$2),"No label",INDEX($E$1:$J$1,MATCH(MAX(E170:J170),E170:J170,0)))</f>
        <v>No label</v>
      </c>
      <c r="L170" s="0" t="n">
        <f aca="false">SUMPRODUCT((Rules!$A$2:$A$60=L$1)*Rules!$C$2:$C$60*ISNUMBER(SEARCH(Rules!$E$2:$E$60,$D170)))</f>
        <v>0</v>
      </c>
      <c r="M170" s="0" t="n">
        <f aca="false">SUMPRODUCT((Rules!$A$2:$A$60=M$1)*Rules!$C$2:$C$60*ISNUMBER(SEARCH(Rules!$E$2:$E$60,$D170)))</f>
        <v>0</v>
      </c>
      <c r="N170" s="0" t="n">
        <f aca="false">SUMPRODUCT((Rules!$A$2:$A$60=N$1)*Rules!$C$2:$C$60*ISNUMBER(SEARCH(Rules!$E$2:$E$60,$D170)))</f>
        <v>0</v>
      </c>
      <c r="O170" s="0" t="n">
        <f aca="false">SUMPRODUCT((Rules!$A$2:$A$60=O$1)*Rules!$C$2:$C$60*ISNUMBER(SEARCH(Rules!$E$2:$E$60,$D170)))</f>
        <v>0</v>
      </c>
      <c r="P170" s="0" t="n">
        <f aca="false">SUMPRODUCT((Rules!$A$2:$A$60=P$1)*Rules!$C$2:$C$60*ISNUMBER(SEARCH(Rules!$E$2:$E$60,$D170)))</f>
        <v>2</v>
      </c>
      <c r="Q170" s="0" t="n">
        <f aca="false">SUMPRODUCT((Rules!$A$2:$A$60=Q$1)*Rules!$C$2:$C$60*ISNUMBER(SEARCH(Rules!$E$2:$E$60,$D170)))</f>
        <v>0</v>
      </c>
      <c r="R170" s="0" t="str">
        <f aca="false">IF(OR(MAX(L170:Q170)&lt;Rules!$H$1,MAX(L170:Q170)-LARGE(L170:Q170,2)&lt;Rules!$H$2),"No label",INDEX($L$1:$Q$1,MATCH(MAX(L170:Q170),L170:Q170,0)))</f>
        <v>No label</v>
      </c>
      <c r="S170" s="0" t="n">
        <f aca="false">SUMPRODUCT(ISNUMBER(SEARCH(" "&amp;Terms!$A$3:$A$821&amp;" ",$D170))*Terms!B$3:B$821)+Terms!B$2</f>
        <v>0.22403105224523</v>
      </c>
      <c r="T170" s="0" t="n">
        <f aca="false">SUMPRODUCT(ISNUMBER(SEARCH(" "&amp;Terms!$A$3:$A$821&amp;" ",$D170))*Terms!C$3:C$821)+Terms!C$2</f>
        <v>0.125597884492285</v>
      </c>
      <c r="U170" s="0" t="n">
        <f aca="false">SUMPRODUCT(ISNUMBER(SEARCH(" "&amp;Terms!$A$3:$A$821&amp;" ",$D170))*Terms!D$3:D$821)+Terms!D$2</f>
        <v>5.07753141516069</v>
      </c>
      <c r="V170" s="0" t="n">
        <f aca="false">SUMPRODUCT(ISNUMBER(SEARCH(" "&amp;Terms!$A$3:$A$821&amp;" ",$D170))*Terms!E$3:E$821)+Terms!E$2</f>
        <v>-0.710405419520622</v>
      </c>
      <c r="W170" s="0" t="n">
        <f aca="false">SUMPRODUCT(ISNUMBER(SEARCH(" "&amp;Terms!$A$3:$A$821&amp;" ",$D170))*Terms!F$3:F$821)+Terms!F$2</f>
        <v>-1.1344478346533</v>
      </c>
      <c r="X170" s="0" t="n">
        <f aca="false">SUMPRODUCT(ISNUMBER(SEARCH(" "&amp;Terms!$A$3:$A$821&amp;" ",$D170))*Terms!G$3:G$821)+Terms!G$2</f>
        <v>-3.5823070977242</v>
      </c>
      <c r="Y170" s="0" t="str">
        <f aca="false">INDEX($S$1:$X$1,MATCH(MAX(S170:X170),S170:X170,0))</f>
        <v>Delays &amp; Processing</v>
      </c>
      <c r="Z170" s="0" t="s">
        <v>2607</v>
      </c>
    </row>
    <row r="171" customFormat="false" ht="15" hidden="false" customHeight="false" outlineLevel="0" collapsed="false">
      <c r="A171" s="0" t="str">
        <f aca="false">Complaints!A171</f>
        <v>C0170</v>
      </c>
      <c r="B171" s="0" t="str">
        <f aca="false">Complaints!B171</f>
        <v>Frankly, I was hit with a penalty charge for a payment I made on time. Also, the website will not let me register for online access. I want this put right.</v>
      </c>
      <c r="C171" s="0" t="str">
        <f aca="false">Complaints!C171</f>
        <v>Fees &amp; Charges</v>
      </c>
      <c r="D171" s="0" t="str">
        <f aca="false">" "&amp;TRIM(SUBSTITUTE(SUBSTITUTE(SUBSTITUTE(SUBSTITUTE(SUBSTITUTE(SUBSTITUTE(SUBSTITUTE(SUBSTITUTE(SUBSTITUTE(SUBSTITUTE(SUBSTITUTE(SUBSTITUTE(SUBSTITUTE(SUBSTITUTE(SUBSTITUTE(SUBSTITUTE(LOWER(B171),"."," "),","," "),"'"," "),"’"," "),"!"," "),"?"," "),";"," "),":"," "),"-"," "),"("," "),")"," "),"""", " "),"£"," "),"&amp;"," "),"/"," "),"%"," "))&amp;" "</f>
        <v> frankly i was hit with a penalty charge for a payment i made on time also the website will not let me register for online access i want this put right </v>
      </c>
      <c r="E171" s="0" t="n">
        <f aca="false">SUMPRODUCT((Rules!$A$2:$A$60=E$1)*Rules!$C$2:$C$60*ISNUMBER(SEARCH(Rules!$D$2:$D$60,$D171)))</f>
        <v>0</v>
      </c>
      <c r="F171" s="0" t="n">
        <f aca="false">SUMPRODUCT((Rules!$A$2:$A$60=F$1)*Rules!$C$2:$C$60*ISNUMBER(SEARCH(Rules!$D$2:$D$60,$D171)))</f>
        <v>0</v>
      </c>
      <c r="G171" s="0" t="n">
        <f aca="false">SUMPRODUCT((Rules!$A$2:$A$60=G$1)*Rules!$C$2:$C$60*ISNUMBER(SEARCH(Rules!$D$2:$D$60,$D171)))</f>
        <v>1</v>
      </c>
      <c r="H171" s="0" t="n">
        <f aca="false">SUMPRODUCT((Rules!$A$2:$A$60=H$1)*Rules!$C$2:$C$60*ISNUMBER(SEARCH(Rules!$D$2:$D$60,$D171)))</f>
        <v>4</v>
      </c>
      <c r="I171" s="0" t="n">
        <f aca="false">SUMPRODUCT((Rules!$A$2:$A$60=I$1)*Rules!$C$2:$C$60*ISNUMBER(SEARCH(Rules!$D$2:$D$60,$D171)))</f>
        <v>0</v>
      </c>
      <c r="J171" s="0" t="n">
        <f aca="false">SUMPRODUCT((Rules!$A$2:$A$60=J$1)*Rules!$C$2:$C$60*ISNUMBER(SEARCH(Rules!$D$2:$D$60,$D171)))</f>
        <v>0</v>
      </c>
      <c r="K171" s="0" t="str">
        <f aca="false">IF(OR(MAX(E171:J171)&lt;Rules!$H$1,MAX(E171:J171)-LARGE(E171:J171,2)&lt;Rules!$H$2),"No label",INDEX($E$1:$J$1,MATCH(MAX(E171:J171),E171:J171,0)))</f>
        <v>Fees &amp; Charges</v>
      </c>
      <c r="L171" s="0" t="n">
        <f aca="false">SUMPRODUCT((Rules!$A$2:$A$60=L$1)*Rules!$C$2:$C$60*ISNUMBER(SEARCH(Rules!$E$2:$E$60,$D171)))</f>
        <v>0</v>
      </c>
      <c r="M171" s="0" t="n">
        <f aca="false">SUMPRODUCT((Rules!$A$2:$A$60=M$1)*Rules!$C$2:$C$60*ISNUMBER(SEARCH(Rules!$E$2:$E$60,$D171)))</f>
        <v>0</v>
      </c>
      <c r="N171" s="0" t="n">
        <f aca="false">SUMPRODUCT((Rules!$A$2:$A$60=N$1)*Rules!$C$2:$C$60*ISNUMBER(SEARCH(Rules!$E$2:$E$60,$D171)))</f>
        <v>1</v>
      </c>
      <c r="O171" s="0" t="n">
        <f aca="false">SUMPRODUCT((Rules!$A$2:$A$60=O$1)*Rules!$C$2:$C$60*ISNUMBER(SEARCH(Rules!$E$2:$E$60,$D171)))</f>
        <v>6</v>
      </c>
      <c r="P171" s="0" t="n">
        <f aca="false">SUMPRODUCT((Rules!$A$2:$A$60=P$1)*Rules!$C$2:$C$60*ISNUMBER(SEARCH(Rules!$E$2:$E$60,$D171)))</f>
        <v>0</v>
      </c>
      <c r="Q171" s="0" t="n">
        <f aca="false">SUMPRODUCT((Rules!$A$2:$A$60=Q$1)*Rules!$C$2:$C$60*ISNUMBER(SEARCH(Rules!$E$2:$E$60,$D171)))</f>
        <v>0</v>
      </c>
      <c r="R171" s="0" t="str">
        <f aca="false">IF(OR(MAX(L171:Q171)&lt;Rules!$H$1,MAX(L171:Q171)-LARGE(L171:Q171,2)&lt;Rules!$H$2),"No label",INDEX($L$1:$Q$1,MATCH(MAX(L171:Q171),L171:Q171,0)))</f>
        <v>Fees &amp; Charges</v>
      </c>
      <c r="S171" s="0" t="n">
        <f aca="false">SUMPRODUCT(ISNUMBER(SEARCH(" "&amp;Terms!$A$3:$A$821&amp;" ",$D171))*Terms!B$3:B$821)+Terms!B$2</f>
        <v>3.91647645660609</v>
      </c>
      <c r="T171" s="0" t="n">
        <f aca="false">SUMPRODUCT(ISNUMBER(SEARCH(" "&amp;Terms!$A$3:$A$821&amp;" ",$D171))*Terms!C$3:C$821)+Terms!C$2</f>
        <v>-6.07334913194875</v>
      </c>
      <c r="U171" s="0" t="n">
        <f aca="false">SUMPRODUCT(ISNUMBER(SEARCH(" "&amp;Terms!$A$3:$A$821&amp;" ",$D171))*Terms!D$3:D$821)+Terms!D$2</f>
        <v>-4.13714111877426</v>
      </c>
      <c r="V171" s="0" t="n">
        <f aca="false">SUMPRODUCT(ISNUMBER(SEARCH(" "&amp;Terms!$A$3:$A$821&amp;" ",$D171))*Terms!E$3:E$821)+Terms!E$2</f>
        <v>8.56717153068827</v>
      </c>
      <c r="W171" s="0" t="n">
        <f aca="false">SUMPRODUCT(ISNUMBER(SEARCH(" "&amp;Terms!$A$3:$A$821&amp;" ",$D171))*Terms!F$3:F$821)+Terms!F$2</f>
        <v>-0.407436810345704</v>
      </c>
      <c r="X171" s="0" t="n">
        <f aca="false">SUMPRODUCT(ISNUMBER(SEARCH(" "&amp;Terms!$A$3:$A$821&amp;" ",$D171))*Terms!G$3:G$821)+Terms!G$2</f>
        <v>-1.86572092622557</v>
      </c>
      <c r="Y171" s="0" t="str">
        <f aca="false">INDEX($S$1:$X$1,MATCH(MAX(S171:X171),S171:X171,0))</f>
        <v>Fees &amp; Charges</v>
      </c>
      <c r="Z171" s="0" t="s">
        <v>2607</v>
      </c>
    </row>
    <row r="172" customFormat="false" ht="15" hidden="false" customHeight="false" outlineLevel="0" collapsed="false">
      <c r="A172" s="0" t="str">
        <f aca="false">Complaints!A172</f>
        <v>C0171</v>
      </c>
      <c r="B172" s="0" t="str">
        <f aca="false">Complaints!B172</f>
        <v>Frankly, I cannot log in to the mobile app since the update. Also, a fake text message led me to a website and my money disappeared. Please escalate this.</v>
      </c>
      <c r="C172" s="0" t="str">
        <f aca="false">Complaints!C172</f>
        <v>Account Access</v>
      </c>
      <c r="D172" s="0" t="str">
        <f aca="false">" "&amp;TRIM(SUBSTITUTE(SUBSTITUTE(SUBSTITUTE(SUBSTITUTE(SUBSTITUTE(SUBSTITUTE(SUBSTITUTE(SUBSTITUTE(SUBSTITUTE(SUBSTITUTE(SUBSTITUTE(SUBSTITUTE(SUBSTITUTE(SUBSTITUTE(SUBSTITUTE(SUBSTITUTE(LOWER(B172),"."," "),","," "),"'"," "),"’"," "),"!"," "),"?"," "),";"," "),":"," "),"-"," "),"("," "),")"," "),"""", " "),"£"," "),"&amp;"," "),"/"," "),"%"," "))&amp;" "</f>
        <v> frankly i cannot log in to the mobile app since the update also a fake text message led me to a website and my money disappeared please escalate this </v>
      </c>
      <c r="E172" s="0" t="n">
        <f aca="false">SUMPRODUCT((Rules!$A$2:$A$60=E$1)*Rules!$C$2:$C$60*ISNUMBER(SEARCH(Rules!$D$2:$D$60,$D172)))</f>
        <v>2</v>
      </c>
      <c r="F172" s="0" t="n">
        <f aca="false">SUMPRODUCT((Rules!$A$2:$A$60=F$1)*Rules!$C$2:$C$60*ISNUMBER(SEARCH(Rules!$D$2:$D$60,$D172)))</f>
        <v>0</v>
      </c>
      <c r="G172" s="0" t="n">
        <f aca="false">SUMPRODUCT((Rules!$A$2:$A$60=G$1)*Rules!$C$2:$C$60*ISNUMBER(SEARCH(Rules!$D$2:$D$60,$D172)))</f>
        <v>4</v>
      </c>
      <c r="H172" s="0" t="n">
        <f aca="false">SUMPRODUCT((Rules!$A$2:$A$60=H$1)*Rules!$C$2:$C$60*ISNUMBER(SEARCH(Rules!$D$2:$D$60,$D172)))</f>
        <v>0</v>
      </c>
      <c r="I172" s="0" t="n">
        <f aca="false">SUMPRODUCT((Rules!$A$2:$A$60=I$1)*Rules!$C$2:$C$60*ISNUMBER(SEARCH(Rules!$D$2:$D$60,$D172)))</f>
        <v>0</v>
      </c>
      <c r="J172" s="0" t="n">
        <f aca="false">SUMPRODUCT((Rules!$A$2:$A$60=J$1)*Rules!$C$2:$C$60*ISNUMBER(SEARCH(Rules!$D$2:$D$60,$D172)))</f>
        <v>0</v>
      </c>
      <c r="K172" s="0" t="str">
        <f aca="false">IF(OR(MAX(E172:J172)&lt;Rules!$H$1,MAX(E172:J172)-LARGE(E172:J172,2)&lt;Rules!$H$2),"No label",INDEX($E$1:$J$1,MATCH(MAX(E172:J172),E172:J172,0)))</f>
        <v>Account Access</v>
      </c>
      <c r="L172" s="0" t="n">
        <f aca="false">SUMPRODUCT((Rules!$A$2:$A$60=L$1)*Rules!$C$2:$C$60*ISNUMBER(SEARCH(Rules!$E$2:$E$60,$D172)))</f>
        <v>2</v>
      </c>
      <c r="M172" s="0" t="n">
        <f aca="false">SUMPRODUCT((Rules!$A$2:$A$60=M$1)*Rules!$C$2:$C$60*ISNUMBER(SEARCH(Rules!$E$2:$E$60,$D172)))</f>
        <v>0</v>
      </c>
      <c r="N172" s="0" t="n">
        <f aca="false">SUMPRODUCT((Rules!$A$2:$A$60=N$1)*Rules!$C$2:$C$60*ISNUMBER(SEARCH(Rules!$E$2:$E$60,$D172)))</f>
        <v>4</v>
      </c>
      <c r="O172" s="0" t="n">
        <f aca="false">SUMPRODUCT((Rules!$A$2:$A$60=O$1)*Rules!$C$2:$C$60*ISNUMBER(SEARCH(Rules!$E$2:$E$60,$D172)))</f>
        <v>0</v>
      </c>
      <c r="P172" s="0" t="n">
        <f aca="false">SUMPRODUCT((Rules!$A$2:$A$60=P$1)*Rules!$C$2:$C$60*ISNUMBER(SEARCH(Rules!$E$2:$E$60,$D172)))</f>
        <v>0</v>
      </c>
      <c r="Q172" s="0" t="n">
        <f aca="false">SUMPRODUCT((Rules!$A$2:$A$60=Q$1)*Rules!$C$2:$C$60*ISNUMBER(SEARCH(Rules!$E$2:$E$60,$D172)))</f>
        <v>0</v>
      </c>
      <c r="R172" s="0" t="str">
        <f aca="false">IF(OR(MAX(L172:Q172)&lt;Rules!$H$1,MAX(L172:Q172)-LARGE(L172:Q172,2)&lt;Rules!$H$2),"No label",INDEX($L$1:$Q$1,MATCH(MAX(L172:Q172),L172:Q172,0)))</f>
        <v>Account Access</v>
      </c>
      <c r="S172" s="0" t="n">
        <f aca="false">SUMPRODUCT(ISNUMBER(SEARCH(" "&amp;Terms!$A$3:$A$821&amp;" ",$D172))*Terms!B$3:B$821)+Terms!B$2</f>
        <v>8.5340401389569</v>
      </c>
      <c r="T172" s="0" t="n">
        <f aca="false">SUMPRODUCT(ISNUMBER(SEARCH(" "&amp;Terms!$A$3:$A$821&amp;" ",$D172))*Terms!C$3:C$821)+Terms!C$2</f>
        <v>-4.27339511532558</v>
      </c>
      <c r="U172" s="0" t="n">
        <f aca="false">SUMPRODUCT(ISNUMBER(SEARCH(" "&amp;Terms!$A$3:$A$821&amp;" ",$D172))*Terms!D$3:D$821)+Terms!D$2</f>
        <v>-3.76596980523392</v>
      </c>
      <c r="V172" s="0" t="n">
        <f aca="false">SUMPRODUCT(ISNUMBER(SEARCH(" "&amp;Terms!$A$3:$A$821&amp;" ",$D172))*Terms!E$3:E$821)+Terms!E$2</f>
        <v>-7.34405906556784</v>
      </c>
      <c r="W172" s="0" t="n">
        <f aca="false">SUMPRODUCT(ISNUMBER(SEARCH(" "&amp;Terms!$A$3:$A$821&amp;" ",$D172))*Terms!F$3:F$821)+Terms!F$2</f>
        <v>6.4719245398834</v>
      </c>
      <c r="X172" s="0" t="n">
        <f aca="false">SUMPRODUCT(ISNUMBER(SEARCH(" "&amp;Terms!$A$3:$A$821&amp;" ",$D172))*Terms!G$3:G$821)+Terms!G$2</f>
        <v>0.377459307287119</v>
      </c>
      <c r="Y172" s="0" t="str">
        <f aca="false">INDEX($S$1:$X$1,MATCH(MAX(S172:X172),S172:X172,0))</f>
        <v>Account Access</v>
      </c>
      <c r="Z172" s="0" t="s">
        <v>2607</v>
      </c>
    </row>
    <row r="173" customFormat="false" ht="15" hidden="false" customHeight="false" outlineLevel="0" collapsed="false">
      <c r="A173" s="0" t="str">
        <f aca="false">Complaints!A173</f>
        <v>C0172</v>
      </c>
      <c r="B173" s="0" t="str">
        <f aca="false">Complaints!B173</f>
        <v>I was told this policy covered me but my claim was rejected. I expect compensation.</v>
      </c>
      <c r="C173" s="0" t="str">
        <f aca="false">Complaints!C173</f>
        <v>Mis-selling</v>
      </c>
      <c r="D173" s="0" t="str">
        <f aca="false">" "&amp;TRIM(SUBSTITUTE(SUBSTITUTE(SUBSTITUTE(SUBSTITUTE(SUBSTITUTE(SUBSTITUTE(SUBSTITUTE(SUBSTITUTE(SUBSTITUTE(SUBSTITUTE(SUBSTITUTE(SUBSTITUTE(SUBSTITUTE(SUBSTITUTE(SUBSTITUTE(SUBSTITUTE(LOWER(B173),"."," "),","," "),"'"," "),"’"," "),"!"," "),"?"," "),";"," "),":"," "),"-"," "),"("," "),")"," "),"""", " "),"£"," "),"&amp;"," "),"/"," "),"%"," "))&amp;" "</f>
        <v> i was told this policy covered me but my claim was rejected i expect compensation </v>
      </c>
      <c r="E173" s="0" t="n">
        <f aca="false">SUMPRODUCT((Rules!$A$2:$A$60=E$1)*Rules!$C$2:$C$60*ISNUMBER(SEARCH(Rules!$D$2:$D$60,$D173)))</f>
        <v>0</v>
      </c>
      <c r="F173" s="0" t="n">
        <f aca="false">SUMPRODUCT((Rules!$A$2:$A$60=F$1)*Rules!$C$2:$C$60*ISNUMBER(SEARCH(Rules!$D$2:$D$60,$D173)))</f>
        <v>1</v>
      </c>
      <c r="G173" s="0" t="n">
        <f aca="false">SUMPRODUCT((Rules!$A$2:$A$60=G$1)*Rules!$C$2:$C$60*ISNUMBER(SEARCH(Rules!$D$2:$D$60,$D173)))</f>
        <v>0</v>
      </c>
      <c r="H173" s="0" t="n">
        <f aca="false">SUMPRODUCT((Rules!$A$2:$A$60=H$1)*Rules!$C$2:$C$60*ISNUMBER(SEARCH(Rules!$D$2:$D$60,$D173)))</f>
        <v>0</v>
      </c>
      <c r="I173" s="0" t="n">
        <f aca="false">SUMPRODUCT((Rules!$A$2:$A$60=I$1)*Rules!$C$2:$C$60*ISNUMBER(SEARCH(Rules!$D$2:$D$60,$D173)))</f>
        <v>0</v>
      </c>
      <c r="J173" s="0" t="n">
        <f aca="false">SUMPRODUCT((Rules!$A$2:$A$60=J$1)*Rules!$C$2:$C$60*ISNUMBER(SEARCH(Rules!$D$2:$D$60,$D173)))</f>
        <v>0</v>
      </c>
      <c r="K173" s="0" t="str">
        <f aca="false">IF(OR(MAX(E173:J173)&lt;Rules!$H$1,MAX(E173:J173)-LARGE(E173:J173,2)&lt;Rules!$H$2),"No label",INDEX($E$1:$J$1,MATCH(MAX(E173:J173),E173:J173,0)))</f>
        <v>No label</v>
      </c>
      <c r="L173" s="0" t="n">
        <f aca="false">SUMPRODUCT((Rules!$A$2:$A$60=L$1)*Rules!$C$2:$C$60*ISNUMBER(SEARCH(Rules!$E$2:$E$60,$D173)))</f>
        <v>0</v>
      </c>
      <c r="M173" s="0" t="n">
        <f aca="false">SUMPRODUCT((Rules!$A$2:$A$60=M$1)*Rules!$C$2:$C$60*ISNUMBER(SEARCH(Rules!$E$2:$E$60,$D173)))</f>
        <v>1</v>
      </c>
      <c r="N173" s="0" t="n">
        <f aca="false">SUMPRODUCT((Rules!$A$2:$A$60=N$1)*Rules!$C$2:$C$60*ISNUMBER(SEARCH(Rules!$E$2:$E$60,$D173)))</f>
        <v>0</v>
      </c>
      <c r="O173" s="0" t="n">
        <f aca="false">SUMPRODUCT((Rules!$A$2:$A$60=O$1)*Rules!$C$2:$C$60*ISNUMBER(SEARCH(Rules!$E$2:$E$60,$D173)))</f>
        <v>0</v>
      </c>
      <c r="P173" s="0" t="n">
        <f aca="false">SUMPRODUCT((Rules!$A$2:$A$60=P$1)*Rules!$C$2:$C$60*ISNUMBER(SEARCH(Rules!$E$2:$E$60,$D173)))</f>
        <v>0</v>
      </c>
      <c r="Q173" s="0" t="n">
        <f aca="false">SUMPRODUCT((Rules!$A$2:$A$60=Q$1)*Rules!$C$2:$C$60*ISNUMBER(SEARCH(Rules!$E$2:$E$60,$D173)))</f>
        <v>0</v>
      </c>
      <c r="R173" s="0" t="str">
        <f aca="false">IF(OR(MAX(L173:Q173)&lt;Rules!$H$1,MAX(L173:Q173)-LARGE(L173:Q173,2)&lt;Rules!$H$2),"No label",INDEX($L$1:$Q$1,MATCH(MAX(L173:Q173),L173:Q173,0)))</f>
        <v>No label</v>
      </c>
      <c r="S173" s="0" t="n">
        <f aca="false">SUMPRODUCT(ISNUMBER(SEARCH(" "&amp;Terms!$A$3:$A$821&amp;" ",$D173))*Terms!B$3:B$821)+Terms!B$2</f>
        <v>0.243156059211444</v>
      </c>
      <c r="T173" s="0" t="n">
        <f aca="false">SUMPRODUCT(ISNUMBER(SEARCH(" "&amp;Terms!$A$3:$A$821&amp;" ",$D173))*Terms!C$3:C$821)+Terms!C$2</f>
        <v>-4.90663780901312</v>
      </c>
      <c r="U173" s="0" t="n">
        <f aca="false">SUMPRODUCT(ISNUMBER(SEARCH(" "&amp;Terms!$A$3:$A$821&amp;" ",$D173))*Terms!D$3:D$821)+Terms!D$2</f>
        <v>-0.46803164745147</v>
      </c>
      <c r="V173" s="0" t="n">
        <f aca="false">SUMPRODUCT(ISNUMBER(SEARCH(" "&amp;Terms!$A$3:$A$821&amp;" ",$D173))*Terms!E$3:E$821)+Terms!E$2</f>
        <v>-1.52746819105788</v>
      </c>
      <c r="W173" s="0" t="n">
        <f aca="false">SUMPRODUCT(ISNUMBER(SEARCH(" "&amp;Terms!$A$3:$A$821&amp;" ",$D173))*Terms!F$3:F$821)+Terms!F$2</f>
        <v>-0.697282677547334</v>
      </c>
      <c r="X173" s="0" t="n">
        <f aca="false">SUMPRODUCT(ISNUMBER(SEARCH(" "&amp;Terms!$A$3:$A$821&amp;" ",$D173))*Terms!G$3:G$821)+Terms!G$2</f>
        <v>7.35626426585845</v>
      </c>
      <c r="Y173" s="0" t="str">
        <f aca="false">INDEX($S$1:$X$1,MATCH(MAX(S173:X173),S173:X173,0))</f>
        <v>Mis-selling</v>
      </c>
      <c r="Z173" s="0" t="s">
        <v>2607</v>
      </c>
    </row>
    <row r="174" customFormat="false" ht="15" hidden="false" customHeight="false" outlineLevel="0" collapsed="false">
      <c r="A174" s="0" t="str">
        <f aca="false">Complaints!A174</f>
        <v>C0173</v>
      </c>
      <c r="B174" s="0" t="str">
        <f aca="false">Complaints!B174</f>
        <v>To whom it may concern, My mortgage switch is taking far longer than you said it would. Also, i was misled about what the insurance actually included.</v>
      </c>
      <c r="C174" s="0" t="str">
        <f aca="false">Complaints!C174</f>
        <v>Delays &amp; Processing</v>
      </c>
      <c r="D174" s="0" t="str">
        <f aca="false">" "&amp;TRIM(SUBSTITUTE(SUBSTITUTE(SUBSTITUTE(SUBSTITUTE(SUBSTITUTE(SUBSTITUTE(SUBSTITUTE(SUBSTITUTE(SUBSTITUTE(SUBSTITUTE(SUBSTITUTE(SUBSTITUTE(SUBSTITUTE(SUBSTITUTE(SUBSTITUTE(SUBSTITUTE(LOWER(B174),"."," "),","," "),"'"," "),"’"," "),"!"," "),"?"," "),";"," "),":"," "),"-"," "),"("," "),")"," "),"""", " "),"£"," "),"&amp;"," "),"/"," "),"%"," "))&amp;" "</f>
        <v> to whom it may concern my mortgage switch is taking far longer than you said it would also i was misled about what the insurance actually included </v>
      </c>
      <c r="E174" s="0" t="n">
        <f aca="false">SUMPRODUCT((Rules!$A$2:$A$60=E$1)*Rules!$C$2:$C$60*ISNUMBER(SEARCH(Rules!$D$2:$D$60,$D174)))</f>
        <v>0</v>
      </c>
      <c r="F174" s="0" t="n">
        <f aca="false">SUMPRODUCT((Rules!$A$2:$A$60=F$1)*Rules!$C$2:$C$60*ISNUMBER(SEARCH(Rules!$D$2:$D$60,$D174)))</f>
        <v>4</v>
      </c>
      <c r="G174" s="0" t="n">
        <f aca="false">SUMPRODUCT((Rules!$A$2:$A$60=G$1)*Rules!$C$2:$C$60*ISNUMBER(SEARCH(Rules!$D$2:$D$60,$D174)))</f>
        <v>0</v>
      </c>
      <c r="H174" s="0" t="n">
        <f aca="false">SUMPRODUCT((Rules!$A$2:$A$60=H$1)*Rules!$C$2:$C$60*ISNUMBER(SEARCH(Rules!$D$2:$D$60,$D174)))</f>
        <v>0</v>
      </c>
      <c r="I174" s="0" t="n">
        <f aca="false">SUMPRODUCT((Rules!$A$2:$A$60=I$1)*Rules!$C$2:$C$60*ISNUMBER(SEARCH(Rules!$D$2:$D$60,$D174)))</f>
        <v>2</v>
      </c>
      <c r="J174" s="0" t="n">
        <f aca="false">SUMPRODUCT((Rules!$A$2:$A$60=J$1)*Rules!$C$2:$C$60*ISNUMBER(SEARCH(Rules!$D$2:$D$60,$D174)))</f>
        <v>0</v>
      </c>
      <c r="K174" s="0" t="str">
        <f aca="false">IF(OR(MAX(E174:J174)&lt;Rules!$H$1,MAX(E174:J174)-LARGE(E174:J174,2)&lt;Rules!$H$2),"No label",INDEX($E$1:$J$1,MATCH(MAX(E174:J174),E174:J174,0)))</f>
        <v>Mis-selling</v>
      </c>
      <c r="L174" s="0" t="n">
        <f aca="false">SUMPRODUCT((Rules!$A$2:$A$60=L$1)*Rules!$C$2:$C$60*ISNUMBER(SEARCH(Rules!$E$2:$E$60,$D174)))</f>
        <v>0</v>
      </c>
      <c r="M174" s="0" t="n">
        <f aca="false">SUMPRODUCT((Rules!$A$2:$A$60=M$1)*Rules!$C$2:$C$60*ISNUMBER(SEARCH(Rules!$E$2:$E$60,$D174)))</f>
        <v>4</v>
      </c>
      <c r="N174" s="0" t="n">
        <f aca="false">SUMPRODUCT((Rules!$A$2:$A$60=N$1)*Rules!$C$2:$C$60*ISNUMBER(SEARCH(Rules!$E$2:$E$60,$D174)))</f>
        <v>0</v>
      </c>
      <c r="O174" s="0" t="n">
        <f aca="false">SUMPRODUCT((Rules!$A$2:$A$60=O$1)*Rules!$C$2:$C$60*ISNUMBER(SEARCH(Rules!$E$2:$E$60,$D174)))</f>
        <v>0</v>
      </c>
      <c r="P174" s="0" t="n">
        <f aca="false">SUMPRODUCT((Rules!$A$2:$A$60=P$1)*Rules!$C$2:$C$60*ISNUMBER(SEARCH(Rules!$E$2:$E$60,$D174)))</f>
        <v>2</v>
      </c>
      <c r="Q174" s="0" t="n">
        <f aca="false">SUMPRODUCT((Rules!$A$2:$A$60=Q$1)*Rules!$C$2:$C$60*ISNUMBER(SEARCH(Rules!$E$2:$E$60,$D174)))</f>
        <v>0</v>
      </c>
      <c r="R174" s="0" t="str">
        <f aca="false">IF(OR(MAX(L174:Q174)&lt;Rules!$H$1,MAX(L174:Q174)-LARGE(L174:Q174,2)&lt;Rules!$H$2),"No label",INDEX($L$1:$Q$1,MATCH(MAX(L174:Q174),L174:Q174,0)))</f>
        <v>Mis-selling</v>
      </c>
      <c r="S174" s="0" t="n">
        <f aca="false">SUMPRODUCT(ISNUMBER(SEARCH(" "&amp;Terms!$A$3:$A$821&amp;" ",$D174))*Terms!B$3:B$821)+Terms!B$2</f>
        <v>-6.42339321431793</v>
      </c>
      <c r="T174" s="0" t="n">
        <f aca="false">SUMPRODUCT(ISNUMBER(SEARCH(" "&amp;Terms!$A$3:$A$821&amp;" ",$D174))*Terms!C$3:C$821)+Terms!C$2</f>
        <v>-3.94379936158318</v>
      </c>
      <c r="U174" s="0" t="n">
        <f aca="false">SUMPRODUCT(ISNUMBER(SEARCH(" "&amp;Terms!$A$3:$A$821&amp;" ",$D174))*Terms!D$3:D$821)+Terms!D$2</f>
        <v>8.80265757598635</v>
      </c>
      <c r="V174" s="0" t="n">
        <f aca="false">SUMPRODUCT(ISNUMBER(SEARCH(" "&amp;Terms!$A$3:$A$821&amp;" ",$D174))*Terms!E$3:E$821)+Terms!E$2</f>
        <v>-1.11324793300511</v>
      </c>
      <c r="W174" s="0" t="n">
        <f aca="false">SUMPRODUCT(ISNUMBER(SEARCH(" "&amp;Terms!$A$3:$A$821&amp;" ",$D174))*Terms!F$3:F$821)+Terms!F$2</f>
        <v>-6.78396618632648</v>
      </c>
      <c r="X174" s="0" t="n">
        <f aca="false">SUMPRODUCT(ISNUMBER(SEARCH(" "&amp;Terms!$A$3:$A$821&amp;" ",$D174))*Terms!G$3:G$821)+Terms!G$2</f>
        <v>9.46174911924645</v>
      </c>
      <c r="Y174" s="0" t="str">
        <f aca="false">INDEX($S$1:$X$1,MATCH(MAX(S174:X174),S174:X174,0))</f>
        <v>Mis-selling</v>
      </c>
      <c r="Z174" s="0" t="s">
        <v>2607</v>
      </c>
    </row>
    <row r="175" customFormat="false" ht="15" hidden="false" customHeight="false" outlineLevel="0" collapsed="false">
      <c r="A175" s="0" t="str">
        <f aca="false">Complaints!A175</f>
        <v>C0174</v>
      </c>
      <c r="B175" s="0" t="str">
        <f aca="false">Complaints!B175</f>
        <v>I am extremely disappointed and want this resolved. Please escalate this.</v>
      </c>
      <c r="C175" s="0" t="str">
        <f aca="false">Complaints!C175</f>
        <v>Customer Service</v>
      </c>
      <c r="D175" s="0" t="str">
        <f aca="false">" "&amp;TRIM(SUBSTITUTE(SUBSTITUTE(SUBSTITUTE(SUBSTITUTE(SUBSTITUTE(SUBSTITUTE(SUBSTITUTE(SUBSTITUTE(SUBSTITUTE(SUBSTITUTE(SUBSTITUTE(SUBSTITUTE(SUBSTITUTE(SUBSTITUTE(SUBSTITUTE(SUBSTITUTE(LOWER(B175),"."," "),","," "),"'"," "),"’"," "),"!"," "),"?"," "),";"," "),":"," "),"-"," "),"("," "),")"," "),"""", " "),"£"," "),"&amp;"," "),"/"," "),"%"," "))&amp;" "</f>
        <v> i am extremely disappointed and want this resolved please escalate this </v>
      </c>
      <c r="E175" s="0" t="n">
        <f aca="false">SUMPRODUCT((Rules!$A$2:$A$60=E$1)*Rules!$C$2:$C$60*ISNUMBER(SEARCH(Rules!$D$2:$D$60,$D175)))</f>
        <v>0</v>
      </c>
      <c r="F175" s="0" t="n">
        <f aca="false">SUMPRODUCT((Rules!$A$2:$A$60=F$1)*Rules!$C$2:$C$60*ISNUMBER(SEARCH(Rules!$D$2:$D$60,$D175)))</f>
        <v>0</v>
      </c>
      <c r="G175" s="0" t="n">
        <f aca="false">SUMPRODUCT((Rules!$A$2:$A$60=G$1)*Rules!$C$2:$C$60*ISNUMBER(SEARCH(Rules!$D$2:$D$60,$D175)))</f>
        <v>0</v>
      </c>
      <c r="H175" s="0" t="n">
        <f aca="false">SUMPRODUCT((Rules!$A$2:$A$60=H$1)*Rules!$C$2:$C$60*ISNUMBER(SEARCH(Rules!$D$2:$D$60,$D175)))</f>
        <v>0</v>
      </c>
      <c r="I175" s="0" t="n">
        <f aca="false">SUMPRODUCT((Rules!$A$2:$A$60=I$1)*Rules!$C$2:$C$60*ISNUMBER(SEARCH(Rules!$D$2:$D$60,$D175)))</f>
        <v>0</v>
      </c>
      <c r="J175" s="0" t="n">
        <f aca="false">SUMPRODUCT((Rules!$A$2:$A$60=J$1)*Rules!$C$2:$C$60*ISNUMBER(SEARCH(Rules!$D$2:$D$60,$D175)))</f>
        <v>0</v>
      </c>
      <c r="K175" s="0" t="str">
        <f aca="false">IF(OR(MAX(E175:J175)&lt;Rules!$H$1,MAX(E175:J175)-LARGE(E175:J175,2)&lt;Rules!$H$2),"No label",INDEX($E$1:$J$1,MATCH(MAX(E175:J175),E175:J175,0)))</f>
        <v>No label</v>
      </c>
      <c r="L175" s="0" t="n">
        <f aca="false">SUMPRODUCT((Rules!$A$2:$A$60=L$1)*Rules!$C$2:$C$60*ISNUMBER(SEARCH(Rules!$E$2:$E$60,$D175)))</f>
        <v>0</v>
      </c>
      <c r="M175" s="0" t="n">
        <f aca="false">SUMPRODUCT((Rules!$A$2:$A$60=M$1)*Rules!$C$2:$C$60*ISNUMBER(SEARCH(Rules!$E$2:$E$60,$D175)))</f>
        <v>0</v>
      </c>
      <c r="N175" s="0" t="n">
        <f aca="false">SUMPRODUCT((Rules!$A$2:$A$60=N$1)*Rules!$C$2:$C$60*ISNUMBER(SEARCH(Rules!$E$2:$E$60,$D175)))</f>
        <v>0</v>
      </c>
      <c r="O175" s="0" t="n">
        <f aca="false">SUMPRODUCT((Rules!$A$2:$A$60=O$1)*Rules!$C$2:$C$60*ISNUMBER(SEARCH(Rules!$E$2:$E$60,$D175)))</f>
        <v>0</v>
      </c>
      <c r="P175" s="0" t="n">
        <f aca="false">SUMPRODUCT((Rules!$A$2:$A$60=P$1)*Rules!$C$2:$C$60*ISNUMBER(SEARCH(Rules!$E$2:$E$60,$D175)))</f>
        <v>0</v>
      </c>
      <c r="Q175" s="0" t="n">
        <f aca="false">SUMPRODUCT((Rules!$A$2:$A$60=Q$1)*Rules!$C$2:$C$60*ISNUMBER(SEARCH(Rules!$E$2:$E$60,$D175)))</f>
        <v>0</v>
      </c>
      <c r="R175" s="0" t="str">
        <f aca="false">IF(OR(MAX(L175:Q175)&lt;Rules!$H$1,MAX(L175:Q175)-LARGE(L175:Q175,2)&lt;Rules!$H$2),"No label",INDEX($L$1:$Q$1,MATCH(MAX(L175:Q175),L175:Q175,0)))</f>
        <v>No label</v>
      </c>
      <c r="S175" s="0" t="n">
        <f aca="false">SUMPRODUCT(ISNUMBER(SEARCH(" "&amp;Terms!$A$3:$A$821&amp;" ",$D175))*Terms!B$3:B$821)+Terms!B$2</f>
        <v>0.0945696223242092</v>
      </c>
      <c r="T175" s="0" t="n">
        <f aca="false">SUMPRODUCT(ISNUMBER(SEARCH(" "&amp;Terms!$A$3:$A$821&amp;" ",$D175))*Terms!C$3:C$821)+Terms!C$2</f>
        <v>0.419420532641665</v>
      </c>
      <c r="U175" s="0" t="n">
        <f aca="false">SUMPRODUCT(ISNUMBER(SEARCH(" "&amp;Terms!$A$3:$A$821&amp;" ",$D175))*Terms!D$3:D$821)+Terms!D$2</f>
        <v>-2.44431371302501</v>
      </c>
      <c r="V175" s="0" t="n">
        <f aca="false">SUMPRODUCT(ISNUMBER(SEARCH(" "&amp;Terms!$A$3:$A$821&amp;" ",$D175))*Terms!E$3:E$821)+Terms!E$2</f>
        <v>-1.01052767988258</v>
      </c>
      <c r="W175" s="0" t="n">
        <f aca="false">SUMPRODUCT(ISNUMBER(SEARCH(" "&amp;Terms!$A$3:$A$821&amp;" ",$D175))*Terms!F$3:F$821)+Terms!F$2</f>
        <v>1.55525340809517</v>
      </c>
      <c r="X175" s="0" t="n">
        <f aca="false">SUMPRODUCT(ISNUMBER(SEARCH(" "&amp;Terms!$A$3:$A$821&amp;" ",$D175))*Terms!G$3:G$821)+Terms!G$2</f>
        <v>1.38559782984664</v>
      </c>
      <c r="Y175" s="0" t="str">
        <f aca="false">INDEX($S$1:$X$1,MATCH(MAX(S175:X175),S175:X175,0))</f>
        <v>Fraud &amp; Scams</v>
      </c>
      <c r="Z175" s="0" t="s">
        <v>2608</v>
      </c>
    </row>
    <row r="176" customFormat="false" ht="15" hidden="false" customHeight="false" outlineLevel="0" collapsed="false">
      <c r="A176" s="0" t="str">
        <f aca="false">Complaints!A176</f>
        <v>C0175</v>
      </c>
      <c r="B176" s="0" t="str">
        <f aca="false">Complaints!B176</f>
        <v>I am writing to complain. Nobody explained the foreign transaction charges before my holiday. Please sort this out.</v>
      </c>
      <c r="C176" s="0" t="str">
        <f aca="false">Complaints!C176</f>
        <v>Fees &amp; Charges</v>
      </c>
      <c r="D176" s="0" t="str">
        <f aca="false">" "&amp;TRIM(SUBSTITUTE(SUBSTITUTE(SUBSTITUTE(SUBSTITUTE(SUBSTITUTE(SUBSTITUTE(SUBSTITUTE(SUBSTITUTE(SUBSTITUTE(SUBSTITUTE(SUBSTITUTE(SUBSTITUTE(SUBSTITUTE(SUBSTITUTE(SUBSTITUTE(SUBSTITUTE(LOWER(B176),"."," "),","," "),"'"," "),"’"," "),"!"," "),"?"," "),";"," "),":"," "),"-"," "),"("," "),")"," "),"""", " "),"£"," "),"&amp;"," "),"/"," "),"%"," "))&amp;" "</f>
        <v> i am writing to complain nobody explained the foreign transaction charges before my holiday please sort this out </v>
      </c>
      <c r="E176" s="0" t="n">
        <f aca="false">SUMPRODUCT((Rules!$A$2:$A$60=E$1)*Rules!$C$2:$C$60*ISNUMBER(SEARCH(Rules!$D$2:$D$60,$D176)))</f>
        <v>0</v>
      </c>
      <c r="F176" s="0" t="n">
        <f aca="false">SUMPRODUCT((Rules!$A$2:$A$60=F$1)*Rules!$C$2:$C$60*ISNUMBER(SEARCH(Rules!$D$2:$D$60,$D176)))</f>
        <v>0</v>
      </c>
      <c r="G176" s="0" t="n">
        <f aca="false">SUMPRODUCT((Rules!$A$2:$A$60=G$1)*Rules!$C$2:$C$60*ISNUMBER(SEARCH(Rules!$D$2:$D$60,$D176)))</f>
        <v>0</v>
      </c>
      <c r="H176" s="0" t="n">
        <f aca="false">SUMPRODUCT((Rules!$A$2:$A$60=H$1)*Rules!$C$2:$C$60*ISNUMBER(SEARCH(Rules!$D$2:$D$60,$D176)))</f>
        <v>0</v>
      </c>
      <c r="I176" s="0" t="n">
        <f aca="false">SUMPRODUCT((Rules!$A$2:$A$60=I$1)*Rules!$C$2:$C$60*ISNUMBER(SEARCH(Rules!$D$2:$D$60,$D176)))</f>
        <v>0</v>
      </c>
      <c r="J176" s="0" t="n">
        <f aca="false">SUMPRODUCT((Rules!$A$2:$A$60=J$1)*Rules!$C$2:$C$60*ISNUMBER(SEARCH(Rules!$D$2:$D$60,$D176)))</f>
        <v>0</v>
      </c>
      <c r="K176" s="0" t="str">
        <f aca="false">IF(OR(MAX(E176:J176)&lt;Rules!$H$1,MAX(E176:J176)-LARGE(E176:J176,2)&lt;Rules!$H$2),"No label",INDEX($E$1:$J$1,MATCH(MAX(E176:J176),E176:J176,0)))</f>
        <v>No label</v>
      </c>
      <c r="L176" s="0" t="n">
        <f aca="false">SUMPRODUCT((Rules!$A$2:$A$60=L$1)*Rules!$C$2:$C$60*ISNUMBER(SEARCH(Rules!$E$2:$E$60,$D176)))</f>
        <v>0</v>
      </c>
      <c r="M176" s="0" t="n">
        <f aca="false">SUMPRODUCT((Rules!$A$2:$A$60=M$1)*Rules!$C$2:$C$60*ISNUMBER(SEARCH(Rules!$E$2:$E$60,$D176)))</f>
        <v>0</v>
      </c>
      <c r="N176" s="0" t="n">
        <f aca="false">SUMPRODUCT((Rules!$A$2:$A$60=N$1)*Rules!$C$2:$C$60*ISNUMBER(SEARCH(Rules!$E$2:$E$60,$D176)))</f>
        <v>0</v>
      </c>
      <c r="O176" s="0" t="n">
        <f aca="false">SUMPRODUCT((Rules!$A$2:$A$60=O$1)*Rules!$C$2:$C$60*ISNUMBER(SEARCH(Rules!$E$2:$E$60,$D176)))</f>
        <v>4</v>
      </c>
      <c r="P176" s="0" t="n">
        <f aca="false">SUMPRODUCT((Rules!$A$2:$A$60=P$1)*Rules!$C$2:$C$60*ISNUMBER(SEARCH(Rules!$E$2:$E$60,$D176)))</f>
        <v>0</v>
      </c>
      <c r="Q176" s="0" t="n">
        <f aca="false">SUMPRODUCT((Rules!$A$2:$A$60=Q$1)*Rules!$C$2:$C$60*ISNUMBER(SEARCH(Rules!$E$2:$E$60,$D176)))</f>
        <v>0</v>
      </c>
      <c r="R176" s="0" t="str">
        <f aca="false">IF(OR(MAX(L176:Q176)&lt;Rules!$H$1,MAX(L176:Q176)-LARGE(L176:Q176,2)&lt;Rules!$H$2),"No label",INDEX($L$1:$Q$1,MATCH(MAX(L176:Q176),L176:Q176,0)))</f>
        <v>Fees &amp; Charges</v>
      </c>
      <c r="S176" s="0" t="n">
        <f aca="false">SUMPRODUCT(ISNUMBER(SEARCH(" "&amp;Terms!$A$3:$A$821&amp;" ",$D176))*Terms!B$3:B$821)+Terms!B$2</f>
        <v>-3.42661459690685</v>
      </c>
      <c r="T176" s="0" t="n">
        <f aca="false">SUMPRODUCT(ISNUMBER(SEARCH(" "&amp;Terms!$A$3:$A$821&amp;" ",$D176))*Terms!C$3:C$821)+Terms!C$2</f>
        <v>0.278594710255713</v>
      </c>
      <c r="U176" s="0" t="n">
        <f aca="false">SUMPRODUCT(ISNUMBER(SEARCH(" "&amp;Terms!$A$3:$A$821&amp;" ",$D176))*Terms!D$3:D$821)+Terms!D$2</f>
        <v>-0.872568191022808</v>
      </c>
      <c r="V176" s="0" t="n">
        <f aca="false">SUMPRODUCT(ISNUMBER(SEARCH(" "&amp;Terms!$A$3:$A$821&amp;" ",$D176))*Terms!E$3:E$821)+Terms!E$2</f>
        <v>11.67253610312</v>
      </c>
      <c r="W176" s="0" t="n">
        <f aca="false">SUMPRODUCT(ISNUMBER(SEARCH(" "&amp;Terms!$A$3:$A$821&amp;" ",$D176))*Terms!F$3:F$821)+Terms!F$2</f>
        <v>-3.82772450520581</v>
      </c>
      <c r="X176" s="0" t="n">
        <f aca="false">SUMPRODUCT(ISNUMBER(SEARCH(" "&amp;Terms!$A$3:$A$821&amp;" ",$D176))*Terms!G$3:G$821)+Terms!G$2</f>
        <v>-3.82422352024016</v>
      </c>
      <c r="Y176" s="0" t="str">
        <f aca="false">INDEX($S$1:$X$1,MATCH(MAX(S176:X176),S176:X176,0))</f>
        <v>Fees &amp; Charges</v>
      </c>
      <c r="Z176" s="0" t="s">
        <v>2607</v>
      </c>
    </row>
    <row r="177" customFormat="false" ht="15" hidden="false" customHeight="false" outlineLevel="0" collapsed="false">
      <c r="A177" s="0" t="str">
        <f aca="false">Complaints!A177</f>
        <v>C0176</v>
      </c>
      <c r="B177" s="0" t="str">
        <f aca="false">Complaints!B177</f>
        <v>Frankly, There are transactions on my card I do not recognise. I want this put right.</v>
      </c>
      <c r="C177" s="0" t="str">
        <f aca="false">Complaints!C177</f>
        <v>Fraud &amp; Scams</v>
      </c>
      <c r="D177" s="0" t="str">
        <f aca="false">" "&amp;TRIM(SUBSTITUTE(SUBSTITUTE(SUBSTITUTE(SUBSTITUTE(SUBSTITUTE(SUBSTITUTE(SUBSTITUTE(SUBSTITUTE(SUBSTITUTE(SUBSTITUTE(SUBSTITUTE(SUBSTITUTE(SUBSTITUTE(SUBSTITUTE(SUBSTITUTE(SUBSTITUTE(LOWER(B177),"."," "),","," "),"'"," "),"’"," "),"!"," "),"?"," "),";"," "),":"," "),"-"," "),"("," "),")"," "),"""", " "),"£"," "),"&amp;"," "),"/"," "),"%"," "))&amp;" "</f>
        <v> frankly there are transactions on my card i do not recognise i want this put right </v>
      </c>
      <c r="E177" s="0" t="n">
        <f aca="false">SUMPRODUCT((Rules!$A$2:$A$60=E$1)*Rules!$C$2:$C$60*ISNUMBER(SEARCH(Rules!$D$2:$D$60,$D177)))</f>
        <v>2</v>
      </c>
      <c r="F177" s="0" t="n">
        <f aca="false">SUMPRODUCT((Rules!$A$2:$A$60=F$1)*Rules!$C$2:$C$60*ISNUMBER(SEARCH(Rules!$D$2:$D$60,$D177)))</f>
        <v>0</v>
      </c>
      <c r="G177" s="0" t="n">
        <f aca="false">SUMPRODUCT((Rules!$A$2:$A$60=G$1)*Rules!$C$2:$C$60*ISNUMBER(SEARCH(Rules!$D$2:$D$60,$D177)))</f>
        <v>0</v>
      </c>
      <c r="H177" s="0" t="n">
        <f aca="false">SUMPRODUCT((Rules!$A$2:$A$60=H$1)*Rules!$C$2:$C$60*ISNUMBER(SEARCH(Rules!$D$2:$D$60,$D177)))</f>
        <v>0</v>
      </c>
      <c r="I177" s="0" t="n">
        <f aca="false">SUMPRODUCT((Rules!$A$2:$A$60=I$1)*Rules!$C$2:$C$60*ISNUMBER(SEARCH(Rules!$D$2:$D$60,$D177)))</f>
        <v>0</v>
      </c>
      <c r="J177" s="0" t="n">
        <f aca="false">SUMPRODUCT((Rules!$A$2:$A$60=J$1)*Rules!$C$2:$C$60*ISNUMBER(SEARCH(Rules!$D$2:$D$60,$D177)))</f>
        <v>0</v>
      </c>
      <c r="K177" s="0" t="str">
        <f aca="false">IF(OR(MAX(E177:J177)&lt;Rules!$H$1,MAX(E177:J177)-LARGE(E177:J177,2)&lt;Rules!$H$2),"No label",INDEX($E$1:$J$1,MATCH(MAX(E177:J177),E177:J177,0)))</f>
        <v>No label</v>
      </c>
      <c r="L177" s="0" t="n">
        <f aca="false">SUMPRODUCT((Rules!$A$2:$A$60=L$1)*Rules!$C$2:$C$60*ISNUMBER(SEARCH(Rules!$E$2:$E$60,$D177)))</f>
        <v>2</v>
      </c>
      <c r="M177" s="0" t="n">
        <f aca="false">SUMPRODUCT((Rules!$A$2:$A$60=M$1)*Rules!$C$2:$C$60*ISNUMBER(SEARCH(Rules!$E$2:$E$60,$D177)))</f>
        <v>0</v>
      </c>
      <c r="N177" s="0" t="n">
        <f aca="false">SUMPRODUCT((Rules!$A$2:$A$60=N$1)*Rules!$C$2:$C$60*ISNUMBER(SEARCH(Rules!$E$2:$E$60,$D177)))</f>
        <v>0</v>
      </c>
      <c r="O177" s="0" t="n">
        <f aca="false">SUMPRODUCT((Rules!$A$2:$A$60=O$1)*Rules!$C$2:$C$60*ISNUMBER(SEARCH(Rules!$E$2:$E$60,$D177)))</f>
        <v>0</v>
      </c>
      <c r="P177" s="0" t="n">
        <f aca="false">SUMPRODUCT((Rules!$A$2:$A$60=P$1)*Rules!$C$2:$C$60*ISNUMBER(SEARCH(Rules!$E$2:$E$60,$D177)))</f>
        <v>0</v>
      </c>
      <c r="Q177" s="0" t="n">
        <f aca="false">SUMPRODUCT((Rules!$A$2:$A$60=Q$1)*Rules!$C$2:$C$60*ISNUMBER(SEARCH(Rules!$E$2:$E$60,$D177)))</f>
        <v>0</v>
      </c>
      <c r="R177" s="0" t="str">
        <f aca="false">IF(OR(MAX(L177:Q177)&lt;Rules!$H$1,MAX(L177:Q177)-LARGE(L177:Q177,2)&lt;Rules!$H$2),"No label",INDEX($L$1:$Q$1,MATCH(MAX(L177:Q177),L177:Q177,0)))</f>
        <v>No label</v>
      </c>
      <c r="S177" s="0" t="n">
        <f aca="false">SUMPRODUCT(ISNUMBER(SEARCH(" "&amp;Terms!$A$3:$A$821&amp;" ",$D177))*Terms!B$3:B$821)+Terms!B$2</f>
        <v>-0.981047617232408</v>
      </c>
      <c r="T177" s="0" t="n">
        <f aca="false">SUMPRODUCT(ISNUMBER(SEARCH(" "&amp;Terms!$A$3:$A$821&amp;" ",$D177))*Terms!C$3:C$821)+Terms!C$2</f>
        <v>-2.16727899264773</v>
      </c>
      <c r="U177" s="0" t="n">
        <f aca="false">SUMPRODUCT(ISNUMBER(SEARCH(" "&amp;Terms!$A$3:$A$821&amp;" ",$D177))*Terms!D$3:D$821)+Terms!D$2</f>
        <v>-2.89533299547277</v>
      </c>
      <c r="V177" s="0" t="n">
        <f aca="false">SUMPRODUCT(ISNUMBER(SEARCH(" "&amp;Terms!$A$3:$A$821&amp;" ",$D177))*Terms!E$3:E$821)+Terms!E$2</f>
        <v>-0.411622515888741</v>
      </c>
      <c r="W177" s="0" t="n">
        <f aca="false">SUMPRODUCT(ISNUMBER(SEARCH(" "&amp;Terms!$A$3:$A$821&amp;" ",$D177))*Terms!F$3:F$821)+Terms!F$2</f>
        <v>8.20110694341513</v>
      </c>
      <c r="X177" s="0" t="n">
        <f aca="false">SUMPRODUCT(ISNUMBER(SEARCH(" "&amp;Terms!$A$3:$A$821&amp;" ",$D177))*Terms!G$3:G$821)+Terms!G$2</f>
        <v>-1.74582482217338</v>
      </c>
      <c r="Y177" s="0" t="str">
        <f aca="false">INDEX($S$1:$X$1,MATCH(MAX(S177:X177),S177:X177,0))</f>
        <v>Fraud &amp; Scams</v>
      </c>
      <c r="Z177" s="0" t="s">
        <v>2607</v>
      </c>
    </row>
    <row r="178" customFormat="false" ht="15" hidden="false" customHeight="false" outlineLevel="0" collapsed="false">
      <c r="A178" s="0" t="str">
        <f aca="false">Complaints!A178</f>
        <v>C0177</v>
      </c>
      <c r="B178" s="0" t="str">
        <f aca="false">Complaints!B178</f>
        <v>The app crashes every time I try to open my statements. It has also been taking far too long. Please escalate this.</v>
      </c>
      <c r="C178" s="0" t="str">
        <f aca="false">Complaints!C178</f>
        <v>Account Access</v>
      </c>
      <c r="D178" s="0" t="str">
        <f aca="false">" "&amp;TRIM(SUBSTITUTE(SUBSTITUTE(SUBSTITUTE(SUBSTITUTE(SUBSTITUTE(SUBSTITUTE(SUBSTITUTE(SUBSTITUTE(SUBSTITUTE(SUBSTITUTE(SUBSTITUTE(SUBSTITUTE(SUBSTITUTE(SUBSTITUTE(SUBSTITUTE(SUBSTITUTE(LOWER(B178),"."," "),","," "),"'"," "),"’"," "),"!"," "),"?"," "),";"," "),":"," "),"-"," "),"("," "),")"," "),"""", " "),"£"," "),"&amp;"," "),"/"," "),"%"," "))&amp;" "</f>
        <v> the app crashes every time i try to open my statements it has also been taking far too long please escalate this </v>
      </c>
      <c r="E178" s="0" t="n">
        <f aca="false">SUMPRODUCT((Rules!$A$2:$A$60=E$1)*Rules!$C$2:$C$60*ISNUMBER(SEARCH(Rules!$D$2:$D$60,$D178)))</f>
        <v>0</v>
      </c>
      <c r="F178" s="0" t="n">
        <f aca="false">SUMPRODUCT((Rules!$A$2:$A$60=F$1)*Rules!$C$2:$C$60*ISNUMBER(SEARCH(Rules!$D$2:$D$60,$D178)))</f>
        <v>0</v>
      </c>
      <c r="G178" s="0" t="n">
        <f aca="false">SUMPRODUCT((Rules!$A$2:$A$60=G$1)*Rules!$C$2:$C$60*ISNUMBER(SEARCH(Rules!$D$2:$D$60,$D178)))</f>
        <v>3</v>
      </c>
      <c r="H178" s="0" t="n">
        <f aca="false">SUMPRODUCT((Rules!$A$2:$A$60=H$1)*Rules!$C$2:$C$60*ISNUMBER(SEARCH(Rules!$D$2:$D$60,$D178)))</f>
        <v>0</v>
      </c>
      <c r="I178" s="0" t="n">
        <f aca="false">SUMPRODUCT((Rules!$A$2:$A$60=I$1)*Rules!$C$2:$C$60*ISNUMBER(SEARCH(Rules!$D$2:$D$60,$D178)))</f>
        <v>0</v>
      </c>
      <c r="J178" s="0" t="n">
        <f aca="false">SUMPRODUCT((Rules!$A$2:$A$60=J$1)*Rules!$C$2:$C$60*ISNUMBER(SEARCH(Rules!$D$2:$D$60,$D178)))</f>
        <v>0</v>
      </c>
      <c r="K178" s="0" t="str">
        <f aca="false">IF(OR(MAX(E178:J178)&lt;Rules!$H$1,MAX(E178:J178)-LARGE(E178:J178,2)&lt;Rules!$H$2),"No label",INDEX($E$1:$J$1,MATCH(MAX(E178:J178),E178:J178,0)))</f>
        <v>Account Access</v>
      </c>
      <c r="L178" s="0" t="n">
        <f aca="false">SUMPRODUCT((Rules!$A$2:$A$60=L$1)*Rules!$C$2:$C$60*ISNUMBER(SEARCH(Rules!$E$2:$E$60,$D178)))</f>
        <v>0</v>
      </c>
      <c r="M178" s="0" t="n">
        <f aca="false">SUMPRODUCT((Rules!$A$2:$A$60=M$1)*Rules!$C$2:$C$60*ISNUMBER(SEARCH(Rules!$E$2:$E$60,$D178)))</f>
        <v>0</v>
      </c>
      <c r="N178" s="0" t="n">
        <f aca="false">SUMPRODUCT((Rules!$A$2:$A$60=N$1)*Rules!$C$2:$C$60*ISNUMBER(SEARCH(Rules!$E$2:$E$60,$D178)))</f>
        <v>3</v>
      </c>
      <c r="O178" s="0" t="n">
        <f aca="false">SUMPRODUCT((Rules!$A$2:$A$60=O$1)*Rules!$C$2:$C$60*ISNUMBER(SEARCH(Rules!$E$2:$E$60,$D178)))</f>
        <v>1</v>
      </c>
      <c r="P178" s="0" t="n">
        <f aca="false">SUMPRODUCT((Rules!$A$2:$A$60=P$1)*Rules!$C$2:$C$60*ISNUMBER(SEARCH(Rules!$E$2:$E$60,$D178)))</f>
        <v>0</v>
      </c>
      <c r="Q178" s="0" t="n">
        <f aca="false">SUMPRODUCT((Rules!$A$2:$A$60=Q$1)*Rules!$C$2:$C$60*ISNUMBER(SEARCH(Rules!$E$2:$E$60,$D178)))</f>
        <v>0</v>
      </c>
      <c r="R178" s="0" t="str">
        <f aca="false">IF(OR(MAX(L178:Q178)&lt;Rules!$H$1,MAX(L178:Q178)-LARGE(L178:Q178,2)&lt;Rules!$H$2),"No label",INDEX($L$1:$Q$1,MATCH(MAX(L178:Q178),L178:Q178,0)))</f>
        <v>Account Access</v>
      </c>
      <c r="S178" s="0" t="n">
        <f aca="false">SUMPRODUCT(ISNUMBER(SEARCH(" "&amp;Terms!$A$3:$A$821&amp;" ",$D178))*Terms!B$3:B$821)+Terms!B$2</f>
        <v>8.1430103852373</v>
      </c>
      <c r="T178" s="0" t="n">
        <f aca="false">SUMPRODUCT(ISNUMBER(SEARCH(" "&amp;Terms!$A$3:$A$821&amp;" ",$D178))*Terms!C$3:C$821)+Terms!C$2</f>
        <v>-0.121607489318368</v>
      </c>
      <c r="U178" s="0" t="n">
        <f aca="false">SUMPRODUCT(ISNUMBER(SEARCH(" "&amp;Terms!$A$3:$A$821&amp;" ",$D178))*Terms!D$3:D$821)+Terms!D$2</f>
        <v>-2.05031890690235</v>
      </c>
      <c r="V178" s="0" t="n">
        <f aca="false">SUMPRODUCT(ISNUMBER(SEARCH(" "&amp;Terms!$A$3:$A$821&amp;" ",$D178))*Terms!E$3:E$821)+Terms!E$2</f>
        <v>0.415895305817583</v>
      </c>
      <c r="W178" s="0" t="n">
        <f aca="false">SUMPRODUCT(ISNUMBER(SEARCH(" "&amp;Terms!$A$3:$A$821&amp;" ",$D178))*Terms!F$3:F$821)+Terms!F$2</f>
        <v>-3.65378063464529</v>
      </c>
      <c r="X178" s="0" t="n">
        <f aca="false">SUMPRODUCT(ISNUMBER(SEARCH(" "&amp;Terms!$A$3:$A$821&amp;" ",$D178))*Terms!G$3:G$821)+Terms!G$2</f>
        <v>-2.73319866018878</v>
      </c>
      <c r="Y178" s="0" t="str">
        <f aca="false">INDEX($S$1:$X$1,MATCH(MAX(S178:X178),S178:X178,0))</f>
        <v>Account Access</v>
      </c>
      <c r="Z178" s="0" t="s">
        <v>2607</v>
      </c>
    </row>
    <row r="179" customFormat="false" ht="15" hidden="false" customHeight="false" outlineLevel="0" collapsed="false">
      <c r="A179" s="0" t="str">
        <f aca="false">Complaints!A179</f>
        <v>C0178</v>
      </c>
      <c r="B179" s="0" t="str">
        <f aca="false">Complaints!B179</f>
        <v>I was told this policy covered me but y claim was rejected. Also, my account was frozen and I cannot get in to move money.</v>
      </c>
      <c r="C179" s="0" t="str">
        <f aca="false">Complaints!C179</f>
        <v>Mis-selling</v>
      </c>
      <c r="D179" s="0" t="str">
        <f aca="false">" "&amp;TRIM(SUBSTITUTE(SUBSTITUTE(SUBSTITUTE(SUBSTITUTE(SUBSTITUTE(SUBSTITUTE(SUBSTITUTE(SUBSTITUTE(SUBSTITUTE(SUBSTITUTE(SUBSTITUTE(SUBSTITUTE(SUBSTITUTE(SUBSTITUTE(SUBSTITUTE(SUBSTITUTE(LOWER(B179),"."," "),","," "),"'"," "),"’"," "),"!"," "),"?"," "),";"," "),":"," "),"-"," "),"("," "),")"," "),"""", " "),"£"," "),"&amp;"," "),"/"," "),"%"," "))&amp;" "</f>
        <v> i was told this policy covered me but y claim was rejected also my account was frozen and i cannot get in to move money </v>
      </c>
      <c r="E179" s="0" t="n">
        <f aca="false">SUMPRODUCT((Rules!$A$2:$A$60=E$1)*Rules!$C$2:$C$60*ISNUMBER(SEARCH(Rules!$D$2:$D$60,$D179)))</f>
        <v>0</v>
      </c>
      <c r="F179" s="0" t="n">
        <f aca="false">SUMPRODUCT((Rules!$A$2:$A$60=F$1)*Rules!$C$2:$C$60*ISNUMBER(SEARCH(Rules!$D$2:$D$60,$D179)))</f>
        <v>1</v>
      </c>
      <c r="G179" s="0" t="n">
        <f aca="false">SUMPRODUCT((Rules!$A$2:$A$60=G$1)*Rules!$C$2:$C$60*ISNUMBER(SEARCH(Rules!$D$2:$D$60,$D179)))</f>
        <v>0</v>
      </c>
      <c r="H179" s="0" t="n">
        <f aca="false">SUMPRODUCT((Rules!$A$2:$A$60=H$1)*Rules!$C$2:$C$60*ISNUMBER(SEARCH(Rules!$D$2:$D$60,$D179)))</f>
        <v>0</v>
      </c>
      <c r="I179" s="0" t="n">
        <f aca="false">SUMPRODUCT((Rules!$A$2:$A$60=I$1)*Rules!$C$2:$C$60*ISNUMBER(SEARCH(Rules!$D$2:$D$60,$D179)))</f>
        <v>0</v>
      </c>
      <c r="J179" s="0" t="n">
        <f aca="false">SUMPRODUCT((Rules!$A$2:$A$60=J$1)*Rules!$C$2:$C$60*ISNUMBER(SEARCH(Rules!$D$2:$D$60,$D179)))</f>
        <v>0</v>
      </c>
      <c r="K179" s="0" t="str">
        <f aca="false">IF(OR(MAX(E179:J179)&lt;Rules!$H$1,MAX(E179:J179)-LARGE(E179:J179,2)&lt;Rules!$H$2),"No label",INDEX($E$1:$J$1,MATCH(MAX(E179:J179),E179:J179,0)))</f>
        <v>No label</v>
      </c>
      <c r="L179" s="0" t="n">
        <f aca="false">SUMPRODUCT((Rules!$A$2:$A$60=L$1)*Rules!$C$2:$C$60*ISNUMBER(SEARCH(Rules!$E$2:$E$60,$D179)))</f>
        <v>0</v>
      </c>
      <c r="M179" s="0" t="n">
        <f aca="false">SUMPRODUCT((Rules!$A$2:$A$60=M$1)*Rules!$C$2:$C$60*ISNUMBER(SEARCH(Rules!$E$2:$E$60,$D179)))</f>
        <v>1</v>
      </c>
      <c r="N179" s="0" t="n">
        <f aca="false">SUMPRODUCT((Rules!$A$2:$A$60=N$1)*Rules!$C$2:$C$60*ISNUMBER(SEARCH(Rules!$E$2:$E$60,$D179)))</f>
        <v>0</v>
      </c>
      <c r="O179" s="0" t="n">
        <f aca="false">SUMPRODUCT((Rules!$A$2:$A$60=O$1)*Rules!$C$2:$C$60*ISNUMBER(SEARCH(Rules!$E$2:$E$60,$D179)))</f>
        <v>0</v>
      </c>
      <c r="P179" s="0" t="n">
        <f aca="false">SUMPRODUCT((Rules!$A$2:$A$60=P$1)*Rules!$C$2:$C$60*ISNUMBER(SEARCH(Rules!$E$2:$E$60,$D179)))</f>
        <v>0</v>
      </c>
      <c r="Q179" s="0" t="n">
        <f aca="false">SUMPRODUCT((Rules!$A$2:$A$60=Q$1)*Rules!$C$2:$C$60*ISNUMBER(SEARCH(Rules!$E$2:$E$60,$D179)))</f>
        <v>0</v>
      </c>
      <c r="R179" s="0" t="str">
        <f aca="false">IF(OR(MAX(L179:Q179)&lt;Rules!$H$1,MAX(L179:Q179)-LARGE(L179:Q179,2)&lt;Rules!$H$2),"No label",INDEX($L$1:$Q$1,MATCH(MAX(L179:Q179),L179:Q179,0)))</f>
        <v>No label</v>
      </c>
      <c r="S179" s="0" t="n">
        <f aca="false">SUMPRODUCT(ISNUMBER(SEARCH(" "&amp;Terms!$A$3:$A$821&amp;" ",$D179))*Terms!B$3:B$821)+Terms!B$2</f>
        <v>2.52141658242515</v>
      </c>
      <c r="T179" s="0" t="n">
        <f aca="false">SUMPRODUCT(ISNUMBER(SEARCH(" "&amp;Terms!$A$3:$A$821&amp;" ",$D179))*Terms!C$3:C$821)+Terms!C$2</f>
        <v>-7.65715926490786</v>
      </c>
      <c r="U179" s="0" t="n">
        <f aca="false">SUMPRODUCT(ISNUMBER(SEARCH(" "&amp;Terms!$A$3:$A$821&amp;" ",$D179))*Terms!D$3:D$821)+Terms!D$2</f>
        <v>0.956872745192759</v>
      </c>
      <c r="V179" s="0" t="n">
        <f aca="false">SUMPRODUCT(ISNUMBER(SEARCH(" "&amp;Terms!$A$3:$A$821&amp;" ",$D179))*Terms!E$3:E$821)+Terms!E$2</f>
        <v>-2.52187453679082</v>
      </c>
      <c r="W179" s="0" t="n">
        <f aca="false">SUMPRODUCT(ISNUMBER(SEARCH(" "&amp;Terms!$A$3:$A$821&amp;" ",$D179))*Terms!F$3:F$821)+Terms!F$2</f>
        <v>-0.999120763292552</v>
      </c>
      <c r="X179" s="0" t="n">
        <f aca="false">SUMPRODUCT(ISNUMBER(SEARCH(" "&amp;Terms!$A$3:$A$821&amp;" ",$D179))*Terms!G$3:G$821)+Terms!G$2</f>
        <v>7.69986523737341</v>
      </c>
      <c r="Y179" s="0" t="str">
        <f aca="false">INDEX($S$1:$X$1,MATCH(MAX(S179:X179),S179:X179,0))</f>
        <v>Mis-selling</v>
      </c>
      <c r="Z179" s="0" t="s">
        <v>2608</v>
      </c>
    </row>
    <row r="180" customFormat="false" ht="15" hidden="false" customHeight="false" outlineLevel="0" collapsed="false">
      <c r="A180" s="0" t="str">
        <f aca="false">Complaints!A180</f>
        <v>C0179</v>
      </c>
      <c r="B180" s="0" t="str">
        <f aca="false">Complaints!B180</f>
        <v>Please look into what happened on my account. I would like a response in writing.</v>
      </c>
      <c r="C180" s="0" t="str">
        <f aca="false">Complaints!C180</f>
        <v>Mis-selling</v>
      </c>
      <c r="D180" s="0" t="str">
        <f aca="false">" "&amp;TRIM(SUBSTITUTE(SUBSTITUTE(SUBSTITUTE(SUBSTITUTE(SUBSTITUTE(SUBSTITUTE(SUBSTITUTE(SUBSTITUTE(SUBSTITUTE(SUBSTITUTE(SUBSTITUTE(SUBSTITUTE(SUBSTITUTE(SUBSTITUTE(SUBSTITUTE(SUBSTITUTE(LOWER(B180),"."," "),","," "),"'"," "),"’"," "),"!"," "),"?"," "),";"," "),":"," "),"-"," "),"("," "),")"," "),"""", " "),"£"," "),"&amp;"," "),"/"," "),"%"," "))&amp;" "</f>
        <v> please look into what happened on my account i would like a response in writing </v>
      </c>
      <c r="E180" s="0" t="n">
        <f aca="false">SUMPRODUCT((Rules!$A$2:$A$60=E$1)*Rules!$C$2:$C$60*ISNUMBER(SEARCH(Rules!$D$2:$D$60,$D180)))</f>
        <v>0</v>
      </c>
      <c r="F180" s="0" t="n">
        <f aca="false">SUMPRODUCT((Rules!$A$2:$A$60=F$1)*Rules!$C$2:$C$60*ISNUMBER(SEARCH(Rules!$D$2:$D$60,$D180)))</f>
        <v>0</v>
      </c>
      <c r="G180" s="0" t="n">
        <f aca="false">SUMPRODUCT((Rules!$A$2:$A$60=G$1)*Rules!$C$2:$C$60*ISNUMBER(SEARCH(Rules!$D$2:$D$60,$D180)))</f>
        <v>0</v>
      </c>
      <c r="H180" s="0" t="n">
        <f aca="false">SUMPRODUCT((Rules!$A$2:$A$60=H$1)*Rules!$C$2:$C$60*ISNUMBER(SEARCH(Rules!$D$2:$D$60,$D180)))</f>
        <v>0</v>
      </c>
      <c r="I180" s="0" t="n">
        <f aca="false">SUMPRODUCT((Rules!$A$2:$A$60=I$1)*Rules!$C$2:$C$60*ISNUMBER(SEARCH(Rules!$D$2:$D$60,$D180)))</f>
        <v>0</v>
      </c>
      <c r="J180" s="0" t="n">
        <f aca="false">SUMPRODUCT((Rules!$A$2:$A$60=J$1)*Rules!$C$2:$C$60*ISNUMBER(SEARCH(Rules!$D$2:$D$60,$D180)))</f>
        <v>0</v>
      </c>
      <c r="K180" s="0" t="str">
        <f aca="false">IF(OR(MAX(E180:J180)&lt;Rules!$H$1,MAX(E180:J180)-LARGE(E180:J180,2)&lt;Rules!$H$2),"No label",INDEX($E$1:$J$1,MATCH(MAX(E180:J180),E180:J180,0)))</f>
        <v>No label</v>
      </c>
      <c r="L180" s="0" t="n">
        <f aca="false">SUMPRODUCT((Rules!$A$2:$A$60=L$1)*Rules!$C$2:$C$60*ISNUMBER(SEARCH(Rules!$E$2:$E$60,$D180)))</f>
        <v>0</v>
      </c>
      <c r="M180" s="0" t="n">
        <f aca="false">SUMPRODUCT((Rules!$A$2:$A$60=M$1)*Rules!$C$2:$C$60*ISNUMBER(SEARCH(Rules!$E$2:$E$60,$D180)))</f>
        <v>0</v>
      </c>
      <c r="N180" s="0" t="n">
        <f aca="false">SUMPRODUCT((Rules!$A$2:$A$60=N$1)*Rules!$C$2:$C$60*ISNUMBER(SEARCH(Rules!$E$2:$E$60,$D180)))</f>
        <v>0</v>
      </c>
      <c r="O180" s="0" t="n">
        <f aca="false">SUMPRODUCT((Rules!$A$2:$A$60=O$1)*Rules!$C$2:$C$60*ISNUMBER(SEARCH(Rules!$E$2:$E$60,$D180)))</f>
        <v>0</v>
      </c>
      <c r="P180" s="0" t="n">
        <f aca="false">SUMPRODUCT((Rules!$A$2:$A$60=P$1)*Rules!$C$2:$C$60*ISNUMBER(SEARCH(Rules!$E$2:$E$60,$D180)))</f>
        <v>0</v>
      </c>
      <c r="Q180" s="0" t="n">
        <f aca="false">SUMPRODUCT((Rules!$A$2:$A$60=Q$1)*Rules!$C$2:$C$60*ISNUMBER(SEARCH(Rules!$E$2:$E$60,$D180)))</f>
        <v>0</v>
      </c>
      <c r="R180" s="0" t="str">
        <f aca="false">IF(OR(MAX(L180:Q180)&lt;Rules!$H$1,MAX(L180:Q180)-LARGE(L180:Q180,2)&lt;Rules!$H$2),"No label",INDEX($L$1:$Q$1,MATCH(MAX(L180:Q180),L180:Q180,0)))</f>
        <v>No label</v>
      </c>
      <c r="S180" s="0" t="n">
        <f aca="false">SUMPRODUCT(ISNUMBER(SEARCH(" "&amp;Terms!$A$3:$A$821&amp;" ",$D180))*Terms!B$3:B$821)+Terms!B$2</f>
        <v>1.24375474394249</v>
      </c>
      <c r="T180" s="0" t="n">
        <f aca="false">SUMPRODUCT(ISNUMBER(SEARCH(" "&amp;Terms!$A$3:$A$821&amp;" ",$D180))*Terms!C$3:C$821)+Terms!C$2</f>
        <v>-2.04264793833498</v>
      </c>
      <c r="U180" s="0" t="n">
        <f aca="false">SUMPRODUCT(ISNUMBER(SEARCH(" "&amp;Terms!$A$3:$A$821&amp;" ",$D180))*Terms!D$3:D$821)+Terms!D$2</f>
        <v>2.48953149004084</v>
      </c>
      <c r="V180" s="0" t="n">
        <f aca="false">SUMPRODUCT(ISNUMBER(SEARCH(" "&amp;Terms!$A$3:$A$821&amp;" ",$D180))*Terms!E$3:E$821)+Terms!E$2</f>
        <v>-0.946870689361677</v>
      </c>
      <c r="W180" s="0" t="n">
        <f aca="false">SUMPRODUCT(ISNUMBER(SEARCH(" "&amp;Terms!$A$3:$A$821&amp;" ",$D180))*Terms!F$3:F$821)+Terms!F$2</f>
        <v>-1.19459184932654</v>
      </c>
      <c r="X180" s="0" t="n">
        <f aca="false">SUMPRODUCT(ISNUMBER(SEARCH(" "&amp;Terms!$A$3:$A$821&amp;" ",$D180))*Terms!G$3:G$821)+Terms!G$2</f>
        <v>0.450824243039953</v>
      </c>
      <c r="Y180" s="0" t="str">
        <f aca="false">INDEX($S$1:$X$1,MATCH(MAX(S180:X180),S180:X180,0))</f>
        <v>Delays &amp; Processing</v>
      </c>
      <c r="Z180" s="0" t="s">
        <v>2607</v>
      </c>
    </row>
    <row r="181" customFormat="false" ht="15" hidden="false" customHeight="false" outlineLevel="0" collapsed="false">
      <c r="A181" s="0" t="str">
        <f aca="false">Complaints!A181</f>
        <v>C0180</v>
      </c>
      <c r="B181" s="0" t="str">
        <f aca="false">Complaints!B181</f>
        <v>My card reader stopped working and I cannot approve payments. Also, the adviser did not explain the risks of the investment. I expect compensation.</v>
      </c>
      <c r="C181" s="0" t="str">
        <f aca="false">Complaints!C181</f>
        <v>Account Access</v>
      </c>
      <c r="D181" s="0" t="str">
        <f aca="false">" "&amp;TRIM(SUBSTITUTE(SUBSTITUTE(SUBSTITUTE(SUBSTITUTE(SUBSTITUTE(SUBSTITUTE(SUBSTITUTE(SUBSTITUTE(SUBSTITUTE(SUBSTITUTE(SUBSTITUTE(SUBSTITUTE(SUBSTITUTE(SUBSTITUTE(SUBSTITUTE(SUBSTITUTE(LOWER(B181),"."," "),","," "),"'"," "),"’"," "),"!"," "),"?"," "),";"," "),":"," "),"-"," "),"("," "),")"," "),"""", " "),"£"," "),"&amp;"," "),"/"," "),"%"," "))&amp;" "</f>
        <v> my card reader stopped working and i cannot approve payments also the adviser did not explain the risks of the investment i expect compensation </v>
      </c>
      <c r="E181" s="0" t="n">
        <f aca="false">SUMPRODUCT((Rules!$A$2:$A$60=E$1)*Rules!$C$2:$C$60*ISNUMBER(SEARCH(Rules!$D$2:$D$60,$D181)))</f>
        <v>0</v>
      </c>
      <c r="F181" s="0" t="n">
        <f aca="false">SUMPRODUCT((Rules!$A$2:$A$60=F$1)*Rules!$C$2:$C$60*ISNUMBER(SEARCH(Rules!$D$2:$D$60,$D181)))</f>
        <v>4</v>
      </c>
      <c r="G181" s="0" t="n">
        <f aca="false">SUMPRODUCT((Rules!$A$2:$A$60=G$1)*Rules!$C$2:$C$60*ISNUMBER(SEARCH(Rules!$D$2:$D$60,$D181)))</f>
        <v>0</v>
      </c>
      <c r="H181" s="0" t="n">
        <f aca="false">SUMPRODUCT((Rules!$A$2:$A$60=H$1)*Rules!$C$2:$C$60*ISNUMBER(SEARCH(Rules!$D$2:$D$60,$D181)))</f>
        <v>0</v>
      </c>
      <c r="I181" s="0" t="n">
        <f aca="false">SUMPRODUCT((Rules!$A$2:$A$60=I$1)*Rules!$C$2:$C$60*ISNUMBER(SEARCH(Rules!$D$2:$D$60,$D181)))</f>
        <v>0</v>
      </c>
      <c r="J181" s="0" t="n">
        <f aca="false">SUMPRODUCT((Rules!$A$2:$A$60=J$1)*Rules!$C$2:$C$60*ISNUMBER(SEARCH(Rules!$D$2:$D$60,$D181)))</f>
        <v>0</v>
      </c>
      <c r="K181" s="0" t="str">
        <f aca="false">IF(OR(MAX(E181:J181)&lt;Rules!$H$1,MAX(E181:J181)-LARGE(E181:J181,2)&lt;Rules!$H$2),"No label",INDEX($E$1:$J$1,MATCH(MAX(E181:J181),E181:J181,0)))</f>
        <v>Mis-selling</v>
      </c>
      <c r="L181" s="0" t="n">
        <f aca="false">SUMPRODUCT((Rules!$A$2:$A$60=L$1)*Rules!$C$2:$C$60*ISNUMBER(SEARCH(Rules!$E$2:$E$60,$D181)))</f>
        <v>0</v>
      </c>
      <c r="M181" s="0" t="n">
        <f aca="false">SUMPRODUCT((Rules!$A$2:$A$60=M$1)*Rules!$C$2:$C$60*ISNUMBER(SEARCH(Rules!$E$2:$E$60,$D181)))</f>
        <v>6</v>
      </c>
      <c r="N181" s="0" t="n">
        <f aca="false">SUMPRODUCT((Rules!$A$2:$A$60=N$1)*Rules!$C$2:$C$60*ISNUMBER(SEARCH(Rules!$E$2:$E$60,$D181)))</f>
        <v>0</v>
      </c>
      <c r="O181" s="0" t="n">
        <f aca="false">SUMPRODUCT((Rules!$A$2:$A$60=O$1)*Rules!$C$2:$C$60*ISNUMBER(SEARCH(Rules!$E$2:$E$60,$D181)))</f>
        <v>0</v>
      </c>
      <c r="P181" s="0" t="n">
        <f aca="false">SUMPRODUCT((Rules!$A$2:$A$60=P$1)*Rules!$C$2:$C$60*ISNUMBER(SEARCH(Rules!$E$2:$E$60,$D181)))</f>
        <v>0</v>
      </c>
      <c r="Q181" s="0" t="n">
        <f aca="false">SUMPRODUCT((Rules!$A$2:$A$60=Q$1)*Rules!$C$2:$C$60*ISNUMBER(SEARCH(Rules!$E$2:$E$60,$D181)))</f>
        <v>1</v>
      </c>
      <c r="R181" s="0" t="str">
        <f aca="false">IF(OR(MAX(L181:Q181)&lt;Rules!$H$1,MAX(L181:Q181)-LARGE(L181:Q181,2)&lt;Rules!$H$2),"No label",INDEX($L$1:$Q$1,MATCH(MAX(L181:Q181),L181:Q181,0)))</f>
        <v>Mis-selling</v>
      </c>
      <c r="S181" s="0" t="n">
        <f aca="false">SUMPRODUCT(ISNUMBER(SEARCH(" "&amp;Terms!$A$3:$A$821&amp;" ",$D181))*Terms!B$3:B$821)+Terms!B$2</f>
        <v>14.9491155941287</v>
      </c>
      <c r="T181" s="0" t="n">
        <f aca="false">SUMPRODUCT(ISNUMBER(SEARCH(" "&amp;Terms!$A$3:$A$821&amp;" ",$D181))*Terms!C$3:C$821)+Terms!C$2</f>
        <v>-1.39314419976626</v>
      </c>
      <c r="U181" s="0" t="n">
        <f aca="false">SUMPRODUCT(ISNUMBER(SEARCH(" "&amp;Terms!$A$3:$A$821&amp;" ",$D181))*Terms!D$3:D$821)+Terms!D$2</f>
        <v>-8.06674761620584</v>
      </c>
      <c r="V181" s="0" t="n">
        <f aca="false">SUMPRODUCT(ISNUMBER(SEARCH(" "&amp;Terms!$A$3:$A$821&amp;" ",$D181))*Terms!E$3:E$821)+Terms!E$2</f>
        <v>-5.46597178854396</v>
      </c>
      <c r="W181" s="0" t="n">
        <f aca="false">SUMPRODUCT(ISNUMBER(SEARCH(" "&amp;Terms!$A$3:$A$821&amp;" ",$D181))*Terms!F$3:F$821)+Terms!F$2</f>
        <v>0.468984652267766</v>
      </c>
      <c r="X181" s="0" t="n">
        <f aca="false">SUMPRODUCT(ISNUMBER(SEARCH(" "&amp;Terms!$A$3:$A$821&amp;" ",$D181))*Terms!G$3:G$821)+Terms!G$2</f>
        <v>-0.492236641880306</v>
      </c>
      <c r="Y181" s="0" t="str">
        <f aca="false">INDEX($S$1:$X$1,MATCH(MAX(S181:X181),S181:X181,0))</f>
        <v>Account Access</v>
      </c>
      <c r="Z181" s="0" t="s">
        <v>2607</v>
      </c>
    </row>
    <row r="182" customFormat="false" ht="15" hidden="false" customHeight="false" outlineLevel="0" collapsed="false">
      <c r="A182" s="0" t="str">
        <f aca="false">Complaints!A182</f>
        <v>C0181</v>
      </c>
      <c r="B182" s="0" t="str">
        <f aca="false">Complaints!B182</f>
        <v>I keep getting an error message when I sign in.</v>
      </c>
      <c r="C182" s="0" t="str">
        <f aca="false">Complaints!C182</f>
        <v>Account Access</v>
      </c>
      <c r="D182" s="0" t="str">
        <f aca="false">" "&amp;TRIM(SUBSTITUTE(SUBSTITUTE(SUBSTITUTE(SUBSTITUTE(SUBSTITUTE(SUBSTITUTE(SUBSTITUTE(SUBSTITUTE(SUBSTITUTE(SUBSTITUTE(SUBSTITUTE(SUBSTITUTE(SUBSTITUTE(SUBSTITUTE(SUBSTITUTE(SUBSTITUTE(LOWER(B182),"."," "),","," "),"'"," "),"’"," "),"!"," "),"?"," "),";"," "),":"," "),"-"," "),"("," "),")"," "),"""", " "),"£"," "),"&amp;"," "),"/"," "),"%"," "))&amp;" "</f>
        <v> i keep getting an error message when i sign in </v>
      </c>
      <c r="E182" s="0" t="n">
        <f aca="false">SUMPRODUCT((Rules!$A$2:$A$60=E$1)*Rules!$C$2:$C$60*ISNUMBER(SEARCH(Rules!$D$2:$D$60,$D182)))</f>
        <v>0</v>
      </c>
      <c r="F182" s="0" t="n">
        <f aca="false">SUMPRODUCT((Rules!$A$2:$A$60=F$1)*Rules!$C$2:$C$60*ISNUMBER(SEARCH(Rules!$D$2:$D$60,$D182)))</f>
        <v>0</v>
      </c>
      <c r="G182" s="0" t="n">
        <f aca="false">SUMPRODUCT((Rules!$A$2:$A$60=G$1)*Rules!$C$2:$C$60*ISNUMBER(SEARCH(Rules!$D$2:$D$60,$D182)))</f>
        <v>3</v>
      </c>
      <c r="H182" s="0" t="n">
        <f aca="false">SUMPRODUCT((Rules!$A$2:$A$60=H$1)*Rules!$C$2:$C$60*ISNUMBER(SEARCH(Rules!$D$2:$D$60,$D182)))</f>
        <v>0</v>
      </c>
      <c r="I182" s="0" t="n">
        <f aca="false">SUMPRODUCT((Rules!$A$2:$A$60=I$1)*Rules!$C$2:$C$60*ISNUMBER(SEARCH(Rules!$D$2:$D$60,$D182)))</f>
        <v>0</v>
      </c>
      <c r="J182" s="0" t="n">
        <f aca="false">SUMPRODUCT((Rules!$A$2:$A$60=J$1)*Rules!$C$2:$C$60*ISNUMBER(SEARCH(Rules!$D$2:$D$60,$D182)))</f>
        <v>0</v>
      </c>
      <c r="K182" s="0" t="str">
        <f aca="false">IF(OR(MAX(E182:J182)&lt;Rules!$H$1,MAX(E182:J182)-LARGE(E182:J182,2)&lt;Rules!$H$2),"No label",INDEX($E$1:$J$1,MATCH(MAX(E182:J182),E182:J182,0)))</f>
        <v>Account Access</v>
      </c>
      <c r="L182" s="0" t="n">
        <f aca="false">SUMPRODUCT((Rules!$A$2:$A$60=L$1)*Rules!$C$2:$C$60*ISNUMBER(SEARCH(Rules!$E$2:$E$60,$D182)))</f>
        <v>0</v>
      </c>
      <c r="M182" s="0" t="n">
        <f aca="false">SUMPRODUCT((Rules!$A$2:$A$60=M$1)*Rules!$C$2:$C$60*ISNUMBER(SEARCH(Rules!$E$2:$E$60,$D182)))</f>
        <v>0</v>
      </c>
      <c r="N182" s="0" t="n">
        <f aca="false">SUMPRODUCT((Rules!$A$2:$A$60=N$1)*Rules!$C$2:$C$60*ISNUMBER(SEARCH(Rules!$E$2:$E$60,$D182)))</f>
        <v>3</v>
      </c>
      <c r="O182" s="0" t="n">
        <f aca="false">SUMPRODUCT((Rules!$A$2:$A$60=O$1)*Rules!$C$2:$C$60*ISNUMBER(SEARCH(Rules!$E$2:$E$60,$D182)))</f>
        <v>0</v>
      </c>
      <c r="P182" s="0" t="n">
        <f aca="false">SUMPRODUCT((Rules!$A$2:$A$60=P$1)*Rules!$C$2:$C$60*ISNUMBER(SEARCH(Rules!$E$2:$E$60,$D182)))</f>
        <v>0</v>
      </c>
      <c r="Q182" s="0" t="n">
        <f aca="false">SUMPRODUCT((Rules!$A$2:$A$60=Q$1)*Rules!$C$2:$C$60*ISNUMBER(SEARCH(Rules!$E$2:$E$60,$D182)))</f>
        <v>0</v>
      </c>
      <c r="R182" s="0" t="str">
        <f aca="false">IF(OR(MAX(L182:Q182)&lt;Rules!$H$1,MAX(L182:Q182)-LARGE(L182:Q182,2)&lt;Rules!$H$2),"No label",INDEX($L$1:$Q$1,MATCH(MAX(L182:Q182),L182:Q182,0)))</f>
        <v>Account Access</v>
      </c>
      <c r="S182" s="0" t="n">
        <f aca="false">SUMPRODUCT(ISNUMBER(SEARCH(" "&amp;Terms!$A$3:$A$821&amp;" ",$D182))*Terms!B$3:B$821)+Terms!B$2</f>
        <v>10.1403825943189</v>
      </c>
      <c r="T182" s="0" t="n">
        <f aca="false">SUMPRODUCT(ISNUMBER(SEARCH(" "&amp;Terms!$A$3:$A$821&amp;" ",$D182))*Terms!C$3:C$821)+Terms!C$2</f>
        <v>1.07730295595324</v>
      </c>
      <c r="U182" s="0" t="n">
        <f aca="false">SUMPRODUCT(ISNUMBER(SEARCH(" "&amp;Terms!$A$3:$A$821&amp;" ",$D182))*Terms!D$3:D$821)+Terms!D$2</f>
        <v>-2.16008252897835</v>
      </c>
      <c r="V182" s="0" t="n">
        <f aca="false">SUMPRODUCT(ISNUMBER(SEARCH(" "&amp;Terms!$A$3:$A$821&amp;" ",$D182))*Terms!E$3:E$821)+Terms!E$2</f>
        <v>-5.02829713523093</v>
      </c>
      <c r="W182" s="0" t="n">
        <f aca="false">SUMPRODUCT(ISNUMBER(SEARCH(" "&amp;Terms!$A$3:$A$821&amp;" ",$D182))*Terms!F$3:F$821)+Terms!F$2</f>
        <v>-0.61849251190589</v>
      </c>
      <c r="X182" s="0" t="n">
        <f aca="false">SUMPRODUCT(ISNUMBER(SEARCH(" "&amp;Terms!$A$3:$A$821&amp;" ",$D182))*Terms!G$3:G$821)+Terms!G$2</f>
        <v>-3.41081337415689</v>
      </c>
      <c r="Y182" s="0" t="str">
        <f aca="false">INDEX($S$1:$X$1,MATCH(MAX(S182:X182),S182:X182,0))</f>
        <v>Account Access</v>
      </c>
      <c r="Z182" s="0" t="s">
        <v>2607</v>
      </c>
    </row>
    <row r="183" customFormat="false" ht="15" hidden="false" customHeight="false" outlineLevel="0" collapsed="false">
      <c r="A183" s="0" t="str">
        <f aca="false">Complaints!A183</f>
        <v>C0182</v>
      </c>
      <c r="B183" s="0" t="str">
        <f aca="false">Complaints!B183</f>
        <v>I have been a customer for years. I have ben billed an annual fee I never agreed to. I want this put right.</v>
      </c>
      <c r="C183" s="0" t="str">
        <f aca="false">Complaints!C183</f>
        <v>Fees &amp; Charges</v>
      </c>
      <c r="D183" s="0" t="str">
        <f aca="false">" "&amp;TRIM(SUBSTITUTE(SUBSTITUTE(SUBSTITUTE(SUBSTITUTE(SUBSTITUTE(SUBSTITUTE(SUBSTITUTE(SUBSTITUTE(SUBSTITUTE(SUBSTITUTE(SUBSTITUTE(SUBSTITUTE(SUBSTITUTE(SUBSTITUTE(SUBSTITUTE(SUBSTITUTE(LOWER(B183),"."," "),","," "),"'"," "),"’"," "),"!"," "),"?"," "),";"," "),":"," "),"-"," "),"("," "),")"," "),"""", " "),"£"," "),"&amp;"," "),"/"," "),"%"," "))&amp;" "</f>
        <v> i have been a customer for years i have ben billed an annual fee i never agreed to i want this put right </v>
      </c>
      <c r="E183" s="0" t="n">
        <f aca="false">SUMPRODUCT((Rules!$A$2:$A$60=E$1)*Rules!$C$2:$C$60*ISNUMBER(SEARCH(Rules!$D$2:$D$60,$D183)))</f>
        <v>0</v>
      </c>
      <c r="F183" s="0" t="n">
        <f aca="false">SUMPRODUCT((Rules!$A$2:$A$60=F$1)*Rules!$C$2:$C$60*ISNUMBER(SEARCH(Rules!$D$2:$D$60,$D183)))</f>
        <v>0</v>
      </c>
      <c r="G183" s="0" t="n">
        <f aca="false">SUMPRODUCT((Rules!$A$2:$A$60=G$1)*Rules!$C$2:$C$60*ISNUMBER(SEARCH(Rules!$D$2:$D$60,$D183)))</f>
        <v>0</v>
      </c>
      <c r="H183" s="0" t="n">
        <f aca="false">SUMPRODUCT((Rules!$A$2:$A$60=H$1)*Rules!$C$2:$C$60*ISNUMBER(SEARCH(Rules!$D$2:$D$60,$D183)))</f>
        <v>4</v>
      </c>
      <c r="I183" s="0" t="n">
        <f aca="false">SUMPRODUCT((Rules!$A$2:$A$60=I$1)*Rules!$C$2:$C$60*ISNUMBER(SEARCH(Rules!$D$2:$D$60,$D183)))</f>
        <v>0</v>
      </c>
      <c r="J183" s="0" t="n">
        <f aca="false">SUMPRODUCT((Rules!$A$2:$A$60=J$1)*Rules!$C$2:$C$60*ISNUMBER(SEARCH(Rules!$D$2:$D$60,$D183)))</f>
        <v>0</v>
      </c>
      <c r="K183" s="0" t="str">
        <f aca="false">IF(OR(MAX(E183:J183)&lt;Rules!$H$1,MAX(E183:J183)-LARGE(E183:J183,2)&lt;Rules!$H$2),"No label",INDEX($E$1:$J$1,MATCH(MAX(E183:J183),E183:J183,0)))</f>
        <v>Fees &amp; Charges</v>
      </c>
      <c r="L183" s="0" t="n">
        <f aca="false">SUMPRODUCT((Rules!$A$2:$A$60=L$1)*Rules!$C$2:$C$60*ISNUMBER(SEARCH(Rules!$E$2:$E$60,$D183)))</f>
        <v>0</v>
      </c>
      <c r="M183" s="0" t="n">
        <f aca="false">SUMPRODUCT((Rules!$A$2:$A$60=M$1)*Rules!$C$2:$C$60*ISNUMBER(SEARCH(Rules!$E$2:$E$60,$D183)))</f>
        <v>0</v>
      </c>
      <c r="N183" s="0" t="n">
        <f aca="false">SUMPRODUCT((Rules!$A$2:$A$60=N$1)*Rules!$C$2:$C$60*ISNUMBER(SEARCH(Rules!$E$2:$E$60,$D183)))</f>
        <v>0</v>
      </c>
      <c r="O183" s="0" t="n">
        <f aca="false">SUMPRODUCT((Rules!$A$2:$A$60=O$1)*Rules!$C$2:$C$60*ISNUMBER(SEARCH(Rules!$E$2:$E$60,$D183)))</f>
        <v>4</v>
      </c>
      <c r="P183" s="0" t="n">
        <f aca="false">SUMPRODUCT((Rules!$A$2:$A$60=P$1)*Rules!$C$2:$C$60*ISNUMBER(SEARCH(Rules!$E$2:$E$60,$D183)))</f>
        <v>0</v>
      </c>
      <c r="Q183" s="0" t="n">
        <f aca="false">SUMPRODUCT((Rules!$A$2:$A$60=Q$1)*Rules!$C$2:$C$60*ISNUMBER(SEARCH(Rules!$E$2:$E$60,$D183)))</f>
        <v>0</v>
      </c>
      <c r="R183" s="0" t="str">
        <f aca="false">IF(OR(MAX(L183:Q183)&lt;Rules!$H$1,MAX(L183:Q183)-LARGE(L183:Q183,2)&lt;Rules!$H$2),"No label",INDEX($L$1:$Q$1,MATCH(MAX(L183:Q183),L183:Q183,0)))</f>
        <v>Fees &amp; Charges</v>
      </c>
      <c r="S183" s="0" t="n">
        <f aca="false">SUMPRODUCT(ISNUMBER(SEARCH(" "&amp;Terms!$A$3:$A$821&amp;" ",$D183))*Terms!B$3:B$821)+Terms!B$2</f>
        <v>-0.802122412927177</v>
      </c>
      <c r="T183" s="0" t="n">
        <f aca="false">SUMPRODUCT(ISNUMBER(SEARCH(" "&amp;Terms!$A$3:$A$821&amp;" ",$D183))*Terms!C$3:C$821)+Terms!C$2</f>
        <v>-2.46809672730539</v>
      </c>
      <c r="U183" s="0" t="n">
        <f aca="false">SUMPRODUCT(ISNUMBER(SEARCH(" "&amp;Terms!$A$3:$A$821&amp;" ",$D183))*Terms!D$3:D$821)+Terms!D$2</f>
        <v>-1.94159550099273</v>
      </c>
      <c r="V183" s="0" t="n">
        <f aca="false">SUMPRODUCT(ISNUMBER(SEARCH(" "&amp;Terms!$A$3:$A$821&amp;" ",$D183))*Terms!E$3:E$821)+Terms!E$2</f>
        <v>11.6660568904924</v>
      </c>
      <c r="W183" s="0" t="n">
        <f aca="false">SUMPRODUCT(ISNUMBER(SEARCH(" "&amp;Terms!$A$3:$A$821&amp;" ",$D183))*Terms!F$3:F$821)+Terms!F$2</f>
        <v>-3.78389170298516</v>
      </c>
      <c r="X183" s="0" t="n">
        <f aca="false">SUMPRODUCT(ISNUMBER(SEARCH(" "&amp;Terms!$A$3:$A$821&amp;" ",$D183))*Terms!G$3:G$821)+Terms!G$2</f>
        <v>-2.67035054628181</v>
      </c>
      <c r="Y183" s="0" t="str">
        <f aca="false">INDEX($S$1:$X$1,MATCH(MAX(S183:X183),S183:X183,0))</f>
        <v>Fees &amp; Charges</v>
      </c>
      <c r="Z183" s="0" t="s">
        <v>2608</v>
      </c>
    </row>
    <row r="184" customFormat="false" ht="15" hidden="false" customHeight="false" outlineLevel="0" collapsed="false">
      <c r="A184" s="0" t="str">
        <f aca="false">Complaints!A184</f>
        <v>C0183</v>
      </c>
      <c r="B184" s="0" t="str">
        <f aca="false">Complaints!B184</f>
        <v>Someone has made payment from my account that I did not authorise. Please sort this out.</v>
      </c>
      <c r="C184" s="0" t="str">
        <f aca="false">Complaints!C184</f>
        <v>Fraud &amp; Scams</v>
      </c>
      <c r="D184" s="0" t="str">
        <f aca="false">" "&amp;TRIM(SUBSTITUTE(SUBSTITUTE(SUBSTITUTE(SUBSTITUTE(SUBSTITUTE(SUBSTITUTE(SUBSTITUTE(SUBSTITUTE(SUBSTITUTE(SUBSTITUTE(SUBSTITUTE(SUBSTITUTE(SUBSTITUTE(SUBSTITUTE(SUBSTITUTE(SUBSTITUTE(LOWER(B184),"."," "),","," "),"'"," "),"’"," "),"!"," "),"?"," "),";"," "),":"," "),"-"," "),"("," "),")"," "),"""", " "),"£"," "),"&amp;"," "),"/"," "),"%"," "))&amp;" "</f>
        <v> someone has made payment from my account that i did not authorise please sort this out </v>
      </c>
      <c r="E184" s="0" t="n">
        <f aca="false">SUMPRODUCT((Rules!$A$2:$A$60=E$1)*Rules!$C$2:$C$60*ISNUMBER(SEARCH(Rules!$D$2:$D$60,$D184)))</f>
        <v>3</v>
      </c>
      <c r="F184" s="0" t="n">
        <f aca="false">SUMPRODUCT((Rules!$A$2:$A$60=F$1)*Rules!$C$2:$C$60*ISNUMBER(SEARCH(Rules!$D$2:$D$60,$D184)))</f>
        <v>0</v>
      </c>
      <c r="G184" s="0" t="n">
        <f aca="false">SUMPRODUCT((Rules!$A$2:$A$60=G$1)*Rules!$C$2:$C$60*ISNUMBER(SEARCH(Rules!$D$2:$D$60,$D184)))</f>
        <v>0</v>
      </c>
      <c r="H184" s="0" t="n">
        <f aca="false">SUMPRODUCT((Rules!$A$2:$A$60=H$1)*Rules!$C$2:$C$60*ISNUMBER(SEARCH(Rules!$D$2:$D$60,$D184)))</f>
        <v>0</v>
      </c>
      <c r="I184" s="0" t="n">
        <f aca="false">SUMPRODUCT((Rules!$A$2:$A$60=I$1)*Rules!$C$2:$C$60*ISNUMBER(SEARCH(Rules!$D$2:$D$60,$D184)))</f>
        <v>0</v>
      </c>
      <c r="J184" s="0" t="n">
        <f aca="false">SUMPRODUCT((Rules!$A$2:$A$60=J$1)*Rules!$C$2:$C$60*ISNUMBER(SEARCH(Rules!$D$2:$D$60,$D184)))</f>
        <v>0</v>
      </c>
      <c r="K184" s="0" t="str">
        <f aca="false">IF(OR(MAX(E184:J184)&lt;Rules!$H$1,MAX(E184:J184)-LARGE(E184:J184,2)&lt;Rules!$H$2),"No label",INDEX($E$1:$J$1,MATCH(MAX(E184:J184),E184:J184,0)))</f>
        <v>Fraud &amp; Scams</v>
      </c>
      <c r="L184" s="0" t="n">
        <f aca="false">SUMPRODUCT((Rules!$A$2:$A$60=L$1)*Rules!$C$2:$C$60*ISNUMBER(SEARCH(Rules!$E$2:$E$60,$D184)))</f>
        <v>3</v>
      </c>
      <c r="M184" s="0" t="n">
        <f aca="false">SUMPRODUCT((Rules!$A$2:$A$60=M$1)*Rules!$C$2:$C$60*ISNUMBER(SEARCH(Rules!$E$2:$E$60,$D184)))</f>
        <v>0</v>
      </c>
      <c r="N184" s="0" t="n">
        <f aca="false">SUMPRODUCT((Rules!$A$2:$A$60=N$1)*Rules!$C$2:$C$60*ISNUMBER(SEARCH(Rules!$E$2:$E$60,$D184)))</f>
        <v>0</v>
      </c>
      <c r="O184" s="0" t="n">
        <f aca="false">SUMPRODUCT((Rules!$A$2:$A$60=O$1)*Rules!$C$2:$C$60*ISNUMBER(SEARCH(Rules!$E$2:$E$60,$D184)))</f>
        <v>0</v>
      </c>
      <c r="P184" s="0" t="n">
        <f aca="false">SUMPRODUCT((Rules!$A$2:$A$60=P$1)*Rules!$C$2:$C$60*ISNUMBER(SEARCH(Rules!$E$2:$E$60,$D184)))</f>
        <v>0</v>
      </c>
      <c r="Q184" s="0" t="n">
        <f aca="false">SUMPRODUCT((Rules!$A$2:$A$60=Q$1)*Rules!$C$2:$C$60*ISNUMBER(SEARCH(Rules!$E$2:$E$60,$D184)))</f>
        <v>0</v>
      </c>
      <c r="R184" s="0" t="str">
        <f aca="false">IF(OR(MAX(L184:Q184)&lt;Rules!$H$1,MAX(L184:Q184)-LARGE(L184:Q184,2)&lt;Rules!$H$2),"No label",INDEX($L$1:$Q$1,MATCH(MAX(L184:Q184),L184:Q184,0)))</f>
        <v>Fraud &amp; Scams</v>
      </c>
      <c r="S184" s="0" t="n">
        <f aca="false">SUMPRODUCT(ISNUMBER(SEARCH(" "&amp;Terms!$A$3:$A$821&amp;" ",$D184))*Terms!B$3:B$821)+Terms!B$2</f>
        <v>-2.8317495068788</v>
      </c>
      <c r="T184" s="0" t="n">
        <f aca="false">SUMPRODUCT(ISNUMBER(SEARCH(" "&amp;Terms!$A$3:$A$821&amp;" ",$D184))*Terms!C$3:C$821)+Terms!C$2</f>
        <v>-2.14542186379368</v>
      </c>
      <c r="U184" s="0" t="n">
        <f aca="false">SUMPRODUCT(ISNUMBER(SEARCH(" "&amp;Terms!$A$3:$A$821&amp;" ",$D184))*Terms!D$3:D$821)+Terms!D$2</f>
        <v>1.94740077821997</v>
      </c>
      <c r="V184" s="0" t="n">
        <f aca="false">SUMPRODUCT(ISNUMBER(SEARCH(" "&amp;Terms!$A$3:$A$821&amp;" ",$D184))*Terms!E$3:E$821)+Terms!E$2</f>
        <v>0.982160887687492</v>
      </c>
      <c r="W184" s="0" t="n">
        <f aca="false">SUMPRODUCT(ISNUMBER(SEARCH(" "&amp;Terms!$A$3:$A$821&amp;" ",$D184))*Terms!F$3:F$821)+Terms!F$2</f>
        <v>4.3648904324792</v>
      </c>
      <c r="X184" s="0" t="n">
        <f aca="false">SUMPRODUCT(ISNUMBER(SEARCH(" "&amp;Terms!$A$3:$A$821&amp;" ",$D184))*Terms!G$3:G$821)+Terms!G$2</f>
        <v>-2.31728072771409</v>
      </c>
      <c r="Y184" s="0" t="str">
        <f aca="false">INDEX($S$1:$X$1,MATCH(MAX(S184:X184),S184:X184,0))</f>
        <v>Fraud &amp; Scams</v>
      </c>
      <c r="Z184" s="0" t="s">
        <v>2607</v>
      </c>
    </row>
    <row r="185" customFormat="false" ht="15" hidden="false" customHeight="false" outlineLevel="0" collapsed="false">
      <c r="A185" s="0" t="str">
        <f aca="false">Complaints!A185</f>
        <v>C0184</v>
      </c>
      <c r="B185" s="0" t="str">
        <f aca="false">Complaints!B185</f>
        <v>I am writing to complain. I cannot log in to the mobile app since the update. There was also a fee involved.</v>
      </c>
      <c r="C185" s="0" t="str">
        <f aca="false">Complaints!C185</f>
        <v>Account Access</v>
      </c>
      <c r="D185" s="0" t="str">
        <f aca="false">" "&amp;TRIM(SUBSTITUTE(SUBSTITUTE(SUBSTITUTE(SUBSTITUTE(SUBSTITUTE(SUBSTITUTE(SUBSTITUTE(SUBSTITUTE(SUBSTITUTE(SUBSTITUTE(SUBSTITUTE(SUBSTITUTE(SUBSTITUTE(SUBSTITUTE(SUBSTITUTE(SUBSTITUTE(LOWER(B185),"."," "),","," "),"'"," "),"’"," "),"!"," "),"?"," "),";"," "),":"," "),"-"," "),"("," "),")"," "),"""", " "),"£"," "),"&amp;"," "),"/"," "),"%"," "))&amp;" "</f>
        <v> i am writing to complain i cannot log in to the mobile app since the update there was also a fee involved </v>
      </c>
      <c r="E185" s="0" t="n">
        <f aca="false">SUMPRODUCT((Rules!$A$2:$A$60=E$1)*Rules!$C$2:$C$60*ISNUMBER(SEARCH(Rules!$D$2:$D$60,$D185)))</f>
        <v>0</v>
      </c>
      <c r="F185" s="0" t="n">
        <f aca="false">SUMPRODUCT((Rules!$A$2:$A$60=F$1)*Rules!$C$2:$C$60*ISNUMBER(SEARCH(Rules!$D$2:$D$60,$D185)))</f>
        <v>0</v>
      </c>
      <c r="G185" s="0" t="n">
        <f aca="false">SUMPRODUCT((Rules!$A$2:$A$60=G$1)*Rules!$C$2:$C$60*ISNUMBER(SEARCH(Rules!$D$2:$D$60,$D185)))</f>
        <v>4</v>
      </c>
      <c r="H185" s="0" t="n">
        <f aca="false">SUMPRODUCT((Rules!$A$2:$A$60=H$1)*Rules!$C$2:$C$60*ISNUMBER(SEARCH(Rules!$D$2:$D$60,$D185)))</f>
        <v>2</v>
      </c>
      <c r="I185" s="0" t="n">
        <f aca="false">SUMPRODUCT((Rules!$A$2:$A$60=I$1)*Rules!$C$2:$C$60*ISNUMBER(SEARCH(Rules!$D$2:$D$60,$D185)))</f>
        <v>0</v>
      </c>
      <c r="J185" s="0" t="n">
        <f aca="false">SUMPRODUCT((Rules!$A$2:$A$60=J$1)*Rules!$C$2:$C$60*ISNUMBER(SEARCH(Rules!$D$2:$D$60,$D185)))</f>
        <v>0</v>
      </c>
      <c r="K185" s="0" t="str">
        <f aca="false">IF(OR(MAX(E185:J185)&lt;Rules!$H$1,MAX(E185:J185)-LARGE(E185:J185,2)&lt;Rules!$H$2),"No label",INDEX($E$1:$J$1,MATCH(MAX(E185:J185),E185:J185,0)))</f>
        <v>Account Access</v>
      </c>
      <c r="L185" s="0" t="n">
        <f aca="false">SUMPRODUCT((Rules!$A$2:$A$60=L$1)*Rules!$C$2:$C$60*ISNUMBER(SEARCH(Rules!$E$2:$E$60,$D185)))</f>
        <v>0</v>
      </c>
      <c r="M185" s="0" t="n">
        <f aca="false">SUMPRODUCT((Rules!$A$2:$A$60=M$1)*Rules!$C$2:$C$60*ISNUMBER(SEARCH(Rules!$E$2:$E$60,$D185)))</f>
        <v>0</v>
      </c>
      <c r="N185" s="0" t="n">
        <f aca="false">SUMPRODUCT((Rules!$A$2:$A$60=N$1)*Rules!$C$2:$C$60*ISNUMBER(SEARCH(Rules!$E$2:$E$60,$D185)))</f>
        <v>4</v>
      </c>
      <c r="O185" s="0" t="n">
        <f aca="false">SUMPRODUCT((Rules!$A$2:$A$60=O$1)*Rules!$C$2:$C$60*ISNUMBER(SEARCH(Rules!$E$2:$E$60,$D185)))</f>
        <v>2</v>
      </c>
      <c r="P185" s="0" t="n">
        <f aca="false">SUMPRODUCT((Rules!$A$2:$A$60=P$1)*Rules!$C$2:$C$60*ISNUMBER(SEARCH(Rules!$E$2:$E$60,$D185)))</f>
        <v>0</v>
      </c>
      <c r="Q185" s="0" t="n">
        <f aca="false">SUMPRODUCT((Rules!$A$2:$A$60=Q$1)*Rules!$C$2:$C$60*ISNUMBER(SEARCH(Rules!$E$2:$E$60,$D185)))</f>
        <v>0</v>
      </c>
      <c r="R185" s="0" t="str">
        <f aca="false">IF(OR(MAX(L185:Q185)&lt;Rules!$H$1,MAX(L185:Q185)-LARGE(L185:Q185,2)&lt;Rules!$H$2),"No label",INDEX($L$1:$Q$1,MATCH(MAX(L185:Q185),L185:Q185,0)))</f>
        <v>Account Access</v>
      </c>
      <c r="S185" s="0" t="n">
        <f aca="false">SUMPRODUCT(ISNUMBER(SEARCH(" "&amp;Terms!$A$3:$A$821&amp;" ",$D185))*Terms!B$3:B$821)+Terms!B$2</f>
        <v>9.05264689288282</v>
      </c>
      <c r="T185" s="0" t="n">
        <f aca="false">SUMPRODUCT(ISNUMBER(SEARCH(" "&amp;Terms!$A$3:$A$821&amp;" ",$D185))*Terms!C$3:C$821)+Terms!C$2</f>
        <v>-2.13916888041457</v>
      </c>
      <c r="U185" s="0" t="n">
        <f aca="false">SUMPRODUCT(ISNUMBER(SEARCH(" "&amp;Terms!$A$3:$A$821&amp;" ",$D185))*Terms!D$3:D$821)+Terms!D$2</f>
        <v>-0.0902441585503232</v>
      </c>
      <c r="V185" s="0" t="n">
        <f aca="false">SUMPRODUCT(ISNUMBER(SEARCH(" "&amp;Terms!$A$3:$A$821&amp;" ",$D185))*Terms!E$3:E$821)+Terms!E$2</f>
        <v>-1.30626830627147</v>
      </c>
      <c r="W185" s="0" t="n">
        <f aca="false">SUMPRODUCT(ISNUMBER(SEARCH(" "&amp;Terms!$A$3:$A$821&amp;" ",$D185))*Terms!F$3:F$821)+Terms!F$2</f>
        <v>-5.2552042918429</v>
      </c>
      <c r="X185" s="0" t="n">
        <f aca="false">SUMPRODUCT(ISNUMBER(SEARCH(" "&amp;Terms!$A$3:$A$821&amp;" ",$D185))*Terms!G$3:G$821)+Terms!G$2</f>
        <v>-0.261761255803457</v>
      </c>
      <c r="Y185" s="0" t="str">
        <f aca="false">INDEX($S$1:$X$1,MATCH(MAX(S185:X185),S185:X185,0))</f>
        <v>Account Access</v>
      </c>
      <c r="Z185" s="0" t="s">
        <v>2607</v>
      </c>
    </row>
    <row r="186" customFormat="false" ht="15" hidden="false" customHeight="false" outlineLevel="0" collapsed="false">
      <c r="A186" s="0" t="str">
        <f aca="false">Complaints!A186</f>
        <v>C0185</v>
      </c>
      <c r="B186" s="0" t="str">
        <f aca="false">Complaints!B186</f>
        <v>The website will not let me register for online access. Also, the direct debit setup was delayed and I missed a bill because of it.</v>
      </c>
      <c r="C186" s="0" t="str">
        <f aca="false">Complaints!C186</f>
        <v>Account Access</v>
      </c>
      <c r="D186" s="0" t="str">
        <f aca="false">" "&amp;TRIM(SUBSTITUTE(SUBSTITUTE(SUBSTITUTE(SUBSTITUTE(SUBSTITUTE(SUBSTITUTE(SUBSTITUTE(SUBSTITUTE(SUBSTITUTE(SUBSTITUTE(SUBSTITUTE(SUBSTITUTE(SUBSTITUTE(SUBSTITUTE(SUBSTITUTE(SUBSTITUTE(LOWER(B186),"."," "),","," "),"'"," "),"’"," "),"!"," "),"?"," "),";"," "),":"," "),"-"," "),"("," "),")"," "),"""", " "),"£"," "),"&amp;"," "),"/"," "),"%"," "))&amp;" "</f>
        <v> the website will not let me register for online access also the direct debit setup was delayed and i missed a bill because of it </v>
      </c>
      <c r="E186" s="0" t="n">
        <f aca="false">SUMPRODUCT((Rules!$A$2:$A$60=E$1)*Rules!$C$2:$C$60*ISNUMBER(SEARCH(Rules!$D$2:$D$60,$D186)))</f>
        <v>0</v>
      </c>
      <c r="F186" s="0" t="n">
        <f aca="false">SUMPRODUCT((Rules!$A$2:$A$60=F$1)*Rules!$C$2:$C$60*ISNUMBER(SEARCH(Rules!$D$2:$D$60,$D186)))</f>
        <v>0</v>
      </c>
      <c r="G186" s="0" t="n">
        <f aca="false">SUMPRODUCT((Rules!$A$2:$A$60=G$1)*Rules!$C$2:$C$60*ISNUMBER(SEARCH(Rules!$D$2:$D$60,$D186)))</f>
        <v>1</v>
      </c>
      <c r="H186" s="0" t="n">
        <f aca="false">SUMPRODUCT((Rules!$A$2:$A$60=H$1)*Rules!$C$2:$C$60*ISNUMBER(SEARCH(Rules!$D$2:$D$60,$D186)))</f>
        <v>0</v>
      </c>
      <c r="I186" s="0" t="n">
        <f aca="false">SUMPRODUCT((Rules!$A$2:$A$60=I$1)*Rules!$C$2:$C$60*ISNUMBER(SEARCH(Rules!$D$2:$D$60,$D186)))</f>
        <v>2</v>
      </c>
      <c r="J186" s="0" t="n">
        <f aca="false">SUMPRODUCT((Rules!$A$2:$A$60=J$1)*Rules!$C$2:$C$60*ISNUMBER(SEARCH(Rules!$D$2:$D$60,$D186)))</f>
        <v>0</v>
      </c>
      <c r="K186" s="0" t="str">
        <f aca="false">IF(OR(MAX(E186:J186)&lt;Rules!$H$1,MAX(E186:J186)-LARGE(E186:J186,2)&lt;Rules!$H$2),"No label",INDEX($E$1:$J$1,MATCH(MAX(E186:J186),E186:J186,0)))</f>
        <v>No label</v>
      </c>
      <c r="L186" s="0" t="n">
        <f aca="false">SUMPRODUCT((Rules!$A$2:$A$60=L$1)*Rules!$C$2:$C$60*ISNUMBER(SEARCH(Rules!$E$2:$E$60,$D186)))</f>
        <v>0</v>
      </c>
      <c r="M186" s="0" t="n">
        <f aca="false">SUMPRODUCT((Rules!$A$2:$A$60=M$1)*Rules!$C$2:$C$60*ISNUMBER(SEARCH(Rules!$E$2:$E$60,$D186)))</f>
        <v>0</v>
      </c>
      <c r="N186" s="0" t="n">
        <f aca="false">SUMPRODUCT((Rules!$A$2:$A$60=N$1)*Rules!$C$2:$C$60*ISNUMBER(SEARCH(Rules!$E$2:$E$60,$D186)))</f>
        <v>1</v>
      </c>
      <c r="O186" s="0" t="n">
        <f aca="false">SUMPRODUCT((Rules!$A$2:$A$60=O$1)*Rules!$C$2:$C$60*ISNUMBER(SEARCH(Rules!$E$2:$E$60,$D186)))</f>
        <v>2</v>
      </c>
      <c r="P186" s="0" t="n">
        <f aca="false">SUMPRODUCT((Rules!$A$2:$A$60=P$1)*Rules!$C$2:$C$60*ISNUMBER(SEARCH(Rules!$E$2:$E$60,$D186)))</f>
        <v>2</v>
      </c>
      <c r="Q186" s="0" t="n">
        <f aca="false">SUMPRODUCT((Rules!$A$2:$A$60=Q$1)*Rules!$C$2:$C$60*ISNUMBER(SEARCH(Rules!$E$2:$E$60,$D186)))</f>
        <v>0</v>
      </c>
      <c r="R186" s="0" t="str">
        <f aca="false">IF(OR(MAX(L186:Q186)&lt;Rules!$H$1,MAX(L186:Q186)-LARGE(L186:Q186,2)&lt;Rules!$H$2),"No label",INDEX($L$1:$Q$1,MATCH(MAX(L186:Q186),L186:Q186,0)))</f>
        <v>No label</v>
      </c>
      <c r="S186" s="0" t="n">
        <f aca="false">SUMPRODUCT(ISNUMBER(SEARCH(" "&amp;Terms!$A$3:$A$821&amp;" ",$D186))*Terms!B$3:B$821)+Terms!B$2</f>
        <v>6.11578517939968</v>
      </c>
      <c r="T186" s="0" t="n">
        <f aca="false">SUMPRODUCT(ISNUMBER(SEARCH(" "&amp;Terms!$A$3:$A$821&amp;" ",$D186))*Terms!C$3:C$821)+Terms!C$2</f>
        <v>-6.6073760547838</v>
      </c>
      <c r="U186" s="0" t="n">
        <f aca="false">SUMPRODUCT(ISNUMBER(SEARCH(" "&amp;Terms!$A$3:$A$821&amp;" ",$D186))*Terms!D$3:D$821)+Terms!D$2</f>
        <v>9.47557488951979</v>
      </c>
      <c r="V186" s="0" t="n">
        <f aca="false">SUMPRODUCT(ISNUMBER(SEARCH(" "&amp;Terms!$A$3:$A$821&amp;" ",$D186))*Terms!E$3:E$821)+Terms!E$2</f>
        <v>-5.7549434748519</v>
      </c>
      <c r="W186" s="0" t="n">
        <f aca="false">SUMPRODUCT(ISNUMBER(SEARCH(" "&amp;Terms!$A$3:$A$821&amp;" ",$D186))*Terms!F$3:F$821)+Terms!F$2</f>
        <v>-1.43758251354474</v>
      </c>
      <c r="X186" s="0" t="n">
        <f aca="false">SUMPRODUCT(ISNUMBER(SEARCH(" "&amp;Terms!$A$3:$A$821&amp;" ",$D186))*Terms!G$3:G$821)+Terms!G$2</f>
        <v>-1.79145802573894</v>
      </c>
      <c r="Y186" s="0" t="str">
        <f aca="false">INDEX($S$1:$X$1,MATCH(MAX(S186:X186),S186:X186,0))</f>
        <v>Delays &amp; Processing</v>
      </c>
      <c r="Z186" s="0" t="s">
        <v>2608</v>
      </c>
    </row>
    <row r="187" customFormat="false" ht="15" hidden="false" customHeight="false" outlineLevel="0" collapsed="false">
      <c r="A187" s="0" t="str">
        <f aca="false">Complaints!A187</f>
        <v>C0186</v>
      </c>
      <c r="B187" s="0" t="str">
        <f aca="false">Complaints!B187</f>
        <v>The costs keep creeping up and my balance is lower than it should be. Also, the staff member was rude and dismissive when I called.</v>
      </c>
      <c r="C187" s="0" t="str">
        <f aca="false">Complaints!C187</f>
        <v>Fees &amp; Charges</v>
      </c>
      <c r="D187" s="0" t="str">
        <f aca="false">" "&amp;TRIM(SUBSTITUTE(SUBSTITUTE(SUBSTITUTE(SUBSTITUTE(SUBSTITUTE(SUBSTITUTE(SUBSTITUTE(SUBSTITUTE(SUBSTITUTE(SUBSTITUTE(SUBSTITUTE(SUBSTITUTE(SUBSTITUTE(SUBSTITUTE(SUBSTITUTE(SUBSTITUTE(LOWER(B187),"."," "),","," "),"'"," "),"’"," "),"!"," "),"?"," "),";"," "),":"," "),"-"," "),"("," "),")"," "),"""", " "),"£"," "),"&amp;"," "),"/"," "),"%"," "))&amp;" "</f>
        <v> the costs keep creeping up and my balance is lower than it should be also the staff member was rude and dismissive when i called </v>
      </c>
      <c r="E187" s="0" t="n">
        <f aca="false">SUMPRODUCT((Rules!$A$2:$A$60=E$1)*Rules!$C$2:$C$60*ISNUMBER(SEARCH(Rules!$D$2:$D$60,$D187)))</f>
        <v>0</v>
      </c>
      <c r="F187" s="0" t="n">
        <f aca="false">SUMPRODUCT((Rules!$A$2:$A$60=F$1)*Rules!$C$2:$C$60*ISNUMBER(SEARCH(Rules!$D$2:$D$60,$D187)))</f>
        <v>0</v>
      </c>
      <c r="G187" s="0" t="n">
        <f aca="false">SUMPRODUCT((Rules!$A$2:$A$60=G$1)*Rules!$C$2:$C$60*ISNUMBER(SEARCH(Rules!$D$2:$D$60,$D187)))</f>
        <v>0</v>
      </c>
      <c r="H187" s="0" t="n">
        <f aca="false">SUMPRODUCT((Rules!$A$2:$A$60=H$1)*Rules!$C$2:$C$60*ISNUMBER(SEARCH(Rules!$D$2:$D$60,$D187)))</f>
        <v>1</v>
      </c>
      <c r="I187" s="0" t="n">
        <f aca="false">SUMPRODUCT((Rules!$A$2:$A$60=I$1)*Rules!$C$2:$C$60*ISNUMBER(SEARCH(Rules!$D$2:$D$60,$D187)))</f>
        <v>0</v>
      </c>
      <c r="J187" s="0" t="n">
        <f aca="false">SUMPRODUCT((Rules!$A$2:$A$60=J$1)*Rules!$C$2:$C$60*ISNUMBER(SEARCH(Rules!$D$2:$D$60,$D187)))</f>
        <v>4</v>
      </c>
      <c r="K187" s="0" t="str">
        <f aca="false">IF(OR(MAX(E187:J187)&lt;Rules!$H$1,MAX(E187:J187)-LARGE(E187:J187,2)&lt;Rules!$H$2),"No label",INDEX($E$1:$J$1,MATCH(MAX(E187:J187),E187:J187,0)))</f>
        <v>Customer Service</v>
      </c>
      <c r="L187" s="0" t="n">
        <f aca="false">SUMPRODUCT((Rules!$A$2:$A$60=L$1)*Rules!$C$2:$C$60*ISNUMBER(SEARCH(Rules!$E$2:$E$60,$D187)))</f>
        <v>0</v>
      </c>
      <c r="M187" s="0" t="n">
        <f aca="false">SUMPRODUCT((Rules!$A$2:$A$60=M$1)*Rules!$C$2:$C$60*ISNUMBER(SEARCH(Rules!$E$2:$E$60,$D187)))</f>
        <v>0</v>
      </c>
      <c r="N187" s="0" t="n">
        <f aca="false">SUMPRODUCT((Rules!$A$2:$A$60=N$1)*Rules!$C$2:$C$60*ISNUMBER(SEARCH(Rules!$E$2:$E$60,$D187)))</f>
        <v>0</v>
      </c>
      <c r="O187" s="0" t="n">
        <f aca="false">SUMPRODUCT((Rules!$A$2:$A$60=O$1)*Rules!$C$2:$C$60*ISNUMBER(SEARCH(Rules!$E$2:$E$60,$D187)))</f>
        <v>1</v>
      </c>
      <c r="P187" s="0" t="n">
        <f aca="false">SUMPRODUCT((Rules!$A$2:$A$60=P$1)*Rules!$C$2:$C$60*ISNUMBER(SEARCH(Rules!$E$2:$E$60,$D187)))</f>
        <v>0</v>
      </c>
      <c r="Q187" s="0" t="n">
        <f aca="false">SUMPRODUCT((Rules!$A$2:$A$60=Q$1)*Rules!$C$2:$C$60*ISNUMBER(SEARCH(Rules!$E$2:$E$60,$D187)))</f>
        <v>4</v>
      </c>
      <c r="R187" s="0" t="str">
        <f aca="false">IF(OR(MAX(L187:Q187)&lt;Rules!$H$1,MAX(L187:Q187)-LARGE(L187:Q187,2)&lt;Rules!$H$2),"No label",INDEX($L$1:$Q$1,MATCH(MAX(L187:Q187),L187:Q187,0)))</f>
        <v>Customer Service</v>
      </c>
      <c r="S187" s="0" t="n">
        <f aca="false">SUMPRODUCT(ISNUMBER(SEARCH(" "&amp;Terms!$A$3:$A$821&amp;" ",$D187))*Terms!B$3:B$821)+Terms!B$2</f>
        <v>-3.82805136409447</v>
      </c>
      <c r="T187" s="0" t="n">
        <f aca="false">SUMPRODUCT(ISNUMBER(SEARCH(" "&amp;Terms!$A$3:$A$821&amp;" ",$D187))*Terms!C$3:C$821)+Terms!C$2</f>
        <v>7.79549753100493</v>
      </c>
      <c r="U187" s="0" t="n">
        <f aca="false">SUMPRODUCT(ISNUMBER(SEARCH(" "&amp;Terms!$A$3:$A$821&amp;" ",$D187))*Terms!D$3:D$821)+Terms!D$2</f>
        <v>-1.9548550265462</v>
      </c>
      <c r="V187" s="0" t="n">
        <f aca="false">SUMPRODUCT(ISNUMBER(SEARCH(" "&amp;Terms!$A$3:$A$821&amp;" ",$D187))*Terms!E$3:E$821)+Terms!E$2</f>
        <v>5.97438463255324</v>
      </c>
      <c r="W187" s="0" t="n">
        <f aca="false">SUMPRODUCT(ISNUMBER(SEARCH(" "&amp;Terms!$A$3:$A$821&amp;" ",$D187))*Terms!F$3:F$821)+Terms!F$2</f>
        <v>-2.03044523569382</v>
      </c>
      <c r="X187" s="0" t="n">
        <f aca="false">SUMPRODUCT(ISNUMBER(SEARCH(" "&amp;Terms!$A$3:$A$821&amp;" ",$D187))*Terms!G$3:G$821)+Terms!G$2</f>
        <v>-5.95653053722359</v>
      </c>
      <c r="Y187" s="0" t="str">
        <f aca="false">INDEX($S$1:$X$1,MATCH(MAX(S187:X187),S187:X187,0))</f>
        <v>Customer Service</v>
      </c>
      <c r="Z187" s="0" t="s">
        <v>2608</v>
      </c>
    </row>
    <row r="188" customFormat="false" ht="15" hidden="false" customHeight="false" outlineLevel="0" collapsed="false">
      <c r="A188" s="0" t="str">
        <f aca="false">Complaints!A188</f>
        <v>C0187</v>
      </c>
      <c r="B188" s="0" t="str">
        <f aca="false">Complaints!B188</f>
        <v>To whom it may concern, The salesperson pushed me into a plan I did not need. Also, i was charged a monthly fee that nobody told me about. I expect compensation.</v>
      </c>
      <c r="C188" s="0" t="str">
        <f aca="false">Complaints!C188</f>
        <v>Mis-selling</v>
      </c>
      <c r="D188" s="0" t="str">
        <f aca="false">" "&amp;TRIM(SUBSTITUTE(SUBSTITUTE(SUBSTITUTE(SUBSTITUTE(SUBSTITUTE(SUBSTITUTE(SUBSTITUTE(SUBSTITUTE(SUBSTITUTE(SUBSTITUTE(SUBSTITUTE(SUBSTITUTE(SUBSTITUTE(SUBSTITUTE(SUBSTITUTE(SUBSTITUTE(LOWER(B188),"."," "),","," "),"'"," "),"’"," "),"!"," "),"?"," "),";"," "),":"," "),"-"," "),"("," "),")"," "),"""", " "),"£"," "),"&amp;"," "),"/"," "),"%"," "))&amp;" "</f>
        <v> to whom it may concern the salesperson pushed me into a plan i did not need also i was charged a monthly fee that nobody told me about i expect compensation </v>
      </c>
      <c r="E188" s="0" t="n">
        <f aca="false">SUMPRODUCT((Rules!$A$2:$A$60=E$1)*Rules!$C$2:$C$60*ISNUMBER(SEARCH(Rules!$D$2:$D$60,$D188)))</f>
        <v>0</v>
      </c>
      <c r="F188" s="0" t="n">
        <f aca="false">SUMPRODUCT((Rules!$A$2:$A$60=F$1)*Rules!$C$2:$C$60*ISNUMBER(SEARCH(Rules!$D$2:$D$60,$D188)))</f>
        <v>2</v>
      </c>
      <c r="G188" s="0" t="n">
        <f aca="false">SUMPRODUCT((Rules!$A$2:$A$60=G$1)*Rules!$C$2:$C$60*ISNUMBER(SEARCH(Rules!$D$2:$D$60,$D188)))</f>
        <v>0</v>
      </c>
      <c r="H188" s="0" t="n">
        <f aca="false">SUMPRODUCT((Rules!$A$2:$A$60=H$1)*Rules!$C$2:$C$60*ISNUMBER(SEARCH(Rules!$D$2:$D$60,$D188)))</f>
        <v>4</v>
      </c>
      <c r="I188" s="0" t="n">
        <f aca="false">SUMPRODUCT((Rules!$A$2:$A$60=I$1)*Rules!$C$2:$C$60*ISNUMBER(SEARCH(Rules!$D$2:$D$60,$D188)))</f>
        <v>0</v>
      </c>
      <c r="J188" s="0" t="n">
        <f aca="false">SUMPRODUCT((Rules!$A$2:$A$60=J$1)*Rules!$C$2:$C$60*ISNUMBER(SEARCH(Rules!$D$2:$D$60,$D188)))</f>
        <v>0</v>
      </c>
      <c r="K188" s="0" t="str">
        <f aca="false">IF(OR(MAX(E188:J188)&lt;Rules!$H$1,MAX(E188:J188)-LARGE(E188:J188,2)&lt;Rules!$H$2),"No label",INDEX($E$1:$J$1,MATCH(MAX(E188:J188),E188:J188,0)))</f>
        <v>Fees &amp; Charges</v>
      </c>
      <c r="L188" s="0" t="n">
        <f aca="false">SUMPRODUCT((Rules!$A$2:$A$60=L$1)*Rules!$C$2:$C$60*ISNUMBER(SEARCH(Rules!$E$2:$E$60,$D188)))</f>
        <v>0</v>
      </c>
      <c r="M188" s="0" t="n">
        <f aca="false">SUMPRODUCT((Rules!$A$2:$A$60=M$1)*Rules!$C$2:$C$60*ISNUMBER(SEARCH(Rules!$E$2:$E$60,$D188)))</f>
        <v>2</v>
      </c>
      <c r="N188" s="0" t="n">
        <f aca="false">SUMPRODUCT((Rules!$A$2:$A$60=N$1)*Rules!$C$2:$C$60*ISNUMBER(SEARCH(Rules!$E$2:$E$60,$D188)))</f>
        <v>0</v>
      </c>
      <c r="O188" s="0" t="n">
        <f aca="false">SUMPRODUCT((Rules!$A$2:$A$60=O$1)*Rules!$C$2:$C$60*ISNUMBER(SEARCH(Rules!$E$2:$E$60,$D188)))</f>
        <v>6</v>
      </c>
      <c r="P188" s="0" t="n">
        <f aca="false">SUMPRODUCT((Rules!$A$2:$A$60=P$1)*Rules!$C$2:$C$60*ISNUMBER(SEARCH(Rules!$E$2:$E$60,$D188)))</f>
        <v>0</v>
      </c>
      <c r="Q188" s="0" t="n">
        <f aca="false">SUMPRODUCT((Rules!$A$2:$A$60=Q$1)*Rules!$C$2:$C$60*ISNUMBER(SEARCH(Rules!$E$2:$E$60,$D188)))</f>
        <v>0</v>
      </c>
      <c r="R188" s="0" t="str">
        <f aca="false">IF(OR(MAX(L188:Q188)&lt;Rules!$H$1,MAX(L188:Q188)-LARGE(L188:Q188,2)&lt;Rules!$H$2),"No label",INDEX($L$1:$Q$1,MATCH(MAX(L188:Q188),L188:Q188,0)))</f>
        <v>Fees &amp; Charges</v>
      </c>
      <c r="S188" s="0" t="n">
        <f aca="false">SUMPRODUCT(ISNUMBER(SEARCH(" "&amp;Terms!$A$3:$A$821&amp;" ",$D188))*Terms!B$3:B$821)+Terms!B$2</f>
        <v>-2.74680997773166</v>
      </c>
      <c r="T188" s="0" t="n">
        <f aca="false">SUMPRODUCT(ISNUMBER(SEARCH(" "&amp;Terms!$A$3:$A$821&amp;" ",$D188))*Terms!C$3:C$821)+Terms!C$2</f>
        <v>-4.69939179309246</v>
      </c>
      <c r="U188" s="0" t="n">
        <f aca="false">SUMPRODUCT(ISNUMBER(SEARCH(" "&amp;Terms!$A$3:$A$821&amp;" ",$D188))*Terms!D$3:D$821)+Terms!D$2</f>
        <v>-7.42509827366647</v>
      </c>
      <c r="V188" s="0" t="n">
        <f aca="false">SUMPRODUCT(ISNUMBER(SEARCH(" "&amp;Terms!$A$3:$A$821&amp;" ",$D188))*Terms!E$3:E$821)+Terms!E$2</f>
        <v>9.35907391282076</v>
      </c>
      <c r="W188" s="0" t="n">
        <f aca="false">SUMPRODUCT(ISNUMBER(SEARCH(" "&amp;Terms!$A$3:$A$821&amp;" ",$D188))*Terms!F$3:F$821)+Terms!F$2</f>
        <v>-0.840281838613443</v>
      </c>
      <c r="X188" s="0" t="n">
        <f aca="false">SUMPRODUCT(ISNUMBER(SEARCH(" "&amp;Terms!$A$3:$A$821&amp;" ",$D188))*Terms!G$3:G$821)+Terms!G$2</f>
        <v>6.35250797028339</v>
      </c>
      <c r="Y188" s="0" t="str">
        <f aca="false">INDEX($S$1:$X$1,MATCH(MAX(S188:X188),S188:X188,0))</f>
        <v>Fees &amp; Charges</v>
      </c>
      <c r="Z188" s="0" t="s">
        <v>2607</v>
      </c>
    </row>
    <row r="189" customFormat="false" ht="15" hidden="false" customHeight="false" outlineLevel="0" collapsed="false">
      <c r="A189" s="0" t="str">
        <f aca="false">Complaints!A189</f>
        <v>C0188</v>
      </c>
      <c r="B189" s="0" t="str">
        <f aca="false">Complaints!B189</f>
        <v>I am writing to complain. Nobody explained the foreign transaction charges before my holiday. Please sort this out.</v>
      </c>
      <c r="C189" s="0" t="str">
        <f aca="false">Complaints!C189</f>
        <v>Fees &amp; Charges</v>
      </c>
      <c r="D189" s="0" t="str">
        <f aca="false">" "&amp;TRIM(SUBSTITUTE(SUBSTITUTE(SUBSTITUTE(SUBSTITUTE(SUBSTITUTE(SUBSTITUTE(SUBSTITUTE(SUBSTITUTE(SUBSTITUTE(SUBSTITUTE(SUBSTITUTE(SUBSTITUTE(SUBSTITUTE(SUBSTITUTE(SUBSTITUTE(SUBSTITUTE(LOWER(B189),"."," "),","," "),"'"," "),"’"," "),"!"," "),"?"," "),";"," "),":"," "),"-"," "),"("," "),")"," "),"""", " "),"£"," "),"&amp;"," "),"/"," "),"%"," "))&amp;" "</f>
        <v> i am writing to complain nobody explained the foreign transaction charges before my holiday please sort this out </v>
      </c>
      <c r="E189" s="0" t="n">
        <f aca="false">SUMPRODUCT((Rules!$A$2:$A$60=E$1)*Rules!$C$2:$C$60*ISNUMBER(SEARCH(Rules!$D$2:$D$60,$D189)))</f>
        <v>0</v>
      </c>
      <c r="F189" s="0" t="n">
        <f aca="false">SUMPRODUCT((Rules!$A$2:$A$60=F$1)*Rules!$C$2:$C$60*ISNUMBER(SEARCH(Rules!$D$2:$D$60,$D189)))</f>
        <v>0</v>
      </c>
      <c r="G189" s="0" t="n">
        <f aca="false">SUMPRODUCT((Rules!$A$2:$A$60=G$1)*Rules!$C$2:$C$60*ISNUMBER(SEARCH(Rules!$D$2:$D$60,$D189)))</f>
        <v>0</v>
      </c>
      <c r="H189" s="0" t="n">
        <f aca="false">SUMPRODUCT((Rules!$A$2:$A$60=H$1)*Rules!$C$2:$C$60*ISNUMBER(SEARCH(Rules!$D$2:$D$60,$D189)))</f>
        <v>0</v>
      </c>
      <c r="I189" s="0" t="n">
        <f aca="false">SUMPRODUCT((Rules!$A$2:$A$60=I$1)*Rules!$C$2:$C$60*ISNUMBER(SEARCH(Rules!$D$2:$D$60,$D189)))</f>
        <v>0</v>
      </c>
      <c r="J189" s="0" t="n">
        <f aca="false">SUMPRODUCT((Rules!$A$2:$A$60=J$1)*Rules!$C$2:$C$60*ISNUMBER(SEARCH(Rules!$D$2:$D$60,$D189)))</f>
        <v>0</v>
      </c>
      <c r="K189" s="0" t="str">
        <f aca="false">IF(OR(MAX(E189:J189)&lt;Rules!$H$1,MAX(E189:J189)-LARGE(E189:J189,2)&lt;Rules!$H$2),"No label",INDEX($E$1:$J$1,MATCH(MAX(E189:J189),E189:J189,0)))</f>
        <v>No label</v>
      </c>
      <c r="L189" s="0" t="n">
        <f aca="false">SUMPRODUCT((Rules!$A$2:$A$60=L$1)*Rules!$C$2:$C$60*ISNUMBER(SEARCH(Rules!$E$2:$E$60,$D189)))</f>
        <v>0</v>
      </c>
      <c r="M189" s="0" t="n">
        <f aca="false">SUMPRODUCT((Rules!$A$2:$A$60=M$1)*Rules!$C$2:$C$60*ISNUMBER(SEARCH(Rules!$E$2:$E$60,$D189)))</f>
        <v>0</v>
      </c>
      <c r="N189" s="0" t="n">
        <f aca="false">SUMPRODUCT((Rules!$A$2:$A$60=N$1)*Rules!$C$2:$C$60*ISNUMBER(SEARCH(Rules!$E$2:$E$60,$D189)))</f>
        <v>0</v>
      </c>
      <c r="O189" s="0" t="n">
        <f aca="false">SUMPRODUCT((Rules!$A$2:$A$60=O$1)*Rules!$C$2:$C$60*ISNUMBER(SEARCH(Rules!$E$2:$E$60,$D189)))</f>
        <v>4</v>
      </c>
      <c r="P189" s="0" t="n">
        <f aca="false">SUMPRODUCT((Rules!$A$2:$A$60=P$1)*Rules!$C$2:$C$60*ISNUMBER(SEARCH(Rules!$E$2:$E$60,$D189)))</f>
        <v>0</v>
      </c>
      <c r="Q189" s="0" t="n">
        <f aca="false">SUMPRODUCT((Rules!$A$2:$A$60=Q$1)*Rules!$C$2:$C$60*ISNUMBER(SEARCH(Rules!$E$2:$E$60,$D189)))</f>
        <v>0</v>
      </c>
      <c r="R189" s="0" t="str">
        <f aca="false">IF(OR(MAX(L189:Q189)&lt;Rules!$H$1,MAX(L189:Q189)-LARGE(L189:Q189,2)&lt;Rules!$H$2),"No label",INDEX($L$1:$Q$1,MATCH(MAX(L189:Q189),L189:Q189,0)))</f>
        <v>Fees &amp; Charges</v>
      </c>
      <c r="S189" s="0" t="n">
        <f aca="false">SUMPRODUCT(ISNUMBER(SEARCH(" "&amp;Terms!$A$3:$A$821&amp;" ",$D189))*Terms!B$3:B$821)+Terms!B$2</f>
        <v>-3.42661459690685</v>
      </c>
      <c r="T189" s="0" t="n">
        <f aca="false">SUMPRODUCT(ISNUMBER(SEARCH(" "&amp;Terms!$A$3:$A$821&amp;" ",$D189))*Terms!C$3:C$821)+Terms!C$2</f>
        <v>0.278594710255713</v>
      </c>
      <c r="U189" s="0" t="n">
        <f aca="false">SUMPRODUCT(ISNUMBER(SEARCH(" "&amp;Terms!$A$3:$A$821&amp;" ",$D189))*Terms!D$3:D$821)+Terms!D$2</f>
        <v>-0.872568191022808</v>
      </c>
      <c r="V189" s="0" t="n">
        <f aca="false">SUMPRODUCT(ISNUMBER(SEARCH(" "&amp;Terms!$A$3:$A$821&amp;" ",$D189))*Terms!E$3:E$821)+Terms!E$2</f>
        <v>11.67253610312</v>
      </c>
      <c r="W189" s="0" t="n">
        <f aca="false">SUMPRODUCT(ISNUMBER(SEARCH(" "&amp;Terms!$A$3:$A$821&amp;" ",$D189))*Terms!F$3:F$821)+Terms!F$2</f>
        <v>-3.82772450520581</v>
      </c>
      <c r="X189" s="0" t="n">
        <f aca="false">SUMPRODUCT(ISNUMBER(SEARCH(" "&amp;Terms!$A$3:$A$821&amp;" ",$D189))*Terms!G$3:G$821)+Terms!G$2</f>
        <v>-3.82422352024016</v>
      </c>
      <c r="Y189" s="0" t="str">
        <f aca="false">INDEX($S$1:$X$1,MATCH(MAX(S189:X189),S189:X189,0))</f>
        <v>Fees &amp; Charges</v>
      </c>
      <c r="Z189" s="0" t="s">
        <v>2608</v>
      </c>
    </row>
    <row r="190" customFormat="false" ht="15" hidden="false" customHeight="false" outlineLevel="0" collapsed="false">
      <c r="A190" s="0" t="str">
        <f aca="false">Complaints!A190</f>
        <v>C0189</v>
      </c>
      <c r="B190" s="0" t="str">
        <f aca="false">Complaints!B190</f>
        <v>Hello, A late payment fee appeared and I want it refunded.</v>
      </c>
      <c r="C190" s="0" t="str">
        <f aca="false">Complaints!C190</f>
        <v>Fees &amp; Charges</v>
      </c>
      <c r="D190" s="0" t="str">
        <f aca="false">" "&amp;TRIM(SUBSTITUTE(SUBSTITUTE(SUBSTITUTE(SUBSTITUTE(SUBSTITUTE(SUBSTITUTE(SUBSTITUTE(SUBSTITUTE(SUBSTITUTE(SUBSTITUTE(SUBSTITUTE(SUBSTITUTE(SUBSTITUTE(SUBSTITUTE(SUBSTITUTE(SUBSTITUTE(LOWER(B190),"."," "),","," "),"'"," "),"’"," "),"!"," "),"?"," "),";"," "),":"," "),"-"," "),"("," "),")"," "),"""", " "),"£"," "),"&amp;"," "),"/"," "),"%"," "))&amp;" "</f>
        <v> hello a late payment fee appeared and i want it refunded </v>
      </c>
      <c r="E190" s="0" t="n">
        <f aca="false">SUMPRODUCT((Rules!$A$2:$A$60=E$1)*Rules!$C$2:$C$60*ISNUMBER(SEARCH(Rules!$D$2:$D$60,$D190)))</f>
        <v>0</v>
      </c>
      <c r="F190" s="0" t="n">
        <f aca="false">SUMPRODUCT((Rules!$A$2:$A$60=F$1)*Rules!$C$2:$C$60*ISNUMBER(SEARCH(Rules!$D$2:$D$60,$D190)))</f>
        <v>0</v>
      </c>
      <c r="G190" s="0" t="n">
        <f aca="false">SUMPRODUCT((Rules!$A$2:$A$60=G$1)*Rules!$C$2:$C$60*ISNUMBER(SEARCH(Rules!$D$2:$D$60,$D190)))</f>
        <v>0</v>
      </c>
      <c r="H190" s="0" t="n">
        <f aca="false">SUMPRODUCT((Rules!$A$2:$A$60=H$1)*Rules!$C$2:$C$60*ISNUMBER(SEARCH(Rules!$D$2:$D$60,$D190)))</f>
        <v>2</v>
      </c>
      <c r="I190" s="0" t="n">
        <f aca="false">SUMPRODUCT((Rules!$A$2:$A$60=I$1)*Rules!$C$2:$C$60*ISNUMBER(SEARCH(Rules!$D$2:$D$60,$D190)))</f>
        <v>0</v>
      </c>
      <c r="J190" s="0" t="n">
        <f aca="false">SUMPRODUCT((Rules!$A$2:$A$60=J$1)*Rules!$C$2:$C$60*ISNUMBER(SEARCH(Rules!$D$2:$D$60,$D190)))</f>
        <v>0</v>
      </c>
      <c r="K190" s="0" t="str">
        <f aca="false">IF(OR(MAX(E190:J190)&lt;Rules!$H$1,MAX(E190:J190)-LARGE(E190:J190,2)&lt;Rules!$H$2),"No label",INDEX($E$1:$J$1,MATCH(MAX(E190:J190),E190:J190,0)))</f>
        <v>No label</v>
      </c>
      <c r="L190" s="0" t="n">
        <f aca="false">SUMPRODUCT((Rules!$A$2:$A$60=L$1)*Rules!$C$2:$C$60*ISNUMBER(SEARCH(Rules!$E$2:$E$60,$D190)))</f>
        <v>0</v>
      </c>
      <c r="M190" s="0" t="n">
        <f aca="false">SUMPRODUCT((Rules!$A$2:$A$60=M$1)*Rules!$C$2:$C$60*ISNUMBER(SEARCH(Rules!$E$2:$E$60,$D190)))</f>
        <v>0</v>
      </c>
      <c r="N190" s="0" t="n">
        <f aca="false">SUMPRODUCT((Rules!$A$2:$A$60=N$1)*Rules!$C$2:$C$60*ISNUMBER(SEARCH(Rules!$E$2:$E$60,$D190)))</f>
        <v>0</v>
      </c>
      <c r="O190" s="0" t="n">
        <f aca="false">SUMPRODUCT((Rules!$A$2:$A$60=O$1)*Rules!$C$2:$C$60*ISNUMBER(SEARCH(Rules!$E$2:$E$60,$D190)))</f>
        <v>2</v>
      </c>
      <c r="P190" s="0" t="n">
        <f aca="false">SUMPRODUCT((Rules!$A$2:$A$60=P$1)*Rules!$C$2:$C$60*ISNUMBER(SEARCH(Rules!$E$2:$E$60,$D190)))</f>
        <v>0</v>
      </c>
      <c r="Q190" s="0" t="n">
        <f aca="false">SUMPRODUCT((Rules!$A$2:$A$60=Q$1)*Rules!$C$2:$C$60*ISNUMBER(SEARCH(Rules!$E$2:$E$60,$D190)))</f>
        <v>0</v>
      </c>
      <c r="R190" s="0" t="str">
        <f aca="false">IF(OR(MAX(L190:Q190)&lt;Rules!$H$1,MAX(L190:Q190)-LARGE(L190:Q190,2)&lt;Rules!$H$2),"No label",INDEX($L$1:$Q$1,MATCH(MAX(L190:Q190),L190:Q190,0)))</f>
        <v>No label</v>
      </c>
      <c r="S190" s="0" t="n">
        <f aca="false">SUMPRODUCT(ISNUMBER(SEARCH(" "&amp;Terms!$A$3:$A$821&amp;" ",$D190))*Terms!B$3:B$821)+Terms!B$2</f>
        <v>-3.22154082058009</v>
      </c>
      <c r="T190" s="0" t="n">
        <f aca="false">SUMPRODUCT(ISNUMBER(SEARCH(" "&amp;Terms!$A$3:$A$821&amp;" ",$D190))*Terms!C$3:C$821)+Terms!C$2</f>
        <v>-5.82938195203668</v>
      </c>
      <c r="U190" s="0" t="n">
        <f aca="false">SUMPRODUCT(ISNUMBER(SEARCH(" "&amp;Terms!$A$3:$A$821&amp;" ",$D190))*Terms!D$3:D$821)+Terms!D$2</f>
        <v>-1.19766152996404</v>
      </c>
      <c r="V190" s="0" t="n">
        <f aca="false">SUMPRODUCT(ISNUMBER(SEARCH(" "&amp;Terms!$A$3:$A$821&amp;" ",$D190))*Terms!E$3:E$821)+Terms!E$2</f>
        <v>15.1045725998536</v>
      </c>
      <c r="W190" s="0" t="n">
        <f aca="false">SUMPRODUCT(ISNUMBER(SEARCH(" "&amp;Terms!$A$3:$A$821&amp;" ",$D190))*Terms!F$3:F$821)+Terms!F$2</f>
        <v>0.33958783908291</v>
      </c>
      <c r="X190" s="0" t="n">
        <f aca="false">SUMPRODUCT(ISNUMBER(SEARCH(" "&amp;Terms!$A$3:$A$821&amp;" ",$D190))*Terms!G$3:G$821)+Terms!G$2</f>
        <v>-5.19557613635559</v>
      </c>
      <c r="Y190" s="0" t="str">
        <f aca="false">INDEX($S$1:$X$1,MATCH(MAX(S190:X190),S190:X190,0))</f>
        <v>Fees &amp; Charges</v>
      </c>
      <c r="Z190" s="0" t="s">
        <v>2607</v>
      </c>
    </row>
    <row r="191" customFormat="false" ht="15" hidden="false" customHeight="false" outlineLevel="0" collapsed="false">
      <c r="A191" s="0" t="str">
        <f aca="false">Complaints!A191</f>
        <v>C0190</v>
      </c>
      <c r="B191" s="0" t="str">
        <f aca="false">Complaints!B191</f>
        <v>Frankly, My account was rozen and I cannot get in to move money. I am worried it might be fraud. This is not acceptable.</v>
      </c>
      <c r="C191" s="0" t="str">
        <f aca="false">Complaints!C191</f>
        <v>Account Access</v>
      </c>
      <c r="D191" s="0" t="str">
        <f aca="false">" "&amp;TRIM(SUBSTITUTE(SUBSTITUTE(SUBSTITUTE(SUBSTITUTE(SUBSTITUTE(SUBSTITUTE(SUBSTITUTE(SUBSTITUTE(SUBSTITUTE(SUBSTITUTE(SUBSTITUTE(SUBSTITUTE(SUBSTITUTE(SUBSTITUTE(SUBSTITUTE(SUBSTITUTE(LOWER(B191),"."," "),","," "),"'"," "),"’"," "),"!"," "),"?"," "),";"," "),":"," "),"-"," "),"("," "),")"," "),"""", " "),"£"," "),"&amp;"," "),"/"," "),"%"," "))&amp;" "</f>
        <v> frankly my account was rozen and i cannot get in to move money i am worried it might be fraud this is not acceptable </v>
      </c>
      <c r="E191" s="0" t="n">
        <f aca="false">SUMPRODUCT((Rules!$A$2:$A$60=E$1)*Rules!$C$2:$C$60*ISNUMBER(SEARCH(Rules!$D$2:$D$60,$D191)))</f>
        <v>3</v>
      </c>
      <c r="F191" s="0" t="n">
        <f aca="false">SUMPRODUCT((Rules!$A$2:$A$60=F$1)*Rules!$C$2:$C$60*ISNUMBER(SEARCH(Rules!$D$2:$D$60,$D191)))</f>
        <v>0</v>
      </c>
      <c r="G191" s="0" t="n">
        <f aca="false">SUMPRODUCT((Rules!$A$2:$A$60=G$1)*Rules!$C$2:$C$60*ISNUMBER(SEARCH(Rules!$D$2:$D$60,$D191)))</f>
        <v>0</v>
      </c>
      <c r="H191" s="0" t="n">
        <f aca="false">SUMPRODUCT((Rules!$A$2:$A$60=H$1)*Rules!$C$2:$C$60*ISNUMBER(SEARCH(Rules!$D$2:$D$60,$D191)))</f>
        <v>0</v>
      </c>
      <c r="I191" s="0" t="n">
        <f aca="false">SUMPRODUCT((Rules!$A$2:$A$60=I$1)*Rules!$C$2:$C$60*ISNUMBER(SEARCH(Rules!$D$2:$D$60,$D191)))</f>
        <v>0</v>
      </c>
      <c r="J191" s="0" t="n">
        <f aca="false">SUMPRODUCT((Rules!$A$2:$A$60=J$1)*Rules!$C$2:$C$60*ISNUMBER(SEARCH(Rules!$D$2:$D$60,$D191)))</f>
        <v>0</v>
      </c>
      <c r="K191" s="0" t="str">
        <f aca="false">IF(OR(MAX(E191:J191)&lt;Rules!$H$1,MAX(E191:J191)-LARGE(E191:J191,2)&lt;Rules!$H$2),"No label",INDEX($E$1:$J$1,MATCH(MAX(E191:J191),E191:J191,0)))</f>
        <v>Fraud &amp; Scams</v>
      </c>
      <c r="L191" s="0" t="n">
        <f aca="false">SUMPRODUCT((Rules!$A$2:$A$60=L$1)*Rules!$C$2:$C$60*ISNUMBER(SEARCH(Rules!$E$2:$E$60,$D191)))</f>
        <v>3</v>
      </c>
      <c r="M191" s="0" t="n">
        <f aca="false">SUMPRODUCT((Rules!$A$2:$A$60=M$1)*Rules!$C$2:$C$60*ISNUMBER(SEARCH(Rules!$E$2:$E$60,$D191)))</f>
        <v>0</v>
      </c>
      <c r="N191" s="0" t="n">
        <f aca="false">SUMPRODUCT((Rules!$A$2:$A$60=N$1)*Rules!$C$2:$C$60*ISNUMBER(SEARCH(Rules!$E$2:$E$60,$D191)))</f>
        <v>1</v>
      </c>
      <c r="O191" s="0" t="n">
        <f aca="false">SUMPRODUCT((Rules!$A$2:$A$60=O$1)*Rules!$C$2:$C$60*ISNUMBER(SEARCH(Rules!$E$2:$E$60,$D191)))</f>
        <v>0</v>
      </c>
      <c r="P191" s="0" t="n">
        <f aca="false">SUMPRODUCT((Rules!$A$2:$A$60=P$1)*Rules!$C$2:$C$60*ISNUMBER(SEARCH(Rules!$E$2:$E$60,$D191)))</f>
        <v>0</v>
      </c>
      <c r="Q191" s="0" t="n">
        <f aca="false">SUMPRODUCT((Rules!$A$2:$A$60=Q$1)*Rules!$C$2:$C$60*ISNUMBER(SEARCH(Rules!$E$2:$E$60,$D191)))</f>
        <v>0</v>
      </c>
      <c r="R191" s="0" t="str">
        <f aca="false">IF(OR(MAX(L191:Q191)&lt;Rules!$H$1,MAX(L191:Q191)-LARGE(L191:Q191,2)&lt;Rules!$H$2),"No label",INDEX($L$1:$Q$1,MATCH(MAX(L191:Q191),L191:Q191,0)))</f>
        <v>Fraud &amp; Scams</v>
      </c>
      <c r="S191" s="0" t="n">
        <f aca="false">SUMPRODUCT(ISNUMBER(SEARCH(" "&amp;Terms!$A$3:$A$821&amp;" ",$D191))*Terms!B$3:B$821)+Terms!B$2</f>
        <v>3.76091783811091</v>
      </c>
      <c r="T191" s="0" t="n">
        <f aca="false">SUMPRODUCT(ISNUMBER(SEARCH(" "&amp;Terms!$A$3:$A$821&amp;" ",$D191))*Terms!C$3:C$821)+Terms!C$2</f>
        <v>-4.38191678806248</v>
      </c>
      <c r="U191" s="0" t="n">
        <f aca="false">SUMPRODUCT(ISNUMBER(SEARCH(" "&amp;Terms!$A$3:$A$821&amp;" ",$D191))*Terms!D$3:D$821)+Terms!D$2</f>
        <v>1.93338354978055</v>
      </c>
      <c r="V191" s="0" t="n">
        <f aca="false">SUMPRODUCT(ISNUMBER(SEARCH(" "&amp;Terms!$A$3:$A$821&amp;" ",$D191))*Terms!E$3:E$821)+Terms!E$2</f>
        <v>-1.80942335272473</v>
      </c>
      <c r="W191" s="0" t="n">
        <f aca="false">SUMPRODUCT(ISNUMBER(SEARCH(" "&amp;Terms!$A$3:$A$821&amp;" ",$D191))*Terms!F$3:F$821)+Terms!F$2</f>
        <v>1.8323495956221</v>
      </c>
      <c r="X191" s="0" t="n">
        <f aca="false">SUMPRODUCT(ISNUMBER(SEARCH(" "&amp;Terms!$A$3:$A$821&amp;" ",$D191))*Terms!G$3:G$821)+Terms!G$2</f>
        <v>-1.33531084272625</v>
      </c>
      <c r="Y191" s="0" t="str">
        <f aca="false">INDEX($S$1:$X$1,MATCH(MAX(S191:X191),S191:X191,0))</f>
        <v>Account Access</v>
      </c>
      <c r="Z191" s="0" t="s">
        <v>2607</v>
      </c>
    </row>
    <row r="192" customFormat="false" ht="15" hidden="false" customHeight="false" outlineLevel="0" collapsed="false">
      <c r="A192" s="0" t="str">
        <f aca="false">Complaints!A192</f>
        <v>C0191</v>
      </c>
      <c r="B192" s="0" t="str">
        <f aca="false">Complaints!B192</f>
        <v>I was told this policy covered me but my claim was rejected. I expect compensation.</v>
      </c>
      <c r="C192" s="0" t="str">
        <f aca="false">Complaints!C192</f>
        <v>Mis-selling</v>
      </c>
      <c r="D192" s="0" t="str">
        <f aca="false">" "&amp;TRIM(SUBSTITUTE(SUBSTITUTE(SUBSTITUTE(SUBSTITUTE(SUBSTITUTE(SUBSTITUTE(SUBSTITUTE(SUBSTITUTE(SUBSTITUTE(SUBSTITUTE(SUBSTITUTE(SUBSTITUTE(SUBSTITUTE(SUBSTITUTE(SUBSTITUTE(SUBSTITUTE(LOWER(B192),"."," "),","," "),"'"," "),"’"," "),"!"," "),"?"," "),";"," "),":"," "),"-"," "),"("," "),")"," "),"""", " "),"£"," "),"&amp;"," "),"/"," "),"%"," "))&amp;" "</f>
        <v> i was told this policy covered me but my claim was rejected i expect compensation </v>
      </c>
      <c r="E192" s="0" t="n">
        <f aca="false">SUMPRODUCT((Rules!$A$2:$A$60=E$1)*Rules!$C$2:$C$60*ISNUMBER(SEARCH(Rules!$D$2:$D$60,$D192)))</f>
        <v>0</v>
      </c>
      <c r="F192" s="0" t="n">
        <f aca="false">SUMPRODUCT((Rules!$A$2:$A$60=F$1)*Rules!$C$2:$C$60*ISNUMBER(SEARCH(Rules!$D$2:$D$60,$D192)))</f>
        <v>1</v>
      </c>
      <c r="G192" s="0" t="n">
        <f aca="false">SUMPRODUCT((Rules!$A$2:$A$60=G$1)*Rules!$C$2:$C$60*ISNUMBER(SEARCH(Rules!$D$2:$D$60,$D192)))</f>
        <v>0</v>
      </c>
      <c r="H192" s="0" t="n">
        <f aca="false">SUMPRODUCT((Rules!$A$2:$A$60=H$1)*Rules!$C$2:$C$60*ISNUMBER(SEARCH(Rules!$D$2:$D$60,$D192)))</f>
        <v>0</v>
      </c>
      <c r="I192" s="0" t="n">
        <f aca="false">SUMPRODUCT((Rules!$A$2:$A$60=I$1)*Rules!$C$2:$C$60*ISNUMBER(SEARCH(Rules!$D$2:$D$60,$D192)))</f>
        <v>0</v>
      </c>
      <c r="J192" s="0" t="n">
        <f aca="false">SUMPRODUCT((Rules!$A$2:$A$60=J$1)*Rules!$C$2:$C$60*ISNUMBER(SEARCH(Rules!$D$2:$D$60,$D192)))</f>
        <v>0</v>
      </c>
      <c r="K192" s="0" t="str">
        <f aca="false">IF(OR(MAX(E192:J192)&lt;Rules!$H$1,MAX(E192:J192)-LARGE(E192:J192,2)&lt;Rules!$H$2),"No label",INDEX($E$1:$J$1,MATCH(MAX(E192:J192),E192:J192,0)))</f>
        <v>No label</v>
      </c>
      <c r="L192" s="0" t="n">
        <f aca="false">SUMPRODUCT((Rules!$A$2:$A$60=L$1)*Rules!$C$2:$C$60*ISNUMBER(SEARCH(Rules!$E$2:$E$60,$D192)))</f>
        <v>0</v>
      </c>
      <c r="M192" s="0" t="n">
        <f aca="false">SUMPRODUCT((Rules!$A$2:$A$60=M$1)*Rules!$C$2:$C$60*ISNUMBER(SEARCH(Rules!$E$2:$E$60,$D192)))</f>
        <v>1</v>
      </c>
      <c r="N192" s="0" t="n">
        <f aca="false">SUMPRODUCT((Rules!$A$2:$A$60=N$1)*Rules!$C$2:$C$60*ISNUMBER(SEARCH(Rules!$E$2:$E$60,$D192)))</f>
        <v>0</v>
      </c>
      <c r="O192" s="0" t="n">
        <f aca="false">SUMPRODUCT((Rules!$A$2:$A$60=O$1)*Rules!$C$2:$C$60*ISNUMBER(SEARCH(Rules!$E$2:$E$60,$D192)))</f>
        <v>0</v>
      </c>
      <c r="P192" s="0" t="n">
        <f aca="false">SUMPRODUCT((Rules!$A$2:$A$60=P$1)*Rules!$C$2:$C$60*ISNUMBER(SEARCH(Rules!$E$2:$E$60,$D192)))</f>
        <v>0</v>
      </c>
      <c r="Q192" s="0" t="n">
        <f aca="false">SUMPRODUCT((Rules!$A$2:$A$60=Q$1)*Rules!$C$2:$C$60*ISNUMBER(SEARCH(Rules!$E$2:$E$60,$D192)))</f>
        <v>0</v>
      </c>
      <c r="R192" s="0" t="str">
        <f aca="false">IF(OR(MAX(L192:Q192)&lt;Rules!$H$1,MAX(L192:Q192)-LARGE(L192:Q192,2)&lt;Rules!$H$2),"No label",INDEX($L$1:$Q$1,MATCH(MAX(L192:Q192),L192:Q192,0)))</f>
        <v>No label</v>
      </c>
      <c r="S192" s="0" t="n">
        <f aca="false">SUMPRODUCT(ISNUMBER(SEARCH(" "&amp;Terms!$A$3:$A$821&amp;" ",$D192))*Terms!B$3:B$821)+Terms!B$2</f>
        <v>0.243156059211444</v>
      </c>
      <c r="T192" s="0" t="n">
        <f aca="false">SUMPRODUCT(ISNUMBER(SEARCH(" "&amp;Terms!$A$3:$A$821&amp;" ",$D192))*Terms!C$3:C$821)+Terms!C$2</f>
        <v>-4.90663780901312</v>
      </c>
      <c r="U192" s="0" t="n">
        <f aca="false">SUMPRODUCT(ISNUMBER(SEARCH(" "&amp;Terms!$A$3:$A$821&amp;" ",$D192))*Terms!D$3:D$821)+Terms!D$2</f>
        <v>-0.46803164745147</v>
      </c>
      <c r="V192" s="0" t="n">
        <f aca="false">SUMPRODUCT(ISNUMBER(SEARCH(" "&amp;Terms!$A$3:$A$821&amp;" ",$D192))*Terms!E$3:E$821)+Terms!E$2</f>
        <v>-1.52746819105788</v>
      </c>
      <c r="W192" s="0" t="n">
        <f aca="false">SUMPRODUCT(ISNUMBER(SEARCH(" "&amp;Terms!$A$3:$A$821&amp;" ",$D192))*Terms!F$3:F$821)+Terms!F$2</f>
        <v>-0.697282677547334</v>
      </c>
      <c r="X192" s="0" t="n">
        <f aca="false">SUMPRODUCT(ISNUMBER(SEARCH(" "&amp;Terms!$A$3:$A$821&amp;" ",$D192))*Terms!G$3:G$821)+Terms!G$2</f>
        <v>7.35626426585845</v>
      </c>
      <c r="Y192" s="0" t="str">
        <f aca="false">INDEX($S$1:$X$1,MATCH(MAX(S192:X192),S192:X192,0))</f>
        <v>Mis-selling</v>
      </c>
      <c r="Z192" s="0" t="s">
        <v>2607</v>
      </c>
    </row>
    <row r="193" customFormat="false" ht="15" hidden="false" customHeight="false" outlineLevel="0" collapsed="false">
      <c r="A193" s="0" t="str">
        <f aca="false">Complaints!A193</f>
        <v>C0192</v>
      </c>
      <c r="B193" s="0" t="str">
        <f aca="false">Complaints!B193</f>
        <v>Hello, A late payment fee appeared and I want it refunded.</v>
      </c>
      <c r="C193" s="0" t="str">
        <f aca="false">Complaints!C193</f>
        <v>Fees &amp; Charges</v>
      </c>
      <c r="D193" s="0" t="str">
        <f aca="false">" "&amp;TRIM(SUBSTITUTE(SUBSTITUTE(SUBSTITUTE(SUBSTITUTE(SUBSTITUTE(SUBSTITUTE(SUBSTITUTE(SUBSTITUTE(SUBSTITUTE(SUBSTITUTE(SUBSTITUTE(SUBSTITUTE(SUBSTITUTE(SUBSTITUTE(SUBSTITUTE(SUBSTITUTE(LOWER(B193),"."," "),","," "),"'"," "),"’"," "),"!"," "),"?"," "),";"," "),":"," "),"-"," "),"("," "),")"," "),"""", " "),"£"," "),"&amp;"," "),"/"," "),"%"," "))&amp;" "</f>
        <v> hello a late payment fee appeared and i want it refunded </v>
      </c>
      <c r="E193" s="0" t="n">
        <f aca="false">SUMPRODUCT((Rules!$A$2:$A$60=E$1)*Rules!$C$2:$C$60*ISNUMBER(SEARCH(Rules!$D$2:$D$60,$D193)))</f>
        <v>0</v>
      </c>
      <c r="F193" s="0" t="n">
        <f aca="false">SUMPRODUCT((Rules!$A$2:$A$60=F$1)*Rules!$C$2:$C$60*ISNUMBER(SEARCH(Rules!$D$2:$D$60,$D193)))</f>
        <v>0</v>
      </c>
      <c r="G193" s="0" t="n">
        <f aca="false">SUMPRODUCT((Rules!$A$2:$A$60=G$1)*Rules!$C$2:$C$60*ISNUMBER(SEARCH(Rules!$D$2:$D$60,$D193)))</f>
        <v>0</v>
      </c>
      <c r="H193" s="0" t="n">
        <f aca="false">SUMPRODUCT((Rules!$A$2:$A$60=H$1)*Rules!$C$2:$C$60*ISNUMBER(SEARCH(Rules!$D$2:$D$60,$D193)))</f>
        <v>2</v>
      </c>
      <c r="I193" s="0" t="n">
        <f aca="false">SUMPRODUCT((Rules!$A$2:$A$60=I$1)*Rules!$C$2:$C$60*ISNUMBER(SEARCH(Rules!$D$2:$D$60,$D193)))</f>
        <v>0</v>
      </c>
      <c r="J193" s="0" t="n">
        <f aca="false">SUMPRODUCT((Rules!$A$2:$A$60=J$1)*Rules!$C$2:$C$60*ISNUMBER(SEARCH(Rules!$D$2:$D$60,$D193)))</f>
        <v>0</v>
      </c>
      <c r="K193" s="0" t="str">
        <f aca="false">IF(OR(MAX(E193:J193)&lt;Rules!$H$1,MAX(E193:J193)-LARGE(E193:J193,2)&lt;Rules!$H$2),"No label",INDEX($E$1:$J$1,MATCH(MAX(E193:J193),E193:J193,0)))</f>
        <v>No label</v>
      </c>
      <c r="L193" s="0" t="n">
        <f aca="false">SUMPRODUCT((Rules!$A$2:$A$60=L$1)*Rules!$C$2:$C$60*ISNUMBER(SEARCH(Rules!$E$2:$E$60,$D193)))</f>
        <v>0</v>
      </c>
      <c r="M193" s="0" t="n">
        <f aca="false">SUMPRODUCT((Rules!$A$2:$A$60=M$1)*Rules!$C$2:$C$60*ISNUMBER(SEARCH(Rules!$E$2:$E$60,$D193)))</f>
        <v>0</v>
      </c>
      <c r="N193" s="0" t="n">
        <f aca="false">SUMPRODUCT((Rules!$A$2:$A$60=N$1)*Rules!$C$2:$C$60*ISNUMBER(SEARCH(Rules!$E$2:$E$60,$D193)))</f>
        <v>0</v>
      </c>
      <c r="O193" s="0" t="n">
        <f aca="false">SUMPRODUCT((Rules!$A$2:$A$60=O$1)*Rules!$C$2:$C$60*ISNUMBER(SEARCH(Rules!$E$2:$E$60,$D193)))</f>
        <v>2</v>
      </c>
      <c r="P193" s="0" t="n">
        <f aca="false">SUMPRODUCT((Rules!$A$2:$A$60=P$1)*Rules!$C$2:$C$60*ISNUMBER(SEARCH(Rules!$E$2:$E$60,$D193)))</f>
        <v>0</v>
      </c>
      <c r="Q193" s="0" t="n">
        <f aca="false">SUMPRODUCT((Rules!$A$2:$A$60=Q$1)*Rules!$C$2:$C$60*ISNUMBER(SEARCH(Rules!$E$2:$E$60,$D193)))</f>
        <v>0</v>
      </c>
      <c r="R193" s="0" t="str">
        <f aca="false">IF(OR(MAX(L193:Q193)&lt;Rules!$H$1,MAX(L193:Q193)-LARGE(L193:Q193,2)&lt;Rules!$H$2),"No label",INDEX($L$1:$Q$1,MATCH(MAX(L193:Q193),L193:Q193,0)))</f>
        <v>No label</v>
      </c>
      <c r="S193" s="0" t="n">
        <f aca="false">SUMPRODUCT(ISNUMBER(SEARCH(" "&amp;Terms!$A$3:$A$821&amp;" ",$D193))*Terms!B$3:B$821)+Terms!B$2</f>
        <v>-3.22154082058009</v>
      </c>
      <c r="T193" s="0" t="n">
        <f aca="false">SUMPRODUCT(ISNUMBER(SEARCH(" "&amp;Terms!$A$3:$A$821&amp;" ",$D193))*Terms!C$3:C$821)+Terms!C$2</f>
        <v>-5.82938195203668</v>
      </c>
      <c r="U193" s="0" t="n">
        <f aca="false">SUMPRODUCT(ISNUMBER(SEARCH(" "&amp;Terms!$A$3:$A$821&amp;" ",$D193))*Terms!D$3:D$821)+Terms!D$2</f>
        <v>-1.19766152996404</v>
      </c>
      <c r="V193" s="0" t="n">
        <f aca="false">SUMPRODUCT(ISNUMBER(SEARCH(" "&amp;Terms!$A$3:$A$821&amp;" ",$D193))*Terms!E$3:E$821)+Terms!E$2</f>
        <v>15.1045725998536</v>
      </c>
      <c r="W193" s="0" t="n">
        <f aca="false">SUMPRODUCT(ISNUMBER(SEARCH(" "&amp;Terms!$A$3:$A$821&amp;" ",$D193))*Terms!F$3:F$821)+Terms!F$2</f>
        <v>0.33958783908291</v>
      </c>
      <c r="X193" s="0" t="n">
        <f aca="false">SUMPRODUCT(ISNUMBER(SEARCH(" "&amp;Terms!$A$3:$A$821&amp;" ",$D193))*Terms!G$3:G$821)+Terms!G$2</f>
        <v>-5.19557613635559</v>
      </c>
      <c r="Y193" s="0" t="str">
        <f aca="false">INDEX($S$1:$X$1,MATCH(MAX(S193:X193),S193:X193,0))</f>
        <v>Fees &amp; Charges</v>
      </c>
      <c r="Z193" s="0" t="s">
        <v>2607</v>
      </c>
    </row>
    <row r="194" customFormat="false" ht="15" hidden="false" customHeight="false" outlineLevel="0" collapsed="false">
      <c r="A194" s="0" t="str">
        <f aca="false">Complaints!A194</f>
        <v>C0193</v>
      </c>
      <c r="B194" s="0" t="str">
        <f aca="false">Complaints!B194</f>
        <v>Frankly, I was advised to take out cover that duplicates what I already had. I would like a response in writing.</v>
      </c>
      <c r="C194" s="0" t="str">
        <f aca="false">Complaints!C194</f>
        <v>Mis-selling</v>
      </c>
      <c r="D194" s="0" t="str">
        <f aca="false">" "&amp;TRIM(SUBSTITUTE(SUBSTITUTE(SUBSTITUTE(SUBSTITUTE(SUBSTITUTE(SUBSTITUTE(SUBSTITUTE(SUBSTITUTE(SUBSTITUTE(SUBSTITUTE(SUBSTITUTE(SUBSTITUTE(SUBSTITUTE(SUBSTITUTE(SUBSTITUTE(SUBSTITUTE(LOWER(B194),"."," "),","," "),"'"," "),"’"," "),"!"," "),"?"," "),";"," "),":"," "),"-"," "),"("," "),")"," "),"""", " "),"£"," "),"&amp;"," "),"/"," "),"%"," "))&amp;" "</f>
        <v> frankly i was advised to take out cover that duplicates what i already had i would like a response in writing </v>
      </c>
      <c r="E194" s="0" t="n">
        <f aca="false">SUMPRODUCT((Rules!$A$2:$A$60=E$1)*Rules!$C$2:$C$60*ISNUMBER(SEARCH(Rules!$D$2:$D$60,$D194)))</f>
        <v>0</v>
      </c>
      <c r="F194" s="0" t="n">
        <f aca="false">SUMPRODUCT((Rules!$A$2:$A$60=F$1)*Rules!$C$2:$C$60*ISNUMBER(SEARCH(Rules!$D$2:$D$60,$D194)))</f>
        <v>0</v>
      </c>
      <c r="G194" s="0" t="n">
        <f aca="false">SUMPRODUCT((Rules!$A$2:$A$60=G$1)*Rules!$C$2:$C$60*ISNUMBER(SEARCH(Rules!$D$2:$D$60,$D194)))</f>
        <v>0</v>
      </c>
      <c r="H194" s="0" t="n">
        <f aca="false">SUMPRODUCT((Rules!$A$2:$A$60=H$1)*Rules!$C$2:$C$60*ISNUMBER(SEARCH(Rules!$D$2:$D$60,$D194)))</f>
        <v>0</v>
      </c>
      <c r="I194" s="0" t="n">
        <f aca="false">SUMPRODUCT((Rules!$A$2:$A$60=I$1)*Rules!$C$2:$C$60*ISNUMBER(SEARCH(Rules!$D$2:$D$60,$D194)))</f>
        <v>0</v>
      </c>
      <c r="J194" s="0" t="n">
        <f aca="false">SUMPRODUCT((Rules!$A$2:$A$60=J$1)*Rules!$C$2:$C$60*ISNUMBER(SEARCH(Rules!$D$2:$D$60,$D194)))</f>
        <v>0</v>
      </c>
      <c r="K194" s="0" t="str">
        <f aca="false">IF(OR(MAX(E194:J194)&lt;Rules!$H$1,MAX(E194:J194)-LARGE(E194:J194,2)&lt;Rules!$H$2),"No label",INDEX($E$1:$J$1,MATCH(MAX(E194:J194),E194:J194,0)))</f>
        <v>No label</v>
      </c>
      <c r="L194" s="0" t="n">
        <f aca="false">SUMPRODUCT((Rules!$A$2:$A$60=L$1)*Rules!$C$2:$C$60*ISNUMBER(SEARCH(Rules!$E$2:$E$60,$D194)))</f>
        <v>0</v>
      </c>
      <c r="M194" s="0" t="n">
        <f aca="false">SUMPRODUCT((Rules!$A$2:$A$60=M$1)*Rules!$C$2:$C$60*ISNUMBER(SEARCH(Rules!$E$2:$E$60,$D194)))</f>
        <v>4</v>
      </c>
      <c r="N194" s="0" t="n">
        <f aca="false">SUMPRODUCT((Rules!$A$2:$A$60=N$1)*Rules!$C$2:$C$60*ISNUMBER(SEARCH(Rules!$E$2:$E$60,$D194)))</f>
        <v>0</v>
      </c>
      <c r="O194" s="0" t="n">
        <f aca="false">SUMPRODUCT((Rules!$A$2:$A$60=O$1)*Rules!$C$2:$C$60*ISNUMBER(SEARCH(Rules!$E$2:$E$60,$D194)))</f>
        <v>0</v>
      </c>
      <c r="P194" s="0" t="n">
        <f aca="false">SUMPRODUCT((Rules!$A$2:$A$60=P$1)*Rules!$C$2:$C$60*ISNUMBER(SEARCH(Rules!$E$2:$E$60,$D194)))</f>
        <v>0</v>
      </c>
      <c r="Q194" s="0" t="n">
        <f aca="false">SUMPRODUCT((Rules!$A$2:$A$60=Q$1)*Rules!$C$2:$C$60*ISNUMBER(SEARCH(Rules!$E$2:$E$60,$D194)))</f>
        <v>1</v>
      </c>
      <c r="R194" s="0" t="str">
        <f aca="false">IF(OR(MAX(L194:Q194)&lt;Rules!$H$1,MAX(L194:Q194)-LARGE(L194:Q194,2)&lt;Rules!$H$2),"No label",INDEX($L$1:$Q$1,MATCH(MAX(L194:Q194),L194:Q194,0)))</f>
        <v>Mis-selling</v>
      </c>
      <c r="S194" s="0" t="n">
        <f aca="false">SUMPRODUCT(ISNUMBER(SEARCH(" "&amp;Terms!$A$3:$A$821&amp;" ",$D194))*Terms!B$3:B$821)+Terms!B$2</f>
        <v>-1.15320418033192</v>
      </c>
      <c r="T194" s="0" t="n">
        <f aca="false">SUMPRODUCT(ISNUMBER(SEARCH(" "&amp;Terms!$A$3:$A$821&amp;" ",$D194))*Terms!C$3:C$821)+Terms!C$2</f>
        <v>-0.971877789968668</v>
      </c>
      <c r="U194" s="0" t="n">
        <f aca="false">SUMPRODUCT(ISNUMBER(SEARCH(" "&amp;Terms!$A$3:$A$821&amp;" ",$D194))*Terms!D$3:D$821)+Terms!D$2</f>
        <v>-2.12898378844963</v>
      </c>
      <c r="V194" s="0" t="n">
        <f aca="false">SUMPRODUCT(ISNUMBER(SEARCH(" "&amp;Terms!$A$3:$A$821&amp;" ",$D194))*Terms!E$3:E$821)+Terms!E$2</f>
        <v>-1.44775972499831</v>
      </c>
      <c r="W194" s="0" t="n">
        <f aca="false">SUMPRODUCT(ISNUMBER(SEARCH(" "&amp;Terms!$A$3:$A$821&amp;" ",$D194))*Terms!F$3:F$821)+Terms!F$2</f>
        <v>-2.28246528457082</v>
      </c>
      <c r="X194" s="0" t="n">
        <f aca="false">SUMPRODUCT(ISNUMBER(SEARCH(" "&amp;Terms!$A$3:$A$821&amp;" ",$D194))*Terms!G$3:G$821)+Terms!G$2</f>
        <v>7.98429076831943</v>
      </c>
      <c r="Y194" s="0" t="str">
        <f aca="false">INDEX($S$1:$X$1,MATCH(MAX(S194:X194),S194:X194,0))</f>
        <v>Mis-selling</v>
      </c>
      <c r="Z194" s="0" t="s">
        <v>2607</v>
      </c>
    </row>
    <row r="195" customFormat="false" ht="15" hidden="false" customHeight="false" outlineLevel="0" collapsed="false">
      <c r="A195" s="0" t="str">
        <f aca="false">Complaints!A195</f>
        <v>C0194</v>
      </c>
      <c r="B195" s="0" t="str">
        <f aca="false">Complaints!B195</f>
        <v>Hello, My application has been stuck for weeks with no progress.</v>
      </c>
      <c r="C195" s="0" t="str">
        <f aca="false">Complaints!C195</f>
        <v>Delays &amp; Processing</v>
      </c>
      <c r="D195" s="0" t="str">
        <f aca="false">" "&amp;TRIM(SUBSTITUTE(SUBSTITUTE(SUBSTITUTE(SUBSTITUTE(SUBSTITUTE(SUBSTITUTE(SUBSTITUTE(SUBSTITUTE(SUBSTITUTE(SUBSTITUTE(SUBSTITUTE(SUBSTITUTE(SUBSTITUTE(SUBSTITUTE(SUBSTITUTE(SUBSTITUTE(LOWER(B195),"."," "),","," "),"'"," "),"’"," "),"!"," "),"?"," "),";"," "),":"," "),"-"," "),"("," "),")"," "),"""", " "),"£"," "),"&amp;"," "),"/"," "),"%"," "))&amp;" "</f>
        <v> hello my application has been stuck for weeks with no progress </v>
      </c>
      <c r="E195" s="0" t="n">
        <f aca="false">SUMPRODUCT((Rules!$A$2:$A$60=E$1)*Rules!$C$2:$C$60*ISNUMBER(SEARCH(Rules!$D$2:$D$60,$D195)))</f>
        <v>0</v>
      </c>
      <c r="F195" s="0" t="n">
        <f aca="false">SUMPRODUCT((Rules!$A$2:$A$60=F$1)*Rules!$C$2:$C$60*ISNUMBER(SEARCH(Rules!$D$2:$D$60,$D195)))</f>
        <v>0</v>
      </c>
      <c r="G195" s="0" t="n">
        <f aca="false">SUMPRODUCT((Rules!$A$2:$A$60=G$1)*Rules!$C$2:$C$60*ISNUMBER(SEARCH(Rules!$D$2:$D$60,$D195)))</f>
        <v>0</v>
      </c>
      <c r="H195" s="0" t="n">
        <f aca="false">SUMPRODUCT((Rules!$A$2:$A$60=H$1)*Rules!$C$2:$C$60*ISNUMBER(SEARCH(Rules!$D$2:$D$60,$D195)))</f>
        <v>0</v>
      </c>
      <c r="I195" s="0" t="n">
        <f aca="false">SUMPRODUCT((Rules!$A$2:$A$60=I$1)*Rules!$C$2:$C$60*ISNUMBER(SEARCH(Rules!$D$2:$D$60,$D195)))</f>
        <v>3</v>
      </c>
      <c r="J195" s="0" t="n">
        <f aca="false">SUMPRODUCT((Rules!$A$2:$A$60=J$1)*Rules!$C$2:$C$60*ISNUMBER(SEARCH(Rules!$D$2:$D$60,$D195)))</f>
        <v>0</v>
      </c>
      <c r="K195" s="0" t="str">
        <f aca="false">IF(OR(MAX(E195:J195)&lt;Rules!$H$1,MAX(E195:J195)-LARGE(E195:J195,2)&lt;Rules!$H$2),"No label",INDEX($E$1:$J$1,MATCH(MAX(E195:J195),E195:J195,0)))</f>
        <v>Delays &amp; Processing</v>
      </c>
      <c r="L195" s="0" t="n">
        <f aca="false">SUMPRODUCT((Rules!$A$2:$A$60=L$1)*Rules!$C$2:$C$60*ISNUMBER(SEARCH(Rules!$E$2:$E$60,$D195)))</f>
        <v>0</v>
      </c>
      <c r="M195" s="0" t="n">
        <f aca="false">SUMPRODUCT((Rules!$A$2:$A$60=M$1)*Rules!$C$2:$C$60*ISNUMBER(SEARCH(Rules!$E$2:$E$60,$D195)))</f>
        <v>0</v>
      </c>
      <c r="N195" s="0" t="n">
        <f aca="false">SUMPRODUCT((Rules!$A$2:$A$60=N$1)*Rules!$C$2:$C$60*ISNUMBER(SEARCH(Rules!$E$2:$E$60,$D195)))</f>
        <v>0</v>
      </c>
      <c r="O195" s="0" t="n">
        <f aca="false">SUMPRODUCT((Rules!$A$2:$A$60=O$1)*Rules!$C$2:$C$60*ISNUMBER(SEARCH(Rules!$E$2:$E$60,$D195)))</f>
        <v>0</v>
      </c>
      <c r="P195" s="0" t="n">
        <f aca="false">SUMPRODUCT((Rules!$A$2:$A$60=P$1)*Rules!$C$2:$C$60*ISNUMBER(SEARCH(Rules!$E$2:$E$60,$D195)))</f>
        <v>3</v>
      </c>
      <c r="Q195" s="0" t="n">
        <f aca="false">SUMPRODUCT((Rules!$A$2:$A$60=Q$1)*Rules!$C$2:$C$60*ISNUMBER(SEARCH(Rules!$E$2:$E$60,$D195)))</f>
        <v>0</v>
      </c>
      <c r="R195" s="0" t="str">
        <f aca="false">IF(OR(MAX(L195:Q195)&lt;Rules!$H$1,MAX(L195:Q195)-LARGE(L195:Q195,2)&lt;Rules!$H$2),"No label",INDEX($L$1:$Q$1,MATCH(MAX(L195:Q195),L195:Q195,0)))</f>
        <v>Delays &amp; Processing</v>
      </c>
      <c r="S195" s="0" t="n">
        <f aca="false">SUMPRODUCT(ISNUMBER(SEARCH(" "&amp;Terms!$A$3:$A$821&amp;" ",$D195))*Terms!B$3:B$821)+Terms!B$2</f>
        <v>-2.27330130755606</v>
      </c>
      <c r="T195" s="0" t="n">
        <f aca="false">SUMPRODUCT(ISNUMBER(SEARCH(" "&amp;Terms!$A$3:$A$821&amp;" ",$D195))*Terms!C$3:C$821)+Terms!C$2</f>
        <v>0.477974944059759</v>
      </c>
      <c r="U195" s="0" t="n">
        <f aca="false">SUMPRODUCT(ISNUMBER(SEARCH(" "&amp;Terms!$A$3:$A$821&amp;" ",$D195))*Terms!D$3:D$821)+Terms!D$2</f>
        <v>7.00318058528371</v>
      </c>
      <c r="V195" s="0" t="n">
        <f aca="false">SUMPRODUCT(ISNUMBER(SEARCH(" "&amp;Terms!$A$3:$A$821&amp;" ",$D195))*Terms!E$3:E$821)+Terms!E$2</f>
        <v>-1.03035666016358</v>
      </c>
      <c r="W195" s="0" t="n">
        <f aca="false">SUMPRODUCT(ISNUMBER(SEARCH(" "&amp;Terms!$A$3:$A$821&amp;" ",$D195))*Terms!F$3:F$821)+Terms!F$2</f>
        <v>-2.80416922265446</v>
      </c>
      <c r="X195" s="0" t="n">
        <f aca="false">SUMPRODUCT(ISNUMBER(SEARCH(" "&amp;Terms!$A$3:$A$821&amp;" ",$D195))*Terms!G$3:G$821)+Terms!G$2</f>
        <v>-1.37332833896927</v>
      </c>
      <c r="Y195" s="0" t="str">
        <f aca="false">INDEX($S$1:$X$1,MATCH(MAX(S195:X195),S195:X195,0))</f>
        <v>Delays &amp; Processing</v>
      </c>
      <c r="Z195" s="0" t="s">
        <v>2608</v>
      </c>
    </row>
    <row r="196" customFormat="false" ht="15" hidden="false" customHeight="false" outlineLevel="0" collapsed="false">
      <c r="A196" s="0" t="str">
        <f aca="false">Complaints!A196</f>
        <v>C0195</v>
      </c>
      <c r="B196" s="0" t="str">
        <f aca="false">Complaints!B196</f>
        <v>I am writing to complain. The staff member was rude and dismissive when I called. Also, the brochure said guaranteed returns and my money has lost value.</v>
      </c>
      <c r="C196" s="0" t="str">
        <f aca="false">Complaints!C196</f>
        <v>Customer Service</v>
      </c>
      <c r="D196" s="0" t="str">
        <f aca="false">" "&amp;TRIM(SUBSTITUTE(SUBSTITUTE(SUBSTITUTE(SUBSTITUTE(SUBSTITUTE(SUBSTITUTE(SUBSTITUTE(SUBSTITUTE(SUBSTITUTE(SUBSTITUTE(SUBSTITUTE(SUBSTITUTE(SUBSTITUTE(SUBSTITUTE(SUBSTITUTE(SUBSTITUTE(LOWER(B196),"."," "),","," "),"'"," "),"’"," "),"!"," "),"?"," "),";"," "),":"," "),"-"," "),"("," "),")"," "),"""", " "),"£"," "),"&amp;"," "),"/"," "),"%"," "))&amp;" "</f>
        <v> i am writing to complain the staff member was rude and dismissive when i called also the brochure said guaranteed returns and my money has lost value </v>
      </c>
      <c r="E196" s="0" t="n">
        <f aca="false">SUMPRODUCT((Rules!$A$2:$A$60=E$1)*Rules!$C$2:$C$60*ISNUMBER(SEARCH(Rules!$D$2:$D$60,$D196)))</f>
        <v>0</v>
      </c>
      <c r="F196" s="0" t="n">
        <f aca="false">SUMPRODUCT((Rules!$A$2:$A$60=F$1)*Rules!$C$2:$C$60*ISNUMBER(SEARCH(Rules!$D$2:$D$60,$D196)))</f>
        <v>2</v>
      </c>
      <c r="G196" s="0" t="n">
        <f aca="false">SUMPRODUCT((Rules!$A$2:$A$60=G$1)*Rules!$C$2:$C$60*ISNUMBER(SEARCH(Rules!$D$2:$D$60,$D196)))</f>
        <v>0</v>
      </c>
      <c r="H196" s="0" t="n">
        <f aca="false">SUMPRODUCT((Rules!$A$2:$A$60=H$1)*Rules!$C$2:$C$60*ISNUMBER(SEARCH(Rules!$D$2:$D$60,$D196)))</f>
        <v>0</v>
      </c>
      <c r="I196" s="0" t="n">
        <f aca="false">SUMPRODUCT((Rules!$A$2:$A$60=I$1)*Rules!$C$2:$C$60*ISNUMBER(SEARCH(Rules!$D$2:$D$60,$D196)))</f>
        <v>0</v>
      </c>
      <c r="J196" s="0" t="n">
        <f aca="false">SUMPRODUCT((Rules!$A$2:$A$60=J$1)*Rules!$C$2:$C$60*ISNUMBER(SEARCH(Rules!$D$2:$D$60,$D196)))</f>
        <v>4</v>
      </c>
      <c r="K196" s="0" t="str">
        <f aca="false">IF(OR(MAX(E196:J196)&lt;Rules!$H$1,MAX(E196:J196)-LARGE(E196:J196,2)&lt;Rules!$H$2),"No label",INDEX($E$1:$J$1,MATCH(MAX(E196:J196),E196:J196,0)))</f>
        <v>Customer Service</v>
      </c>
      <c r="L196" s="0" t="n">
        <f aca="false">SUMPRODUCT((Rules!$A$2:$A$60=L$1)*Rules!$C$2:$C$60*ISNUMBER(SEARCH(Rules!$E$2:$E$60,$D196)))</f>
        <v>0</v>
      </c>
      <c r="M196" s="0" t="n">
        <f aca="false">SUMPRODUCT((Rules!$A$2:$A$60=M$1)*Rules!$C$2:$C$60*ISNUMBER(SEARCH(Rules!$E$2:$E$60,$D196)))</f>
        <v>2</v>
      </c>
      <c r="N196" s="0" t="n">
        <f aca="false">SUMPRODUCT((Rules!$A$2:$A$60=N$1)*Rules!$C$2:$C$60*ISNUMBER(SEARCH(Rules!$E$2:$E$60,$D196)))</f>
        <v>0</v>
      </c>
      <c r="O196" s="0" t="n">
        <f aca="false">SUMPRODUCT((Rules!$A$2:$A$60=O$1)*Rules!$C$2:$C$60*ISNUMBER(SEARCH(Rules!$E$2:$E$60,$D196)))</f>
        <v>0</v>
      </c>
      <c r="P196" s="0" t="n">
        <f aca="false">SUMPRODUCT((Rules!$A$2:$A$60=P$1)*Rules!$C$2:$C$60*ISNUMBER(SEARCH(Rules!$E$2:$E$60,$D196)))</f>
        <v>0</v>
      </c>
      <c r="Q196" s="0" t="n">
        <f aca="false">SUMPRODUCT((Rules!$A$2:$A$60=Q$1)*Rules!$C$2:$C$60*ISNUMBER(SEARCH(Rules!$E$2:$E$60,$D196)))</f>
        <v>4</v>
      </c>
      <c r="R196" s="0" t="str">
        <f aca="false">IF(OR(MAX(L196:Q196)&lt;Rules!$H$1,MAX(L196:Q196)-LARGE(L196:Q196,2)&lt;Rules!$H$2),"No label",INDEX($L$1:$Q$1,MATCH(MAX(L196:Q196),L196:Q196,0)))</f>
        <v>Customer Service</v>
      </c>
      <c r="S196" s="0" t="n">
        <f aca="false">SUMPRODUCT(ISNUMBER(SEARCH(" "&amp;Terms!$A$3:$A$821&amp;" ",$D196))*Terms!B$3:B$821)+Terms!B$2</f>
        <v>-8.3473810307556</v>
      </c>
      <c r="T196" s="0" t="n">
        <f aca="false">SUMPRODUCT(ISNUMBER(SEARCH(" "&amp;Terms!$A$3:$A$821&amp;" ",$D196))*Terms!C$3:C$821)+Terms!C$2</f>
        <v>5.94092718378385</v>
      </c>
      <c r="U196" s="0" t="n">
        <f aca="false">SUMPRODUCT(ISNUMBER(SEARCH(" "&amp;Terms!$A$3:$A$821&amp;" ",$D196))*Terms!D$3:D$821)+Terms!D$2</f>
        <v>0.223765676476136</v>
      </c>
      <c r="V196" s="0" t="n">
        <f aca="false">SUMPRODUCT(ISNUMBER(SEARCH(" "&amp;Terms!$A$3:$A$821&amp;" ",$D196))*Terms!E$3:E$821)+Terms!E$2</f>
        <v>-4.98232803716605</v>
      </c>
      <c r="W196" s="0" t="n">
        <f aca="false">SUMPRODUCT(ISNUMBER(SEARCH(" "&amp;Terms!$A$3:$A$821&amp;" ",$D196))*Terms!F$3:F$821)+Terms!F$2</f>
        <v>-2.0963179102358</v>
      </c>
      <c r="X196" s="0" t="n">
        <f aca="false">SUMPRODUCT(ISNUMBER(SEARCH(" "&amp;Terms!$A$3:$A$821&amp;" ",$D196))*Terms!G$3:G$821)+Terms!G$2</f>
        <v>9.26133411789754</v>
      </c>
      <c r="Y196" s="0" t="str">
        <f aca="false">INDEX($S$1:$X$1,MATCH(MAX(S196:X196),S196:X196,0))</f>
        <v>Mis-selling</v>
      </c>
      <c r="Z196" s="0" t="s">
        <v>2608</v>
      </c>
    </row>
    <row r="197" customFormat="false" ht="15" hidden="false" customHeight="false" outlineLevel="0" collapsed="false">
      <c r="A197" s="0" t="str">
        <f aca="false">Complaints!A197</f>
        <v>C0196</v>
      </c>
      <c r="B197" s="0" t="str">
        <f aca="false">Complaints!B197</f>
        <v>This is the second time I have raised this. The staff member was rude and dismissive when I called. Also, my card reader stopped working and I cannot approve payments.</v>
      </c>
      <c r="C197" s="0" t="str">
        <f aca="false">Complaints!C197</f>
        <v>Customer Service</v>
      </c>
      <c r="D197" s="0" t="str">
        <f aca="false">" "&amp;TRIM(SUBSTITUTE(SUBSTITUTE(SUBSTITUTE(SUBSTITUTE(SUBSTITUTE(SUBSTITUTE(SUBSTITUTE(SUBSTITUTE(SUBSTITUTE(SUBSTITUTE(SUBSTITUTE(SUBSTITUTE(SUBSTITUTE(SUBSTITUTE(SUBSTITUTE(SUBSTITUTE(LOWER(B197),"."," "),","," "),"'"," "),"’"," "),"!"," "),"?"," "),";"," "),":"," "),"-"," "),"("," "),")"," "),"""", " "),"£"," "),"&amp;"," "),"/"," "),"%"," "))&amp;" "</f>
        <v> this is the second time i have raised this the staff member was rude and dismissive when i called also my card reader stopped working and i cannot approve payments </v>
      </c>
      <c r="E197" s="0" t="n">
        <f aca="false">SUMPRODUCT((Rules!$A$2:$A$60=E$1)*Rules!$C$2:$C$60*ISNUMBER(SEARCH(Rules!$D$2:$D$60,$D197)))</f>
        <v>0</v>
      </c>
      <c r="F197" s="0" t="n">
        <f aca="false">SUMPRODUCT((Rules!$A$2:$A$60=F$1)*Rules!$C$2:$C$60*ISNUMBER(SEARCH(Rules!$D$2:$D$60,$D197)))</f>
        <v>0</v>
      </c>
      <c r="G197" s="0" t="n">
        <f aca="false">SUMPRODUCT((Rules!$A$2:$A$60=G$1)*Rules!$C$2:$C$60*ISNUMBER(SEARCH(Rules!$D$2:$D$60,$D197)))</f>
        <v>0</v>
      </c>
      <c r="H197" s="0" t="n">
        <f aca="false">SUMPRODUCT((Rules!$A$2:$A$60=H$1)*Rules!$C$2:$C$60*ISNUMBER(SEARCH(Rules!$D$2:$D$60,$D197)))</f>
        <v>0</v>
      </c>
      <c r="I197" s="0" t="n">
        <f aca="false">SUMPRODUCT((Rules!$A$2:$A$60=I$1)*Rules!$C$2:$C$60*ISNUMBER(SEARCH(Rules!$D$2:$D$60,$D197)))</f>
        <v>0</v>
      </c>
      <c r="J197" s="0" t="n">
        <f aca="false">SUMPRODUCT((Rules!$A$2:$A$60=J$1)*Rules!$C$2:$C$60*ISNUMBER(SEARCH(Rules!$D$2:$D$60,$D197)))</f>
        <v>4</v>
      </c>
      <c r="K197" s="0" t="str">
        <f aca="false">IF(OR(MAX(E197:J197)&lt;Rules!$H$1,MAX(E197:J197)-LARGE(E197:J197,2)&lt;Rules!$H$2),"No label",INDEX($E$1:$J$1,MATCH(MAX(E197:J197),E197:J197,0)))</f>
        <v>Customer Service</v>
      </c>
      <c r="L197" s="0" t="n">
        <f aca="false">SUMPRODUCT((Rules!$A$2:$A$60=L$1)*Rules!$C$2:$C$60*ISNUMBER(SEARCH(Rules!$E$2:$E$60,$D197)))</f>
        <v>0</v>
      </c>
      <c r="M197" s="0" t="n">
        <f aca="false">SUMPRODUCT((Rules!$A$2:$A$60=M$1)*Rules!$C$2:$C$60*ISNUMBER(SEARCH(Rules!$E$2:$E$60,$D197)))</f>
        <v>0</v>
      </c>
      <c r="N197" s="0" t="n">
        <f aca="false">SUMPRODUCT((Rules!$A$2:$A$60=N$1)*Rules!$C$2:$C$60*ISNUMBER(SEARCH(Rules!$E$2:$E$60,$D197)))</f>
        <v>0</v>
      </c>
      <c r="O197" s="0" t="n">
        <f aca="false">SUMPRODUCT((Rules!$A$2:$A$60=O$1)*Rules!$C$2:$C$60*ISNUMBER(SEARCH(Rules!$E$2:$E$60,$D197)))</f>
        <v>0</v>
      </c>
      <c r="P197" s="0" t="n">
        <f aca="false">SUMPRODUCT((Rules!$A$2:$A$60=P$1)*Rules!$C$2:$C$60*ISNUMBER(SEARCH(Rules!$E$2:$E$60,$D197)))</f>
        <v>0</v>
      </c>
      <c r="Q197" s="0" t="n">
        <f aca="false">SUMPRODUCT((Rules!$A$2:$A$60=Q$1)*Rules!$C$2:$C$60*ISNUMBER(SEARCH(Rules!$E$2:$E$60,$D197)))</f>
        <v>4</v>
      </c>
      <c r="R197" s="0" t="str">
        <f aca="false">IF(OR(MAX(L197:Q197)&lt;Rules!$H$1,MAX(L197:Q197)-LARGE(L197:Q197,2)&lt;Rules!$H$2),"No label",INDEX($L$1:$Q$1,MATCH(MAX(L197:Q197),L197:Q197,0)))</f>
        <v>Customer Service</v>
      </c>
      <c r="S197" s="0" t="n">
        <f aca="false">SUMPRODUCT(ISNUMBER(SEARCH(" "&amp;Terms!$A$3:$A$821&amp;" ",$D197))*Terms!B$3:B$821)+Terms!B$2</f>
        <v>10.1346312417167</v>
      </c>
      <c r="T197" s="0" t="n">
        <f aca="false">SUMPRODUCT(ISNUMBER(SEARCH(" "&amp;Terms!$A$3:$A$821&amp;" ",$D197))*Terms!C$3:C$821)+Terms!C$2</f>
        <v>11.2159614972189</v>
      </c>
      <c r="U197" s="0" t="n">
        <f aca="false">SUMPRODUCT(ISNUMBER(SEARCH(" "&amp;Terms!$A$3:$A$821&amp;" ",$D197))*Terms!D$3:D$821)+Terms!D$2</f>
        <v>-4.26997483579642</v>
      </c>
      <c r="V197" s="0" t="n">
        <f aca="false">SUMPRODUCT(ISNUMBER(SEARCH(" "&amp;Terms!$A$3:$A$821&amp;" ",$D197))*Terms!E$3:E$821)+Terms!E$2</f>
        <v>-3.93739181662699</v>
      </c>
      <c r="W197" s="0" t="n">
        <f aca="false">SUMPRODUCT(ISNUMBER(SEARCH(" "&amp;Terms!$A$3:$A$821&amp;" ",$D197))*Terms!F$3:F$821)+Terms!F$2</f>
        <v>-1.31794964262333</v>
      </c>
      <c r="X197" s="0" t="n">
        <f aca="false">SUMPRODUCT(ISNUMBER(SEARCH(" "&amp;Terms!$A$3:$A$821&amp;" ",$D197))*Terms!G$3:G$821)+Terms!G$2</f>
        <v>-11.8252764438887</v>
      </c>
      <c r="Y197" s="0" t="str">
        <f aca="false">INDEX($S$1:$X$1,MATCH(MAX(S197:X197),S197:X197,0))</f>
        <v>Customer Service</v>
      </c>
      <c r="Z197" s="0" t="s">
        <v>2607</v>
      </c>
    </row>
    <row r="198" customFormat="false" ht="15" hidden="false" customHeight="false" outlineLevel="0" collapsed="false">
      <c r="A198" s="0" t="str">
        <f aca="false">Complaints!A198</f>
        <v>C0197</v>
      </c>
      <c r="B198" s="0" t="str">
        <f aca="false">Complaints!B198</f>
        <v>I am writing to complain. My mortgage switch is taking far longer than you said it would. Please escalate this.</v>
      </c>
      <c r="C198" s="0" t="str">
        <f aca="false">Complaints!C198</f>
        <v>Delays &amp; Processing</v>
      </c>
      <c r="D198" s="0" t="str">
        <f aca="false">" "&amp;TRIM(SUBSTITUTE(SUBSTITUTE(SUBSTITUTE(SUBSTITUTE(SUBSTITUTE(SUBSTITUTE(SUBSTITUTE(SUBSTITUTE(SUBSTITUTE(SUBSTITUTE(SUBSTITUTE(SUBSTITUTE(SUBSTITUTE(SUBSTITUTE(SUBSTITUTE(SUBSTITUTE(LOWER(B198),"."," "),","," "),"'"," "),"’"," "),"!"," "),"?"," "),";"," "),":"," "),"-"," "),"("," "),")"," "),"""", " "),"£"," "),"&amp;"," "),"/"," "),"%"," "))&amp;" "</f>
        <v> i am writing to complain my mortgage switch is taking far longer than you said it would please escalate this </v>
      </c>
      <c r="E198" s="0" t="n">
        <f aca="false">SUMPRODUCT((Rules!$A$2:$A$60=E$1)*Rules!$C$2:$C$60*ISNUMBER(SEARCH(Rules!$D$2:$D$60,$D198)))</f>
        <v>0</v>
      </c>
      <c r="F198" s="0" t="n">
        <f aca="false">SUMPRODUCT((Rules!$A$2:$A$60=F$1)*Rules!$C$2:$C$60*ISNUMBER(SEARCH(Rules!$D$2:$D$60,$D198)))</f>
        <v>0</v>
      </c>
      <c r="G198" s="0" t="n">
        <f aca="false">SUMPRODUCT((Rules!$A$2:$A$60=G$1)*Rules!$C$2:$C$60*ISNUMBER(SEARCH(Rules!$D$2:$D$60,$D198)))</f>
        <v>0</v>
      </c>
      <c r="H198" s="0" t="n">
        <f aca="false">SUMPRODUCT((Rules!$A$2:$A$60=H$1)*Rules!$C$2:$C$60*ISNUMBER(SEARCH(Rules!$D$2:$D$60,$D198)))</f>
        <v>0</v>
      </c>
      <c r="I198" s="0" t="n">
        <f aca="false">SUMPRODUCT((Rules!$A$2:$A$60=I$1)*Rules!$C$2:$C$60*ISNUMBER(SEARCH(Rules!$D$2:$D$60,$D198)))</f>
        <v>2</v>
      </c>
      <c r="J198" s="0" t="n">
        <f aca="false">SUMPRODUCT((Rules!$A$2:$A$60=J$1)*Rules!$C$2:$C$60*ISNUMBER(SEARCH(Rules!$D$2:$D$60,$D198)))</f>
        <v>0</v>
      </c>
      <c r="K198" s="0" t="str">
        <f aca="false">IF(OR(MAX(E198:J198)&lt;Rules!$H$1,MAX(E198:J198)-LARGE(E198:J198,2)&lt;Rules!$H$2),"No label",INDEX($E$1:$J$1,MATCH(MAX(E198:J198),E198:J198,0)))</f>
        <v>No label</v>
      </c>
      <c r="L198" s="0" t="n">
        <f aca="false">SUMPRODUCT((Rules!$A$2:$A$60=L$1)*Rules!$C$2:$C$60*ISNUMBER(SEARCH(Rules!$E$2:$E$60,$D198)))</f>
        <v>0</v>
      </c>
      <c r="M198" s="0" t="n">
        <f aca="false">SUMPRODUCT((Rules!$A$2:$A$60=M$1)*Rules!$C$2:$C$60*ISNUMBER(SEARCH(Rules!$E$2:$E$60,$D198)))</f>
        <v>0</v>
      </c>
      <c r="N198" s="0" t="n">
        <f aca="false">SUMPRODUCT((Rules!$A$2:$A$60=N$1)*Rules!$C$2:$C$60*ISNUMBER(SEARCH(Rules!$E$2:$E$60,$D198)))</f>
        <v>0</v>
      </c>
      <c r="O198" s="0" t="n">
        <f aca="false">SUMPRODUCT((Rules!$A$2:$A$60=O$1)*Rules!$C$2:$C$60*ISNUMBER(SEARCH(Rules!$E$2:$E$60,$D198)))</f>
        <v>0</v>
      </c>
      <c r="P198" s="0" t="n">
        <f aca="false">SUMPRODUCT((Rules!$A$2:$A$60=P$1)*Rules!$C$2:$C$60*ISNUMBER(SEARCH(Rules!$E$2:$E$60,$D198)))</f>
        <v>2</v>
      </c>
      <c r="Q198" s="0" t="n">
        <f aca="false">SUMPRODUCT((Rules!$A$2:$A$60=Q$1)*Rules!$C$2:$C$60*ISNUMBER(SEARCH(Rules!$E$2:$E$60,$D198)))</f>
        <v>0</v>
      </c>
      <c r="R198" s="0" t="str">
        <f aca="false">IF(OR(MAX(L198:Q198)&lt;Rules!$H$1,MAX(L198:Q198)-LARGE(L198:Q198,2)&lt;Rules!$H$2),"No label",INDEX($L$1:$Q$1,MATCH(MAX(L198:Q198),L198:Q198,0)))</f>
        <v>No label</v>
      </c>
      <c r="S198" s="0" t="n">
        <f aca="false">SUMPRODUCT(ISNUMBER(SEARCH(" "&amp;Terms!$A$3:$A$821&amp;" ",$D198))*Terms!B$3:B$821)+Terms!B$2</f>
        <v>-4.1852666161149</v>
      </c>
      <c r="T198" s="0" t="n">
        <f aca="false">SUMPRODUCT(ISNUMBER(SEARCH(" "&amp;Terms!$A$3:$A$821&amp;" ",$D198))*Terms!C$3:C$821)+Terms!C$2</f>
        <v>0.525503972647711</v>
      </c>
      <c r="U198" s="0" t="n">
        <f aca="false">SUMPRODUCT(ISNUMBER(SEARCH(" "&amp;Terms!$A$3:$A$821&amp;" ",$D198))*Terms!D$3:D$821)+Terms!D$2</f>
        <v>11.5589406001559</v>
      </c>
      <c r="V198" s="0" t="n">
        <f aca="false">SUMPRODUCT(ISNUMBER(SEARCH(" "&amp;Terms!$A$3:$A$821&amp;" ",$D198))*Terms!E$3:E$821)+Terms!E$2</f>
        <v>-2.7029248340066</v>
      </c>
      <c r="W198" s="0" t="n">
        <f aca="false">SUMPRODUCT(ISNUMBER(SEARCH(" "&amp;Terms!$A$3:$A$821&amp;" ",$D198))*Terms!F$3:F$821)+Terms!F$2</f>
        <v>-3.20310891202635</v>
      </c>
      <c r="X198" s="0" t="n">
        <f aca="false">SUMPRODUCT(ISNUMBER(SEARCH(" "&amp;Terms!$A$3:$A$821&amp;" ",$D198))*Terms!G$3:G$821)+Terms!G$2</f>
        <v>-1.99314421065568</v>
      </c>
      <c r="Y198" s="0" t="str">
        <f aca="false">INDEX($S$1:$X$1,MATCH(MAX(S198:X198),S198:X198,0))</f>
        <v>Delays &amp; Processing</v>
      </c>
      <c r="Z198" s="0" t="s">
        <v>2608</v>
      </c>
    </row>
    <row r="199" customFormat="false" ht="15" hidden="false" customHeight="false" outlineLevel="0" collapsed="false">
      <c r="A199" s="0" t="str">
        <f aca="false">Complaints!A199</f>
        <v>C0198</v>
      </c>
      <c r="B199" s="0" t="str">
        <f aca="false">Complaints!B199</f>
        <v>To whom it may concern, The branch manager would not listen to my concerns. Also, a fake text message led me to a website and my money disappeared. I expect compensation.</v>
      </c>
      <c r="C199" s="0" t="str">
        <f aca="false">Complaints!C199</f>
        <v>Customer Service</v>
      </c>
      <c r="D199" s="0" t="str">
        <f aca="false">" "&amp;TRIM(SUBSTITUTE(SUBSTITUTE(SUBSTITUTE(SUBSTITUTE(SUBSTITUTE(SUBSTITUTE(SUBSTITUTE(SUBSTITUTE(SUBSTITUTE(SUBSTITUTE(SUBSTITUTE(SUBSTITUTE(SUBSTITUTE(SUBSTITUTE(SUBSTITUTE(SUBSTITUTE(LOWER(B199),"."," "),","," "),"'"," "),"’"," "),"!"," "),"?"," "),";"," "),":"," "),"-"," "),"("," "),")"," "),"""", " "),"£"," "),"&amp;"," "),"/"," "),"%"," "))&amp;" "</f>
        <v> to whom it may concern the branch manager would not listen to my concerns also a fake text message led me to a website and my money disappeared i expect compensation </v>
      </c>
      <c r="E199" s="0" t="n">
        <f aca="false">SUMPRODUCT((Rules!$A$2:$A$60=E$1)*Rules!$C$2:$C$60*ISNUMBER(SEARCH(Rules!$D$2:$D$60,$D199)))</f>
        <v>2</v>
      </c>
      <c r="F199" s="0" t="n">
        <f aca="false">SUMPRODUCT((Rules!$A$2:$A$60=F$1)*Rules!$C$2:$C$60*ISNUMBER(SEARCH(Rules!$D$2:$D$60,$D199)))</f>
        <v>0</v>
      </c>
      <c r="G199" s="0" t="n">
        <f aca="false">SUMPRODUCT((Rules!$A$2:$A$60=G$1)*Rules!$C$2:$C$60*ISNUMBER(SEARCH(Rules!$D$2:$D$60,$D199)))</f>
        <v>0</v>
      </c>
      <c r="H199" s="0" t="n">
        <f aca="false">SUMPRODUCT((Rules!$A$2:$A$60=H$1)*Rules!$C$2:$C$60*ISNUMBER(SEARCH(Rules!$D$2:$D$60,$D199)))</f>
        <v>0</v>
      </c>
      <c r="I199" s="0" t="n">
        <f aca="false">SUMPRODUCT((Rules!$A$2:$A$60=I$1)*Rules!$C$2:$C$60*ISNUMBER(SEARCH(Rules!$D$2:$D$60,$D199)))</f>
        <v>0</v>
      </c>
      <c r="J199" s="0" t="n">
        <f aca="false">SUMPRODUCT((Rules!$A$2:$A$60=J$1)*Rules!$C$2:$C$60*ISNUMBER(SEARCH(Rules!$D$2:$D$60,$D199)))</f>
        <v>0</v>
      </c>
      <c r="K199" s="0" t="str">
        <f aca="false">IF(OR(MAX(E199:J199)&lt;Rules!$H$1,MAX(E199:J199)-LARGE(E199:J199,2)&lt;Rules!$H$2),"No label",INDEX($E$1:$J$1,MATCH(MAX(E199:J199),E199:J199,0)))</f>
        <v>No label</v>
      </c>
      <c r="L199" s="0" t="n">
        <f aca="false">SUMPRODUCT((Rules!$A$2:$A$60=L$1)*Rules!$C$2:$C$60*ISNUMBER(SEARCH(Rules!$E$2:$E$60,$D199)))</f>
        <v>2</v>
      </c>
      <c r="M199" s="0" t="n">
        <f aca="false">SUMPRODUCT((Rules!$A$2:$A$60=M$1)*Rules!$C$2:$C$60*ISNUMBER(SEARCH(Rules!$E$2:$E$60,$D199)))</f>
        <v>0</v>
      </c>
      <c r="N199" s="0" t="n">
        <f aca="false">SUMPRODUCT((Rules!$A$2:$A$60=N$1)*Rules!$C$2:$C$60*ISNUMBER(SEARCH(Rules!$E$2:$E$60,$D199)))</f>
        <v>0</v>
      </c>
      <c r="O199" s="0" t="n">
        <f aca="false">SUMPRODUCT((Rules!$A$2:$A$60=O$1)*Rules!$C$2:$C$60*ISNUMBER(SEARCH(Rules!$E$2:$E$60,$D199)))</f>
        <v>0</v>
      </c>
      <c r="P199" s="0" t="n">
        <f aca="false">SUMPRODUCT((Rules!$A$2:$A$60=P$1)*Rules!$C$2:$C$60*ISNUMBER(SEARCH(Rules!$E$2:$E$60,$D199)))</f>
        <v>0</v>
      </c>
      <c r="Q199" s="0" t="n">
        <f aca="false">SUMPRODUCT((Rules!$A$2:$A$60=Q$1)*Rules!$C$2:$C$60*ISNUMBER(SEARCH(Rules!$E$2:$E$60,$D199)))</f>
        <v>0</v>
      </c>
      <c r="R199" s="0" t="str">
        <f aca="false">IF(OR(MAX(L199:Q199)&lt;Rules!$H$1,MAX(L199:Q199)-LARGE(L199:Q199,2)&lt;Rules!$H$2),"No label",INDEX($L$1:$Q$1,MATCH(MAX(L199:Q199),L199:Q199,0)))</f>
        <v>No label</v>
      </c>
      <c r="S199" s="0" t="n">
        <f aca="false">SUMPRODUCT(ISNUMBER(SEARCH(" "&amp;Terms!$A$3:$A$821&amp;" ",$D199))*Terms!B$3:B$821)+Terms!B$2</f>
        <v>1.26554555978862</v>
      </c>
      <c r="T199" s="0" t="n">
        <f aca="false">SUMPRODUCT(ISNUMBER(SEARCH(" "&amp;Terms!$A$3:$A$821&amp;" ",$D199))*Terms!C$3:C$821)+Terms!C$2</f>
        <v>6.2845293159563</v>
      </c>
      <c r="U199" s="0" t="n">
        <f aca="false">SUMPRODUCT(ISNUMBER(SEARCH(" "&amp;Terms!$A$3:$A$821&amp;" ",$D199))*Terms!D$3:D$821)+Terms!D$2</f>
        <v>-5.78728176468513</v>
      </c>
      <c r="V199" s="0" t="n">
        <f aca="false">SUMPRODUCT(ISNUMBER(SEARCH(" "&amp;Terms!$A$3:$A$821&amp;" ",$D199))*Terms!E$3:E$821)+Terms!E$2</f>
        <v>-6.64471853131558</v>
      </c>
      <c r="W199" s="0" t="n">
        <f aca="false">SUMPRODUCT(ISNUMBER(SEARCH(" "&amp;Terms!$A$3:$A$821&amp;" ",$D199))*Terms!F$3:F$821)+Terms!F$2</f>
        <v>9.40750046385393</v>
      </c>
      <c r="X199" s="0" t="n">
        <f aca="false">SUMPRODUCT(ISNUMBER(SEARCH(" "&amp;Terms!$A$3:$A$821&amp;" ",$D199))*Terms!G$3:G$821)+Terms!G$2</f>
        <v>-4.52557504359805</v>
      </c>
      <c r="Y199" s="0" t="str">
        <f aca="false">INDEX($S$1:$X$1,MATCH(MAX(S199:X199),S199:X199,0))</f>
        <v>Fraud &amp; Scams</v>
      </c>
      <c r="Z199" s="0" t="s">
        <v>2607</v>
      </c>
    </row>
    <row r="200" customFormat="false" ht="15" hidden="false" customHeight="false" outlineLevel="0" collapsed="false">
      <c r="A200" s="0" t="str">
        <f aca="false">Complaints!A200</f>
        <v>C0199</v>
      </c>
      <c r="B200" s="0" t="str">
        <f aca="false">Complaints!B200</f>
        <v>To whom it may concern, Someone has made payments from my account that I did not authorise. Also, the complaints handler was unhelpful and talked over me.</v>
      </c>
      <c r="C200" s="0" t="str">
        <f aca="false">Complaints!C200</f>
        <v>Fraud &amp; Scams</v>
      </c>
      <c r="D200" s="0" t="str">
        <f aca="false">" "&amp;TRIM(SUBSTITUTE(SUBSTITUTE(SUBSTITUTE(SUBSTITUTE(SUBSTITUTE(SUBSTITUTE(SUBSTITUTE(SUBSTITUTE(SUBSTITUTE(SUBSTITUTE(SUBSTITUTE(SUBSTITUTE(SUBSTITUTE(SUBSTITUTE(SUBSTITUTE(SUBSTITUTE(LOWER(B200),"."," "),","," "),"'"," "),"’"," "),"!"," "),"?"," "),";"," "),":"," "),"-"," "),"("," "),")"," "),"""", " "),"£"," "),"&amp;"," "),"/"," "),"%"," "))&amp;" "</f>
        <v> to whom it may concern someone has made payments from my account that i did not authorise also the complaints handler was unhelpful and talked over me </v>
      </c>
      <c r="E200" s="0" t="n">
        <f aca="false">SUMPRODUCT((Rules!$A$2:$A$60=E$1)*Rules!$C$2:$C$60*ISNUMBER(SEARCH(Rules!$D$2:$D$60,$D200)))</f>
        <v>3</v>
      </c>
      <c r="F200" s="0" t="n">
        <f aca="false">SUMPRODUCT((Rules!$A$2:$A$60=F$1)*Rules!$C$2:$C$60*ISNUMBER(SEARCH(Rules!$D$2:$D$60,$D200)))</f>
        <v>0</v>
      </c>
      <c r="G200" s="0" t="n">
        <f aca="false">SUMPRODUCT((Rules!$A$2:$A$60=G$1)*Rules!$C$2:$C$60*ISNUMBER(SEARCH(Rules!$D$2:$D$60,$D200)))</f>
        <v>0</v>
      </c>
      <c r="H200" s="0" t="n">
        <f aca="false">SUMPRODUCT((Rules!$A$2:$A$60=H$1)*Rules!$C$2:$C$60*ISNUMBER(SEARCH(Rules!$D$2:$D$60,$D200)))</f>
        <v>0</v>
      </c>
      <c r="I200" s="0" t="n">
        <f aca="false">SUMPRODUCT((Rules!$A$2:$A$60=I$1)*Rules!$C$2:$C$60*ISNUMBER(SEARCH(Rules!$D$2:$D$60,$D200)))</f>
        <v>0</v>
      </c>
      <c r="J200" s="0" t="n">
        <f aca="false">SUMPRODUCT((Rules!$A$2:$A$60=J$1)*Rules!$C$2:$C$60*ISNUMBER(SEARCH(Rules!$D$2:$D$60,$D200)))</f>
        <v>2</v>
      </c>
      <c r="K200" s="0" t="str">
        <f aca="false">IF(OR(MAX(E200:J200)&lt;Rules!$H$1,MAX(E200:J200)-LARGE(E200:J200,2)&lt;Rules!$H$2),"No label",INDEX($E$1:$J$1,MATCH(MAX(E200:J200),E200:J200,0)))</f>
        <v>No label</v>
      </c>
      <c r="L200" s="0" t="n">
        <f aca="false">SUMPRODUCT((Rules!$A$2:$A$60=L$1)*Rules!$C$2:$C$60*ISNUMBER(SEARCH(Rules!$E$2:$E$60,$D200)))</f>
        <v>3</v>
      </c>
      <c r="M200" s="0" t="n">
        <f aca="false">SUMPRODUCT((Rules!$A$2:$A$60=M$1)*Rules!$C$2:$C$60*ISNUMBER(SEARCH(Rules!$E$2:$E$60,$D200)))</f>
        <v>0</v>
      </c>
      <c r="N200" s="0" t="n">
        <f aca="false">SUMPRODUCT((Rules!$A$2:$A$60=N$1)*Rules!$C$2:$C$60*ISNUMBER(SEARCH(Rules!$E$2:$E$60,$D200)))</f>
        <v>0</v>
      </c>
      <c r="O200" s="0" t="n">
        <f aca="false">SUMPRODUCT((Rules!$A$2:$A$60=O$1)*Rules!$C$2:$C$60*ISNUMBER(SEARCH(Rules!$E$2:$E$60,$D200)))</f>
        <v>0</v>
      </c>
      <c r="P200" s="0" t="n">
        <f aca="false">SUMPRODUCT((Rules!$A$2:$A$60=P$1)*Rules!$C$2:$C$60*ISNUMBER(SEARCH(Rules!$E$2:$E$60,$D200)))</f>
        <v>0</v>
      </c>
      <c r="Q200" s="0" t="n">
        <f aca="false">SUMPRODUCT((Rules!$A$2:$A$60=Q$1)*Rules!$C$2:$C$60*ISNUMBER(SEARCH(Rules!$E$2:$E$60,$D200)))</f>
        <v>2</v>
      </c>
      <c r="R200" s="0" t="str">
        <f aca="false">IF(OR(MAX(L200:Q200)&lt;Rules!$H$1,MAX(L200:Q200)-LARGE(L200:Q200,2)&lt;Rules!$H$2),"No label",INDEX($L$1:$Q$1,MATCH(MAX(L200:Q200),L200:Q200,0)))</f>
        <v>No label</v>
      </c>
      <c r="S200" s="0" t="n">
        <f aca="false">SUMPRODUCT(ISNUMBER(SEARCH(" "&amp;Terms!$A$3:$A$821&amp;" ",$D200))*Terms!B$3:B$821)+Terms!B$2</f>
        <v>0.0433598703347065</v>
      </c>
      <c r="T200" s="0" t="n">
        <f aca="false">SUMPRODUCT(ISNUMBER(SEARCH(" "&amp;Terms!$A$3:$A$821&amp;" ",$D200))*Terms!C$3:C$821)+Terms!C$2</f>
        <v>6.3482147169937</v>
      </c>
      <c r="U200" s="0" t="n">
        <f aca="false">SUMPRODUCT(ISNUMBER(SEARCH(" "&amp;Terms!$A$3:$A$821&amp;" ",$D200))*Terms!D$3:D$821)+Terms!D$2</f>
        <v>-3.75118403975659</v>
      </c>
      <c r="V200" s="0" t="n">
        <f aca="false">SUMPRODUCT(ISNUMBER(SEARCH(" "&amp;Terms!$A$3:$A$821&amp;" ",$D200))*Terms!E$3:E$821)+Terms!E$2</f>
        <v>-1.8983979552519</v>
      </c>
      <c r="W200" s="0" t="n">
        <f aca="false">SUMPRODUCT(ISNUMBER(SEARCH(" "&amp;Terms!$A$3:$A$821&amp;" ",$D200))*Terms!F$3:F$821)+Terms!F$2</f>
        <v>2.02299799088926</v>
      </c>
      <c r="X200" s="0" t="n">
        <f aca="false">SUMPRODUCT(ISNUMBER(SEARCH(" "&amp;Terms!$A$3:$A$821&amp;" ",$D200))*Terms!G$3:G$821)+Terms!G$2</f>
        <v>-2.76499058320909</v>
      </c>
      <c r="Y200" s="0" t="str">
        <f aca="false">INDEX($S$1:$X$1,MATCH(MAX(S200:X200),S200:X200,0))</f>
        <v>Customer Service</v>
      </c>
      <c r="Z200" s="0" t="s">
        <v>2607</v>
      </c>
    </row>
    <row r="201" customFormat="false" ht="15" hidden="false" customHeight="false" outlineLevel="0" collapsed="false">
      <c r="A201" s="0" t="str">
        <f aca="false">Complaints!A201</f>
        <v>C0200</v>
      </c>
      <c r="B201" s="0" t="str">
        <f aca="false">Complaints!B201</f>
        <v>I am writing to complain. The complaints handler was unhelpful and talked over me. It has also been taking far too long. Please escalate this.</v>
      </c>
      <c r="C201" s="0" t="str">
        <f aca="false">Complaints!C201</f>
        <v>Customer Service</v>
      </c>
      <c r="D201" s="0" t="str">
        <f aca="false">" "&amp;TRIM(SUBSTITUTE(SUBSTITUTE(SUBSTITUTE(SUBSTITUTE(SUBSTITUTE(SUBSTITUTE(SUBSTITUTE(SUBSTITUTE(SUBSTITUTE(SUBSTITUTE(SUBSTITUTE(SUBSTITUTE(SUBSTITUTE(SUBSTITUTE(SUBSTITUTE(SUBSTITUTE(LOWER(B201),"."," "),","," "),"'"," "),"’"," "),"!"," "),"?"," "),";"," "),":"," "),"-"," "),"("," "),")"," "),"""", " "),"£"," "),"&amp;"," "),"/"," "),"%"," "))&amp;" "</f>
        <v> i am writing to complain the complaints handler was unhelpful and talked over me it has also been taking far too long please escalate this </v>
      </c>
      <c r="E201" s="0" t="n">
        <f aca="false">SUMPRODUCT((Rules!$A$2:$A$60=E$1)*Rules!$C$2:$C$60*ISNUMBER(SEARCH(Rules!$D$2:$D$60,$D201)))</f>
        <v>0</v>
      </c>
      <c r="F201" s="0" t="n">
        <f aca="false">SUMPRODUCT((Rules!$A$2:$A$60=F$1)*Rules!$C$2:$C$60*ISNUMBER(SEARCH(Rules!$D$2:$D$60,$D201)))</f>
        <v>0</v>
      </c>
      <c r="G201" s="0" t="n">
        <f aca="false">SUMPRODUCT((Rules!$A$2:$A$60=G$1)*Rules!$C$2:$C$60*ISNUMBER(SEARCH(Rules!$D$2:$D$60,$D201)))</f>
        <v>0</v>
      </c>
      <c r="H201" s="0" t="n">
        <f aca="false">SUMPRODUCT((Rules!$A$2:$A$60=H$1)*Rules!$C$2:$C$60*ISNUMBER(SEARCH(Rules!$D$2:$D$60,$D201)))</f>
        <v>0</v>
      </c>
      <c r="I201" s="0" t="n">
        <f aca="false">SUMPRODUCT((Rules!$A$2:$A$60=I$1)*Rules!$C$2:$C$60*ISNUMBER(SEARCH(Rules!$D$2:$D$60,$D201)))</f>
        <v>0</v>
      </c>
      <c r="J201" s="0" t="n">
        <f aca="false">SUMPRODUCT((Rules!$A$2:$A$60=J$1)*Rules!$C$2:$C$60*ISNUMBER(SEARCH(Rules!$D$2:$D$60,$D201)))</f>
        <v>2</v>
      </c>
      <c r="K201" s="0" t="str">
        <f aca="false">IF(OR(MAX(E201:J201)&lt;Rules!$H$1,MAX(E201:J201)-LARGE(E201:J201,2)&lt;Rules!$H$2),"No label",INDEX($E$1:$J$1,MATCH(MAX(E201:J201),E201:J201,0)))</f>
        <v>No label</v>
      </c>
      <c r="L201" s="0" t="n">
        <f aca="false">SUMPRODUCT((Rules!$A$2:$A$60=L$1)*Rules!$C$2:$C$60*ISNUMBER(SEARCH(Rules!$E$2:$E$60,$D201)))</f>
        <v>0</v>
      </c>
      <c r="M201" s="0" t="n">
        <f aca="false">SUMPRODUCT((Rules!$A$2:$A$60=M$1)*Rules!$C$2:$C$60*ISNUMBER(SEARCH(Rules!$E$2:$E$60,$D201)))</f>
        <v>0</v>
      </c>
      <c r="N201" s="0" t="n">
        <f aca="false">SUMPRODUCT((Rules!$A$2:$A$60=N$1)*Rules!$C$2:$C$60*ISNUMBER(SEARCH(Rules!$E$2:$E$60,$D201)))</f>
        <v>0</v>
      </c>
      <c r="O201" s="0" t="n">
        <f aca="false">SUMPRODUCT((Rules!$A$2:$A$60=O$1)*Rules!$C$2:$C$60*ISNUMBER(SEARCH(Rules!$E$2:$E$60,$D201)))</f>
        <v>0</v>
      </c>
      <c r="P201" s="0" t="n">
        <f aca="false">SUMPRODUCT((Rules!$A$2:$A$60=P$1)*Rules!$C$2:$C$60*ISNUMBER(SEARCH(Rules!$E$2:$E$60,$D201)))</f>
        <v>0</v>
      </c>
      <c r="Q201" s="0" t="n">
        <f aca="false">SUMPRODUCT((Rules!$A$2:$A$60=Q$1)*Rules!$C$2:$C$60*ISNUMBER(SEARCH(Rules!$E$2:$E$60,$D201)))</f>
        <v>2</v>
      </c>
      <c r="R201" s="0" t="str">
        <f aca="false">IF(OR(MAX(L201:Q201)&lt;Rules!$H$1,MAX(L201:Q201)-LARGE(L201:Q201,2)&lt;Rules!$H$2),"No label",INDEX($L$1:$Q$1,MATCH(MAX(L201:Q201),L201:Q201,0)))</f>
        <v>No label</v>
      </c>
      <c r="S201" s="0" t="n">
        <f aca="false">SUMPRODUCT(ISNUMBER(SEARCH(" "&amp;Terms!$A$3:$A$821&amp;" ",$D201))*Terms!B$3:B$821)+Terms!B$2</f>
        <v>-1.87837664798846</v>
      </c>
      <c r="T201" s="0" t="n">
        <f aca="false">SUMPRODUCT(ISNUMBER(SEARCH(" "&amp;Terms!$A$3:$A$821&amp;" ",$D201))*Terms!C$3:C$821)+Terms!C$2</f>
        <v>9.14381865191112</v>
      </c>
      <c r="U201" s="0" t="n">
        <f aca="false">SUMPRODUCT(ISNUMBER(SEARCH(" "&amp;Terms!$A$3:$A$821&amp;" ",$D201))*Terms!D$3:D$821)+Terms!D$2</f>
        <v>-1.49177380442663</v>
      </c>
      <c r="V201" s="0" t="n">
        <f aca="false">SUMPRODUCT(ISNUMBER(SEARCH(" "&amp;Terms!$A$3:$A$821&amp;" ",$D201))*Terms!E$3:E$821)+Terms!E$2</f>
        <v>-1.06345162542444</v>
      </c>
      <c r="W201" s="0" t="n">
        <f aca="false">SUMPRODUCT(ISNUMBER(SEARCH(" "&amp;Terms!$A$3:$A$821&amp;" ",$D201))*Terms!F$3:F$821)+Terms!F$2</f>
        <v>-3.69205885621333</v>
      </c>
      <c r="X201" s="0" t="n">
        <f aca="false">SUMPRODUCT(ISNUMBER(SEARCH(" "&amp;Terms!$A$3:$A$821&amp;" ",$D201))*Terms!G$3:G$821)+Terms!G$2</f>
        <v>-1.01815771785816</v>
      </c>
      <c r="Y201" s="0" t="str">
        <f aca="false">INDEX($S$1:$X$1,MATCH(MAX(S201:X201),S201:X201,0))</f>
        <v>Customer Service</v>
      </c>
      <c r="Z201" s="0" t="s">
        <v>2607</v>
      </c>
    </row>
    <row r="202" customFormat="false" ht="15" hidden="false" customHeight="false" outlineLevel="0" collapsed="false">
      <c r="A202" s="0" t="str">
        <f aca="false">Complaints!A202</f>
        <v>C0201</v>
      </c>
      <c r="B202" s="0" t="str">
        <f aca="false">Complaints!B202</f>
        <v>I was misled about what the insurance actually included. I exect compensation.</v>
      </c>
      <c r="C202" s="0" t="str">
        <f aca="false">Complaints!C202</f>
        <v>Mis-selling</v>
      </c>
      <c r="D202" s="0" t="str">
        <f aca="false">" "&amp;TRIM(SUBSTITUTE(SUBSTITUTE(SUBSTITUTE(SUBSTITUTE(SUBSTITUTE(SUBSTITUTE(SUBSTITUTE(SUBSTITUTE(SUBSTITUTE(SUBSTITUTE(SUBSTITUTE(SUBSTITUTE(SUBSTITUTE(SUBSTITUTE(SUBSTITUTE(SUBSTITUTE(LOWER(B202),"."," "),","," "),"'"," "),"’"," "),"!"," "),"?"," "),";"," "),":"," "),"-"," "),"("," "),")"," "),"""", " "),"£"," "),"&amp;"," "),"/"," "),"%"," "))&amp;" "</f>
        <v> i was misled about what the insurance actually included i exect compensation </v>
      </c>
      <c r="E202" s="0" t="n">
        <f aca="false">SUMPRODUCT((Rules!$A$2:$A$60=E$1)*Rules!$C$2:$C$60*ISNUMBER(SEARCH(Rules!$D$2:$D$60,$D202)))</f>
        <v>0</v>
      </c>
      <c r="F202" s="0" t="n">
        <f aca="false">SUMPRODUCT((Rules!$A$2:$A$60=F$1)*Rules!$C$2:$C$60*ISNUMBER(SEARCH(Rules!$D$2:$D$60,$D202)))</f>
        <v>4</v>
      </c>
      <c r="G202" s="0" t="n">
        <f aca="false">SUMPRODUCT((Rules!$A$2:$A$60=G$1)*Rules!$C$2:$C$60*ISNUMBER(SEARCH(Rules!$D$2:$D$60,$D202)))</f>
        <v>0</v>
      </c>
      <c r="H202" s="0" t="n">
        <f aca="false">SUMPRODUCT((Rules!$A$2:$A$60=H$1)*Rules!$C$2:$C$60*ISNUMBER(SEARCH(Rules!$D$2:$D$60,$D202)))</f>
        <v>0</v>
      </c>
      <c r="I202" s="0" t="n">
        <f aca="false">SUMPRODUCT((Rules!$A$2:$A$60=I$1)*Rules!$C$2:$C$60*ISNUMBER(SEARCH(Rules!$D$2:$D$60,$D202)))</f>
        <v>0</v>
      </c>
      <c r="J202" s="0" t="n">
        <f aca="false">SUMPRODUCT((Rules!$A$2:$A$60=J$1)*Rules!$C$2:$C$60*ISNUMBER(SEARCH(Rules!$D$2:$D$60,$D202)))</f>
        <v>0</v>
      </c>
      <c r="K202" s="0" t="str">
        <f aca="false">IF(OR(MAX(E202:J202)&lt;Rules!$H$1,MAX(E202:J202)-LARGE(E202:J202,2)&lt;Rules!$H$2),"No label",INDEX($E$1:$J$1,MATCH(MAX(E202:J202),E202:J202,0)))</f>
        <v>Mis-selling</v>
      </c>
      <c r="L202" s="0" t="n">
        <f aca="false">SUMPRODUCT((Rules!$A$2:$A$60=L$1)*Rules!$C$2:$C$60*ISNUMBER(SEARCH(Rules!$E$2:$E$60,$D202)))</f>
        <v>0</v>
      </c>
      <c r="M202" s="0" t="n">
        <f aca="false">SUMPRODUCT((Rules!$A$2:$A$60=M$1)*Rules!$C$2:$C$60*ISNUMBER(SEARCH(Rules!$E$2:$E$60,$D202)))</f>
        <v>4</v>
      </c>
      <c r="N202" s="0" t="n">
        <f aca="false">SUMPRODUCT((Rules!$A$2:$A$60=N$1)*Rules!$C$2:$C$60*ISNUMBER(SEARCH(Rules!$E$2:$E$60,$D202)))</f>
        <v>0</v>
      </c>
      <c r="O202" s="0" t="n">
        <f aca="false">SUMPRODUCT((Rules!$A$2:$A$60=O$1)*Rules!$C$2:$C$60*ISNUMBER(SEARCH(Rules!$E$2:$E$60,$D202)))</f>
        <v>0</v>
      </c>
      <c r="P202" s="0" t="n">
        <f aca="false">SUMPRODUCT((Rules!$A$2:$A$60=P$1)*Rules!$C$2:$C$60*ISNUMBER(SEARCH(Rules!$E$2:$E$60,$D202)))</f>
        <v>0</v>
      </c>
      <c r="Q202" s="0" t="n">
        <f aca="false">SUMPRODUCT((Rules!$A$2:$A$60=Q$1)*Rules!$C$2:$C$60*ISNUMBER(SEARCH(Rules!$E$2:$E$60,$D202)))</f>
        <v>0</v>
      </c>
      <c r="R202" s="0" t="str">
        <f aca="false">IF(OR(MAX(L202:Q202)&lt;Rules!$H$1,MAX(L202:Q202)-LARGE(L202:Q202,2)&lt;Rules!$H$2),"No label",INDEX($L$1:$Q$1,MATCH(MAX(L202:Q202),L202:Q202,0)))</f>
        <v>Mis-selling</v>
      </c>
      <c r="S202" s="0" t="n">
        <f aca="false">SUMPRODUCT(ISNUMBER(SEARCH(" "&amp;Terms!$A$3:$A$821&amp;" ",$D202))*Terms!B$3:B$821)+Terms!B$2</f>
        <v>-1.28862659482823</v>
      </c>
      <c r="T202" s="0" t="n">
        <f aca="false">SUMPRODUCT(ISNUMBER(SEARCH(" "&amp;Terms!$A$3:$A$821&amp;" ",$D202))*Terms!C$3:C$821)+Terms!C$2</f>
        <v>-3.98951766867296</v>
      </c>
      <c r="U202" s="0" t="n">
        <f aca="false">SUMPRODUCT(ISNUMBER(SEARCH(" "&amp;Terms!$A$3:$A$821&amp;" ",$D202))*Terms!D$3:D$821)+Terms!D$2</f>
        <v>-1.59538614037307</v>
      </c>
      <c r="V202" s="0" t="n">
        <f aca="false">SUMPRODUCT(ISNUMBER(SEARCH(" "&amp;Terms!$A$3:$A$821&amp;" ",$D202))*Terms!E$3:E$821)+Terms!E$2</f>
        <v>-0.624237476950657</v>
      </c>
      <c r="W202" s="0" t="n">
        <f aca="false">SUMPRODUCT(ISNUMBER(SEARCH(" "&amp;Terms!$A$3:$A$821&amp;" ",$D202))*Terms!F$3:F$821)+Terms!F$2</f>
        <v>-4.00604159326194</v>
      </c>
      <c r="X202" s="0" t="n">
        <f aca="false">SUMPRODUCT(ISNUMBER(SEARCH(" "&amp;Terms!$A$3:$A$821&amp;" ",$D202))*Terms!G$3:G$821)+Terms!G$2</f>
        <v>11.503809474087</v>
      </c>
      <c r="Y202" s="0" t="str">
        <f aca="false">INDEX($S$1:$X$1,MATCH(MAX(S202:X202),S202:X202,0))</f>
        <v>Mis-selling</v>
      </c>
      <c r="Z202" s="0" t="s">
        <v>2607</v>
      </c>
    </row>
    <row r="203" customFormat="false" ht="15" hidden="false" customHeight="false" outlineLevel="0" collapsed="false">
      <c r="A203" s="0" t="str">
        <f aca="false">Complaints!A203</f>
        <v>C0202</v>
      </c>
      <c r="B203" s="0" t="str">
        <f aca="false">Complaints!B203</f>
        <v>A person pretending to be from your bank phoned me and I gave them details. Also, i asked for a callback and it never happened.</v>
      </c>
      <c r="C203" s="0" t="str">
        <f aca="false">Complaints!C203</f>
        <v>Fraud &amp; Scams</v>
      </c>
      <c r="D203" s="0" t="str">
        <f aca="false">" "&amp;TRIM(SUBSTITUTE(SUBSTITUTE(SUBSTITUTE(SUBSTITUTE(SUBSTITUTE(SUBSTITUTE(SUBSTITUTE(SUBSTITUTE(SUBSTITUTE(SUBSTITUTE(SUBSTITUTE(SUBSTITUTE(SUBSTITUTE(SUBSTITUTE(SUBSTITUTE(SUBSTITUTE(LOWER(B203),"."," "),","," "),"'"," "),"’"," "),"!"," "),"?"," "),";"," "),":"," "),"-"," "),"("," "),")"," "),"""", " "),"£"," "),"&amp;"," "),"/"," "),"%"," "))&amp;" "</f>
        <v> a person pretending to be from your bank phoned me and i gave them details also i asked for a callback and it never happened </v>
      </c>
      <c r="E203" s="0" t="n">
        <f aca="false">SUMPRODUCT((Rules!$A$2:$A$60=E$1)*Rules!$C$2:$C$60*ISNUMBER(SEARCH(Rules!$D$2:$D$60,$D203)))</f>
        <v>0</v>
      </c>
      <c r="F203" s="0" t="n">
        <f aca="false">SUMPRODUCT((Rules!$A$2:$A$60=F$1)*Rules!$C$2:$C$60*ISNUMBER(SEARCH(Rules!$D$2:$D$60,$D203)))</f>
        <v>0</v>
      </c>
      <c r="G203" s="0" t="n">
        <f aca="false">SUMPRODUCT((Rules!$A$2:$A$60=G$1)*Rules!$C$2:$C$60*ISNUMBER(SEARCH(Rules!$D$2:$D$60,$D203)))</f>
        <v>0</v>
      </c>
      <c r="H203" s="0" t="n">
        <f aca="false">SUMPRODUCT((Rules!$A$2:$A$60=H$1)*Rules!$C$2:$C$60*ISNUMBER(SEARCH(Rules!$D$2:$D$60,$D203)))</f>
        <v>0</v>
      </c>
      <c r="I203" s="0" t="n">
        <f aca="false">SUMPRODUCT((Rules!$A$2:$A$60=I$1)*Rules!$C$2:$C$60*ISNUMBER(SEARCH(Rules!$D$2:$D$60,$D203)))</f>
        <v>0</v>
      </c>
      <c r="J203" s="0" t="n">
        <f aca="false">SUMPRODUCT((Rules!$A$2:$A$60=J$1)*Rules!$C$2:$C$60*ISNUMBER(SEARCH(Rules!$D$2:$D$60,$D203)))</f>
        <v>2</v>
      </c>
      <c r="K203" s="0" t="str">
        <f aca="false">IF(OR(MAX(E203:J203)&lt;Rules!$H$1,MAX(E203:J203)-LARGE(E203:J203,2)&lt;Rules!$H$2),"No label",INDEX($E$1:$J$1,MATCH(MAX(E203:J203),E203:J203,0)))</f>
        <v>No label</v>
      </c>
      <c r="L203" s="0" t="n">
        <f aca="false">SUMPRODUCT((Rules!$A$2:$A$60=L$1)*Rules!$C$2:$C$60*ISNUMBER(SEARCH(Rules!$E$2:$E$60,$D203)))</f>
        <v>0</v>
      </c>
      <c r="M203" s="0" t="n">
        <f aca="false">SUMPRODUCT((Rules!$A$2:$A$60=M$1)*Rules!$C$2:$C$60*ISNUMBER(SEARCH(Rules!$E$2:$E$60,$D203)))</f>
        <v>0</v>
      </c>
      <c r="N203" s="0" t="n">
        <f aca="false">SUMPRODUCT((Rules!$A$2:$A$60=N$1)*Rules!$C$2:$C$60*ISNUMBER(SEARCH(Rules!$E$2:$E$60,$D203)))</f>
        <v>0</v>
      </c>
      <c r="O203" s="0" t="n">
        <f aca="false">SUMPRODUCT((Rules!$A$2:$A$60=O$1)*Rules!$C$2:$C$60*ISNUMBER(SEARCH(Rules!$E$2:$E$60,$D203)))</f>
        <v>0</v>
      </c>
      <c r="P203" s="0" t="n">
        <f aca="false">SUMPRODUCT((Rules!$A$2:$A$60=P$1)*Rules!$C$2:$C$60*ISNUMBER(SEARCH(Rules!$E$2:$E$60,$D203)))</f>
        <v>0</v>
      </c>
      <c r="Q203" s="0" t="n">
        <f aca="false">SUMPRODUCT((Rules!$A$2:$A$60=Q$1)*Rules!$C$2:$C$60*ISNUMBER(SEARCH(Rules!$E$2:$E$60,$D203)))</f>
        <v>2</v>
      </c>
      <c r="R203" s="0" t="str">
        <f aca="false">IF(OR(MAX(L203:Q203)&lt;Rules!$H$1,MAX(L203:Q203)-LARGE(L203:Q203,2)&lt;Rules!$H$2),"No label",INDEX($L$1:$Q$1,MATCH(MAX(L203:Q203),L203:Q203,0)))</f>
        <v>No label</v>
      </c>
      <c r="S203" s="0" t="n">
        <f aca="false">SUMPRODUCT(ISNUMBER(SEARCH(" "&amp;Terms!$A$3:$A$821&amp;" ",$D203))*Terms!B$3:B$821)+Terms!B$2</f>
        <v>-1.98586517663313</v>
      </c>
      <c r="T203" s="0" t="n">
        <f aca="false">SUMPRODUCT(ISNUMBER(SEARCH(" "&amp;Terms!$A$3:$A$821&amp;" ",$D203))*Terms!C$3:C$821)+Terms!C$2</f>
        <v>2.49734263385119</v>
      </c>
      <c r="U203" s="0" t="n">
        <f aca="false">SUMPRODUCT(ISNUMBER(SEARCH(" "&amp;Terms!$A$3:$A$821&amp;" ",$D203))*Terms!D$3:D$821)+Terms!D$2</f>
        <v>-7.06392560624501</v>
      </c>
      <c r="V203" s="0" t="n">
        <f aca="false">SUMPRODUCT(ISNUMBER(SEARCH(" "&amp;Terms!$A$3:$A$821&amp;" ",$D203))*Terms!E$3:E$821)+Terms!E$2</f>
        <v>-2.97873858231195</v>
      </c>
      <c r="W203" s="0" t="n">
        <f aca="false">SUMPRODUCT(ISNUMBER(SEARCH(" "&amp;Terms!$A$3:$A$821&amp;" ",$D203))*Terms!F$3:F$821)+Terms!F$2</f>
        <v>9.71500494040955</v>
      </c>
      <c r="X203" s="0" t="n">
        <f aca="false">SUMPRODUCT(ISNUMBER(SEARCH(" "&amp;Terms!$A$3:$A$821&amp;" ",$D203))*Terms!G$3:G$821)+Terms!G$2</f>
        <v>-0.183818209070581</v>
      </c>
      <c r="Y203" s="0" t="str">
        <f aca="false">INDEX($S$1:$X$1,MATCH(MAX(S203:X203),S203:X203,0))</f>
        <v>Fraud &amp; Scams</v>
      </c>
      <c r="Z203" s="0" t="s">
        <v>2607</v>
      </c>
    </row>
    <row r="204" customFormat="false" ht="15" hidden="false" customHeight="false" outlineLevel="0" collapsed="false">
      <c r="A204" s="0" t="str">
        <f aca="false">Complaints!A204</f>
        <v>C0203</v>
      </c>
      <c r="B204" s="0" t="str">
        <f aca="false">Complaints!B204</f>
        <v>To whom it may concern, The website will not let me register for online access. I would like a response in writing.</v>
      </c>
      <c r="C204" s="0" t="str">
        <f aca="false">Complaints!C204</f>
        <v>Account Access</v>
      </c>
      <c r="D204" s="0" t="str">
        <f aca="false">" "&amp;TRIM(SUBSTITUTE(SUBSTITUTE(SUBSTITUTE(SUBSTITUTE(SUBSTITUTE(SUBSTITUTE(SUBSTITUTE(SUBSTITUTE(SUBSTITUTE(SUBSTITUTE(SUBSTITUTE(SUBSTITUTE(SUBSTITUTE(SUBSTITUTE(SUBSTITUTE(SUBSTITUTE(LOWER(B204),"."," "),","," "),"'"," "),"’"," "),"!"," "),"?"," "),";"," "),":"," "),"-"," "),"("," "),")"," "),"""", " "),"£"," "),"&amp;"," "),"/"," "),"%"," "))&amp;" "</f>
        <v> to whom it may concern the website will not let me register for online access i would like a response in writing </v>
      </c>
      <c r="E204" s="0" t="n">
        <f aca="false">SUMPRODUCT((Rules!$A$2:$A$60=E$1)*Rules!$C$2:$C$60*ISNUMBER(SEARCH(Rules!$D$2:$D$60,$D204)))</f>
        <v>0</v>
      </c>
      <c r="F204" s="0" t="n">
        <f aca="false">SUMPRODUCT((Rules!$A$2:$A$60=F$1)*Rules!$C$2:$C$60*ISNUMBER(SEARCH(Rules!$D$2:$D$60,$D204)))</f>
        <v>0</v>
      </c>
      <c r="G204" s="0" t="n">
        <f aca="false">SUMPRODUCT((Rules!$A$2:$A$60=G$1)*Rules!$C$2:$C$60*ISNUMBER(SEARCH(Rules!$D$2:$D$60,$D204)))</f>
        <v>1</v>
      </c>
      <c r="H204" s="0" t="n">
        <f aca="false">SUMPRODUCT((Rules!$A$2:$A$60=H$1)*Rules!$C$2:$C$60*ISNUMBER(SEARCH(Rules!$D$2:$D$60,$D204)))</f>
        <v>0</v>
      </c>
      <c r="I204" s="0" t="n">
        <f aca="false">SUMPRODUCT((Rules!$A$2:$A$60=I$1)*Rules!$C$2:$C$60*ISNUMBER(SEARCH(Rules!$D$2:$D$60,$D204)))</f>
        <v>0</v>
      </c>
      <c r="J204" s="0" t="n">
        <f aca="false">SUMPRODUCT((Rules!$A$2:$A$60=J$1)*Rules!$C$2:$C$60*ISNUMBER(SEARCH(Rules!$D$2:$D$60,$D204)))</f>
        <v>0</v>
      </c>
      <c r="K204" s="0" t="str">
        <f aca="false">IF(OR(MAX(E204:J204)&lt;Rules!$H$1,MAX(E204:J204)-LARGE(E204:J204,2)&lt;Rules!$H$2),"No label",INDEX($E$1:$J$1,MATCH(MAX(E204:J204),E204:J204,0)))</f>
        <v>No label</v>
      </c>
      <c r="L204" s="0" t="n">
        <f aca="false">SUMPRODUCT((Rules!$A$2:$A$60=L$1)*Rules!$C$2:$C$60*ISNUMBER(SEARCH(Rules!$E$2:$E$60,$D204)))</f>
        <v>0</v>
      </c>
      <c r="M204" s="0" t="n">
        <f aca="false">SUMPRODUCT((Rules!$A$2:$A$60=M$1)*Rules!$C$2:$C$60*ISNUMBER(SEARCH(Rules!$E$2:$E$60,$D204)))</f>
        <v>0</v>
      </c>
      <c r="N204" s="0" t="n">
        <f aca="false">SUMPRODUCT((Rules!$A$2:$A$60=N$1)*Rules!$C$2:$C$60*ISNUMBER(SEARCH(Rules!$E$2:$E$60,$D204)))</f>
        <v>1</v>
      </c>
      <c r="O204" s="0" t="n">
        <f aca="false">SUMPRODUCT((Rules!$A$2:$A$60=O$1)*Rules!$C$2:$C$60*ISNUMBER(SEARCH(Rules!$E$2:$E$60,$D204)))</f>
        <v>0</v>
      </c>
      <c r="P204" s="0" t="n">
        <f aca="false">SUMPRODUCT((Rules!$A$2:$A$60=P$1)*Rules!$C$2:$C$60*ISNUMBER(SEARCH(Rules!$E$2:$E$60,$D204)))</f>
        <v>0</v>
      </c>
      <c r="Q204" s="0" t="n">
        <f aca="false">SUMPRODUCT((Rules!$A$2:$A$60=Q$1)*Rules!$C$2:$C$60*ISNUMBER(SEARCH(Rules!$E$2:$E$60,$D204)))</f>
        <v>0</v>
      </c>
      <c r="R204" s="0" t="str">
        <f aca="false">IF(OR(MAX(L204:Q204)&lt;Rules!$H$1,MAX(L204:Q204)-LARGE(L204:Q204,2)&lt;Rules!$H$2),"No label",INDEX($L$1:$Q$1,MATCH(MAX(L204:Q204),L204:Q204,0)))</f>
        <v>No label</v>
      </c>
      <c r="S204" s="0" t="n">
        <f aca="false">SUMPRODUCT(ISNUMBER(SEARCH(" "&amp;Terms!$A$3:$A$821&amp;" ",$D204))*Terms!B$3:B$821)+Terms!B$2</f>
        <v>9.5987763558765</v>
      </c>
      <c r="T204" s="0" t="n">
        <f aca="false">SUMPRODUCT(ISNUMBER(SEARCH(" "&amp;Terms!$A$3:$A$821&amp;" ",$D204))*Terms!C$3:C$821)+Terms!C$2</f>
        <v>-4.21698274544211</v>
      </c>
      <c r="U204" s="0" t="n">
        <f aca="false">SUMPRODUCT(ISNUMBER(SEARCH(" "&amp;Terms!$A$3:$A$821&amp;" ",$D204))*Terms!D$3:D$821)+Terms!D$2</f>
        <v>-2.15205289338246</v>
      </c>
      <c r="V204" s="0" t="n">
        <f aca="false">SUMPRODUCT(ISNUMBER(SEARCH(" "&amp;Terms!$A$3:$A$821&amp;" ",$D204))*Terms!E$3:E$821)+Terms!E$2</f>
        <v>-2.15843404257127</v>
      </c>
      <c r="W204" s="0" t="n">
        <f aca="false">SUMPRODUCT(ISNUMBER(SEARCH(" "&amp;Terms!$A$3:$A$821&amp;" ",$D204))*Terms!F$3:F$821)+Terms!F$2</f>
        <v>-3.13846456862761</v>
      </c>
      <c r="X204" s="0" t="n">
        <f aca="false">SUMPRODUCT(ISNUMBER(SEARCH(" "&amp;Terms!$A$3:$A$821&amp;" ",$D204))*Terms!G$3:G$821)+Terms!G$2</f>
        <v>2.06715789414704</v>
      </c>
      <c r="Y204" s="0" t="str">
        <f aca="false">INDEX($S$1:$X$1,MATCH(MAX(S204:X204),S204:X204,0))</f>
        <v>Account Access</v>
      </c>
      <c r="Z204" s="0" t="s">
        <v>2607</v>
      </c>
    </row>
    <row r="205" customFormat="false" ht="15" hidden="false" customHeight="false" outlineLevel="0" collapsed="false">
      <c r="A205" s="0" t="str">
        <f aca="false">Complaints!A205</f>
        <v>C0204</v>
      </c>
      <c r="B205" s="0" t="str">
        <f aca="false">Complaints!B205</f>
        <v>This has caused me a lot of stress and I want answers.</v>
      </c>
      <c r="C205" s="0" t="str">
        <f aca="false">Complaints!C205</f>
        <v>Account Access</v>
      </c>
      <c r="D205" s="0" t="str">
        <f aca="false">" "&amp;TRIM(SUBSTITUTE(SUBSTITUTE(SUBSTITUTE(SUBSTITUTE(SUBSTITUTE(SUBSTITUTE(SUBSTITUTE(SUBSTITUTE(SUBSTITUTE(SUBSTITUTE(SUBSTITUTE(SUBSTITUTE(SUBSTITUTE(SUBSTITUTE(SUBSTITUTE(SUBSTITUTE(LOWER(B205),"."," "),","," "),"'"," "),"’"," "),"!"," "),"?"," "),";"," "),":"," "),"-"," "),"("," "),")"," "),"""", " "),"£"," "),"&amp;"," "),"/"," "),"%"," "))&amp;" "</f>
        <v> this has caused me a lot of stress and i want answers </v>
      </c>
      <c r="E205" s="0" t="n">
        <f aca="false">SUMPRODUCT((Rules!$A$2:$A$60=E$1)*Rules!$C$2:$C$60*ISNUMBER(SEARCH(Rules!$D$2:$D$60,$D205)))</f>
        <v>0</v>
      </c>
      <c r="F205" s="0" t="n">
        <f aca="false">SUMPRODUCT((Rules!$A$2:$A$60=F$1)*Rules!$C$2:$C$60*ISNUMBER(SEARCH(Rules!$D$2:$D$60,$D205)))</f>
        <v>0</v>
      </c>
      <c r="G205" s="0" t="n">
        <f aca="false">SUMPRODUCT((Rules!$A$2:$A$60=G$1)*Rules!$C$2:$C$60*ISNUMBER(SEARCH(Rules!$D$2:$D$60,$D205)))</f>
        <v>0</v>
      </c>
      <c r="H205" s="0" t="n">
        <f aca="false">SUMPRODUCT((Rules!$A$2:$A$60=H$1)*Rules!$C$2:$C$60*ISNUMBER(SEARCH(Rules!$D$2:$D$60,$D205)))</f>
        <v>0</v>
      </c>
      <c r="I205" s="0" t="n">
        <f aca="false">SUMPRODUCT((Rules!$A$2:$A$60=I$1)*Rules!$C$2:$C$60*ISNUMBER(SEARCH(Rules!$D$2:$D$60,$D205)))</f>
        <v>0</v>
      </c>
      <c r="J205" s="0" t="n">
        <f aca="false">SUMPRODUCT((Rules!$A$2:$A$60=J$1)*Rules!$C$2:$C$60*ISNUMBER(SEARCH(Rules!$D$2:$D$60,$D205)))</f>
        <v>0</v>
      </c>
      <c r="K205" s="0" t="str">
        <f aca="false">IF(OR(MAX(E205:J205)&lt;Rules!$H$1,MAX(E205:J205)-LARGE(E205:J205,2)&lt;Rules!$H$2),"No label",INDEX($E$1:$J$1,MATCH(MAX(E205:J205),E205:J205,0)))</f>
        <v>No label</v>
      </c>
      <c r="L205" s="0" t="n">
        <f aca="false">SUMPRODUCT((Rules!$A$2:$A$60=L$1)*Rules!$C$2:$C$60*ISNUMBER(SEARCH(Rules!$E$2:$E$60,$D205)))</f>
        <v>0</v>
      </c>
      <c r="M205" s="0" t="n">
        <f aca="false">SUMPRODUCT((Rules!$A$2:$A$60=M$1)*Rules!$C$2:$C$60*ISNUMBER(SEARCH(Rules!$E$2:$E$60,$D205)))</f>
        <v>0</v>
      </c>
      <c r="N205" s="0" t="n">
        <f aca="false">SUMPRODUCT((Rules!$A$2:$A$60=N$1)*Rules!$C$2:$C$60*ISNUMBER(SEARCH(Rules!$E$2:$E$60,$D205)))</f>
        <v>0</v>
      </c>
      <c r="O205" s="0" t="n">
        <f aca="false">SUMPRODUCT((Rules!$A$2:$A$60=O$1)*Rules!$C$2:$C$60*ISNUMBER(SEARCH(Rules!$E$2:$E$60,$D205)))</f>
        <v>0</v>
      </c>
      <c r="P205" s="0" t="n">
        <f aca="false">SUMPRODUCT((Rules!$A$2:$A$60=P$1)*Rules!$C$2:$C$60*ISNUMBER(SEARCH(Rules!$E$2:$E$60,$D205)))</f>
        <v>0</v>
      </c>
      <c r="Q205" s="0" t="n">
        <f aca="false">SUMPRODUCT((Rules!$A$2:$A$60=Q$1)*Rules!$C$2:$C$60*ISNUMBER(SEARCH(Rules!$E$2:$E$60,$D205)))</f>
        <v>0</v>
      </c>
      <c r="R205" s="0" t="str">
        <f aca="false">IF(OR(MAX(L205:Q205)&lt;Rules!$H$1,MAX(L205:Q205)-LARGE(L205:Q205,2)&lt;Rules!$H$2),"No label",INDEX($L$1:$Q$1,MATCH(MAX(L205:Q205),L205:Q205,0)))</f>
        <v>No label</v>
      </c>
      <c r="S205" s="0" t="n">
        <f aca="false">SUMPRODUCT(ISNUMBER(SEARCH(" "&amp;Terms!$A$3:$A$821&amp;" ",$D205))*Terms!B$3:B$821)+Terms!B$2</f>
        <v>1.49044053186365</v>
      </c>
      <c r="T205" s="0" t="n">
        <f aca="false">SUMPRODUCT(ISNUMBER(SEARCH(" "&amp;Terms!$A$3:$A$821&amp;" ",$D205))*Terms!C$3:C$821)+Terms!C$2</f>
        <v>1.9499353679781</v>
      </c>
      <c r="U205" s="0" t="n">
        <f aca="false">SUMPRODUCT(ISNUMBER(SEARCH(" "&amp;Terms!$A$3:$A$821&amp;" ",$D205))*Terms!D$3:D$821)+Terms!D$2</f>
        <v>1.44798969661668</v>
      </c>
      <c r="V205" s="0" t="n">
        <f aca="false">SUMPRODUCT(ISNUMBER(SEARCH(" "&amp;Terms!$A$3:$A$821&amp;" ",$D205))*Terms!E$3:E$821)+Terms!E$2</f>
        <v>-1.44550845442653</v>
      </c>
      <c r="W205" s="0" t="n">
        <f aca="false">SUMPRODUCT(ISNUMBER(SEARCH(" "&amp;Terms!$A$3:$A$821&amp;" ",$D205))*Terms!F$3:F$821)+Terms!F$2</f>
        <v>-1.11380748059385</v>
      </c>
      <c r="X205" s="0" t="n">
        <f aca="false">SUMPRODUCT(ISNUMBER(SEARCH(" "&amp;Terms!$A$3:$A$821&amp;" ",$D205))*Terms!G$3:G$821)+Terms!G$2</f>
        <v>-2.32904966143794</v>
      </c>
      <c r="Y205" s="0" t="str">
        <f aca="false">INDEX($S$1:$X$1,MATCH(MAX(S205:X205),S205:X205,0))</f>
        <v>Customer Service</v>
      </c>
      <c r="Z205" s="0" t="s">
        <v>2607</v>
      </c>
    </row>
    <row r="206" customFormat="false" ht="15" hidden="false" customHeight="false" outlineLevel="0" collapsed="false">
      <c r="A206" s="0" t="str">
        <f aca="false">Complaints!A206</f>
        <v>C0205</v>
      </c>
      <c r="B206" s="0" t="str">
        <f aca="false">Complaints!B206</f>
        <v>This is the second time I have raised this. The password reset keeps failing and I am locked out. I do not think it was explained properly when I bought it. I expect compensation.</v>
      </c>
      <c r="C206" s="0" t="str">
        <f aca="false">Complaints!C206</f>
        <v>Account Access</v>
      </c>
      <c r="D206" s="0" t="str">
        <f aca="false">" "&amp;TRIM(SUBSTITUTE(SUBSTITUTE(SUBSTITUTE(SUBSTITUTE(SUBSTITUTE(SUBSTITUTE(SUBSTITUTE(SUBSTITUTE(SUBSTITUTE(SUBSTITUTE(SUBSTITUTE(SUBSTITUTE(SUBSTITUTE(SUBSTITUTE(SUBSTITUTE(SUBSTITUTE(LOWER(B206),"."," "),","," "),"'"," "),"’"," "),"!"," "),"?"," "),";"," "),":"," "),"-"," "),"("," "),")"," "),"""", " "),"£"," "),"&amp;"," "),"/"," "),"%"," "))&amp;" "</f>
        <v> this is the second time i have raised this the password reset keeps failing and i am locked out i do not think it was explained properly when i bought it i expect compensation </v>
      </c>
      <c r="E206" s="0" t="n">
        <f aca="false">SUMPRODUCT((Rules!$A$2:$A$60=E$1)*Rules!$C$2:$C$60*ISNUMBER(SEARCH(Rules!$D$2:$D$60,$D206)))</f>
        <v>0</v>
      </c>
      <c r="F206" s="0" t="n">
        <f aca="false">SUMPRODUCT((Rules!$A$2:$A$60=F$1)*Rules!$C$2:$C$60*ISNUMBER(SEARCH(Rules!$D$2:$D$60,$D206)))</f>
        <v>0</v>
      </c>
      <c r="G206" s="0" t="n">
        <f aca="false">SUMPRODUCT((Rules!$A$2:$A$60=G$1)*Rules!$C$2:$C$60*ISNUMBER(SEARCH(Rules!$D$2:$D$60,$D206)))</f>
        <v>8</v>
      </c>
      <c r="H206" s="0" t="n">
        <f aca="false">SUMPRODUCT((Rules!$A$2:$A$60=H$1)*Rules!$C$2:$C$60*ISNUMBER(SEARCH(Rules!$D$2:$D$60,$D206)))</f>
        <v>0</v>
      </c>
      <c r="I206" s="0" t="n">
        <f aca="false">SUMPRODUCT((Rules!$A$2:$A$60=I$1)*Rules!$C$2:$C$60*ISNUMBER(SEARCH(Rules!$D$2:$D$60,$D206)))</f>
        <v>0</v>
      </c>
      <c r="J206" s="0" t="n">
        <f aca="false">SUMPRODUCT((Rules!$A$2:$A$60=J$1)*Rules!$C$2:$C$60*ISNUMBER(SEARCH(Rules!$D$2:$D$60,$D206)))</f>
        <v>0</v>
      </c>
      <c r="K206" s="0" t="str">
        <f aca="false">IF(OR(MAX(E206:J206)&lt;Rules!$H$1,MAX(E206:J206)-LARGE(E206:J206,2)&lt;Rules!$H$2),"No label",INDEX($E$1:$J$1,MATCH(MAX(E206:J206),E206:J206,0)))</f>
        <v>Account Access</v>
      </c>
      <c r="L206" s="0" t="n">
        <f aca="false">SUMPRODUCT((Rules!$A$2:$A$60=L$1)*Rules!$C$2:$C$60*ISNUMBER(SEARCH(Rules!$E$2:$E$60,$D206)))</f>
        <v>0</v>
      </c>
      <c r="M206" s="0" t="n">
        <f aca="false">SUMPRODUCT((Rules!$A$2:$A$60=M$1)*Rules!$C$2:$C$60*ISNUMBER(SEARCH(Rules!$E$2:$E$60,$D206)))</f>
        <v>0</v>
      </c>
      <c r="N206" s="0" t="n">
        <f aca="false">SUMPRODUCT((Rules!$A$2:$A$60=N$1)*Rules!$C$2:$C$60*ISNUMBER(SEARCH(Rules!$E$2:$E$60,$D206)))</f>
        <v>8</v>
      </c>
      <c r="O206" s="0" t="n">
        <f aca="false">SUMPRODUCT((Rules!$A$2:$A$60=O$1)*Rules!$C$2:$C$60*ISNUMBER(SEARCH(Rules!$E$2:$E$60,$D206)))</f>
        <v>0</v>
      </c>
      <c r="P206" s="0" t="n">
        <f aca="false">SUMPRODUCT((Rules!$A$2:$A$60=P$1)*Rules!$C$2:$C$60*ISNUMBER(SEARCH(Rules!$E$2:$E$60,$D206)))</f>
        <v>0</v>
      </c>
      <c r="Q206" s="0" t="n">
        <f aca="false">SUMPRODUCT((Rules!$A$2:$A$60=Q$1)*Rules!$C$2:$C$60*ISNUMBER(SEARCH(Rules!$E$2:$E$60,$D206)))</f>
        <v>0</v>
      </c>
      <c r="R206" s="0" t="str">
        <f aca="false">IF(OR(MAX(L206:Q206)&lt;Rules!$H$1,MAX(L206:Q206)-LARGE(L206:Q206,2)&lt;Rules!$H$2),"No label",INDEX($L$1:$Q$1,MATCH(MAX(L206:Q206),L206:Q206,0)))</f>
        <v>Account Access</v>
      </c>
      <c r="S206" s="0" t="n">
        <f aca="false">SUMPRODUCT(ISNUMBER(SEARCH(" "&amp;Terms!$A$3:$A$821&amp;" ",$D206))*Terms!B$3:B$821)+Terms!B$2</f>
        <v>11.6267788026682</v>
      </c>
      <c r="T206" s="0" t="n">
        <f aca="false">SUMPRODUCT(ISNUMBER(SEARCH(" "&amp;Terms!$A$3:$A$821&amp;" ",$D206))*Terms!C$3:C$821)+Terms!C$2</f>
        <v>-4.0600739732331</v>
      </c>
      <c r="U206" s="0" t="n">
        <f aca="false">SUMPRODUCT(ISNUMBER(SEARCH(" "&amp;Terms!$A$3:$A$821&amp;" ",$D206))*Terms!D$3:D$821)+Terms!D$2</f>
        <v>-4.75312296848196</v>
      </c>
      <c r="V206" s="0" t="n">
        <f aca="false">SUMPRODUCT(ISNUMBER(SEARCH(" "&amp;Terms!$A$3:$A$821&amp;" ",$D206))*Terms!E$3:E$821)+Terms!E$2</f>
        <v>0.323262290336419</v>
      </c>
      <c r="W206" s="0" t="n">
        <f aca="false">SUMPRODUCT(ISNUMBER(SEARCH(" "&amp;Terms!$A$3:$A$821&amp;" ",$D206))*Terms!F$3:F$821)+Terms!F$2</f>
        <v>1.90270937897597</v>
      </c>
      <c r="X206" s="0" t="n">
        <f aca="false">SUMPRODUCT(ISNUMBER(SEARCH(" "&amp;Terms!$A$3:$A$821&amp;" ",$D206))*Terms!G$3:G$821)+Terms!G$2</f>
        <v>-5.03955353026541</v>
      </c>
      <c r="Y206" s="0" t="str">
        <f aca="false">INDEX($S$1:$X$1,MATCH(MAX(S206:X206),S206:X206,0))</f>
        <v>Account Access</v>
      </c>
      <c r="Z206" s="0" t="s">
        <v>2608</v>
      </c>
    </row>
    <row r="207" customFormat="false" ht="15" hidden="false" customHeight="false" outlineLevel="0" collapsed="false">
      <c r="A207" s="0" t="str">
        <f aca="false">Complaints!A207</f>
        <v>C0206</v>
      </c>
      <c r="B207" s="0" t="str">
        <f aca="false">Complaints!B207</f>
        <v>This is the second time I have raised this. Nobody checked whether I could afford the credit agreement. Also, a fake text message led me to a website and my money disappeared. Tis is not acceptable.</v>
      </c>
      <c r="C207" s="0" t="str">
        <f aca="false">Complaints!C207</f>
        <v>Mis-selling</v>
      </c>
      <c r="D207" s="0" t="str">
        <f aca="false">" "&amp;TRIM(SUBSTITUTE(SUBSTITUTE(SUBSTITUTE(SUBSTITUTE(SUBSTITUTE(SUBSTITUTE(SUBSTITUTE(SUBSTITUTE(SUBSTITUTE(SUBSTITUTE(SUBSTITUTE(SUBSTITUTE(SUBSTITUTE(SUBSTITUTE(SUBSTITUTE(SUBSTITUTE(LOWER(B207),"."," "),","," "),"'"," "),"’"," "),"!"," "),"?"," "),";"," "),":"," "),"-"," "),"("," "),")"," "),"""", " "),"£"," "),"&amp;"," "),"/"," "),"%"," "))&amp;" "</f>
        <v> this is the second time i have raised this nobody checked whether i could afford the credit agreement also a fake text message led me to a website and my money disappeared tis is not acceptable </v>
      </c>
      <c r="E207" s="0" t="n">
        <f aca="false">SUMPRODUCT((Rules!$A$2:$A$60=E$1)*Rules!$C$2:$C$60*ISNUMBER(SEARCH(Rules!$D$2:$D$60,$D207)))</f>
        <v>2</v>
      </c>
      <c r="F207" s="0" t="n">
        <f aca="false">SUMPRODUCT((Rules!$A$2:$A$60=F$1)*Rules!$C$2:$C$60*ISNUMBER(SEARCH(Rules!$D$2:$D$60,$D207)))</f>
        <v>0</v>
      </c>
      <c r="G207" s="0" t="n">
        <f aca="false">SUMPRODUCT((Rules!$A$2:$A$60=G$1)*Rules!$C$2:$C$60*ISNUMBER(SEARCH(Rules!$D$2:$D$60,$D207)))</f>
        <v>0</v>
      </c>
      <c r="H207" s="0" t="n">
        <f aca="false">SUMPRODUCT((Rules!$A$2:$A$60=H$1)*Rules!$C$2:$C$60*ISNUMBER(SEARCH(Rules!$D$2:$D$60,$D207)))</f>
        <v>0</v>
      </c>
      <c r="I207" s="0" t="n">
        <f aca="false">SUMPRODUCT((Rules!$A$2:$A$60=I$1)*Rules!$C$2:$C$60*ISNUMBER(SEARCH(Rules!$D$2:$D$60,$D207)))</f>
        <v>0</v>
      </c>
      <c r="J207" s="0" t="n">
        <f aca="false">SUMPRODUCT((Rules!$A$2:$A$60=J$1)*Rules!$C$2:$C$60*ISNUMBER(SEARCH(Rules!$D$2:$D$60,$D207)))</f>
        <v>0</v>
      </c>
      <c r="K207" s="0" t="str">
        <f aca="false">IF(OR(MAX(E207:J207)&lt;Rules!$H$1,MAX(E207:J207)-LARGE(E207:J207,2)&lt;Rules!$H$2),"No label",INDEX($E$1:$J$1,MATCH(MAX(E207:J207),E207:J207,0)))</f>
        <v>No label</v>
      </c>
      <c r="L207" s="0" t="n">
        <f aca="false">SUMPRODUCT((Rules!$A$2:$A$60=L$1)*Rules!$C$2:$C$60*ISNUMBER(SEARCH(Rules!$E$2:$E$60,$D207)))</f>
        <v>2</v>
      </c>
      <c r="M207" s="0" t="n">
        <f aca="false">SUMPRODUCT((Rules!$A$2:$A$60=M$1)*Rules!$C$2:$C$60*ISNUMBER(SEARCH(Rules!$E$2:$E$60,$D207)))</f>
        <v>0</v>
      </c>
      <c r="N207" s="0" t="n">
        <f aca="false">SUMPRODUCT((Rules!$A$2:$A$60=N$1)*Rules!$C$2:$C$60*ISNUMBER(SEARCH(Rules!$E$2:$E$60,$D207)))</f>
        <v>1</v>
      </c>
      <c r="O207" s="0" t="n">
        <f aca="false">SUMPRODUCT((Rules!$A$2:$A$60=O$1)*Rules!$C$2:$C$60*ISNUMBER(SEARCH(Rules!$E$2:$E$60,$D207)))</f>
        <v>0</v>
      </c>
      <c r="P207" s="0" t="n">
        <f aca="false">SUMPRODUCT((Rules!$A$2:$A$60=P$1)*Rules!$C$2:$C$60*ISNUMBER(SEARCH(Rules!$E$2:$E$60,$D207)))</f>
        <v>0</v>
      </c>
      <c r="Q207" s="0" t="n">
        <f aca="false">SUMPRODUCT((Rules!$A$2:$A$60=Q$1)*Rules!$C$2:$C$60*ISNUMBER(SEARCH(Rules!$E$2:$E$60,$D207)))</f>
        <v>0</v>
      </c>
      <c r="R207" s="0" t="str">
        <f aca="false">IF(OR(MAX(L207:Q207)&lt;Rules!$H$1,MAX(L207:Q207)-LARGE(L207:Q207,2)&lt;Rules!$H$2),"No label",INDEX($L$1:$Q$1,MATCH(MAX(L207:Q207),L207:Q207,0)))</f>
        <v>No label</v>
      </c>
      <c r="S207" s="0" t="n">
        <f aca="false">SUMPRODUCT(ISNUMBER(SEARCH(" "&amp;Terms!$A$3:$A$821&amp;" ",$D207))*Terms!B$3:B$821)+Terms!B$2</f>
        <v>-2.71654932656172</v>
      </c>
      <c r="T207" s="0" t="n">
        <f aca="false">SUMPRODUCT(ISNUMBER(SEARCH(" "&amp;Terms!$A$3:$A$821&amp;" ",$D207))*Terms!C$3:C$821)+Terms!C$2</f>
        <v>-4.8871681969956</v>
      </c>
      <c r="U207" s="0" t="n">
        <f aca="false">SUMPRODUCT(ISNUMBER(SEARCH(" "&amp;Terms!$A$3:$A$821&amp;" ",$D207))*Terms!D$3:D$821)+Terms!D$2</f>
        <v>-2.99793856249996</v>
      </c>
      <c r="V207" s="0" t="n">
        <f aca="false">SUMPRODUCT(ISNUMBER(SEARCH(" "&amp;Terms!$A$3:$A$821&amp;" ",$D207))*Terms!E$3:E$821)+Terms!E$2</f>
        <v>-6.16440925109105</v>
      </c>
      <c r="W207" s="0" t="n">
        <f aca="false">SUMPRODUCT(ISNUMBER(SEARCH(" "&amp;Terms!$A$3:$A$821&amp;" ",$D207))*Terms!F$3:F$821)+Terms!F$2</f>
        <v>8.62762180162662</v>
      </c>
      <c r="X207" s="0" t="n">
        <f aca="false">SUMPRODUCT(ISNUMBER(SEARCH(" "&amp;Terms!$A$3:$A$821&amp;" ",$D207))*Terms!G$3:G$821)+Terms!G$2</f>
        <v>8.13844353552181</v>
      </c>
      <c r="Y207" s="0" t="str">
        <f aca="false">INDEX($S$1:$X$1,MATCH(MAX(S207:X207),S207:X207,0))</f>
        <v>Fraud &amp; Scams</v>
      </c>
      <c r="Z207" s="0" t="s">
        <v>2607</v>
      </c>
    </row>
    <row r="208" customFormat="false" ht="15" hidden="false" customHeight="false" outlineLevel="0" collapsed="false">
      <c r="A208" s="0" t="str">
        <f aca="false">Complaints!A208</f>
        <v>C0207</v>
      </c>
      <c r="B208" s="0" t="str">
        <f aca="false">Complaints!B208</f>
        <v>Hello, Your advisor gave me different answers on two separate calls. I could not log in to check either.</v>
      </c>
      <c r="C208" s="0" t="str">
        <f aca="false">Complaints!C208</f>
        <v>Customer Service</v>
      </c>
      <c r="D208" s="0" t="str">
        <f aca="false">" "&amp;TRIM(SUBSTITUTE(SUBSTITUTE(SUBSTITUTE(SUBSTITUTE(SUBSTITUTE(SUBSTITUTE(SUBSTITUTE(SUBSTITUTE(SUBSTITUTE(SUBSTITUTE(SUBSTITUTE(SUBSTITUTE(SUBSTITUTE(SUBSTITUTE(SUBSTITUTE(SUBSTITUTE(LOWER(B208),"."," "),","," "),"'"," "),"’"," "),"!"," "),"?"," "),";"," "),":"," "),"-"," "),"("," "),")"," "),"""", " "),"£"," "),"&amp;"," "),"/"," "),"%"," "))&amp;" "</f>
        <v> hello your advisor gave me different answers on two separate calls i could not log in to check either </v>
      </c>
      <c r="E208" s="0" t="n">
        <f aca="false">SUMPRODUCT((Rules!$A$2:$A$60=E$1)*Rules!$C$2:$C$60*ISNUMBER(SEARCH(Rules!$D$2:$D$60,$D208)))</f>
        <v>0</v>
      </c>
      <c r="F208" s="0" t="n">
        <f aca="false">SUMPRODUCT((Rules!$A$2:$A$60=F$1)*Rules!$C$2:$C$60*ISNUMBER(SEARCH(Rules!$D$2:$D$60,$D208)))</f>
        <v>0</v>
      </c>
      <c r="G208" s="0" t="n">
        <f aca="false">SUMPRODUCT((Rules!$A$2:$A$60=G$1)*Rules!$C$2:$C$60*ISNUMBER(SEARCH(Rules!$D$2:$D$60,$D208)))</f>
        <v>3</v>
      </c>
      <c r="H208" s="0" t="n">
        <f aca="false">SUMPRODUCT((Rules!$A$2:$A$60=H$1)*Rules!$C$2:$C$60*ISNUMBER(SEARCH(Rules!$D$2:$D$60,$D208)))</f>
        <v>0</v>
      </c>
      <c r="I208" s="0" t="n">
        <f aca="false">SUMPRODUCT((Rules!$A$2:$A$60=I$1)*Rules!$C$2:$C$60*ISNUMBER(SEARCH(Rules!$D$2:$D$60,$D208)))</f>
        <v>0</v>
      </c>
      <c r="J208" s="0" t="n">
        <f aca="false">SUMPRODUCT((Rules!$A$2:$A$60=J$1)*Rules!$C$2:$C$60*ISNUMBER(SEARCH(Rules!$D$2:$D$60,$D208)))</f>
        <v>1</v>
      </c>
      <c r="K208" s="0" t="str">
        <f aca="false">IF(OR(MAX(E208:J208)&lt;Rules!$H$1,MAX(E208:J208)-LARGE(E208:J208,2)&lt;Rules!$H$2),"No label",INDEX($E$1:$J$1,MATCH(MAX(E208:J208),E208:J208,0)))</f>
        <v>Account Access</v>
      </c>
      <c r="L208" s="0" t="n">
        <f aca="false">SUMPRODUCT((Rules!$A$2:$A$60=L$1)*Rules!$C$2:$C$60*ISNUMBER(SEARCH(Rules!$E$2:$E$60,$D208)))</f>
        <v>0</v>
      </c>
      <c r="M208" s="0" t="n">
        <f aca="false">SUMPRODUCT((Rules!$A$2:$A$60=M$1)*Rules!$C$2:$C$60*ISNUMBER(SEARCH(Rules!$E$2:$E$60,$D208)))</f>
        <v>4</v>
      </c>
      <c r="N208" s="0" t="n">
        <f aca="false">SUMPRODUCT((Rules!$A$2:$A$60=N$1)*Rules!$C$2:$C$60*ISNUMBER(SEARCH(Rules!$E$2:$E$60,$D208)))</f>
        <v>3</v>
      </c>
      <c r="O208" s="0" t="n">
        <f aca="false">SUMPRODUCT((Rules!$A$2:$A$60=O$1)*Rules!$C$2:$C$60*ISNUMBER(SEARCH(Rules!$E$2:$E$60,$D208)))</f>
        <v>0</v>
      </c>
      <c r="P208" s="0" t="n">
        <f aca="false">SUMPRODUCT((Rules!$A$2:$A$60=P$1)*Rules!$C$2:$C$60*ISNUMBER(SEARCH(Rules!$E$2:$E$60,$D208)))</f>
        <v>0</v>
      </c>
      <c r="Q208" s="0" t="n">
        <f aca="false">SUMPRODUCT((Rules!$A$2:$A$60=Q$1)*Rules!$C$2:$C$60*ISNUMBER(SEARCH(Rules!$E$2:$E$60,$D208)))</f>
        <v>1</v>
      </c>
      <c r="R208" s="0" t="str">
        <f aca="false">IF(OR(MAX(L208:Q208)&lt;Rules!$H$1,MAX(L208:Q208)-LARGE(L208:Q208,2)&lt;Rules!$H$2),"No label",INDEX($L$1:$Q$1,MATCH(MAX(L208:Q208),L208:Q208,0)))</f>
        <v>No label</v>
      </c>
      <c r="S208" s="0" t="n">
        <f aca="false">SUMPRODUCT(ISNUMBER(SEARCH(" "&amp;Terms!$A$3:$A$821&amp;" ",$D208))*Terms!B$3:B$821)+Terms!B$2</f>
        <v>0.155538418673008</v>
      </c>
      <c r="T208" s="0" t="n">
        <f aca="false">SUMPRODUCT(ISNUMBER(SEARCH(" "&amp;Terms!$A$3:$A$821&amp;" ",$D208))*Terms!C$3:C$821)+Terms!C$2</f>
        <v>12.4539664945857</v>
      </c>
      <c r="U208" s="0" t="n">
        <f aca="false">SUMPRODUCT(ISNUMBER(SEARCH(" "&amp;Terms!$A$3:$A$821&amp;" ",$D208))*Terms!D$3:D$821)+Terms!D$2</f>
        <v>-3.68225197496694</v>
      </c>
      <c r="V208" s="0" t="n">
        <f aca="false">SUMPRODUCT(ISNUMBER(SEARCH(" "&amp;Terms!$A$3:$A$821&amp;" ",$D208))*Terms!E$3:E$821)+Terms!E$2</f>
        <v>-4.38743277994553</v>
      </c>
      <c r="W208" s="0" t="n">
        <f aca="false">SUMPRODUCT(ISNUMBER(SEARCH(" "&amp;Terms!$A$3:$A$821&amp;" ",$D208))*Terms!F$3:F$821)+Terms!F$2</f>
        <v>-2.4359530657736</v>
      </c>
      <c r="X208" s="0" t="n">
        <f aca="false">SUMPRODUCT(ISNUMBER(SEARCH(" "&amp;Terms!$A$3:$A$821&amp;" ",$D208))*Terms!G$3:G$821)+Terms!G$2</f>
        <v>-2.10386709257257</v>
      </c>
      <c r="Y208" s="0" t="str">
        <f aca="false">INDEX($S$1:$X$1,MATCH(MAX(S208:X208),S208:X208,0))</f>
        <v>Customer Service</v>
      </c>
      <c r="Z208" s="0" t="s">
        <v>2607</v>
      </c>
    </row>
    <row r="209" customFormat="false" ht="15" hidden="false" customHeight="false" outlineLevel="0" collapsed="false">
      <c r="A209" s="0" t="str">
        <f aca="false">Complaints!A209</f>
        <v>C0208</v>
      </c>
      <c r="B209" s="0" t="str">
        <f aca="false">Complaints!B209</f>
        <v>To whom it may concern, Two factor codes are not being sent to my phone. There was also a fee involved. I would like a response in writing.</v>
      </c>
      <c r="C209" s="0" t="str">
        <f aca="false">Complaints!C209</f>
        <v>Account Access</v>
      </c>
      <c r="D209" s="0" t="str">
        <f aca="false">" "&amp;TRIM(SUBSTITUTE(SUBSTITUTE(SUBSTITUTE(SUBSTITUTE(SUBSTITUTE(SUBSTITUTE(SUBSTITUTE(SUBSTITUTE(SUBSTITUTE(SUBSTITUTE(SUBSTITUTE(SUBSTITUTE(SUBSTITUTE(SUBSTITUTE(SUBSTITUTE(SUBSTITUTE(LOWER(B209),"."," "),","," "),"'"," "),"’"," "),"!"," "),"?"," "),";"," "),":"," "),"-"," "),"("," "),")"," "),"""", " "),"£"," "),"&amp;"," "),"/"," "),"%"," "))&amp;" "</f>
        <v> to whom it may concern two factor codes are not being sent to my phone there was also a fee involved i would like a response in writing </v>
      </c>
      <c r="E209" s="0" t="n">
        <f aca="false">SUMPRODUCT((Rules!$A$2:$A$60=E$1)*Rules!$C$2:$C$60*ISNUMBER(SEARCH(Rules!$D$2:$D$60,$D209)))</f>
        <v>0</v>
      </c>
      <c r="F209" s="0" t="n">
        <f aca="false">SUMPRODUCT((Rules!$A$2:$A$60=F$1)*Rules!$C$2:$C$60*ISNUMBER(SEARCH(Rules!$D$2:$D$60,$D209)))</f>
        <v>0</v>
      </c>
      <c r="G209" s="0" t="n">
        <f aca="false">SUMPRODUCT((Rules!$A$2:$A$60=G$1)*Rules!$C$2:$C$60*ISNUMBER(SEARCH(Rules!$D$2:$D$60,$D209)))</f>
        <v>3</v>
      </c>
      <c r="H209" s="0" t="n">
        <f aca="false">SUMPRODUCT((Rules!$A$2:$A$60=H$1)*Rules!$C$2:$C$60*ISNUMBER(SEARCH(Rules!$D$2:$D$60,$D209)))</f>
        <v>2</v>
      </c>
      <c r="I209" s="0" t="n">
        <f aca="false">SUMPRODUCT((Rules!$A$2:$A$60=I$1)*Rules!$C$2:$C$60*ISNUMBER(SEARCH(Rules!$D$2:$D$60,$D209)))</f>
        <v>0</v>
      </c>
      <c r="J209" s="0" t="n">
        <f aca="false">SUMPRODUCT((Rules!$A$2:$A$60=J$1)*Rules!$C$2:$C$60*ISNUMBER(SEARCH(Rules!$D$2:$D$60,$D209)))</f>
        <v>0</v>
      </c>
      <c r="K209" s="0" t="str">
        <f aca="false">IF(OR(MAX(E209:J209)&lt;Rules!$H$1,MAX(E209:J209)-LARGE(E209:J209,2)&lt;Rules!$H$2),"No label",INDEX($E$1:$J$1,MATCH(MAX(E209:J209),E209:J209,0)))</f>
        <v>No label</v>
      </c>
      <c r="L209" s="0" t="n">
        <f aca="false">SUMPRODUCT((Rules!$A$2:$A$60=L$1)*Rules!$C$2:$C$60*ISNUMBER(SEARCH(Rules!$E$2:$E$60,$D209)))</f>
        <v>0</v>
      </c>
      <c r="M209" s="0" t="n">
        <f aca="false">SUMPRODUCT((Rules!$A$2:$A$60=M$1)*Rules!$C$2:$C$60*ISNUMBER(SEARCH(Rules!$E$2:$E$60,$D209)))</f>
        <v>0</v>
      </c>
      <c r="N209" s="0" t="n">
        <f aca="false">SUMPRODUCT((Rules!$A$2:$A$60=N$1)*Rules!$C$2:$C$60*ISNUMBER(SEARCH(Rules!$E$2:$E$60,$D209)))</f>
        <v>3</v>
      </c>
      <c r="O209" s="0" t="n">
        <f aca="false">SUMPRODUCT((Rules!$A$2:$A$60=O$1)*Rules!$C$2:$C$60*ISNUMBER(SEARCH(Rules!$E$2:$E$60,$D209)))</f>
        <v>2</v>
      </c>
      <c r="P209" s="0" t="n">
        <f aca="false">SUMPRODUCT((Rules!$A$2:$A$60=P$1)*Rules!$C$2:$C$60*ISNUMBER(SEARCH(Rules!$E$2:$E$60,$D209)))</f>
        <v>0</v>
      </c>
      <c r="Q209" s="0" t="n">
        <f aca="false">SUMPRODUCT((Rules!$A$2:$A$60=Q$1)*Rules!$C$2:$C$60*ISNUMBER(SEARCH(Rules!$E$2:$E$60,$D209)))</f>
        <v>0</v>
      </c>
      <c r="R209" s="0" t="str">
        <f aca="false">IF(OR(MAX(L209:Q209)&lt;Rules!$H$1,MAX(L209:Q209)-LARGE(L209:Q209,2)&lt;Rules!$H$2),"No label",INDEX($L$1:$Q$1,MATCH(MAX(L209:Q209),L209:Q209,0)))</f>
        <v>No label</v>
      </c>
      <c r="S209" s="0" t="n">
        <f aca="false">SUMPRODUCT(ISNUMBER(SEARCH(" "&amp;Terms!$A$3:$A$821&amp;" ",$D209))*Terms!B$3:B$821)+Terms!B$2</f>
        <v>9.68938329221519</v>
      </c>
      <c r="T209" s="0" t="n">
        <f aca="false">SUMPRODUCT(ISNUMBER(SEARCH(" "&amp;Terms!$A$3:$A$821&amp;" ",$D209))*Terms!C$3:C$821)+Terms!C$2</f>
        <v>-4.87654250928712</v>
      </c>
      <c r="U209" s="0" t="n">
        <f aca="false">SUMPRODUCT(ISNUMBER(SEARCH(" "&amp;Terms!$A$3:$A$821&amp;" ",$D209))*Terms!D$3:D$821)+Terms!D$2</f>
        <v>1.99217374361807</v>
      </c>
      <c r="V209" s="0" t="n">
        <f aca="false">SUMPRODUCT(ISNUMBER(SEARCH(" "&amp;Terms!$A$3:$A$821&amp;" ",$D209))*Terms!E$3:E$821)+Terms!E$2</f>
        <v>0.497538100830219</v>
      </c>
      <c r="W209" s="0" t="n">
        <f aca="false">SUMPRODUCT(ISNUMBER(SEARCH(" "&amp;Terms!$A$3:$A$821&amp;" ",$D209))*Terms!F$3:F$821)+Terms!F$2</f>
        <v>-6.43413767972944</v>
      </c>
      <c r="X209" s="0" t="n">
        <f aca="false">SUMPRODUCT(ISNUMBER(SEARCH(" "&amp;Terms!$A$3:$A$821&amp;" ",$D209))*Terms!G$3:G$821)+Terms!G$2</f>
        <v>-0.868414947646838</v>
      </c>
      <c r="Y209" s="0" t="str">
        <f aca="false">INDEX($S$1:$X$1,MATCH(MAX(S209:X209),S209:X209,0))</f>
        <v>Account Access</v>
      </c>
      <c r="Z209" s="0" t="s">
        <v>2607</v>
      </c>
    </row>
    <row r="210" customFormat="false" ht="15" hidden="false" customHeight="false" outlineLevel="0" collapsed="false">
      <c r="A210" s="0" t="str">
        <f aca="false">Complaints!A210</f>
        <v>C0209</v>
      </c>
      <c r="B210" s="0" t="str">
        <f aca="false">Complaints!B210</f>
        <v>This is the second time I have raised this. Someone has made payments from my account that I did not authorise.</v>
      </c>
      <c r="C210" s="0" t="str">
        <f aca="false">Complaints!C210</f>
        <v>Fraud &amp; Scams</v>
      </c>
      <c r="D210" s="0" t="str">
        <f aca="false">" "&amp;TRIM(SUBSTITUTE(SUBSTITUTE(SUBSTITUTE(SUBSTITUTE(SUBSTITUTE(SUBSTITUTE(SUBSTITUTE(SUBSTITUTE(SUBSTITUTE(SUBSTITUTE(SUBSTITUTE(SUBSTITUTE(SUBSTITUTE(SUBSTITUTE(SUBSTITUTE(SUBSTITUTE(LOWER(B210),"."," "),","," "),"'"," "),"’"," "),"!"," "),"?"," "),";"," "),":"," "),"-"," "),"("," "),")"," "),"""", " "),"£"," "),"&amp;"," "),"/"," "),"%"," "))&amp;" "</f>
        <v> this is the second time i have raised this someone has made payments from my account that i did not authorise </v>
      </c>
      <c r="E210" s="0" t="n">
        <f aca="false">SUMPRODUCT((Rules!$A$2:$A$60=E$1)*Rules!$C$2:$C$60*ISNUMBER(SEARCH(Rules!$D$2:$D$60,$D210)))</f>
        <v>3</v>
      </c>
      <c r="F210" s="0" t="n">
        <f aca="false">SUMPRODUCT((Rules!$A$2:$A$60=F$1)*Rules!$C$2:$C$60*ISNUMBER(SEARCH(Rules!$D$2:$D$60,$D210)))</f>
        <v>0</v>
      </c>
      <c r="G210" s="0" t="n">
        <f aca="false">SUMPRODUCT((Rules!$A$2:$A$60=G$1)*Rules!$C$2:$C$60*ISNUMBER(SEARCH(Rules!$D$2:$D$60,$D210)))</f>
        <v>0</v>
      </c>
      <c r="H210" s="0" t="n">
        <f aca="false">SUMPRODUCT((Rules!$A$2:$A$60=H$1)*Rules!$C$2:$C$60*ISNUMBER(SEARCH(Rules!$D$2:$D$60,$D210)))</f>
        <v>0</v>
      </c>
      <c r="I210" s="0" t="n">
        <f aca="false">SUMPRODUCT((Rules!$A$2:$A$60=I$1)*Rules!$C$2:$C$60*ISNUMBER(SEARCH(Rules!$D$2:$D$60,$D210)))</f>
        <v>0</v>
      </c>
      <c r="J210" s="0" t="n">
        <f aca="false">SUMPRODUCT((Rules!$A$2:$A$60=J$1)*Rules!$C$2:$C$60*ISNUMBER(SEARCH(Rules!$D$2:$D$60,$D210)))</f>
        <v>0</v>
      </c>
      <c r="K210" s="0" t="str">
        <f aca="false">IF(OR(MAX(E210:J210)&lt;Rules!$H$1,MAX(E210:J210)-LARGE(E210:J210,2)&lt;Rules!$H$2),"No label",INDEX($E$1:$J$1,MATCH(MAX(E210:J210),E210:J210,0)))</f>
        <v>Fraud &amp; Scams</v>
      </c>
      <c r="L210" s="0" t="n">
        <f aca="false">SUMPRODUCT((Rules!$A$2:$A$60=L$1)*Rules!$C$2:$C$60*ISNUMBER(SEARCH(Rules!$E$2:$E$60,$D210)))</f>
        <v>3</v>
      </c>
      <c r="M210" s="0" t="n">
        <f aca="false">SUMPRODUCT((Rules!$A$2:$A$60=M$1)*Rules!$C$2:$C$60*ISNUMBER(SEARCH(Rules!$E$2:$E$60,$D210)))</f>
        <v>0</v>
      </c>
      <c r="N210" s="0" t="n">
        <f aca="false">SUMPRODUCT((Rules!$A$2:$A$60=N$1)*Rules!$C$2:$C$60*ISNUMBER(SEARCH(Rules!$E$2:$E$60,$D210)))</f>
        <v>0</v>
      </c>
      <c r="O210" s="0" t="n">
        <f aca="false">SUMPRODUCT((Rules!$A$2:$A$60=O$1)*Rules!$C$2:$C$60*ISNUMBER(SEARCH(Rules!$E$2:$E$60,$D210)))</f>
        <v>0</v>
      </c>
      <c r="P210" s="0" t="n">
        <f aca="false">SUMPRODUCT((Rules!$A$2:$A$60=P$1)*Rules!$C$2:$C$60*ISNUMBER(SEARCH(Rules!$E$2:$E$60,$D210)))</f>
        <v>0</v>
      </c>
      <c r="Q210" s="0" t="n">
        <f aca="false">SUMPRODUCT((Rules!$A$2:$A$60=Q$1)*Rules!$C$2:$C$60*ISNUMBER(SEARCH(Rules!$E$2:$E$60,$D210)))</f>
        <v>0</v>
      </c>
      <c r="R210" s="0" t="str">
        <f aca="false">IF(OR(MAX(L210:Q210)&lt;Rules!$H$1,MAX(L210:Q210)-LARGE(L210:Q210,2)&lt;Rules!$H$2),"No label",INDEX($L$1:$Q$1,MATCH(MAX(L210:Q210),L210:Q210,0)))</f>
        <v>Fraud &amp; Scams</v>
      </c>
      <c r="S210" s="0" t="n">
        <f aca="false">SUMPRODUCT(ISNUMBER(SEARCH(" "&amp;Terms!$A$3:$A$821&amp;" ",$D210))*Terms!B$3:B$821)+Terms!B$2</f>
        <v>-0.582455852738016</v>
      </c>
      <c r="T210" s="0" t="n">
        <f aca="false">SUMPRODUCT(ISNUMBER(SEARCH(" "&amp;Terms!$A$3:$A$821&amp;" ",$D210))*Terms!C$3:C$821)+Terms!C$2</f>
        <v>-0.0253143830387958</v>
      </c>
      <c r="U210" s="0" t="n">
        <f aca="false">SUMPRODUCT(ISNUMBER(SEARCH(" "&amp;Terms!$A$3:$A$821&amp;" ",$D210))*Terms!D$3:D$821)+Terms!D$2</f>
        <v>-0.583023430983927</v>
      </c>
      <c r="V210" s="0" t="n">
        <f aca="false">SUMPRODUCT(ISNUMBER(SEARCH(" "&amp;Terms!$A$3:$A$821&amp;" ",$D210))*Terms!E$3:E$821)+Terms!E$2</f>
        <v>-1.70860774476819</v>
      </c>
      <c r="W210" s="0" t="n">
        <f aca="false">SUMPRODUCT(ISNUMBER(SEARCH(" "&amp;Terms!$A$3:$A$821&amp;" ",$D210))*Terms!F$3:F$821)+Terms!F$2</f>
        <v>5.48838048817488</v>
      </c>
      <c r="X210" s="0" t="n">
        <f aca="false">SUMPRODUCT(ISNUMBER(SEARCH(" "&amp;Terms!$A$3:$A$821&amp;" ",$D210))*Terms!G$3:G$821)+Terms!G$2</f>
        <v>-2.58897907664586</v>
      </c>
      <c r="Y210" s="0" t="str">
        <f aca="false">INDEX($S$1:$X$1,MATCH(MAX(S210:X210),S210:X210,0))</f>
        <v>Fraud &amp; Scams</v>
      </c>
      <c r="Z210" s="0" t="s">
        <v>2607</v>
      </c>
    </row>
    <row r="211" customFormat="false" ht="15" hidden="false" customHeight="false" outlineLevel="0" collapsed="false">
      <c r="A211" s="0" t="str">
        <f aca="false">Complaints!A211</f>
        <v>C0210</v>
      </c>
      <c r="B211" s="0" t="str">
        <f aca="false">Complaints!B211</f>
        <v>My application has been stuck for weeks with no progress. I am worried it might be fraud.</v>
      </c>
      <c r="C211" s="0" t="str">
        <f aca="false">Complaints!C211</f>
        <v>Delays &amp; Processing</v>
      </c>
      <c r="D211" s="0" t="str">
        <f aca="false">" "&amp;TRIM(SUBSTITUTE(SUBSTITUTE(SUBSTITUTE(SUBSTITUTE(SUBSTITUTE(SUBSTITUTE(SUBSTITUTE(SUBSTITUTE(SUBSTITUTE(SUBSTITUTE(SUBSTITUTE(SUBSTITUTE(SUBSTITUTE(SUBSTITUTE(SUBSTITUTE(SUBSTITUTE(LOWER(B211),"."," "),","," "),"'"," "),"’"," "),"!"," "),"?"," "),";"," "),":"," "),"-"," "),"("," "),")"," "),"""", " "),"£"," "),"&amp;"," "),"/"," "),"%"," "))&amp;" "</f>
        <v> my application has been stuck for weeks with no progress i am worried it might be fraud </v>
      </c>
      <c r="E211" s="0" t="n">
        <f aca="false">SUMPRODUCT((Rules!$A$2:$A$60=E$1)*Rules!$C$2:$C$60*ISNUMBER(SEARCH(Rules!$D$2:$D$60,$D211)))</f>
        <v>3</v>
      </c>
      <c r="F211" s="0" t="n">
        <f aca="false">SUMPRODUCT((Rules!$A$2:$A$60=F$1)*Rules!$C$2:$C$60*ISNUMBER(SEARCH(Rules!$D$2:$D$60,$D211)))</f>
        <v>0</v>
      </c>
      <c r="G211" s="0" t="n">
        <f aca="false">SUMPRODUCT((Rules!$A$2:$A$60=G$1)*Rules!$C$2:$C$60*ISNUMBER(SEARCH(Rules!$D$2:$D$60,$D211)))</f>
        <v>0</v>
      </c>
      <c r="H211" s="0" t="n">
        <f aca="false">SUMPRODUCT((Rules!$A$2:$A$60=H$1)*Rules!$C$2:$C$60*ISNUMBER(SEARCH(Rules!$D$2:$D$60,$D211)))</f>
        <v>0</v>
      </c>
      <c r="I211" s="0" t="n">
        <f aca="false">SUMPRODUCT((Rules!$A$2:$A$60=I$1)*Rules!$C$2:$C$60*ISNUMBER(SEARCH(Rules!$D$2:$D$60,$D211)))</f>
        <v>3</v>
      </c>
      <c r="J211" s="0" t="n">
        <f aca="false">SUMPRODUCT((Rules!$A$2:$A$60=J$1)*Rules!$C$2:$C$60*ISNUMBER(SEARCH(Rules!$D$2:$D$60,$D211)))</f>
        <v>0</v>
      </c>
      <c r="K211" s="0" t="str">
        <f aca="false">IF(OR(MAX(E211:J211)&lt;Rules!$H$1,MAX(E211:J211)-LARGE(E211:J211,2)&lt;Rules!$H$2),"No label",INDEX($E$1:$J$1,MATCH(MAX(E211:J211),E211:J211,0)))</f>
        <v>No label</v>
      </c>
      <c r="L211" s="0" t="n">
        <f aca="false">SUMPRODUCT((Rules!$A$2:$A$60=L$1)*Rules!$C$2:$C$60*ISNUMBER(SEARCH(Rules!$E$2:$E$60,$D211)))</f>
        <v>3</v>
      </c>
      <c r="M211" s="0" t="n">
        <f aca="false">SUMPRODUCT((Rules!$A$2:$A$60=M$1)*Rules!$C$2:$C$60*ISNUMBER(SEARCH(Rules!$E$2:$E$60,$D211)))</f>
        <v>0</v>
      </c>
      <c r="N211" s="0" t="n">
        <f aca="false">SUMPRODUCT((Rules!$A$2:$A$60=N$1)*Rules!$C$2:$C$60*ISNUMBER(SEARCH(Rules!$E$2:$E$60,$D211)))</f>
        <v>0</v>
      </c>
      <c r="O211" s="0" t="n">
        <f aca="false">SUMPRODUCT((Rules!$A$2:$A$60=O$1)*Rules!$C$2:$C$60*ISNUMBER(SEARCH(Rules!$E$2:$E$60,$D211)))</f>
        <v>0</v>
      </c>
      <c r="P211" s="0" t="n">
        <f aca="false">SUMPRODUCT((Rules!$A$2:$A$60=P$1)*Rules!$C$2:$C$60*ISNUMBER(SEARCH(Rules!$E$2:$E$60,$D211)))</f>
        <v>3</v>
      </c>
      <c r="Q211" s="0" t="n">
        <f aca="false">SUMPRODUCT((Rules!$A$2:$A$60=Q$1)*Rules!$C$2:$C$60*ISNUMBER(SEARCH(Rules!$E$2:$E$60,$D211)))</f>
        <v>0</v>
      </c>
      <c r="R211" s="0" t="str">
        <f aca="false">IF(OR(MAX(L211:Q211)&lt;Rules!$H$1,MAX(L211:Q211)-LARGE(L211:Q211,2)&lt;Rules!$H$2),"No label",INDEX($L$1:$Q$1,MATCH(MAX(L211:Q211),L211:Q211,0)))</f>
        <v>No label</v>
      </c>
      <c r="S211" s="0" t="n">
        <f aca="false">SUMPRODUCT(ISNUMBER(SEARCH(" "&amp;Terms!$A$3:$A$821&amp;" ",$D211))*Terms!B$3:B$821)+Terms!B$2</f>
        <v>-2.18539299214059</v>
      </c>
      <c r="T211" s="0" t="n">
        <f aca="false">SUMPRODUCT(ISNUMBER(SEARCH(" "&amp;Terms!$A$3:$A$821&amp;" ",$D211))*Terms!C$3:C$821)+Terms!C$2</f>
        <v>-0.194855616560246</v>
      </c>
      <c r="U211" s="0" t="n">
        <f aca="false">SUMPRODUCT(ISNUMBER(SEARCH(" "&amp;Terms!$A$3:$A$821&amp;" ",$D211))*Terms!D$3:D$821)+Terms!D$2</f>
        <v>8.34506462675982</v>
      </c>
      <c r="V211" s="0" t="n">
        <f aca="false">SUMPRODUCT(ISNUMBER(SEARCH(" "&amp;Terms!$A$3:$A$821&amp;" ",$D211))*Terms!E$3:E$821)+Terms!E$2</f>
        <v>-1.46416165858718</v>
      </c>
      <c r="W211" s="0" t="n">
        <f aca="false">SUMPRODUCT(ISNUMBER(SEARCH(" "&amp;Terms!$A$3:$A$821&amp;" ",$D211))*Terms!F$3:F$821)+Terms!F$2</f>
        <v>-2.56325551856027</v>
      </c>
      <c r="X211" s="0" t="n">
        <f aca="false">SUMPRODUCT(ISNUMBER(SEARCH(" "&amp;Terms!$A$3:$A$821&amp;" ",$D211))*Terms!G$3:G$821)+Terms!G$2</f>
        <v>-1.93739884091145</v>
      </c>
      <c r="Y211" s="0" t="str">
        <f aca="false">INDEX($S$1:$X$1,MATCH(MAX(S211:X211),S211:X211,0))</f>
        <v>Delays &amp; Processing</v>
      </c>
      <c r="Z211" s="0" t="s">
        <v>2607</v>
      </c>
    </row>
    <row r="212" customFormat="false" ht="15" hidden="false" customHeight="false" outlineLevel="0" collapsed="false">
      <c r="A212" s="0" t="str">
        <f aca="false">Complaints!A212</f>
        <v>C0211</v>
      </c>
      <c r="B212" s="0" t="str">
        <f aca="false">Complaints!B212</f>
        <v>I think I was the victim of a scam and sent money to a fraudster. I do not think it was explained properly when I bought it. This is not acceptable.</v>
      </c>
      <c r="C212" s="0" t="str">
        <f aca="false">Complaints!C212</f>
        <v>Fraud &amp; Scams</v>
      </c>
      <c r="D212" s="0" t="str">
        <f aca="false">" "&amp;TRIM(SUBSTITUTE(SUBSTITUTE(SUBSTITUTE(SUBSTITUTE(SUBSTITUTE(SUBSTITUTE(SUBSTITUTE(SUBSTITUTE(SUBSTITUTE(SUBSTITUTE(SUBSTITUTE(SUBSTITUTE(SUBSTITUTE(SUBSTITUTE(SUBSTITUTE(SUBSTITUTE(LOWER(B212),"."," "),","," "),"'"," "),"’"," "),"!"," "),"?"," "),";"," "),":"," "),"-"," "),"("," "),")"," "),"""", " "),"£"," "),"&amp;"," "),"/"," "),"%"," "))&amp;" "</f>
        <v> i think i was the victim of a scam and sent money to a fraudster i do not think it was explained properly when i bought it this is not acceptable </v>
      </c>
      <c r="E212" s="0" t="n">
        <f aca="false">SUMPRODUCT((Rules!$A$2:$A$60=E$1)*Rules!$C$2:$C$60*ISNUMBER(SEARCH(Rules!$D$2:$D$60,$D212)))</f>
        <v>6</v>
      </c>
      <c r="F212" s="0" t="n">
        <f aca="false">SUMPRODUCT((Rules!$A$2:$A$60=F$1)*Rules!$C$2:$C$60*ISNUMBER(SEARCH(Rules!$D$2:$D$60,$D212)))</f>
        <v>0</v>
      </c>
      <c r="G212" s="0" t="n">
        <f aca="false">SUMPRODUCT((Rules!$A$2:$A$60=G$1)*Rules!$C$2:$C$60*ISNUMBER(SEARCH(Rules!$D$2:$D$60,$D212)))</f>
        <v>0</v>
      </c>
      <c r="H212" s="0" t="n">
        <f aca="false">SUMPRODUCT((Rules!$A$2:$A$60=H$1)*Rules!$C$2:$C$60*ISNUMBER(SEARCH(Rules!$D$2:$D$60,$D212)))</f>
        <v>0</v>
      </c>
      <c r="I212" s="0" t="n">
        <f aca="false">SUMPRODUCT((Rules!$A$2:$A$60=I$1)*Rules!$C$2:$C$60*ISNUMBER(SEARCH(Rules!$D$2:$D$60,$D212)))</f>
        <v>0</v>
      </c>
      <c r="J212" s="0" t="n">
        <f aca="false">SUMPRODUCT((Rules!$A$2:$A$60=J$1)*Rules!$C$2:$C$60*ISNUMBER(SEARCH(Rules!$D$2:$D$60,$D212)))</f>
        <v>0</v>
      </c>
      <c r="K212" s="0" t="str">
        <f aca="false">IF(OR(MAX(E212:J212)&lt;Rules!$H$1,MAX(E212:J212)-LARGE(E212:J212,2)&lt;Rules!$H$2),"No label",INDEX($E$1:$J$1,MATCH(MAX(E212:J212),E212:J212,0)))</f>
        <v>Fraud &amp; Scams</v>
      </c>
      <c r="L212" s="0" t="n">
        <f aca="false">SUMPRODUCT((Rules!$A$2:$A$60=L$1)*Rules!$C$2:$C$60*ISNUMBER(SEARCH(Rules!$E$2:$E$60,$D212)))</f>
        <v>6</v>
      </c>
      <c r="M212" s="0" t="n">
        <f aca="false">SUMPRODUCT((Rules!$A$2:$A$60=M$1)*Rules!$C$2:$C$60*ISNUMBER(SEARCH(Rules!$E$2:$E$60,$D212)))</f>
        <v>0</v>
      </c>
      <c r="N212" s="0" t="n">
        <f aca="false">SUMPRODUCT((Rules!$A$2:$A$60=N$1)*Rules!$C$2:$C$60*ISNUMBER(SEARCH(Rules!$E$2:$E$60,$D212)))</f>
        <v>1</v>
      </c>
      <c r="O212" s="0" t="n">
        <f aca="false">SUMPRODUCT((Rules!$A$2:$A$60=O$1)*Rules!$C$2:$C$60*ISNUMBER(SEARCH(Rules!$E$2:$E$60,$D212)))</f>
        <v>0</v>
      </c>
      <c r="P212" s="0" t="n">
        <f aca="false">SUMPRODUCT((Rules!$A$2:$A$60=P$1)*Rules!$C$2:$C$60*ISNUMBER(SEARCH(Rules!$E$2:$E$60,$D212)))</f>
        <v>0</v>
      </c>
      <c r="Q212" s="0" t="n">
        <f aca="false">SUMPRODUCT((Rules!$A$2:$A$60=Q$1)*Rules!$C$2:$C$60*ISNUMBER(SEARCH(Rules!$E$2:$E$60,$D212)))</f>
        <v>0</v>
      </c>
      <c r="R212" s="0" t="str">
        <f aca="false">IF(OR(MAX(L212:Q212)&lt;Rules!$H$1,MAX(L212:Q212)-LARGE(L212:Q212,2)&lt;Rules!$H$2),"No label",INDEX($L$1:$Q$1,MATCH(MAX(L212:Q212),L212:Q212,0)))</f>
        <v>Fraud &amp; Scams</v>
      </c>
      <c r="S212" s="0" t="n">
        <f aca="false">SUMPRODUCT(ISNUMBER(SEARCH(" "&amp;Terms!$A$3:$A$821&amp;" ",$D212))*Terms!B$3:B$821)+Terms!B$2</f>
        <v>0.864534641783605</v>
      </c>
      <c r="T212" s="0" t="n">
        <f aca="false">SUMPRODUCT(ISNUMBER(SEARCH(" "&amp;Terms!$A$3:$A$821&amp;" ",$D212))*Terms!C$3:C$821)+Terms!C$2</f>
        <v>-5.10940590170888</v>
      </c>
      <c r="U212" s="0" t="n">
        <f aca="false">SUMPRODUCT(ISNUMBER(SEARCH(" "&amp;Terms!$A$3:$A$821&amp;" ",$D212))*Terms!D$3:D$821)+Terms!D$2</f>
        <v>-0.597367860791235</v>
      </c>
      <c r="V212" s="0" t="n">
        <f aca="false">SUMPRODUCT(ISNUMBER(SEARCH(" "&amp;Terms!$A$3:$A$821&amp;" ",$D212))*Terms!E$3:E$821)+Terms!E$2</f>
        <v>-1.09222394673973</v>
      </c>
      <c r="W212" s="0" t="n">
        <f aca="false">SUMPRODUCT(ISNUMBER(SEARCH(" "&amp;Terms!$A$3:$A$821&amp;" ",$D212))*Terms!F$3:F$821)+Terms!F$2</f>
        <v>9.86996417548088</v>
      </c>
      <c r="X212" s="0" t="n">
        <f aca="false">SUMPRODUCT(ISNUMBER(SEARCH(" "&amp;Terms!$A$3:$A$821&amp;" ",$D212))*Terms!G$3:G$821)+Terms!G$2</f>
        <v>-3.93550110802454</v>
      </c>
      <c r="Y212" s="0" t="str">
        <f aca="false">INDEX($S$1:$X$1,MATCH(MAX(S212:X212),S212:X212,0))</f>
        <v>Fraud &amp; Scams</v>
      </c>
      <c r="Z212" s="0" t="s">
        <v>2608</v>
      </c>
    </row>
    <row r="213" customFormat="false" ht="15" hidden="false" customHeight="false" outlineLevel="0" collapsed="false">
      <c r="A213" s="0" t="str">
        <f aca="false">Complaints!A213</f>
        <v>C0212</v>
      </c>
      <c r="B213" s="0" t="str">
        <f aca="false">Complaints!B213</f>
        <v>Please look into what happened on my account.</v>
      </c>
      <c r="C213" s="0" t="str">
        <f aca="false">Complaints!C213</f>
        <v>Fees &amp; Charges</v>
      </c>
      <c r="D213" s="0" t="str">
        <f aca="false">" "&amp;TRIM(SUBSTITUTE(SUBSTITUTE(SUBSTITUTE(SUBSTITUTE(SUBSTITUTE(SUBSTITUTE(SUBSTITUTE(SUBSTITUTE(SUBSTITUTE(SUBSTITUTE(SUBSTITUTE(SUBSTITUTE(SUBSTITUTE(SUBSTITUTE(SUBSTITUTE(SUBSTITUTE(LOWER(B213),"."," "),","," "),"'"," "),"’"," "),"!"," "),"?"," "),";"," "),":"," "),"-"," "),"("," "),")"," "),"""", " "),"£"," "),"&amp;"," "),"/"," "),"%"," "))&amp;" "</f>
        <v> please look into what happened on my account </v>
      </c>
      <c r="E213" s="0" t="n">
        <f aca="false">SUMPRODUCT((Rules!$A$2:$A$60=E$1)*Rules!$C$2:$C$60*ISNUMBER(SEARCH(Rules!$D$2:$D$60,$D213)))</f>
        <v>0</v>
      </c>
      <c r="F213" s="0" t="n">
        <f aca="false">SUMPRODUCT((Rules!$A$2:$A$60=F$1)*Rules!$C$2:$C$60*ISNUMBER(SEARCH(Rules!$D$2:$D$60,$D213)))</f>
        <v>0</v>
      </c>
      <c r="G213" s="0" t="n">
        <f aca="false">SUMPRODUCT((Rules!$A$2:$A$60=G$1)*Rules!$C$2:$C$60*ISNUMBER(SEARCH(Rules!$D$2:$D$60,$D213)))</f>
        <v>0</v>
      </c>
      <c r="H213" s="0" t="n">
        <f aca="false">SUMPRODUCT((Rules!$A$2:$A$60=H$1)*Rules!$C$2:$C$60*ISNUMBER(SEARCH(Rules!$D$2:$D$60,$D213)))</f>
        <v>0</v>
      </c>
      <c r="I213" s="0" t="n">
        <f aca="false">SUMPRODUCT((Rules!$A$2:$A$60=I$1)*Rules!$C$2:$C$60*ISNUMBER(SEARCH(Rules!$D$2:$D$60,$D213)))</f>
        <v>0</v>
      </c>
      <c r="J213" s="0" t="n">
        <f aca="false">SUMPRODUCT((Rules!$A$2:$A$60=J$1)*Rules!$C$2:$C$60*ISNUMBER(SEARCH(Rules!$D$2:$D$60,$D213)))</f>
        <v>0</v>
      </c>
      <c r="K213" s="0" t="str">
        <f aca="false">IF(OR(MAX(E213:J213)&lt;Rules!$H$1,MAX(E213:J213)-LARGE(E213:J213,2)&lt;Rules!$H$2),"No label",INDEX($E$1:$J$1,MATCH(MAX(E213:J213),E213:J213,0)))</f>
        <v>No label</v>
      </c>
      <c r="L213" s="0" t="n">
        <f aca="false">SUMPRODUCT((Rules!$A$2:$A$60=L$1)*Rules!$C$2:$C$60*ISNUMBER(SEARCH(Rules!$E$2:$E$60,$D213)))</f>
        <v>0</v>
      </c>
      <c r="M213" s="0" t="n">
        <f aca="false">SUMPRODUCT((Rules!$A$2:$A$60=M$1)*Rules!$C$2:$C$60*ISNUMBER(SEARCH(Rules!$E$2:$E$60,$D213)))</f>
        <v>0</v>
      </c>
      <c r="N213" s="0" t="n">
        <f aca="false">SUMPRODUCT((Rules!$A$2:$A$60=N$1)*Rules!$C$2:$C$60*ISNUMBER(SEARCH(Rules!$E$2:$E$60,$D213)))</f>
        <v>0</v>
      </c>
      <c r="O213" s="0" t="n">
        <f aca="false">SUMPRODUCT((Rules!$A$2:$A$60=O$1)*Rules!$C$2:$C$60*ISNUMBER(SEARCH(Rules!$E$2:$E$60,$D213)))</f>
        <v>0</v>
      </c>
      <c r="P213" s="0" t="n">
        <f aca="false">SUMPRODUCT((Rules!$A$2:$A$60=P$1)*Rules!$C$2:$C$60*ISNUMBER(SEARCH(Rules!$E$2:$E$60,$D213)))</f>
        <v>0</v>
      </c>
      <c r="Q213" s="0" t="n">
        <f aca="false">SUMPRODUCT((Rules!$A$2:$A$60=Q$1)*Rules!$C$2:$C$60*ISNUMBER(SEARCH(Rules!$E$2:$E$60,$D213)))</f>
        <v>0</v>
      </c>
      <c r="R213" s="0" t="str">
        <f aca="false">IF(OR(MAX(L213:Q213)&lt;Rules!$H$1,MAX(L213:Q213)-LARGE(L213:Q213,2)&lt;Rules!$H$2),"No label",INDEX($L$1:$Q$1,MATCH(MAX(L213:Q213),L213:Q213,0)))</f>
        <v>No label</v>
      </c>
      <c r="S213" s="0" t="n">
        <f aca="false">SUMPRODUCT(ISNUMBER(SEARCH(" "&amp;Terms!$A$3:$A$821&amp;" ",$D213))*Terms!B$3:B$821)+Terms!B$2</f>
        <v>1.07444821585597</v>
      </c>
      <c r="T213" s="0" t="n">
        <f aca="false">SUMPRODUCT(ISNUMBER(SEARCH(" "&amp;Terms!$A$3:$A$821&amp;" ",$D213))*Terms!C$3:C$821)+Terms!C$2</f>
        <v>-1.72377259405027</v>
      </c>
      <c r="U213" s="0" t="n">
        <f aca="false">SUMPRODUCT(ISNUMBER(SEARCH(" "&amp;Terms!$A$3:$A$821&amp;" ",$D213))*Terms!D$3:D$821)+Terms!D$2</f>
        <v>2.63959400079799</v>
      </c>
      <c r="V213" s="0" t="n">
        <f aca="false">SUMPRODUCT(ISNUMBER(SEARCH(" "&amp;Terms!$A$3:$A$821&amp;" ",$D213))*Terms!E$3:E$821)+Terms!E$2</f>
        <v>-0.253164180834213</v>
      </c>
      <c r="W213" s="0" t="n">
        <f aca="false">SUMPRODUCT(ISNUMBER(SEARCH(" "&amp;Terms!$A$3:$A$821&amp;" ",$D213))*Terms!F$3:F$821)+Terms!F$2</f>
        <v>-0.0495019588002887</v>
      </c>
      <c r="X213" s="0" t="n">
        <f aca="false">SUMPRODUCT(ISNUMBER(SEARCH(" "&amp;Terms!$A$3:$A$821&amp;" ",$D213))*Terms!G$3:G$821)+Terms!G$2</f>
        <v>-1.68760348296909</v>
      </c>
      <c r="Y213" s="0" t="str">
        <f aca="false">INDEX($S$1:$X$1,MATCH(MAX(S213:X213),S213:X213,0))</f>
        <v>Delays &amp; Processing</v>
      </c>
      <c r="Z213" s="0" t="s">
        <v>2607</v>
      </c>
    </row>
    <row r="214" customFormat="false" ht="15" hidden="false" customHeight="false" outlineLevel="0" collapsed="false">
      <c r="A214" s="0" t="str">
        <f aca="false">Complaints!A214</f>
        <v>C0213</v>
      </c>
      <c r="B214" s="0" t="str">
        <f aca="false">Complaints!B214</f>
        <v>Hello, Why has my interest rate gone up without notice, it is costing me more every month. I could not log in to check either. I would like a response in writing.</v>
      </c>
      <c r="C214" s="0" t="str">
        <f aca="false">Complaints!C214</f>
        <v>Fees &amp; Charges</v>
      </c>
      <c r="D214" s="0" t="str">
        <f aca="false">" "&amp;TRIM(SUBSTITUTE(SUBSTITUTE(SUBSTITUTE(SUBSTITUTE(SUBSTITUTE(SUBSTITUTE(SUBSTITUTE(SUBSTITUTE(SUBSTITUTE(SUBSTITUTE(SUBSTITUTE(SUBSTITUTE(SUBSTITUTE(SUBSTITUTE(SUBSTITUTE(SUBSTITUTE(LOWER(B214),"."," "),","," "),"'"," "),"’"," "),"!"," "),"?"," "),";"," "),":"," "),"-"," "),"("," "),")"," "),"""", " "),"£"," "),"&amp;"," "),"/"," "),"%"," "))&amp;" "</f>
        <v> hello why has my interest rate gone up without notice it is costing me more every month i could not log in to check either i would like a response in writing </v>
      </c>
      <c r="E214" s="0" t="n">
        <f aca="false">SUMPRODUCT((Rules!$A$2:$A$60=E$1)*Rules!$C$2:$C$60*ISNUMBER(SEARCH(Rules!$D$2:$D$60,$D214)))</f>
        <v>0</v>
      </c>
      <c r="F214" s="0" t="n">
        <f aca="false">SUMPRODUCT((Rules!$A$2:$A$60=F$1)*Rules!$C$2:$C$60*ISNUMBER(SEARCH(Rules!$D$2:$D$60,$D214)))</f>
        <v>0</v>
      </c>
      <c r="G214" s="0" t="n">
        <f aca="false">SUMPRODUCT((Rules!$A$2:$A$60=G$1)*Rules!$C$2:$C$60*ISNUMBER(SEARCH(Rules!$D$2:$D$60,$D214)))</f>
        <v>3</v>
      </c>
      <c r="H214" s="0" t="n">
        <f aca="false">SUMPRODUCT((Rules!$A$2:$A$60=H$1)*Rules!$C$2:$C$60*ISNUMBER(SEARCH(Rules!$D$2:$D$60,$D214)))</f>
        <v>2</v>
      </c>
      <c r="I214" s="0" t="n">
        <f aca="false">SUMPRODUCT((Rules!$A$2:$A$60=I$1)*Rules!$C$2:$C$60*ISNUMBER(SEARCH(Rules!$D$2:$D$60,$D214)))</f>
        <v>0</v>
      </c>
      <c r="J214" s="0" t="n">
        <f aca="false">SUMPRODUCT((Rules!$A$2:$A$60=J$1)*Rules!$C$2:$C$60*ISNUMBER(SEARCH(Rules!$D$2:$D$60,$D214)))</f>
        <v>0</v>
      </c>
      <c r="K214" s="0" t="str">
        <f aca="false">IF(OR(MAX(E214:J214)&lt;Rules!$H$1,MAX(E214:J214)-LARGE(E214:J214,2)&lt;Rules!$H$2),"No label",INDEX($E$1:$J$1,MATCH(MAX(E214:J214),E214:J214,0)))</f>
        <v>No label</v>
      </c>
      <c r="L214" s="0" t="n">
        <f aca="false">SUMPRODUCT((Rules!$A$2:$A$60=L$1)*Rules!$C$2:$C$60*ISNUMBER(SEARCH(Rules!$E$2:$E$60,$D214)))</f>
        <v>0</v>
      </c>
      <c r="M214" s="0" t="n">
        <f aca="false">SUMPRODUCT((Rules!$A$2:$A$60=M$1)*Rules!$C$2:$C$60*ISNUMBER(SEARCH(Rules!$E$2:$E$60,$D214)))</f>
        <v>0</v>
      </c>
      <c r="N214" s="0" t="n">
        <f aca="false">SUMPRODUCT((Rules!$A$2:$A$60=N$1)*Rules!$C$2:$C$60*ISNUMBER(SEARCH(Rules!$E$2:$E$60,$D214)))</f>
        <v>3</v>
      </c>
      <c r="O214" s="0" t="n">
        <f aca="false">SUMPRODUCT((Rules!$A$2:$A$60=O$1)*Rules!$C$2:$C$60*ISNUMBER(SEARCH(Rules!$E$2:$E$60,$D214)))</f>
        <v>2</v>
      </c>
      <c r="P214" s="0" t="n">
        <f aca="false">SUMPRODUCT((Rules!$A$2:$A$60=P$1)*Rules!$C$2:$C$60*ISNUMBER(SEARCH(Rules!$E$2:$E$60,$D214)))</f>
        <v>0</v>
      </c>
      <c r="Q214" s="0" t="n">
        <f aca="false">SUMPRODUCT((Rules!$A$2:$A$60=Q$1)*Rules!$C$2:$C$60*ISNUMBER(SEARCH(Rules!$E$2:$E$60,$D214)))</f>
        <v>0</v>
      </c>
      <c r="R214" s="0" t="str">
        <f aca="false">IF(OR(MAX(L214:Q214)&lt;Rules!$H$1,MAX(L214:Q214)-LARGE(L214:Q214,2)&lt;Rules!$H$2),"No label",INDEX($L$1:$Q$1,MATCH(MAX(L214:Q214),L214:Q214,0)))</f>
        <v>No label</v>
      </c>
      <c r="S214" s="0" t="n">
        <f aca="false">SUMPRODUCT(ISNUMBER(SEARCH(" "&amp;Terms!$A$3:$A$821&amp;" ",$D214))*Terms!B$3:B$821)+Terms!B$2</f>
        <v>-0.665083521069883</v>
      </c>
      <c r="T214" s="0" t="n">
        <f aca="false">SUMPRODUCT(ISNUMBER(SEARCH(" "&amp;Terms!$A$3:$A$821&amp;" ",$D214))*Terms!C$3:C$821)+Terms!C$2</f>
        <v>-2.10046617739358</v>
      </c>
      <c r="U214" s="0" t="n">
        <f aca="false">SUMPRODUCT(ISNUMBER(SEARCH(" "&amp;Terms!$A$3:$A$821&amp;" ",$D214))*Terms!D$3:D$821)+Terms!D$2</f>
        <v>-0.847436586178273</v>
      </c>
      <c r="V214" s="0" t="n">
        <f aca="false">SUMPRODUCT(ISNUMBER(SEARCH(" "&amp;Terms!$A$3:$A$821&amp;" ",$D214))*Terms!E$3:E$821)+Terms!E$2</f>
        <v>6.79033872929193</v>
      </c>
      <c r="W214" s="0" t="n">
        <f aca="false">SUMPRODUCT(ISNUMBER(SEARCH(" "&amp;Terms!$A$3:$A$821&amp;" ",$D214))*Terms!F$3:F$821)+Terms!F$2</f>
        <v>-3.22364917865157</v>
      </c>
      <c r="X214" s="0" t="n">
        <f aca="false">SUMPRODUCT(ISNUMBER(SEARCH(" "&amp;Terms!$A$3:$A$821&amp;" ",$D214))*Terms!G$3:G$821)+Terms!G$2</f>
        <v>0.0462967340014675</v>
      </c>
      <c r="Y214" s="0" t="str">
        <f aca="false">INDEX($S$1:$X$1,MATCH(MAX(S214:X214),S214:X214,0))</f>
        <v>Fees &amp; Charges</v>
      </c>
      <c r="Z214" s="0" t="s">
        <v>2607</v>
      </c>
    </row>
    <row r="215" customFormat="false" ht="15" hidden="false" customHeight="false" outlineLevel="0" collapsed="false">
      <c r="A215" s="0" t="str">
        <f aca="false">Complaints!A215</f>
        <v>C0214</v>
      </c>
      <c r="B215" s="0" t="str">
        <f aca="false">Complaints!B215</f>
        <v>The complaints handler was unhelpful and talked over me. Also, someone has made payments from my account that I did not authorise.</v>
      </c>
      <c r="C215" s="0" t="str">
        <f aca="false">Complaints!C215</f>
        <v>Customer Service</v>
      </c>
      <c r="D215" s="0" t="str">
        <f aca="false">" "&amp;TRIM(SUBSTITUTE(SUBSTITUTE(SUBSTITUTE(SUBSTITUTE(SUBSTITUTE(SUBSTITUTE(SUBSTITUTE(SUBSTITUTE(SUBSTITUTE(SUBSTITUTE(SUBSTITUTE(SUBSTITUTE(SUBSTITUTE(SUBSTITUTE(SUBSTITUTE(SUBSTITUTE(LOWER(B215),"."," "),","," "),"'"," "),"’"," "),"!"," "),"?"," "),";"," "),":"," "),"-"," "),"("," "),")"," "),"""", " "),"£"," "),"&amp;"," "),"/"," "),"%"," "))&amp;" "</f>
        <v> the complaints handler was unhelpful and talked over me also someone has made payments from my account that i did not authorise </v>
      </c>
      <c r="E215" s="0" t="n">
        <f aca="false">SUMPRODUCT((Rules!$A$2:$A$60=E$1)*Rules!$C$2:$C$60*ISNUMBER(SEARCH(Rules!$D$2:$D$60,$D215)))</f>
        <v>3</v>
      </c>
      <c r="F215" s="0" t="n">
        <f aca="false">SUMPRODUCT((Rules!$A$2:$A$60=F$1)*Rules!$C$2:$C$60*ISNUMBER(SEARCH(Rules!$D$2:$D$60,$D215)))</f>
        <v>0</v>
      </c>
      <c r="G215" s="0" t="n">
        <f aca="false">SUMPRODUCT((Rules!$A$2:$A$60=G$1)*Rules!$C$2:$C$60*ISNUMBER(SEARCH(Rules!$D$2:$D$60,$D215)))</f>
        <v>0</v>
      </c>
      <c r="H215" s="0" t="n">
        <f aca="false">SUMPRODUCT((Rules!$A$2:$A$60=H$1)*Rules!$C$2:$C$60*ISNUMBER(SEARCH(Rules!$D$2:$D$60,$D215)))</f>
        <v>0</v>
      </c>
      <c r="I215" s="0" t="n">
        <f aca="false">SUMPRODUCT((Rules!$A$2:$A$60=I$1)*Rules!$C$2:$C$60*ISNUMBER(SEARCH(Rules!$D$2:$D$60,$D215)))</f>
        <v>0</v>
      </c>
      <c r="J215" s="0" t="n">
        <f aca="false">SUMPRODUCT((Rules!$A$2:$A$60=J$1)*Rules!$C$2:$C$60*ISNUMBER(SEARCH(Rules!$D$2:$D$60,$D215)))</f>
        <v>2</v>
      </c>
      <c r="K215" s="0" t="str">
        <f aca="false">IF(OR(MAX(E215:J215)&lt;Rules!$H$1,MAX(E215:J215)-LARGE(E215:J215,2)&lt;Rules!$H$2),"No label",INDEX($E$1:$J$1,MATCH(MAX(E215:J215),E215:J215,0)))</f>
        <v>No label</v>
      </c>
      <c r="L215" s="0" t="n">
        <f aca="false">SUMPRODUCT((Rules!$A$2:$A$60=L$1)*Rules!$C$2:$C$60*ISNUMBER(SEARCH(Rules!$E$2:$E$60,$D215)))</f>
        <v>3</v>
      </c>
      <c r="M215" s="0" t="n">
        <f aca="false">SUMPRODUCT((Rules!$A$2:$A$60=M$1)*Rules!$C$2:$C$60*ISNUMBER(SEARCH(Rules!$E$2:$E$60,$D215)))</f>
        <v>0</v>
      </c>
      <c r="N215" s="0" t="n">
        <f aca="false">SUMPRODUCT((Rules!$A$2:$A$60=N$1)*Rules!$C$2:$C$60*ISNUMBER(SEARCH(Rules!$E$2:$E$60,$D215)))</f>
        <v>0</v>
      </c>
      <c r="O215" s="0" t="n">
        <f aca="false">SUMPRODUCT((Rules!$A$2:$A$60=O$1)*Rules!$C$2:$C$60*ISNUMBER(SEARCH(Rules!$E$2:$E$60,$D215)))</f>
        <v>0</v>
      </c>
      <c r="P215" s="0" t="n">
        <f aca="false">SUMPRODUCT((Rules!$A$2:$A$60=P$1)*Rules!$C$2:$C$60*ISNUMBER(SEARCH(Rules!$E$2:$E$60,$D215)))</f>
        <v>0</v>
      </c>
      <c r="Q215" s="0" t="n">
        <f aca="false">SUMPRODUCT((Rules!$A$2:$A$60=Q$1)*Rules!$C$2:$C$60*ISNUMBER(SEARCH(Rules!$E$2:$E$60,$D215)))</f>
        <v>2</v>
      </c>
      <c r="R215" s="0" t="str">
        <f aca="false">IF(OR(MAX(L215:Q215)&lt;Rules!$H$1,MAX(L215:Q215)-LARGE(L215:Q215,2)&lt;Rules!$H$2),"No label",INDEX($L$1:$Q$1,MATCH(MAX(L215:Q215),L215:Q215,0)))</f>
        <v>No label</v>
      </c>
      <c r="S215" s="0" t="n">
        <f aca="false">SUMPRODUCT(ISNUMBER(SEARCH(" "&amp;Terms!$A$3:$A$821&amp;" ",$D215))*Terms!B$3:B$821)+Terms!B$2</f>
        <v>0.112704637872732</v>
      </c>
      <c r="T215" s="0" t="n">
        <f aca="false">SUMPRODUCT(ISNUMBER(SEARCH(" "&amp;Terms!$A$3:$A$821&amp;" ",$D215))*Terms!C$3:C$821)+Terms!C$2</f>
        <v>6.16017484950499</v>
      </c>
      <c r="U215" s="0" t="n">
        <f aca="false">SUMPRODUCT(ISNUMBER(SEARCH(" "&amp;Terms!$A$3:$A$821&amp;" ",$D215))*Terms!D$3:D$821)+Terms!D$2</f>
        <v>-3.43004916647204</v>
      </c>
      <c r="V215" s="0" t="n">
        <f aca="false">SUMPRODUCT(ISNUMBER(SEARCH(" "&amp;Terms!$A$3:$A$821&amp;" ",$D215))*Terms!E$3:E$821)+Terms!E$2</f>
        <v>-3.04485045943651</v>
      </c>
      <c r="W215" s="0" t="n">
        <f aca="false">SUMPRODUCT(ISNUMBER(SEARCH(" "&amp;Terms!$A$3:$A$821&amp;" ",$D215))*Terms!F$3:F$821)+Terms!F$2</f>
        <v>2.47996731634019</v>
      </c>
      <c r="X215" s="0" t="n">
        <f aca="false">SUMPRODUCT(ISNUMBER(SEARCH(" "&amp;Terms!$A$3:$A$821&amp;" ",$D215))*Terms!G$3:G$821)+Terms!G$2</f>
        <v>-2.27794717780927</v>
      </c>
      <c r="Y215" s="0" t="str">
        <f aca="false">INDEX($S$1:$X$1,MATCH(MAX(S215:X215),S215:X215,0))</f>
        <v>Customer Service</v>
      </c>
      <c r="Z215" s="0" t="s">
        <v>2607</v>
      </c>
    </row>
    <row r="216" customFormat="false" ht="15" hidden="false" customHeight="false" outlineLevel="0" collapsed="false">
      <c r="A216" s="0" t="str">
        <f aca="false">Complaints!A216</f>
        <v>C0215</v>
      </c>
      <c r="B216" s="0" t="str">
        <f aca="false">Complaints!B216</f>
        <v>To whom it may concern, The app crashes every time I try to open my statements.</v>
      </c>
      <c r="C216" s="0" t="str">
        <f aca="false">Complaints!C216</f>
        <v>Account Access</v>
      </c>
      <c r="D216" s="0" t="str">
        <f aca="false">" "&amp;TRIM(SUBSTITUTE(SUBSTITUTE(SUBSTITUTE(SUBSTITUTE(SUBSTITUTE(SUBSTITUTE(SUBSTITUTE(SUBSTITUTE(SUBSTITUTE(SUBSTITUTE(SUBSTITUTE(SUBSTITUTE(SUBSTITUTE(SUBSTITUTE(SUBSTITUTE(SUBSTITUTE(LOWER(B216),"."," "),","," "),"'"," "),"’"," "),"!"," "),"?"," "),";"," "),":"," "),"-"," "),"("," "),")"," "),"""", " "),"£"," "),"&amp;"," "),"/"," "),"%"," "))&amp;" "</f>
        <v> to whom it may concern the app crashes every time i try to open my statements </v>
      </c>
      <c r="E216" s="0" t="n">
        <f aca="false">SUMPRODUCT((Rules!$A$2:$A$60=E$1)*Rules!$C$2:$C$60*ISNUMBER(SEARCH(Rules!$D$2:$D$60,$D216)))</f>
        <v>0</v>
      </c>
      <c r="F216" s="0" t="n">
        <f aca="false">SUMPRODUCT((Rules!$A$2:$A$60=F$1)*Rules!$C$2:$C$60*ISNUMBER(SEARCH(Rules!$D$2:$D$60,$D216)))</f>
        <v>0</v>
      </c>
      <c r="G216" s="0" t="n">
        <f aca="false">SUMPRODUCT((Rules!$A$2:$A$60=G$1)*Rules!$C$2:$C$60*ISNUMBER(SEARCH(Rules!$D$2:$D$60,$D216)))</f>
        <v>3</v>
      </c>
      <c r="H216" s="0" t="n">
        <f aca="false">SUMPRODUCT((Rules!$A$2:$A$60=H$1)*Rules!$C$2:$C$60*ISNUMBER(SEARCH(Rules!$D$2:$D$60,$D216)))</f>
        <v>0</v>
      </c>
      <c r="I216" s="0" t="n">
        <f aca="false">SUMPRODUCT((Rules!$A$2:$A$60=I$1)*Rules!$C$2:$C$60*ISNUMBER(SEARCH(Rules!$D$2:$D$60,$D216)))</f>
        <v>0</v>
      </c>
      <c r="J216" s="0" t="n">
        <f aca="false">SUMPRODUCT((Rules!$A$2:$A$60=J$1)*Rules!$C$2:$C$60*ISNUMBER(SEARCH(Rules!$D$2:$D$60,$D216)))</f>
        <v>0</v>
      </c>
      <c r="K216" s="0" t="str">
        <f aca="false">IF(OR(MAX(E216:J216)&lt;Rules!$H$1,MAX(E216:J216)-LARGE(E216:J216,2)&lt;Rules!$H$2),"No label",INDEX($E$1:$J$1,MATCH(MAX(E216:J216),E216:J216,0)))</f>
        <v>Account Access</v>
      </c>
      <c r="L216" s="0" t="n">
        <f aca="false">SUMPRODUCT((Rules!$A$2:$A$60=L$1)*Rules!$C$2:$C$60*ISNUMBER(SEARCH(Rules!$E$2:$E$60,$D216)))</f>
        <v>0</v>
      </c>
      <c r="M216" s="0" t="n">
        <f aca="false">SUMPRODUCT((Rules!$A$2:$A$60=M$1)*Rules!$C$2:$C$60*ISNUMBER(SEARCH(Rules!$E$2:$E$60,$D216)))</f>
        <v>0</v>
      </c>
      <c r="N216" s="0" t="n">
        <f aca="false">SUMPRODUCT((Rules!$A$2:$A$60=N$1)*Rules!$C$2:$C$60*ISNUMBER(SEARCH(Rules!$E$2:$E$60,$D216)))</f>
        <v>3</v>
      </c>
      <c r="O216" s="0" t="n">
        <f aca="false">SUMPRODUCT((Rules!$A$2:$A$60=O$1)*Rules!$C$2:$C$60*ISNUMBER(SEARCH(Rules!$E$2:$E$60,$D216)))</f>
        <v>1</v>
      </c>
      <c r="P216" s="0" t="n">
        <f aca="false">SUMPRODUCT((Rules!$A$2:$A$60=P$1)*Rules!$C$2:$C$60*ISNUMBER(SEARCH(Rules!$E$2:$E$60,$D216)))</f>
        <v>0</v>
      </c>
      <c r="Q216" s="0" t="n">
        <f aca="false">SUMPRODUCT((Rules!$A$2:$A$60=Q$1)*Rules!$C$2:$C$60*ISNUMBER(SEARCH(Rules!$E$2:$E$60,$D216)))</f>
        <v>0</v>
      </c>
      <c r="R216" s="0" t="str">
        <f aca="false">IF(OR(MAX(L216:Q216)&lt;Rules!$H$1,MAX(L216:Q216)-LARGE(L216:Q216,2)&lt;Rules!$H$2),"No label",INDEX($L$1:$Q$1,MATCH(MAX(L216:Q216),L216:Q216,0)))</f>
        <v>Account Access</v>
      </c>
      <c r="S216" s="0" t="n">
        <f aca="false">SUMPRODUCT(ISNUMBER(SEARCH(" "&amp;Terms!$A$3:$A$821&amp;" ",$D216))*Terms!B$3:B$821)+Terms!B$2</f>
        <v>8.79217640281742</v>
      </c>
      <c r="T216" s="0" t="n">
        <f aca="false">SUMPRODUCT(ISNUMBER(SEARCH(" "&amp;Terms!$A$3:$A$821&amp;" ",$D216))*Terms!C$3:C$821)+Terms!C$2</f>
        <v>-0.200834556750168</v>
      </c>
      <c r="U216" s="0" t="n">
        <f aca="false">SUMPRODUCT(ISNUMBER(SEARCH(" "&amp;Terms!$A$3:$A$821&amp;" ",$D216))*Terms!D$3:D$821)+Terms!D$2</f>
        <v>-2.69495187487713</v>
      </c>
      <c r="V216" s="0" t="n">
        <f aca="false">SUMPRODUCT(ISNUMBER(SEARCH(" "&amp;Terms!$A$3:$A$821&amp;" ",$D216))*Terms!E$3:E$821)+Terms!E$2</f>
        <v>0.501348206012366</v>
      </c>
      <c r="W216" s="0" t="n">
        <f aca="false">SUMPRODUCT(ISNUMBER(SEARCH(" "&amp;Terms!$A$3:$A$821&amp;" ",$D216))*Terms!F$3:F$821)+Terms!F$2</f>
        <v>-3.49443691708377</v>
      </c>
      <c r="X216" s="0" t="n">
        <f aca="false">SUMPRODUCT(ISNUMBER(SEARCH(" "&amp;Terms!$A$3:$A$821&amp;" ",$D216))*Terms!G$3:G$821)+Terms!G$2</f>
        <v>-2.90330126011862</v>
      </c>
      <c r="Y216" s="0" t="str">
        <f aca="false">INDEX($S$1:$X$1,MATCH(MAX(S216:X216),S216:X216,0))</f>
        <v>Account Access</v>
      </c>
      <c r="Z216" s="0" t="s">
        <v>2607</v>
      </c>
    </row>
    <row r="217" customFormat="false" ht="15" hidden="false" customHeight="false" outlineLevel="0" collapsed="false">
      <c r="A217" s="0" t="str">
        <f aca="false">Complaints!A217</f>
        <v>C0216</v>
      </c>
      <c r="B217" s="0" t="str">
        <f aca="false">Complaints!B217</f>
        <v>The adviser did not explain the risks of the investment. Please escalate this.</v>
      </c>
      <c r="C217" s="0" t="str">
        <f aca="false">Complaints!C217</f>
        <v>Mis-selling</v>
      </c>
      <c r="D217" s="0" t="str">
        <f aca="false">" "&amp;TRIM(SUBSTITUTE(SUBSTITUTE(SUBSTITUTE(SUBSTITUTE(SUBSTITUTE(SUBSTITUTE(SUBSTITUTE(SUBSTITUTE(SUBSTITUTE(SUBSTITUTE(SUBSTITUTE(SUBSTITUTE(SUBSTITUTE(SUBSTITUTE(SUBSTITUTE(SUBSTITUTE(LOWER(B217),"."," "),","," "),"'"," "),"’"," "),"!"," "),"?"," "),";"," "),":"," "),"-"," "),"("," "),")"," "),"""", " "),"£"," "),"&amp;"," "),"/"," "),"%"," "))&amp;" "</f>
        <v> the adviser did not explain the risks of the investment please escalate this </v>
      </c>
      <c r="E217" s="0" t="n">
        <f aca="false">SUMPRODUCT((Rules!$A$2:$A$60=E$1)*Rules!$C$2:$C$60*ISNUMBER(SEARCH(Rules!$D$2:$D$60,$D217)))</f>
        <v>0</v>
      </c>
      <c r="F217" s="0" t="n">
        <f aca="false">SUMPRODUCT((Rules!$A$2:$A$60=F$1)*Rules!$C$2:$C$60*ISNUMBER(SEARCH(Rules!$D$2:$D$60,$D217)))</f>
        <v>4</v>
      </c>
      <c r="G217" s="0" t="n">
        <f aca="false">SUMPRODUCT((Rules!$A$2:$A$60=G$1)*Rules!$C$2:$C$60*ISNUMBER(SEARCH(Rules!$D$2:$D$60,$D217)))</f>
        <v>0</v>
      </c>
      <c r="H217" s="0" t="n">
        <f aca="false">SUMPRODUCT((Rules!$A$2:$A$60=H$1)*Rules!$C$2:$C$60*ISNUMBER(SEARCH(Rules!$D$2:$D$60,$D217)))</f>
        <v>0</v>
      </c>
      <c r="I217" s="0" t="n">
        <f aca="false">SUMPRODUCT((Rules!$A$2:$A$60=I$1)*Rules!$C$2:$C$60*ISNUMBER(SEARCH(Rules!$D$2:$D$60,$D217)))</f>
        <v>0</v>
      </c>
      <c r="J217" s="0" t="n">
        <f aca="false">SUMPRODUCT((Rules!$A$2:$A$60=J$1)*Rules!$C$2:$C$60*ISNUMBER(SEARCH(Rules!$D$2:$D$60,$D217)))</f>
        <v>0</v>
      </c>
      <c r="K217" s="0" t="str">
        <f aca="false">IF(OR(MAX(E217:J217)&lt;Rules!$H$1,MAX(E217:J217)-LARGE(E217:J217,2)&lt;Rules!$H$2),"No label",INDEX($E$1:$J$1,MATCH(MAX(E217:J217),E217:J217,0)))</f>
        <v>Mis-selling</v>
      </c>
      <c r="L217" s="0" t="n">
        <f aca="false">SUMPRODUCT((Rules!$A$2:$A$60=L$1)*Rules!$C$2:$C$60*ISNUMBER(SEARCH(Rules!$E$2:$E$60,$D217)))</f>
        <v>0</v>
      </c>
      <c r="M217" s="0" t="n">
        <f aca="false">SUMPRODUCT((Rules!$A$2:$A$60=M$1)*Rules!$C$2:$C$60*ISNUMBER(SEARCH(Rules!$E$2:$E$60,$D217)))</f>
        <v>6</v>
      </c>
      <c r="N217" s="0" t="n">
        <f aca="false">SUMPRODUCT((Rules!$A$2:$A$60=N$1)*Rules!$C$2:$C$60*ISNUMBER(SEARCH(Rules!$E$2:$E$60,$D217)))</f>
        <v>0</v>
      </c>
      <c r="O217" s="0" t="n">
        <f aca="false">SUMPRODUCT((Rules!$A$2:$A$60=O$1)*Rules!$C$2:$C$60*ISNUMBER(SEARCH(Rules!$E$2:$E$60,$D217)))</f>
        <v>0</v>
      </c>
      <c r="P217" s="0" t="n">
        <f aca="false">SUMPRODUCT((Rules!$A$2:$A$60=P$1)*Rules!$C$2:$C$60*ISNUMBER(SEARCH(Rules!$E$2:$E$60,$D217)))</f>
        <v>0</v>
      </c>
      <c r="Q217" s="0" t="n">
        <f aca="false">SUMPRODUCT((Rules!$A$2:$A$60=Q$1)*Rules!$C$2:$C$60*ISNUMBER(SEARCH(Rules!$E$2:$E$60,$D217)))</f>
        <v>1</v>
      </c>
      <c r="R217" s="0" t="str">
        <f aca="false">IF(OR(MAX(L217:Q217)&lt;Rules!$H$1,MAX(L217:Q217)-LARGE(L217:Q217,2)&lt;Rules!$H$2),"No label",INDEX($L$1:$Q$1,MATCH(MAX(L217:Q217),L217:Q217,0)))</f>
        <v>Mis-selling</v>
      </c>
      <c r="S217" s="0" t="n">
        <f aca="false">SUMPRODUCT(ISNUMBER(SEARCH(" "&amp;Terms!$A$3:$A$821&amp;" ",$D217))*Terms!B$3:B$821)+Terms!B$2</f>
        <v>-3.09609448666796</v>
      </c>
      <c r="T217" s="0" t="n">
        <f aca="false">SUMPRODUCT(ISNUMBER(SEARCH(" "&amp;Terms!$A$3:$A$821&amp;" ",$D217))*Terms!C$3:C$821)+Terms!C$2</f>
        <v>-0.410445581614495</v>
      </c>
      <c r="U217" s="0" t="n">
        <f aca="false">SUMPRODUCT(ISNUMBER(SEARCH(" "&amp;Terms!$A$3:$A$821&amp;" ",$D217))*Terms!D$3:D$821)+Terms!D$2</f>
        <v>-4.3225221647623</v>
      </c>
      <c r="V217" s="0" t="n">
        <f aca="false">SUMPRODUCT(ISNUMBER(SEARCH(" "&amp;Terms!$A$3:$A$821&amp;" ",$D217))*Terms!E$3:E$821)+Terms!E$2</f>
        <v>0.373062946353819</v>
      </c>
      <c r="W217" s="0" t="n">
        <f aca="false">SUMPRODUCT(ISNUMBER(SEARCH(" "&amp;Terms!$A$3:$A$821&amp;" ",$D217))*Terms!F$3:F$821)+Terms!F$2</f>
        <v>-1.65332523254951</v>
      </c>
      <c r="X217" s="0" t="n">
        <f aca="false">SUMPRODUCT(ISNUMBER(SEARCH(" "&amp;Terms!$A$3:$A$821&amp;" ",$D217))*Terms!G$3:G$821)+Terms!G$2</f>
        <v>9.10932451924054</v>
      </c>
      <c r="Y217" s="0" t="str">
        <f aca="false">INDEX($S$1:$X$1,MATCH(MAX(S217:X217),S217:X217,0))</f>
        <v>Mis-selling</v>
      </c>
      <c r="Z217" s="0" t="s">
        <v>2607</v>
      </c>
    </row>
    <row r="218" customFormat="false" ht="15" hidden="false" customHeight="false" outlineLevel="0" collapsed="false">
      <c r="A218" s="0" t="str">
        <f aca="false">Complaints!A218</f>
        <v>C0217</v>
      </c>
      <c r="B218" s="0" t="str">
        <f aca="false">Complaints!B218</f>
        <v>Frankly, My card reader stopped working and I cannot approve payments. I want this put right.</v>
      </c>
      <c r="C218" s="0" t="str">
        <f aca="false">Complaints!C218</f>
        <v>Account Access</v>
      </c>
      <c r="D218" s="0" t="str">
        <f aca="false">" "&amp;TRIM(SUBSTITUTE(SUBSTITUTE(SUBSTITUTE(SUBSTITUTE(SUBSTITUTE(SUBSTITUTE(SUBSTITUTE(SUBSTITUTE(SUBSTITUTE(SUBSTITUTE(SUBSTITUTE(SUBSTITUTE(SUBSTITUTE(SUBSTITUTE(SUBSTITUTE(SUBSTITUTE(LOWER(B218),"."," "),","," "),"'"," "),"’"," "),"!"," "),"?"," "),";"," "),":"," "),"-"," "),"("," "),")"," "),"""", " "),"£"," "),"&amp;"," "),"/"," "),"%"," "))&amp;" "</f>
        <v> frankly my card reader stopped working and i cannot approve payments i want this put right </v>
      </c>
      <c r="E218" s="0" t="n">
        <f aca="false">SUMPRODUCT((Rules!$A$2:$A$60=E$1)*Rules!$C$2:$C$60*ISNUMBER(SEARCH(Rules!$D$2:$D$60,$D218)))</f>
        <v>0</v>
      </c>
      <c r="F218" s="0" t="n">
        <f aca="false">SUMPRODUCT((Rules!$A$2:$A$60=F$1)*Rules!$C$2:$C$60*ISNUMBER(SEARCH(Rules!$D$2:$D$60,$D218)))</f>
        <v>0</v>
      </c>
      <c r="G218" s="0" t="n">
        <f aca="false">SUMPRODUCT((Rules!$A$2:$A$60=G$1)*Rules!$C$2:$C$60*ISNUMBER(SEARCH(Rules!$D$2:$D$60,$D218)))</f>
        <v>0</v>
      </c>
      <c r="H218" s="0" t="n">
        <f aca="false">SUMPRODUCT((Rules!$A$2:$A$60=H$1)*Rules!$C$2:$C$60*ISNUMBER(SEARCH(Rules!$D$2:$D$60,$D218)))</f>
        <v>0</v>
      </c>
      <c r="I218" s="0" t="n">
        <f aca="false">SUMPRODUCT((Rules!$A$2:$A$60=I$1)*Rules!$C$2:$C$60*ISNUMBER(SEARCH(Rules!$D$2:$D$60,$D218)))</f>
        <v>0</v>
      </c>
      <c r="J218" s="0" t="n">
        <f aca="false">SUMPRODUCT((Rules!$A$2:$A$60=J$1)*Rules!$C$2:$C$60*ISNUMBER(SEARCH(Rules!$D$2:$D$60,$D218)))</f>
        <v>0</v>
      </c>
      <c r="K218" s="0" t="str">
        <f aca="false">IF(OR(MAX(E218:J218)&lt;Rules!$H$1,MAX(E218:J218)-LARGE(E218:J218,2)&lt;Rules!$H$2),"No label",INDEX($E$1:$J$1,MATCH(MAX(E218:J218),E218:J218,0)))</f>
        <v>No label</v>
      </c>
      <c r="L218" s="0" t="n">
        <f aca="false">SUMPRODUCT((Rules!$A$2:$A$60=L$1)*Rules!$C$2:$C$60*ISNUMBER(SEARCH(Rules!$E$2:$E$60,$D218)))</f>
        <v>0</v>
      </c>
      <c r="M218" s="0" t="n">
        <f aca="false">SUMPRODUCT((Rules!$A$2:$A$60=M$1)*Rules!$C$2:$C$60*ISNUMBER(SEARCH(Rules!$E$2:$E$60,$D218)))</f>
        <v>0</v>
      </c>
      <c r="N218" s="0" t="n">
        <f aca="false">SUMPRODUCT((Rules!$A$2:$A$60=N$1)*Rules!$C$2:$C$60*ISNUMBER(SEARCH(Rules!$E$2:$E$60,$D218)))</f>
        <v>0</v>
      </c>
      <c r="O218" s="0" t="n">
        <f aca="false">SUMPRODUCT((Rules!$A$2:$A$60=O$1)*Rules!$C$2:$C$60*ISNUMBER(SEARCH(Rules!$E$2:$E$60,$D218)))</f>
        <v>0</v>
      </c>
      <c r="P218" s="0" t="n">
        <f aca="false">SUMPRODUCT((Rules!$A$2:$A$60=P$1)*Rules!$C$2:$C$60*ISNUMBER(SEARCH(Rules!$E$2:$E$60,$D218)))</f>
        <v>0</v>
      </c>
      <c r="Q218" s="0" t="n">
        <f aca="false">SUMPRODUCT((Rules!$A$2:$A$60=Q$1)*Rules!$C$2:$C$60*ISNUMBER(SEARCH(Rules!$E$2:$E$60,$D218)))</f>
        <v>0</v>
      </c>
      <c r="R218" s="0" t="str">
        <f aca="false">IF(OR(MAX(L218:Q218)&lt;Rules!$H$1,MAX(L218:Q218)-LARGE(L218:Q218,2)&lt;Rules!$H$2),"No label",INDEX($L$1:$Q$1,MATCH(MAX(L218:Q218),L218:Q218,0)))</f>
        <v>No label</v>
      </c>
      <c r="S218" s="0" t="n">
        <f aca="false">SUMPRODUCT(ISNUMBER(SEARCH(" "&amp;Terms!$A$3:$A$821&amp;" ",$D218))*Terms!B$3:B$821)+Terms!B$2</f>
        <v>14.3618702040778</v>
      </c>
      <c r="T218" s="0" t="n">
        <f aca="false">SUMPRODUCT(ISNUMBER(SEARCH(" "&amp;Terms!$A$3:$A$821&amp;" ",$D218))*Terms!C$3:C$821)+Terms!C$2</f>
        <v>-1.73970646724562</v>
      </c>
      <c r="U218" s="0" t="n">
        <f aca="false">SUMPRODUCT(ISNUMBER(SEARCH(" "&amp;Terms!$A$3:$A$821&amp;" ",$D218))*Terms!D$3:D$821)+Terms!D$2</f>
        <v>-4.07077291358201</v>
      </c>
      <c r="V218" s="0" t="n">
        <f aca="false">SUMPRODUCT(ISNUMBER(SEARCH(" "&amp;Terms!$A$3:$A$821&amp;" ",$D218))*Terms!E$3:E$821)+Terms!E$2</f>
        <v>-3.0621439888103</v>
      </c>
      <c r="W218" s="0" t="n">
        <f aca="false">SUMPRODUCT(ISNUMBER(SEARCH(" "&amp;Terms!$A$3:$A$821&amp;" ",$D218))*Terms!F$3:F$821)+Terms!F$2</f>
        <v>2.35843202748829</v>
      </c>
      <c r="X218" s="0" t="n">
        <f aca="false">SUMPRODUCT(ISNUMBER(SEARCH(" "&amp;Terms!$A$3:$A$821&amp;" ",$D218))*Terms!G$3:G$821)+Terms!G$2</f>
        <v>-7.84767886192805</v>
      </c>
      <c r="Y218" s="0" t="str">
        <f aca="false">INDEX($S$1:$X$1,MATCH(MAX(S218:X218),S218:X218,0))</f>
        <v>Account Access</v>
      </c>
      <c r="Z218" s="0" t="s">
        <v>2607</v>
      </c>
    </row>
    <row r="219" customFormat="false" ht="15" hidden="false" customHeight="false" outlineLevel="0" collapsed="false">
      <c r="A219" s="0" t="str">
        <f aca="false">Complaints!A219</f>
        <v>C0218</v>
      </c>
      <c r="B219" s="0" t="str">
        <f aca="false">Complaints!B219</f>
        <v>Hello, I asked for a callback and it never happened. I want this put right.</v>
      </c>
      <c r="C219" s="0" t="str">
        <f aca="false">Complaints!C219</f>
        <v>Customer Service</v>
      </c>
      <c r="D219" s="0" t="str">
        <f aca="false">" "&amp;TRIM(SUBSTITUTE(SUBSTITUTE(SUBSTITUTE(SUBSTITUTE(SUBSTITUTE(SUBSTITUTE(SUBSTITUTE(SUBSTITUTE(SUBSTITUTE(SUBSTITUTE(SUBSTITUTE(SUBSTITUTE(SUBSTITUTE(SUBSTITUTE(SUBSTITUTE(SUBSTITUTE(LOWER(B219),"."," "),","," "),"'"," "),"’"," "),"!"," "),"?"," "),";"," "),":"," "),"-"," "),"("," "),")"," "),"""", " "),"£"," "),"&amp;"," "),"/"," "),"%"," "))&amp;" "</f>
        <v> hello i asked for a callback and it never happened i want this put right </v>
      </c>
      <c r="E219" s="0" t="n">
        <f aca="false">SUMPRODUCT((Rules!$A$2:$A$60=E$1)*Rules!$C$2:$C$60*ISNUMBER(SEARCH(Rules!$D$2:$D$60,$D219)))</f>
        <v>0</v>
      </c>
      <c r="F219" s="0" t="n">
        <f aca="false">SUMPRODUCT((Rules!$A$2:$A$60=F$1)*Rules!$C$2:$C$60*ISNUMBER(SEARCH(Rules!$D$2:$D$60,$D219)))</f>
        <v>0</v>
      </c>
      <c r="G219" s="0" t="n">
        <f aca="false">SUMPRODUCT((Rules!$A$2:$A$60=G$1)*Rules!$C$2:$C$60*ISNUMBER(SEARCH(Rules!$D$2:$D$60,$D219)))</f>
        <v>0</v>
      </c>
      <c r="H219" s="0" t="n">
        <f aca="false">SUMPRODUCT((Rules!$A$2:$A$60=H$1)*Rules!$C$2:$C$60*ISNUMBER(SEARCH(Rules!$D$2:$D$60,$D219)))</f>
        <v>0</v>
      </c>
      <c r="I219" s="0" t="n">
        <f aca="false">SUMPRODUCT((Rules!$A$2:$A$60=I$1)*Rules!$C$2:$C$60*ISNUMBER(SEARCH(Rules!$D$2:$D$60,$D219)))</f>
        <v>0</v>
      </c>
      <c r="J219" s="0" t="n">
        <f aca="false">SUMPRODUCT((Rules!$A$2:$A$60=J$1)*Rules!$C$2:$C$60*ISNUMBER(SEARCH(Rules!$D$2:$D$60,$D219)))</f>
        <v>2</v>
      </c>
      <c r="K219" s="0" t="str">
        <f aca="false">IF(OR(MAX(E219:J219)&lt;Rules!$H$1,MAX(E219:J219)-LARGE(E219:J219,2)&lt;Rules!$H$2),"No label",INDEX($E$1:$J$1,MATCH(MAX(E219:J219),E219:J219,0)))</f>
        <v>No label</v>
      </c>
      <c r="L219" s="0" t="n">
        <f aca="false">SUMPRODUCT((Rules!$A$2:$A$60=L$1)*Rules!$C$2:$C$60*ISNUMBER(SEARCH(Rules!$E$2:$E$60,$D219)))</f>
        <v>0</v>
      </c>
      <c r="M219" s="0" t="n">
        <f aca="false">SUMPRODUCT((Rules!$A$2:$A$60=M$1)*Rules!$C$2:$C$60*ISNUMBER(SEARCH(Rules!$E$2:$E$60,$D219)))</f>
        <v>0</v>
      </c>
      <c r="N219" s="0" t="n">
        <f aca="false">SUMPRODUCT((Rules!$A$2:$A$60=N$1)*Rules!$C$2:$C$60*ISNUMBER(SEARCH(Rules!$E$2:$E$60,$D219)))</f>
        <v>0</v>
      </c>
      <c r="O219" s="0" t="n">
        <f aca="false">SUMPRODUCT((Rules!$A$2:$A$60=O$1)*Rules!$C$2:$C$60*ISNUMBER(SEARCH(Rules!$E$2:$E$60,$D219)))</f>
        <v>0</v>
      </c>
      <c r="P219" s="0" t="n">
        <f aca="false">SUMPRODUCT((Rules!$A$2:$A$60=P$1)*Rules!$C$2:$C$60*ISNUMBER(SEARCH(Rules!$E$2:$E$60,$D219)))</f>
        <v>0</v>
      </c>
      <c r="Q219" s="0" t="n">
        <f aca="false">SUMPRODUCT((Rules!$A$2:$A$60=Q$1)*Rules!$C$2:$C$60*ISNUMBER(SEARCH(Rules!$E$2:$E$60,$D219)))</f>
        <v>2</v>
      </c>
      <c r="R219" s="0" t="str">
        <f aca="false">IF(OR(MAX(L219:Q219)&lt;Rules!$H$1,MAX(L219:Q219)-LARGE(L219:Q219,2)&lt;Rules!$H$2),"No label",INDEX($L$1:$Q$1,MATCH(MAX(L219:Q219),L219:Q219,0)))</f>
        <v>No label</v>
      </c>
      <c r="S219" s="0" t="n">
        <f aca="false">SUMPRODUCT(ISNUMBER(SEARCH(" "&amp;Terms!$A$3:$A$821&amp;" ",$D219))*Terms!B$3:B$821)+Terms!B$2</f>
        <v>-1.90456164176895</v>
      </c>
      <c r="T219" s="0" t="n">
        <f aca="false">SUMPRODUCT(ISNUMBER(SEARCH(" "&amp;Terms!$A$3:$A$821&amp;" ",$D219))*Terms!C$3:C$821)+Terms!C$2</f>
        <v>3.97379825238823</v>
      </c>
      <c r="U219" s="0" t="n">
        <f aca="false">SUMPRODUCT(ISNUMBER(SEARCH(" "&amp;Terms!$A$3:$A$821&amp;" ",$D219))*Terms!D$3:D$821)+Terms!D$2</f>
        <v>-4.32050459819674</v>
      </c>
      <c r="V219" s="0" t="n">
        <f aca="false">SUMPRODUCT(ISNUMBER(SEARCH(" "&amp;Terms!$A$3:$A$821&amp;" ",$D219))*Terms!E$3:E$821)+Terms!E$2</f>
        <v>1.11594681402865</v>
      </c>
      <c r="W219" s="0" t="n">
        <f aca="false">SUMPRODUCT(ISNUMBER(SEARCH(" "&amp;Terms!$A$3:$A$821&amp;" ",$D219))*Terms!F$3:F$821)+Terms!F$2</f>
        <v>1.22522959464494</v>
      </c>
      <c r="X219" s="0" t="n">
        <f aca="false">SUMPRODUCT(ISNUMBER(SEARCH(" "&amp;Terms!$A$3:$A$821&amp;" ",$D219))*Terms!G$3:G$821)+Terms!G$2</f>
        <v>-0.0899084210960466</v>
      </c>
      <c r="Y219" s="0" t="str">
        <f aca="false">INDEX($S$1:$X$1,MATCH(MAX(S219:X219),S219:X219,0))</f>
        <v>Customer Service</v>
      </c>
      <c r="Z219" s="0" t="s">
        <v>2608</v>
      </c>
    </row>
    <row r="220" customFormat="false" ht="15" hidden="false" customHeight="false" outlineLevel="0" collapsed="false">
      <c r="A220" s="0" t="str">
        <f aca="false">Complaints!A220</f>
        <v>C0219</v>
      </c>
      <c r="B220" s="0" t="str">
        <f aca="false">Complaints!B220</f>
        <v>I am writing to complain. My online banking is locked and the reset link never arrives. I also spent ages on hold when I called about it. I want this put right.</v>
      </c>
      <c r="C220" s="0" t="str">
        <f aca="false">Complaints!C220</f>
        <v>Account Access</v>
      </c>
      <c r="D220" s="0" t="str">
        <f aca="false">" "&amp;TRIM(SUBSTITUTE(SUBSTITUTE(SUBSTITUTE(SUBSTITUTE(SUBSTITUTE(SUBSTITUTE(SUBSTITUTE(SUBSTITUTE(SUBSTITUTE(SUBSTITUTE(SUBSTITUTE(SUBSTITUTE(SUBSTITUTE(SUBSTITUTE(SUBSTITUTE(SUBSTITUTE(LOWER(B220),"."," "),","," "),"'"," "),"’"," "),"!"," "),"?"," "),";"," "),":"," "),"-"," "),"("," "),")"," "),"""", " "),"£"," "),"&amp;"," "),"/"," "),"%"," "))&amp;" "</f>
        <v> i am writing to complain my online banking is locked and the reset link never arrives i also spent ages on hold when i called about it i want this put right </v>
      </c>
      <c r="E220" s="0" t="n">
        <f aca="false">SUMPRODUCT((Rules!$A$2:$A$60=E$1)*Rules!$C$2:$C$60*ISNUMBER(SEARCH(Rules!$D$2:$D$60,$D220)))</f>
        <v>0</v>
      </c>
      <c r="F220" s="0" t="n">
        <f aca="false">SUMPRODUCT((Rules!$A$2:$A$60=F$1)*Rules!$C$2:$C$60*ISNUMBER(SEARCH(Rules!$D$2:$D$60,$D220)))</f>
        <v>0</v>
      </c>
      <c r="G220" s="0" t="n">
        <f aca="false">SUMPRODUCT((Rules!$A$2:$A$60=G$1)*Rules!$C$2:$C$60*ISNUMBER(SEARCH(Rules!$D$2:$D$60,$D220)))</f>
        <v>5</v>
      </c>
      <c r="H220" s="0" t="n">
        <f aca="false">SUMPRODUCT((Rules!$A$2:$A$60=H$1)*Rules!$C$2:$C$60*ISNUMBER(SEARCH(Rules!$D$2:$D$60,$D220)))</f>
        <v>0</v>
      </c>
      <c r="I220" s="0" t="n">
        <f aca="false">SUMPRODUCT((Rules!$A$2:$A$60=I$1)*Rules!$C$2:$C$60*ISNUMBER(SEARCH(Rules!$D$2:$D$60,$D220)))</f>
        <v>0</v>
      </c>
      <c r="J220" s="0" t="n">
        <f aca="false">SUMPRODUCT((Rules!$A$2:$A$60=J$1)*Rules!$C$2:$C$60*ISNUMBER(SEARCH(Rules!$D$2:$D$60,$D220)))</f>
        <v>3</v>
      </c>
      <c r="K220" s="0" t="str">
        <f aca="false">IF(OR(MAX(E220:J220)&lt;Rules!$H$1,MAX(E220:J220)-LARGE(E220:J220,2)&lt;Rules!$H$2),"No label",INDEX($E$1:$J$1,MATCH(MAX(E220:J220),E220:J220,0)))</f>
        <v>Account Access</v>
      </c>
      <c r="L220" s="0" t="n">
        <f aca="false">SUMPRODUCT((Rules!$A$2:$A$60=L$1)*Rules!$C$2:$C$60*ISNUMBER(SEARCH(Rules!$E$2:$E$60,$D220)))</f>
        <v>0</v>
      </c>
      <c r="M220" s="0" t="n">
        <f aca="false">SUMPRODUCT((Rules!$A$2:$A$60=M$1)*Rules!$C$2:$C$60*ISNUMBER(SEARCH(Rules!$E$2:$E$60,$D220)))</f>
        <v>0</v>
      </c>
      <c r="N220" s="0" t="n">
        <f aca="false">SUMPRODUCT((Rules!$A$2:$A$60=N$1)*Rules!$C$2:$C$60*ISNUMBER(SEARCH(Rules!$E$2:$E$60,$D220)))</f>
        <v>5</v>
      </c>
      <c r="O220" s="0" t="n">
        <f aca="false">SUMPRODUCT((Rules!$A$2:$A$60=O$1)*Rules!$C$2:$C$60*ISNUMBER(SEARCH(Rules!$E$2:$E$60,$D220)))</f>
        <v>0</v>
      </c>
      <c r="P220" s="0" t="n">
        <f aca="false">SUMPRODUCT((Rules!$A$2:$A$60=P$1)*Rules!$C$2:$C$60*ISNUMBER(SEARCH(Rules!$E$2:$E$60,$D220)))</f>
        <v>0</v>
      </c>
      <c r="Q220" s="0" t="n">
        <f aca="false">SUMPRODUCT((Rules!$A$2:$A$60=Q$1)*Rules!$C$2:$C$60*ISNUMBER(SEARCH(Rules!$E$2:$E$60,$D220)))</f>
        <v>3</v>
      </c>
      <c r="R220" s="0" t="str">
        <f aca="false">IF(OR(MAX(L220:Q220)&lt;Rules!$H$1,MAX(L220:Q220)-LARGE(L220:Q220,2)&lt;Rules!$H$2),"No label",INDEX($L$1:$Q$1,MATCH(MAX(L220:Q220),L220:Q220,0)))</f>
        <v>Account Access</v>
      </c>
      <c r="S220" s="0" t="n">
        <f aca="false">SUMPRODUCT(ISNUMBER(SEARCH(" "&amp;Terms!$A$3:$A$821&amp;" ",$D220))*Terms!B$3:B$821)+Terms!B$2</f>
        <v>8.69601404723821</v>
      </c>
      <c r="T220" s="0" t="n">
        <f aca="false">SUMPRODUCT(ISNUMBER(SEARCH(" "&amp;Terms!$A$3:$A$821&amp;" ",$D220))*Terms!C$3:C$821)+Terms!C$2</f>
        <v>-4.79541434160986</v>
      </c>
      <c r="U220" s="0" t="n">
        <f aca="false">SUMPRODUCT(ISNUMBER(SEARCH(" "&amp;Terms!$A$3:$A$821&amp;" ",$D220))*Terms!D$3:D$821)+Terms!D$2</f>
        <v>-2.25731213232947</v>
      </c>
      <c r="V220" s="0" t="n">
        <f aca="false">SUMPRODUCT(ISNUMBER(SEARCH(" "&amp;Terms!$A$3:$A$821&amp;" ",$D220))*Terms!E$3:E$821)+Terms!E$2</f>
        <v>-0.466674696007725</v>
      </c>
      <c r="W220" s="0" t="n">
        <f aca="false">SUMPRODUCT(ISNUMBER(SEARCH(" "&amp;Terms!$A$3:$A$821&amp;" ",$D220))*Terms!F$3:F$821)+Terms!F$2</f>
        <v>-1.72053837567406</v>
      </c>
      <c r="X220" s="0" t="n">
        <f aca="false">SUMPRODUCT(ISNUMBER(SEARCH(" "&amp;Terms!$A$3:$A$821&amp;" ",$D220))*Terms!G$3:G$821)+Terms!G$2</f>
        <v>0.543925498383005</v>
      </c>
      <c r="Y220" s="0" t="str">
        <f aca="false">INDEX($S$1:$X$1,MATCH(MAX(S220:X220),S220:X220,0))</f>
        <v>Account Access</v>
      </c>
      <c r="Z220" s="0" t="s">
        <v>2607</v>
      </c>
    </row>
    <row r="221" customFormat="false" ht="15" hidden="false" customHeight="false" outlineLevel="0" collapsed="false">
      <c r="A221" s="0" t="str">
        <f aca="false">Complaints!A221</f>
        <v>C0220</v>
      </c>
      <c r="B221" s="0" t="str">
        <f aca="false">Complaints!B221</f>
        <v>I have been a customer for years. My account was frozen and I cannot get in to move money. I expect compensation.</v>
      </c>
      <c r="C221" s="0" t="str">
        <f aca="false">Complaints!C221</f>
        <v>Account Access</v>
      </c>
      <c r="D221" s="0" t="str">
        <f aca="false">" "&amp;TRIM(SUBSTITUTE(SUBSTITUTE(SUBSTITUTE(SUBSTITUTE(SUBSTITUTE(SUBSTITUTE(SUBSTITUTE(SUBSTITUTE(SUBSTITUTE(SUBSTITUTE(SUBSTITUTE(SUBSTITUTE(SUBSTITUTE(SUBSTITUTE(SUBSTITUTE(SUBSTITUTE(LOWER(B221),"."," "),","," "),"'"," "),"’"," "),"!"," "),"?"," "),";"," "),":"," "),"-"," "),"("," "),")"," "),"""", " "),"£"," "),"&amp;"," "),"/"," "),"%"," "))&amp;" "</f>
        <v> i have been a customer for years my account was frozen and i cannot get in to move money i expect compensation </v>
      </c>
      <c r="E221" s="0" t="n">
        <f aca="false">SUMPRODUCT((Rules!$A$2:$A$60=E$1)*Rules!$C$2:$C$60*ISNUMBER(SEARCH(Rules!$D$2:$D$60,$D221)))</f>
        <v>0</v>
      </c>
      <c r="F221" s="0" t="n">
        <f aca="false">SUMPRODUCT((Rules!$A$2:$A$60=F$1)*Rules!$C$2:$C$60*ISNUMBER(SEARCH(Rules!$D$2:$D$60,$D221)))</f>
        <v>0</v>
      </c>
      <c r="G221" s="0" t="n">
        <f aca="false">SUMPRODUCT((Rules!$A$2:$A$60=G$1)*Rules!$C$2:$C$60*ISNUMBER(SEARCH(Rules!$D$2:$D$60,$D221)))</f>
        <v>0</v>
      </c>
      <c r="H221" s="0" t="n">
        <f aca="false">SUMPRODUCT((Rules!$A$2:$A$60=H$1)*Rules!$C$2:$C$60*ISNUMBER(SEARCH(Rules!$D$2:$D$60,$D221)))</f>
        <v>0</v>
      </c>
      <c r="I221" s="0" t="n">
        <f aca="false">SUMPRODUCT((Rules!$A$2:$A$60=I$1)*Rules!$C$2:$C$60*ISNUMBER(SEARCH(Rules!$D$2:$D$60,$D221)))</f>
        <v>0</v>
      </c>
      <c r="J221" s="0" t="n">
        <f aca="false">SUMPRODUCT((Rules!$A$2:$A$60=J$1)*Rules!$C$2:$C$60*ISNUMBER(SEARCH(Rules!$D$2:$D$60,$D221)))</f>
        <v>0</v>
      </c>
      <c r="K221" s="0" t="str">
        <f aca="false">IF(OR(MAX(E221:J221)&lt;Rules!$H$1,MAX(E221:J221)-LARGE(E221:J221,2)&lt;Rules!$H$2),"No label",INDEX($E$1:$J$1,MATCH(MAX(E221:J221),E221:J221,0)))</f>
        <v>No label</v>
      </c>
      <c r="L221" s="0" t="n">
        <f aca="false">SUMPRODUCT((Rules!$A$2:$A$60=L$1)*Rules!$C$2:$C$60*ISNUMBER(SEARCH(Rules!$E$2:$E$60,$D221)))</f>
        <v>0</v>
      </c>
      <c r="M221" s="0" t="n">
        <f aca="false">SUMPRODUCT((Rules!$A$2:$A$60=M$1)*Rules!$C$2:$C$60*ISNUMBER(SEARCH(Rules!$E$2:$E$60,$D221)))</f>
        <v>0</v>
      </c>
      <c r="N221" s="0" t="n">
        <f aca="false">SUMPRODUCT((Rules!$A$2:$A$60=N$1)*Rules!$C$2:$C$60*ISNUMBER(SEARCH(Rules!$E$2:$E$60,$D221)))</f>
        <v>0</v>
      </c>
      <c r="O221" s="0" t="n">
        <f aca="false">SUMPRODUCT((Rules!$A$2:$A$60=O$1)*Rules!$C$2:$C$60*ISNUMBER(SEARCH(Rules!$E$2:$E$60,$D221)))</f>
        <v>0</v>
      </c>
      <c r="P221" s="0" t="n">
        <f aca="false">SUMPRODUCT((Rules!$A$2:$A$60=P$1)*Rules!$C$2:$C$60*ISNUMBER(SEARCH(Rules!$E$2:$E$60,$D221)))</f>
        <v>0</v>
      </c>
      <c r="Q221" s="0" t="n">
        <f aca="false">SUMPRODUCT((Rules!$A$2:$A$60=Q$1)*Rules!$C$2:$C$60*ISNUMBER(SEARCH(Rules!$E$2:$E$60,$D221)))</f>
        <v>0</v>
      </c>
      <c r="R221" s="0" t="str">
        <f aca="false">IF(OR(MAX(L221:Q221)&lt;Rules!$H$1,MAX(L221:Q221)-LARGE(L221:Q221,2)&lt;Rules!$H$2),"No label",INDEX($L$1:$Q$1,MATCH(MAX(L221:Q221),L221:Q221,0)))</f>
        <v>No label</v>
      </c>
      <c r="S221" s="0" t="n">
        <f aca="false">SUMPRODUCT(ISNUMBER(SEARCH(" "&amp;Terms!$A$3:$A$821&amp;" ",$D221))*Terms!B$3:B$821)+Terms!B$2</f>
        <v>8.01018556356868</v>
      </c>
      <c r="T221" s="0" t="n">
        <f aca="false">SUMPRODUCT(ISNUMBER(SEARCH(" "&amp;Terms!$A$3:$A$821&amp;" ",$D221))*Terms!C$3:C$821)+Terms!C$2</f>
        <v>-3.36981251833772</v>
      </c>
      <c r="U221" s="0" t="n">
        <f aca="false">SUMPRODUCT(ISNUMBER(SEARCH(" "&amp;Terms!$A$3:$A$821&amp;" ",$D221))*Terms!D$3:D$821)+Terms!D$2</f>
        <v>0.358747851314692</v>
      </c>
      <c r="V221" s="0" t="n">
        <f aca="false">SUMPRODUCT(ISNUMBER(SEARCH(" "&amp;Terms!$A$3:$A$821&amp;" ",$D221))*Terms!E$3:E$821)+Terms!E$2</f>
        <v>-3.17000046389658</v>
      </c>
      <c r="W221" s="0" t="n">
        <f aca="false">SUMPRODUCT(ISNUMBER(SEARCH(" "&amp;Terms!$A$3:$A$821&amp;" ",$D221))*Terms!F$3:F$821)+Terms!F$2</f>
        <v>1.4808709270476</v>
      </c>
      <c r="X221" s="0" t="n">
        <f aca="false">SUMPRODUCT(ISNUMBER(SEARCH(" "&amp;Terms!$A$3:$A$821&amp;" ",$D221))*Terms!G$3:G$821)+Terms!G$2</f>
        <v>-3.30999135969659</v>
      </c>
      <c r="Y221" s="0" t="str">
        <f aca="false">INDEX($S$1:$X$1,MATCH(MAX(S221:X221),S221:X221,0))</f>
        <v>Account Access</v>
      </c>
      <c r="Z221" s="0" t="s">
        <v>2607</v>
      </c>
    </row>
    <row r="222" customFormat="false" ht="15" hidden="false" customHeight="false" outlineLevel="0" collapsed="false">
      <c r="A222" s="0" t="str">
        <f aca="false">Complaints!A222</f>
        <v>C0221</v>
      </c>
      <c r="B222" s="0" t="str">
        <f aca="false">Complaints!B222</f>
        <v>Frankly, The pension transfer advice I received was poor and I have lost out. Also, i cannot log in to the mobile app since the update. This is not acceptable.</v>
      </c>
      <c r="C222" s="0" t="str">
        <f aca="false">Complaints!C222</f>
        <v>Mis-selling</v>
      </c>
      <c r="D222" s="0" t="str">
        <f aca="false">" "&amp;TRIM(SUBSTITUTE(SUBSTITUTE(SUBSTITUTE(SUBSTITUTE(SUBSTITUTE(SUBSTITUTE(SUBSTITUTE(SUBSTITUTE(SUBSTITUTE(SUBSTITUTE(SUBSTITUTE(SUBSTITUTE(SUBSTITUTE(SUBSTITUTE(SUBSTITUTE(SUBSTITUTE(LOWER(B222),"."," "),","," "),"'"," "),"’"," "),"!"," "),"?"," "),";"," "),":"," "),"-"," "),"("," "),")"," "),"""", " "),"£"," "),"&amp;"," "),"/"," "),"%"," "))&amp;" "</f>
        <v> frankly the pension transfer advice i received was poor and i have lost out also i cannot log in to the mobile app since the update this is not acceptable </v>
      </c>
      <c r="E222" s="0" t="n">
        <f aca="false">SUMPRODUCT((Rules!$A$2:$A$60=E$1)*Rules!$C$2:$C$60*ISNUMBER(SEARCH(Rules!$D$2:$D$60,$D222)))</f>
        <v>0</v>
      </c>
      <c r="F222" s="0" t="n">
        <f aca="false">SUMPRODUCT((Rules!$A$2:$A$60=F$1)*Rules!$C$2:$C$60*ISNUMBER(SEARCH(Rules!$D$2:$D$60,$D222)))</f>
        <v>2</v>
      </c>
      <c r="G222" s="0" t="n">
        <f aca="false">SUMPRODUCT((Rules!$A$2:$A$60=G$1)*Rules!$C$2:$C$60*ISNUMBER(SEARCH(Rules!$D$2:$D$60,$D222)))</f>
        <v>4</v>
      </c>
      <c r="H222" s="0" t="n">
        <f aca="false">SUMPRODUCT((Rules!$A$2:$A$60=H$1)*Rules!$C$2:$C$60*ISNUMBER(SEARCH(Rules!$D$2:$D$60,$D222)))</f>
        <v>0</v>
      </c>
      <c r="I222" s="0" t="n">
        <f aca="false">SUMPRODUCT((Rules!$A$2:$A$60=I$1)*Rules!$C$2:$C$60*ISNUMBER(SEARCH(Rules!$D$2:$D$60,$D222)))</f>
        <v>0</v>
      </c>
      <c r="J222" s="0" t="n">
        <f aca="false">SUMPRODUCT((Rules!$A$2:$A$60=J$1)*Rules!$C$2:$C$60*ISNUMBER(SEARCH(Rules!$D$2:$D$60,$D222)))</f>
        <v>0</v>
      </c>
      <c r="K222" s="0" t="str">
        <f aca="false">IF(OR(MAX(E222:J222)&lt;Rules!$H$1,MAX(E222:J222)-LARGE(E222:J222,2)&lt;Rules!$H$2),"No label",INDEX($E$1:$J$1,MATCH(MAX(E222:J222),E222:J222,0)))</f>
        <v>Account Access</v>
      </c>
      <c r="L222" s="0" t="n">
        <f aca="false">SUMPRODUCT((Rules!$A$2:$A$60=L$1)*Rules!$C$2:$C$60*ISNUMBER(SEARCH(Rules!$E$2:$E$60,$D222)))</f>
        <v>0</v>
      </c>
      <c r="M222" s="0" t="n">
        <f aca="false">SUMPRODUCT((Rules!$A$2:$A$60=M$1)*Rules!$C$2:$C$60*ISNUMBER(SEARCH(Rules!$E$2:$E$60,$D222)))</f>
        <v>2</v>
      </c>
      <c r="N222" s="0" t="n">
        <f aca="false">SUMPRODUCT((Rules!$A$2:$A$60=N$1)*Rules!$C$2:$C$60*ISNUMBER(SEARCH(Rules!$E$2:$E$60,$D222)))</f>
        <v>5</v>
      </c>
      <c r="O222" s="0" t="n">
        <f aca="false">SUMPRODUCT((Rules!$A$2:$A$60=O$1)*Rules!$C$2:$C$60*ISNUMBER(SEARCH(Rules!$E$2:$E$60,$D222)))</f>
        <v>0</v>
      </c>
      <c r="P222" s="0" t="n">
        <f aca="false">SUMPRODUCT((Rules!$A$2:$A$60=P$1)*Rules!$C$2:$C$60*ISNUMBER(SEARCH(Rules!$E$2:$E$60,$D222)))</f>
        <v>0</v>
      </c>
      <c r="Q222" s="0" t="n">
        <f aca="false">SUMPRODUCT((Rules!$A$2:$A$60=Q$1)*Rules!$C$2:$C$60*ISNUMBER(SEARCH(Rules!$E$2:$E$60,$D222)))</f>
        <v>0</v>
      </c>
      <c r="R222" s="0" t="str">
        <f aca="false">IF(OR(MAX(L222:Q222)&lt;Rules!$H$1,MAX(L222:Q222)-LARGE(L222:Q222,2)&lt;Rules!$H$2),"No label",INDEX($L$1:$Q$1,MATCH(MAX(L222:Q222),L222:Q222,0)))</f>
        <v>Account Access</v>
      </c>
      <c r="S222" s="0" t="n">
        <f aca="false">SUMPRODUCT(ISNUMBER(SEARCH(" "&amp;Terms!$A$3:$A$821&amp;" ",$D222))*Terms!B$3:B$821)+Terms!B$2</f>
        <v>5.85106576675053</v>
      </c>
      <c r="T222" s="0" t="n">
        <f aca="false">SUMPRODUCT(ISNUMBER(SEARCH(" "&amp;Terms!$A$3:$A$821&amp;" ",$D222))*Terms!C$3:C$821)+Terms!C$2</f>
        <v>-5.54721002353922</v>
      </c>
      <c r="U222" s="0" t="n">
        <f aca="false">SUMPRODUCT(ISNUMBER(SEARCH(" "&amp;Terms!$A$3:$A$821&amp;" ",$D222))*Terms!D$3:D$821)+Terms!D$2</f>
        <v>0.675408012710446</v>
      </c>
      <c r="V222" s="0" t="n">
        <f aca="false">SUMPRODUCT(ISNUMBER(SEARCH(" "&amp;Terms!$A$3:$A$821&amp;" ",$D222))*Terms!E$3:E$821)+Terms!E$2</f>
        <v>-4.73137788627572</v>
      </c>
      <c r="W222" s="0" t="n">
        <f aca="false">SUMPRODUCT(ISNUMBER(SEARCH(" "&amp;Terms!$A$3:$A$821&amp;" ",$D222))*Terms!F$3:F$821)+Terms!F$2</f>
        <v>-6.34226356445116</v>
      </c>
      <c r="X222" s="0" t="n">
        <f aca="false">SUMPRODUCT(ISNUMBER(SEARCH(" "&amp;Terms!$A$3:$A$821&amp;" ",$D222))*Terms!G$3:G$821)+Terms!G$2</f>
        <v>10.0943776948052</v>
      </c>
      <c r="Y222" s="0" t="str">
        <f aca="false">INDEX($S$1:$X$1,MATCH(MAX(S222:X222),S222:X222,0))</f>
        <v>Mis-selling</v>
      </c>
      <c r="Z222" s="0" t="s">
        <v>2608</v>
      </c>
    </row>
    <row r="223" customFormat="false" ht="15" hidden="false" customHeight="false" outlineLevel="0" collapsed="false">
      <c r="A223" s="0" t="str">
        <f aca="false">Complaints!A223</f>
        <v>C0222</v>
      </c>
      <c r="B223" s="0" t="str">
        <f aca="false">Complaints!B223</f>
        <v>I was hit with a penalty charge for a payment I made on time. It has also been taking far too long. Please escalate this.</v>
      </c>
      <c r="C223" s="0" t="str">
        <f aca="false">Complaints!C223</f>
        <v>Fees &amp; Charges</v>
      </c>
      <c r="D223" s="0" t="str">
        <f aca="false">" "&amp;TRIM(SUBSTITUTE(SUBSTITUTE(SUBSTITUTE(SUBSTITUTE(SUBSTITUTE(SUBSTITUTE(SUBSTITUTE(SUBSTITUTE(SUBSTITUTE(SUBSTITUTE(SUBSTITUTE(SUBSTITUTE(SUBSTITUTE(SUBSTITUTE(SUBSTITUTE(SUBSTITUTE(LOWER(B223),"."," "),","," "),"'"," "),"’"," "),"!"," "),"?"," "),";"," "),":"," "),"-"," "),"("," "),")"," "),"""", " "),"£"," "),"&amp;"," "),"/"," "),"%"," "))&amp;" "</f>
        <v> i was hit with a penalty charge for a payment i made on time it has also been taking far too long please escalate this </v>
      </c>
      <c r="E223" s="0" t="n">
        <f aca="false">SUMPRODUCT((Rules!$A$2:$A$60=E$1)*Rules!$C$2:$C$60*ISNUMBER(SEARCH(Rules!$D$2:$D$60,$D223)))</f>
        <v>0</v>
      </c>
      <c r="F223" s="0" t="n">
        <f aca="false">SUMPRODUCT((Rules!$A$2:$A$60=F$1)*Rules!$C$2:$C$60*ISNUMBER(SEARCH(Rules!$D$2:$D$60,$D223)))</f>
        <v>0</v>
      </c>
      <c r="G223" s="0" t="n">
        <f aca="false">SUMPRODUCT((Rules!$A$2:$A$60=G$1)*Rules!$C$2:$C$60*ISNUMBER(SEARCH(Rules!$D$2:$D$60,$D223)))</f>
        <v>0</v>
      </c>
      <c r="H223" s="0" t="n">
        <f aca="false">SUMPRODUCT((Rules!$A$2:$A$60=H$1)*Rules!$C$2:$C$60*ISNUMBER(SEARCH(Rules!$D$2:$D$60,$D223)))</f>
        <v>4</v>
      </c>
      <c r="I223" s="0" t="n">
        <f aca="false">SUMPRODUCT((Rules!$A$2:$A$60=I$1)*Rules!$C$2:$C$60*ISNUMBER(SEARCH(Rules!$D$2:$D$60,$D223)))</f>
        <v>0</v>
      </c>
      <c r="J223" s="0" t="n">
        <f aca="false">SUMPRODUCT((Rules!$A$2:$A$60=J$1)*Rules!$C$2:$C$60*ISNUMBER(SEARCH(Rules!$D$2:$D$60,$D223)))</f>
        <v>0</v>
      </c>
      <c r="K223" s="0" t="str">
        <f aca="false">IF(OR(MAX(E223:J223)&lt;Rules!$H$1,MAX(E223:J223)-LARGE(E223:J223,2)&lt;Rules!$H$2),"No label",INDEX($E$1:$J$1,MATCH(MAX(E223:J223),E223:J223,0)))</f>
        <v>Fees &amp; Charges</v>
      </c>
      <c r="L223" s="0" t="n">
        <f aca="false">SUMPRODUCT((Rules!$A$2:$A$60=L$1)*Rules!$C$2:$C$60*ISNUMBER(SEARCH(Rules!$E$2:$E$60,$D223)))</f>
        <v>0</v>
      </c>
      <c r="M223" s="0" t="n">
        <f aca="false">SUMPRODUCT((Rules!$A$2:$A$60=M$1)*Rules!$C$2:$C$60*ISNUMBER(SEARCH(Rules!$E$2:$E$60,$D223)))</f>
        <v>0</v>
      </c>
      <c r="N223" s="0" t="n">
        <f aca="false">SUMPRODUCT((Rules!$A$2:$A$60=N$1)*Rules!$C$2:$C$60*ISNUMBER(SEARCH(Rules!$E$2:$E$60,$D223)))</f>
        <v>0</v>
      </c>
      <c r="O223" s="0" t="n">
        <f aca="false">SUMPRODUCT((Rules!$A$2:$A$60=O$1)*Rules!$C$2:$C$60*ISNUMBER(SEARCH(Rules!$E$2:$E$60,$D223)))</f>
        <v>6</v>
      </c>
      <c r="P223" s="0" t="n">
        <f aca="false">SUMPRODUCT((Rules!$A$2:$A$60=P$1)*Rules!$C$2:$C$60*ISNUMBER(SEARCH(Rules!$E$2:$E$60,$D223)))</f>
        <v>0</v>
      </c>
      <c r="Q223" s="0" t="n">
        <f aca="false">SUMPRODUCT((Rules!$A$2:$A$60=Q$1)*Rules!$C$2:$C$60*ISNUMBER(SEARCH(Rules!$E$2:$E$60,$D223)))</f>
        <v>0</v>
      </c>
      <c r="R223" s="0" t="str">
        <f aca="false">IF(OR(MAX(L223:Q223)&lt;Rules!$H$1,MAX(L223:Q223)-LARGE(L223:Q223,2)&lt;Rules!$H$2),"No label",INDEX($L$1:$Q$1,MATCH(MAX(L223:Q223),L223:Q223,0)))</f>
        <v>Fees &amp; Charges</v>
      </c>
      <c r="S223" s="0" t="n">
        <f aca="false">SUMPRODUCT(ISNUMBER(SEARCH(" "&amp;Terms!$A$3:$A$821&amp;" ",$D223))*Terms!B$3:B$821)+Terms!B$2</f>
        <v>-4.78209543357068</v>
      </c>
      <c r="T223" s="0" t="n">
        <f aca="false">SUMPRODUCT(ISNUMBER(SEARCH(" "&amp;Terms!$A$3:$A$821&amp;" ",$D223))*Terms!C$3:C$821)+Terms!C$2</f>
        <v>0.176846152514561</v>
      </c>
      <c r="U223" s="0" t="n">
        <f aca="false">SUMPRODUCT(ISNUMBER(SEARCH(" "&amp;Terms!$A$3:$A$821&amp;" ",$D223))*Terms!D$3:D$821)+Terms!D$2</f>
        <v>-0.917014886551549</v>
      </c>
      <c r="V223" s="0" t="n">
        <f aca="false">SUMPRODUCT(ISNUMBER(SEARCH(" "&amp;Terms!$A$3:$A$821&amp;" ",$D223))*Terms!E$3:E$821)+Terms!E$2</f>
        <v>10.2499936922046</v>
      </c>
      <c r="W223" s="0" t="n">
        <f aca="false">SUMPRODUCT(ISNUMBER(SEARCH(" "&amp;Terms!$A$3:$A$821&amp;" ",$D223))*Terms!F$3:F$821)+Terms!F$2</f>
        <v>-2.14578476250244</v>
      </c>
      <c r="X223" s="0" t="n">
        <f aca="false">SUMPRODUCT(ISNUMBER(SEARCH(" "&amp;Terms!$A$3:$A$821&amp;" ",$D223))*Terms!G$3:G$821)+Terms!G$2</f>
        <v>-2.58194476209438</v>
      </c>
      <c r="Y223" s="0" t="str">
        <f aca="false">INDEX($S$1:$X$1,MATCH(MAX(S223:X223),S223:X223,0))</f>
        <v>Fees &amp; Charges</v>
      </c>
      <c r="Z223" s="0" t="s">
        <v>2608</v>
      </c>
    </row>
    <row r="224" customFormat="false" ht="15" hidden="false" customHeight="false" outlineLevel="0" collapsed="false">
      <c r="A224" s="0" t="str">
        <f aca="false">Complaints!A224</f>
        <v>C0223</v>
      </c>
      <c r="B224" s="0" t="str">
        <f aca="false">Complaints!B224</f>
        <v>I am writing to complain. The pension transfer advice I received was poor and I have lost out. Also, i was hit with a penalty charge for a payment I made on time. Please sort this out.</v>
      </c>
      <c r="C224" s="0" t="str">
        <f aca="false">Complaints!C224</f>
        <v>Mis-selling</v>
      </c>
      <c r="D224" s="0" t="str">
        <f aca="false">" "&amp;TRIM(SUBSTITUTE(SUBSTITUTE(SUBSTITUTE(SUBSTITUTE(SUBSTITUTE(SUBSTITUTE(SUBSTITUTE(SUBSTITUTE(SUBSTITUTE(SUBSTITUTE(SUBSTITUTE(SUBSTITUTE(SUBSTITUTE(SUBSTITUTE(SUBSTITUTE(SUBSTITUTE(LOWER(B224),"."," "),","," "),"'"," "),"’"," "),"!"," "),"?"," "),";"," "),":"," "),"-"," "),"("," "),")"," "),"""", " "),"£"," "),"&amp;"," "),"/"," "),"%"," "))&amp;" "</f>
        <v> i am writing to complain the pension transfer advice i received was poor and i have lost out also i was hit with a penalty charge for a payment i made on time please sort this out </v>
      </c>
      <c r="E224" s="0" t="n">
        <f aca="false">SUMPRODUCT((Rules!$A$2:$A$60=E$1)*Rules!$C$2:$C$60*ISNUMBER(SEARCH(Rules!$D$2:$D$60,$D224)))</f>
        <v>0</v>
      </c>
      <c r="F224" s="0" t="n">
        <f aca="false">SUMPRODUCT((Rules!$A$2:$A$60=F$1)*Rules!$C$2:$C$60*ISNUMBER(SEARCH(Rules!$D$2:$D$60,$D224)))</f>
        <v>2</v>
      </c>
      <c r="G224" s="0" t="n">
        <f aca="false">SUMPRODUCT((Rules!$A$2:$A$60=G$1)*Rules!$C$2:$C$60*ISNUMBER(SEARCH(Rules!$D$2:$D$60,$D224)))</f>
        <v>0</v>
      </c>
      <c r="H224" s="0" t="n">
        <f aca="false">SUMPRODUCT((Rules!$A$2:$A$60=H$1)*Rules!$C$2:$C$60*ISNUMBER(SEARCH(Rules!$D$2:$D$60,$D224)))</f>
        <v>4</v>
      </c>
      <c r="I224" s="0" t="n">
        <f aca="false">SUMPRODUCT((Rules!$A$2:$A$60=I$1)*Rules!$C$2:$C$60*ISNUMBER(SEARCH(Rules!$D$2:$D$60,$D224)))</f>
        <v>0</v>
      </c>
      <c r="J224" s="0" t="n">
        <f aca="false">SUMPRODUCT((Rules!$A$2:$A$60=J$1)*Rules!$C$2:$C$60*ISNUMBER(SEARCH(Rules!$D$2:$D$60,$D224)))</f>
        <v>0</v>
      </c>
      <c r="K224" s="0" t="str">
        <f aca="false">IF(OR(MAX(E224:J224)&lt;Rules!$H$1,MAX(E224:J224)-LARGE(E224:J224,2)&lt;Rules!$H$2),"No label",INDEX($E$1:$J$1,MATCH(MAX(E224:J224),E224:J224,0)))</f>
        <v>Fees &amp; Charges</v>
      </c>
      <c r="L224" s="0" t="n">
        <f aca="false">SUMPRODUCT((Rules!$A$2:$A$60=L$1)*Rules!$C$2:$C$60*ISNUMBER(SEARCH(Rules!$E$2:$E$60,$D224)))</f>
        <v>0</v>
      </c>
      <c r="M224" s="0" t="n">
        <f aca="false">SUMPRODUCT((Rules!$A$2:$A$60=M$1)*Rules!$C$2:$C$60*ISNUMBER(SEARCH(Rules!$E$2:$E$60,$D224)))</f>
        <v>2</v>
      </c>
      <c r="N224" s="0" t="n">
        <f aca="false">SUMPRODUCT((Rules!$A$2:$A$60=N$1)*Rules!$C$2:$C$60*ISNUMBER(SEARCH(Rules!$E$2:$E$60,$D224)))</f>
        <v>0</v>
      </c>
      <c r="O224" s="0" t="n">
        <f aca="false">SUMPRODUCT((Rules!$A$2:$A$60=O$1)*Rules!$C$2:$C$60*ISNUMBER(SEARCH(Rules!$E$2:$E$60,$D224)))</f>
        <v>6</v>
      </c>
      <c r="P224" s="0" t="n">
        <f aca="false">SUMPRODUCT((Rules!$A$2:$A$60=P$1)*Rules!$C$2:$C$60*ISNUMBER(SEARCH(Rules!$E$2:$E$60,$D224)))</f>
        <v>0</v>
      </c>
      <c r="Q224" s="0" t="n">
        <f aca="false">SUMPRODUCT((Rules!$A$2:$A$60=Q$1)*Rules!$C$2:$C$60*ISNUMBER(SEARCH(Rules!$E$2:$E$60,$D224)))</f>
        <v>0</v>
      </c>
      <c r="R224" s="0" t="str">
        <f aca="false">IF(OR(MAX(L224:Q224)&lt;Rules!$H$1,MAX(L224:Q224)-LARGE(L224:Q224,2)&lt;Rules!$H$2),"No label",INDEX($L$1:$Q$1,MATCH(MAX(L224:Q224),L224:Q224,0)))</f>
        <v>Fees &amp; Charges</v>
      </c>
      <c r="S224" s="0" t="n">
        <f aca="false">SUMPRODUCT(ISNUMBER(SEARCH(" "&amp;Terms!$A$3:$A$821&amp;" ",$D224))*Terms!B$3:B$821)+Terms!B$2</f>
        <v>-9.59064339594874</v>
      </c>
      <c r="T224" s="0" t="n">
        <f aca="false">SUMPRODUCT(ISNUMBER(SEARCH(" "&amp;Terms!$A$3:$A$821&amp;" ",$D224))*Terms!C$3:C$821)+Terms!C$2</f>
        <v>-1.66963718818637</v>
      </c>
      <c r="U224" s="0" t="n">
        <f aca="false">SUMPRODUCT(ISNUMBER(SEARCH(" "&amp;Terms!$A$3:$A$821&amp;" ",$D224))*Terms!D$3:D$821)+Terms!D$2</f>
        <v>2.5904022282192</v>
      </c>
      <c r="V224" s="0" t="n">
        <f aca="false">SUMPRODUCT(ISNUMBER(SEARCH(" "&amp;Terms!$A$3:$A$821&amp;" ",$D224))*Terms!E$3:E$821)+Terms!E$2</f>
        <v>6.89120234893482</v>
      </c>
      <c r="W224" s="0" t="n">
        <f aca="false">SUMPRODUCT(ISNUMBER(SEARCH(" "&amp;Terms!$A$3:$A$821&amp;" ",$D224))*Terms!F$3:F$821)+Terms!F$2</f>
        <v>-4.63668758767309</v>
      </c>
      <c r="X224" s="0" t="n">
        <f aca="false">SUMPRODUCT(ISNUMBER(SEARCH(" "&amp;Terms!$A$3:$A$821&amp;" ",$D224))*Terms!G$3:G$821)+Terms!G$2</f>
        <v>6.41536359465427</v>
      </c>
      <c r="Y224" s="0" t="str">
        <f aca="false">INDEX($S$1:$X$1,MATCH(MAX(S224:X224),S224:X224,0))</f>
        <v>Fees &amp; Charges</v>
      </c>
      <c r="Z224" s="0" t="s">
        <v>2607</v>
      </c>
    </row>
    <row r="225" customFormat="false" ht="15" hidden="false" customHeight="false" outlineLevel="0" collapsed="false">
      <c r="A225" s="0" t="str">
        <f aca="false">Complaints!A225</f>
        <v>C0224</v>
      </c>
      <c r="B225" s="0" t="str">
        <f aca="false">Complaints!B225</f>
        <v>To whom it may concern, My application has been stuck for weeks with no progress. I am worried it might be fraud. I expect compensation.</v>
      </c>
      <c r="C225" s="0" t="str">
        <f aca="false">Complaints!C225</f>
        <v>Delays &amp; Processing</v>
      </c>
      <c r="D225" s="0" t="str">
        <f aca="false">" "&amp;TRIM(SUBSTITUTE(SUBSTITUTE(SUBSTITUTE(SUBSTITUTE(SUBSTITUTE(SUBSTITUTE(SUBSTITUTE(SUBSTITUTE(SUBSTITUTE(SUBSTITUTE(SUBSTITUTE(SUBSTITUTE(SUBSTITUTE(SUBSTITUTE(SUBSTITUTE(SUBSTITUTE(LOWER(B225),"."," "),","," "),"'"," "),"’"," "),"!"," "),"?"," "),";"," "),":"," "),"-"," "),"("," "),")"," "),"""", " "),"£"," "),"&amp;"," "),"/"," "),"%"," "))&amp;" "</f>
        <v> to whom it may concern my application has been stuck for weeks with no progress i am worried it might be fraud i expect compensation </v>
      </c>
      <c r="E225" s="0" t="n">
        <f aca="false">SUMPRODUCT((Rules!$A$2:$A$60=E$1)*Rules!$C$2:$C$60*ISNUMBER(SEARCH(Rules!$D$2:$D$60,$D225)))</f>
        <v>3</v>
      </c>
      <c r="F225" s="0" t="n">
        <f aca="false">SUMPRODUCT((Rules!$A$2:$A$60=F$1)*Rules!$C$2:$C$60*ISNUMBER(SEARCH(Rules!$D$2:$D$60,$D225)))</f>
        <v>0</v>
      </c>
      <c r="G225" s="0" t="n">
        <f aca="false">SUMPRODUCT((Rules!$A$2:$A$60=G$1)*Rules!$C$2:$C$60*ISNUMBER(SEARCH(Rules!$D$2:$D$60,$D225)))</f>
        <v>0</v>
      </c>
      <c r="H225" s="0" t="n">
        <f aca="false">SUMPRODUCT((Rules!$A$2:$A$60=H$1)*Rules!$C$2:$C$60*ISNUMBER(SEARCH(Rules!$D$2:$D$60,$D225)))</f>
        <v>0</v>
      </c>
      <c r="I225" s="0" t="n">
        <f aca="false">SUMPRODUCT((Rules!$A$2:$A$60=I$1)*Rules!$C$2:$C$60*ISNUMBER(SEARCH(Rules!$D$2:$D$60,$D225)))</f>
        <v>3</v>
      </c>
      <c r="J225" s="0" t="n">
        <f aca="false">SUMPRODUCT((Rules!$A$2:$A$60=J$1)*Rules!$C$2:$C$60*ISNUMBER(SEARCH(Rules!$D$2:$D$60,$D225)))</f>
        <v>0</v>
      </c>
      <c r="K225" s="0" t="str">
        <f aca="false">IF(OR(MAX(E225:J225)&lt;Rules!$H$1,MAX(E225:J225)-LARGE(E225:J225,2)&lt;Rules!$H$2),"No label",INDEX($E$1:$J$1,MATCH(MAX(E225:J225),E225:J225,0)))</f>
        <v>No label</v>
      </c>
      <c r="L225" s="0" t="n">
        <f aca="false">SUMPRODUCT((Rules!$A$2:$A$60=L$1)*Rules!$C$2:$C$60*ISNUMBER(SEARCH(Rules!$E$2:$E$60,$D225)))</f>
        <v>3</v>
      </c>
      <c r="M225" s="0" t="n">
        <f aca="false">SUMPRODUCT((Rules!$A$2:$A$60=M$1)*Rules!$C$2:$C$60*ISNUMBER(SEARCH(Rules!$E$2:$E$60,$D225)))</f>
        <v>0</v>
      </c>
      <c r="N225" s="0" t="n">
        <f aca="false">SUMPRODUCT((Rules!$A$2:$A$60=N$1)*Rules!$C$2:$C$60*ISNUMBER(SEARCH(Rules!$E$2:$E$60,$D225)))</f>
        <v>0</v>
      </c>
      <c r="O225" s="0" t="n">
        <f aca="false">SUMPRODUCT((Rules!$A$2:$A$60=O$1)*Rules!$C$2:$C$60*ISNUMBER(SEARCH(Rules!$E$2:$E$60,$D225)))</f>
        <v>0</v>
      </c>
      <c r="P225" s="0" t="n">
        <f aca="false">SUMPRODUCT((Rules!$A$2:$A$60=P$1)*Rules!$C$2:$C$60*ISNUMBER(SEARCH(Rules!$E$2:$E$60,$D225)))</f>
        <v>3</v>
      </c>
      <c r="Q225" s="0" t="n">
        <f aca="false">SUMPRODUCT((Rules!$A$2:$A$60=Q$1)*Rules!$C$2:$C$60*ISNUMBER(SEARCH(Rules!$E$2:$E$60,$D225)))</f>
        <v>0</v>
      </c>
      <c r="R225" s="0" t="str">
        <f aca="false">IF(OR(MAX(L225:Q225)&lt;Rules!$H$1,MAX(L225:Q225)-LARGE(L225:Q225,2)&lt;Rules!$H$2),"No label",INDEX($L$1:$Q$1,MATCH(MAX(L225:Q225),L225:Q225,0)))</f>
        <v>No label</v>
      </c>
      <c r="S225" s="0" t="n">
        <f aca="false">SUMPRODUCT(ISNUMBER(SEARCH(" "&amp;Terms!$A$3:$A$821&amp;" ",$D225))*Terms!B$3:B$821)+Terms!B$2</f>
        <v>0.171706712152896</v>
      </c>
      <c r="T225" s="0" t="n">
        <f aca="false">SUMPRODUCT(ISNUMBER(SEARCH(" "&amp;Terms!$A$3:$A$821&amp;" ",$D225))*Terms!C$3:C$821)+Terms!C$2</f>
        <v>-0.797604827011813</v>
      </c>
      <c r="U225" s="0" t="n">
        <f aca="false">SUMPRODUCT(ISNUMBER(SEARCH(" "&amp;Terms!$A$3:$A$821&amp;" ",$D225))*Terms!D$3:D$821)+Terms!D$2</f>
        <v>7.0484811366483</v>
      </c>
      <c r="V225" s="0" t="n">
        <f aca="false">SUMPRODUCT(ISNUMBER(SEARCH(" "&amp;Terms!$A$3:$A$821&amp;" ",$D225))*Terms!E$3:E$821)+Terms!E$2</f>
        <v>-0.960847489779705</v>
      </c>
      <c r="W225" s="0" t="n">
        <f aca="false">SUMPRODUCT(ISNUMBER(SEARCH(" "&amp;Terms!$A$3:$A$821&amp;" ",$D225))*Terms!F$3:F$821)+Terms!F$2</f>
        <v>-1.59086481678184</v>
      </c>
      <c r="X225" s="0" t="n">
        <f aca="false">SUMPRODUCT(ISNUMBER(SEARCH(" "&amp;Terms!$A$3:$A$821&amp;" ",$D225))*Terms!G$3:G$821)+Terms!G$2</f>
        <v>-3.87087071522775</v>
      </c>
      <c r="Y225" s="0" t="str">
        <f aca="false">INDEX($S$1:$X$1,MATCH(MAX(S225:X225),S225:X225,0))</f>
        <v>Delays &amp; Processing</v>
      </c>
      <c r="Z225" s="0" t="s">
        <v>2608</v>
      </c>
    </row>
    <row r="226" customFormat="false" ht="15" hidden="false" customHeight="false" outlineLevel="0" collapsed="false">
      <c r="A226" s="0" t="str">
        <f aca="false">Complaints!A226</f>
        <v>C0225</v>
      </c>
      <c r="B226" s="0" t="str">
        <f aca="false">Complaints!B226</f>
        <v>Frankly, It has taken six weeks to process my claim and nobody has updated me.</v>
      </c>
      <c r="C226" s="0" t="str">
        <f aca="false">Complaints!C226</f>
        <v>Delays &amp; Processing</v>
      </c>
      <c r="D226" s="0" t="str">
        <f aca="false">" "&amp;TRIM(SUBSTITUTE(SUBSTITUTE(SUBSTITUTE(SUBSTITUTE(SUBSTITUTE(SUBSTITUTE(SUBSTITUTE(SUBSTITUTE(SUBSTITUTE(SUBSTITUTE(SUBSTITUTE(SUBSTITUTE(SUBSTITUTE(SUBSTITUTE(SUBSTITUTE(SUBSTITUTE(LOWER(B226),"."," "),","," "),"'"," "),"’"," "),"!"," "),"?"," "),";"," "),":"," "),"-"," "),"("," "),")"," "),"""", " "),"£"," "),"&amp;"," "),"/"," "),"%"," "))&amp;" "</f>
        <v> frankly it has taken six weeks to process my claim and nobody has updated me </v>
      </c>
      <c r="E226" s="0" t="n">
        <f aca="false">SUMPRODUCT((Rules!$A$2:$A$60=E$1)*Rules!$C$2:$C$60*ISNUMBER(SEARCH(Rules!$D$2:$D$60,$D226)))</f>
        <v>0</v>
      </c>
      <c r="F226" s="0" t="n">
        <f aca="false">SUMPRODUCT((Rules!$A$2:$A$60=F$1)*Rules!$C$2:$C$60*ISNUMBER(SEARCH(Rules!$D$2:$D$60,$D226)))</f>
        <v>0</v>
      </c>
      <c r="G226" s="0" t="n">
        <f aca="false">SUMPRODUCT((Rules!$A$2:$A$60=G$1)*Rules!$C$2:$C$60*ISNUMBER(SEARCH(Rules!$D$2:$D$60,$D226)))</f>
        <v>0</v>
      </c>
      <c r="H226" s="0" t="n">
        <f aca="false">SUMPRODUCT((Rules!$A$2:$A$60=H$1)*Rules!$C$2:$C$60*ISNUMBER(SEARCH(Rules!$D$2:$D$60,$D226)))</f>
        <v>0</v>
      </c>
      <c r="I226" s="0" t="n">
        <f aca="false">SUMPRODUCT((Rules!$A$2:$A$60=I$1)*Rules!$C$2:$C$60*ISNUMBER(SEARCH(Rules!$D$2:$D$60,$D226)))</f>
        <v>2</v>
      </c>
      <c r="J226" s="0" t="n">
        <f aca="false">SUMPRODUCT((Rules!$A$2:$A$60=J$1)*Rules!$C$2:$C$60*ISNUMBER(SEARCH(Rules!$D$2:$D$60,$D226)))</f>
        <v>0</v>
      </c>
      <c r="K226" s="0" t="str">
        <f aca="false">IF(OR(MAX(E226:J226)&lt;Rules!$H$1,MAX(E226:J226)-LARGE(E226:J226,2)&lt;Rules!$H$2),"No label",INDEX($E$1:$J$1,MATCH(MAX(E226:J226),E226:J226,0)))</f>
        <v>No label</v>
      </c>
      <c r="L226" s="0" t="n">
        <f aca="false">SUMPRODUCT((Rules!$A$2:$A$60=L$1)*Rules!$C$2:$C$60*ISNUMBER(SEARCH(Rules!$E$2:$E$60,$D226)))</f>
        <v>0</v>
      </c>
      <c r="M226" s="0" t="n">
        <f aca="false">SUMPRODUCT((Rules!$A$2:$A$60=M$1)*Rules!$C$2:$C$60*ISNUMBER(SEARCH(Rules!$E$2:$E$60,$D226)))</f>
        <v>0</v>
      </c>
      <c r="N226" s="0" t="n">
        <f aca="false">SUMPRODUCT((Rules!$A$2:$A$60=N$1)*Rules!$C$2:$C$60*ISNUMBER(SEARCH(Rules!$E$2:$E$60,$D226)))</f>
        <v>0</v>
      </c>
      <c r="O226" s="0" t="n">
        <f aca="false">SUMPRODUCT((Rules!$A$2:$A$60=O$1)*Rules!$C$2:$C$60*ISNUMBER(SEARCH(Rules!$E$2:$E$60,$D226)))</f>
        <v>0</v>
      </c>
      <c r="P226" s="0" t="n">
        <f aca="false">SUMPRODUCT((Rules!$A$2:$A$60=P$1)*Rules!$C$2:$C$60*ISNUMBER(SEARCH(Rules!$E$2:$E$60,$D226)))</f>
        <v>2</v>
      </c>
      <c r="Q226" s="0" t="n">
        <f aca="false">SUMPRODUCT((Rules!$A$2:$A$60=Q$1)*Rules!$C$2:$C$60*ISNUMBER(SEARCH(Rules!$E$2:$E$60,$D226)))</f>
        <v>0</v>
      </c>
      <c r="R226" s="0" t="str">
        <f aca="false">IF(OR(MAX(L226:Q226)&lt;Rules!$H$1,MAX(L226:Q226)-LARGE(L226:Q226,2)&lt;Rules!$H$2),"No label",INDEX($L$1:$Q$1,MATCH(MAX(L226:Q226),L226:Q226,0)))</f>
        <v>No label</v>
      </c>
      <c r="S226" s="0" t="n">
        <f aca="false">SUMPRODUCT(ISNUMBER(SEARCH(" "&amp;Terms!$A$3:$A$821&amp;" ",$D226))*Terms!B$3:B$821)+Terms!B$2</f>
        <v>-2.58034768575873</v>
      </c>
      <c r="T226" s="0" t="n">
        <f aca="false">SUMPRODUCT(ISNUMBER(SEARCH(" "&amp;Terms!$A$3:$A$821&amp;" ",$D226))*Terms!C$3:C$821)+Terms!C$2</f>
        <v>-2.86842253355761</v>
      </c>
      <c r="U226" s="0" t="n">
        <f aca="false">SUMPRODUCT(ISNUMBER(SEARCH(" "&amp;Terms!$A$3:$A$821&amp;" ",$D226))*Terms!D$3:D$821)+Terms!D$2</f>
        <v>7.1025500654818</v>
      </c>
      <c r="V226" s="0" t="n">
        <f aca="false">SUMPRODUCT(ISNUMBER(SEARCH(" "&amp;Terms!$A$3:$A$821&amp;" ",$D226))*Terms!E$3:E$821)+Terms!E$2</f>
        <v>-0.453686431129438</v>
      </c>
      <c r="W226" s="0" t="n">
        <f aca="false">SUMPRODUCT(ISNUMBER(SEARCH(" "&amp;Terms!$A$3:$A$821&amp;" ",$D226))*Terms!F$3:F$821)+Terms!F$2</f>
        <v>-0.494620623545929</v>
      </c>
      <c r="X226" s="0" t="n">
        <f aca="false">SUMPRODUCT(ISNUMBER(SEARCH(" "&amp;Terms!$A$3:$A$821&amp;" ",$D226))*Terms!G$3:G$821)+Terms!G$2</f>
        <v>-0.705472791490003</v>
      </c>
      <c r="Y226" s="0" t="str">
        <f aca="false">INDEX($S$1:$X$1,MATCH(MAX(S226:X226),S226:X226,0))</f>
        <v>Delays &amp; Processing</v>
      </c>
      <c r="Z226" s="0" t="s">
        <v>2607</v>
      </c>
    </row>
    <row r="227" customFormat="false" ht="15" hidden="false" customHeight="false" outlineLevel="0" collapsed="false">
      <c r="A227" s="0" t="str">
        <f aca="false">Complaints!A227</f>
        <v>C0226</v>
      </c>
      <c r="B227" s="0" t="str">
        <f aca="false">Complaints!B227</f>
        <v>To whom it may concern, A late payment fee appeared and I want it refunded. It has also been taking far too long. This is not acceptable.</v>
      </c>
      <c r="C227" s="0" t="str">
        <f aca="false">Complaints!C227</f>
        <v>Fees &amp; Charges</v>
      </c>
      <c r="D227" s="0" t="str">
        <f aca="false">" "&amp;TRIM(SUBSTITUTE(SUBSTITUTE(SUBSTITUTE(SUBSTITUTE(SUBSTITUTE(SUBSTITUTE(SUBSTITUTE(SUBSTITUTE(SUBSTITUTE(SUBSTITUTE(SUBSTITUTE(SUBSTITUTE(SUBSTITUTE(SUBSTITUTE(SUBSTITUTE(SUBSTITUTE(LOWER(B227),"."," "),","," "),"'"," "),"’"," "),"!"," "),"?"," "),";"," "),":"," "),"-"," "),"("," "),")"," "),"""", " "),"£"," "),"&amp;"," "),"/"," "),"%"," "))&amp;" "</f>
        <v> to whom it may concern a late payment fee appeared and i want it refunded it has also been taking far too long this is not acceptable </v>
      </c>
      <c r="E227" s="0" t="n">
        <f aca="false">SUMPRODUCT((Rules!$A$2:$A$60=E$1)*Rules!$C$2:$C$60*ISNUMBER(SEARCH(Rules!$D$2:$D$60,$D227)))</f>
        <v>0</v>
      </c>
      <c r="F227" s="0" t="n">
        <f aca="false">SUMPRODUCT((Rules!$A$2:$A$60=F$1)*Rules!$C$2:$C$60*ISNUMBER(SEARCH(Rules!$D$2:$D$60,$D227)))</f>
        <v>0</v>
      </c>
      <c r="G227" s="0" t="n">
        <f aca="false">SUMPRODUCT((Rules!$A$2:$A$60=G$1)*Rules!$C$2:$C$60*ISNUMBER(SEARCH(Rules!$D$2:$D$60,$D227)))</f>
        <v>0</v>
      </c>
      <c r="H227" s="0" t="n">
        <f aca="false">SUMPRODUCT((Rules!$A$2:$A$60=H$1)*Rules!$C$2:$C$60*ISNUMBER(SEARCH(Rules!$D$2:$D$60,$D227)))</f>
        <v>2</v>
      </c>
      <c r="I227" s="0" t="n">
        <f aca="false">SUMPRODUCT((Rules!$A$2:$A$60=I$1)*Rules!$C$2:$C$60*ISNUMBER(SEARCH(Rules!$D$2:$D$60,$D227)))</f>
        <v>0</v>
      </c>
      <c r="J227" s="0" t="n">
        <f aca="false">SUMPRODUCT((Rules!$A$2:$A$60=J$1)*Rules!$C$2:$C$60*ISNUMBER(SEARCH(Rules!$D$2:$D$60,$D227)))</f>
        <v>0</v>
      </c>
      <c r="K227" s="0" t="str">
        <f aca="false">IF(OR(MAX(E227:J227)&lt;Rules!$H$1,MAX(E227:J227)-LARGE(E227:J227,2)&lt;Rules!$H$2),"No label",INDEX($E$1:$J$1,MATCH(MAX(E227:J227),E227:J227,0)))</f>
        <v>No label</v>
      </c>
      <c r="L227" s="0" t="n">
        <f aca="false">SUMPRODUCT((Rules!$A$2:$A$60=L$1)*Rules!$C$2:$C$60*ISNUMBER(SEARCH(Rules!$E$2:$E$60,$D227)))</f>
        <v>0</v>
      </c>
      <c r="M227" s="0" t="n">
        <f aca="false">SUMPRODUCT((Rules!$A$2:$A$60=M$1)*Rules!$C$2:$C$60*ISNUMBER(SEARCH(Rules!$E$2:$E$60,$D227)))</f>
        <v>0</v>
      </c>
      <c r="N227" s="0" t="n">
        <f aca="false">SUMPRODUCT((Rules!$A$2:$A$60=N$1)*Rules!$C$2:$C$60*ISNUMBER(SEARCH(Rules!$E$2:$E$60,$D227)))</f>
        <v>1</v>
      </c>
      <c r="O227" s="0" t="n">
        <f aca="false">SUMPRODUCT((Rules!$A$2:$A$60=O$1)*Rules!$C$2:$C$60*ISNUMBER(SEARCH(Rules!$E$2:$E$60,$D227)))</f>
        <v>2</v>
      </c>
      <c r="P227" s="0" t="n">
        <f aca="false">SUMPRODUCT((Rules!$A$2:$A$60=P$1)*Rules!$C$2:$C$60*ISNUMBER(SEARCH(Rules!$E$2:$E$60,$D227)))</f>
        <v>0</v>
      </c>
      <c r="Q227" s="0" t="n">
        <f aca="false">SUMPRODUCT((Rules!$A$2:$A$60=Q$1)*Rules!$C$2:$C$60*ISNUMBER(SEARCH(Rules!$E$2:$E$60,$D227)))</f>
        <v>0</v>
      </c>
      <c r="R227" s="0" t="str">
        <f aca="false">IF(OR(MAX(L227:Q227)&lt;Rules!$H$1,MAX(L227:Q227)-LARGE(L227:Q227,2)&lt;Rules!$H$2),"No label",INDEX($L$1:$Q$1,MATCH(MAX(L227:Q227),L227:Q227,0)))</f>
        <v>No label</v>
      </c>
      <c r="S227" s="0" t="n">
        <f aca="false">SUMPRODUCT(ISNUMBER(SEARCH(" "&amp;Terms!$A$3:$A$821&amp;" ",$D227))*Terms!B$3:B$821)+Terms!B$2</f>
        <v>-3.55792881107984</v>
      </c>
      <c r="T227" s="0" t="n">
        <f aca="false">SUMPRODUCT(ISNUMBER(SEARCH(" "&amp;Terms!$A$3:$A$821&amp;" ",$D227))*Terms!C$3:C$821)+Terms!C$2</f>
        <v>-7.07737609571517</v>
      </c>
      <c r="U227" s="0" t="n">
        <f aca="false">SUMPRODUCT(ISNUMBER(SEARCH(" "&amp;Terms!$A$3:$A$821&amp;" ",$D227))*Terms!D$3:D$821)+Terms!D$2</f>
        <v>0.827901874568786</v>
      </c>
      <c r="V227" s="0" t="n">
        <f aca="false">SUMPRODUCT(ISNUMBER(SEARCH(" "&amp;Terms!$A$3:$A$821&amp;" ",$D227))*Terms!E$3:E$821)+Terms!E$2</f>
        <v>15.6906015228381</v>
      </c>
      <c r="W227" s="0" t="n">
        <f aca="false">SUMPRODUCT(ISNUMBER(SEARCH(" "&amp;Terms!$A$3:$A$821&amp;" ",$D227))*Terms!F$3:F$821)+Terms!F$2</f>
        <v>0.174888416113645</v>
      </c>
      <c r="X227" s="0" t="n">
        <f aca="false">SUMPRODUCT(ISNUMBER(SEARCH(" "&amp;Terms!$A$3:$A$821&amp;" ",$D227))*Terms!G$3:G$821)+Terms!G$2</f>
        <v>-6.05808690672538</v>
      </c>
      <c r="Y227" s="0" t="str">
        <f aca="false">INDEX($S$1:$X$1,MATCH(MAX(S227:X227),S227:X227,0))</f>
        <v>Fees &amp; Charges</v>
      </c>
      <c r="Z227" s="0" t="s">
        <v>2607</v>
      </c>
    </row>
    <row r="228" customFormat="false" ht="15" hidden="false" customHeight="false" outlineLevel="0" collapsed="false">
      <c r="A228" s="0" t="str">
        <f aca="false">Complaints!A228</f>
        <v>C0227</v>
      </c>
      <c r="B228" s="0" t="str">
        <f aca="false">Complaints!B228</f>
        <v>This is the second time I have raised this. My mortgage switch is taking far longer than you said it would. I also spent ages on hold when I called about it. This is not acceptable.</v>
      </c>
      <c r="C228" s="0" t="str">
        <f aca="false">Complaints!C228</f>
        <v>Delays &amp; Processing</v>
      </c>
      <c r="D228" s="0" t="str">
        <f aca="false">" "&amp;TRIM(SUBSTITUTE(SUBSTITUTE(SUBSTITUTE(SUBSTITUTE(SUBSTITUTE(SUBSTITUTE(SUBSTITUTE(SUBSTITUTE(SUBSTITUTE(SUBSTITUTE(SUBSTITUTE(SUBSTITUTE(SUBSTITUTE(SUBSTITUTE(SUBSTITUTE(SUBSTITUTE(LOWER(B228),"."," "),","," "),"'"," "),"’"," "),"!"," "),"?"," "),";"," "),":"," "),"-"," "),"("," "),")"," "),"""", " "),"£"," "),"&amp;"," "),"/"," "),"%"," "))&amp;" "</f>
        <v> this is the second time i have raised this my mortgage switch is taking far longer than you said it would i also spent ages on hold when i called about it this is not acceptable </v>
      </c>
      <c r="E228" s="0" t="n">
        <f aca="false">SUMPRODUCT((Rules!$A$2:$A$60=E$1)*Rules!$C$2:$C$60*ISNUMBER(SEARCH(Rules!$D$2:$D$60,$D228)))</f>
        <v>0</v>
      </c>
      <c r="F228" s="0" t="n">
        <f aca="false">SUMPRODUCT((Rules!$A$2:$A$60=F$1)*Rules!$C$2:$C$60*ISNUMBER(SEARCH(Rules!$D$2:$D$60,$D228)))</f>
        <v>0</v>
      </c>
      <c r="G228" s="0" t="n">
        <f aca="false">SUMPRODUCT((Rules!$A$2:$A$60=G$1)*Rules!$C$2:$C$60*ISNUMBER(SEARCH(Rules!$D$2:$D$60,$D228)))</f>
        <v>0</v>
      </c>
      <c r="H228" s="0" t="n">
        <f aca="false">SUMPRODUCT((Rules!$A$2:$A$60=H$1)*Rules!$C$2:$C$60*ISNUMBER(SEARCH(Rules!$D$2:$D$60,$D228)))</f>
        <v>0</v>
      </c>
      <c r="I228" s="0" t="n">
        <f aca="false">SUMPRODUCT((Rules!$A$2:$A$60=I$1)*Rules!$C$2:$C$60*ISNUMBER(SEARCH(Rules!$D$2:$D$60,$D228)))</f>
        <v>2</v>
      </c>
      <c r="J228" s="0" t="n">
        <f aca="false">SUMPRODUCT((Rules!$A$2:$A$60=J$1)*Rules!$C$2:$C$60*ISNUMBER(SEARCH(Rules!$D$2:$D$60,$D228)))</f>
        <v>3</v>
      </c>
      <c r="K228" s="0" t="str">
        <f aca="false">IF(OR(MAX(E228:J228)&lt;Rules!$H$1,MAX(E228:J228)-LARGE(E228:J228,2)&lt;Rules!$H$2),"No label",INDEX($E$1:$J$1,MATCH(MAX(E228:J228),E228:J228,0)))</f>
        <v>No label</v>
      </c>
      <c r="L228" s="0" t="n">
        <f aca="false">SUMPRODUCT((Rules!$A$2:$A$60=L$1)*Rules!$C$2:$C$60*ISNUMBER(SEARCH(Rules!$E$2:$E$60,$D228)))</f>
        <v>0</v>
      </c>
      <c r="M228" s="0" t="n">
        <f aca="false">SUMPRODUCT((Rules!$A$2:$A$60=M$1)*Rules!$C$2:$C$60*ISNUMBER(SEARCH(Rules!$E$2:$E$60,$D228)))</f>
        <v>0</v>
      </c>
      <c r="N228" s="0" t="n">
        <f aca="false">SUMPRODUCT((Rules!$A$2:$A$60=N$1)*Rules!$C$2:$C$60*ISNUMBER(SEARCH(Rules!$E$2:$E$60,$D228)))</f>
        <v>1</v>
      </c>
      <c r="O228" s="0" t="n">
        <f aca="false">SUMPRODUCT((Rules!$A$2:$A$60=O$1)*Rules!$C$2:$C$60*ISNUMBER(SEARCH(Rules!$E$2:$E$60,$D228)))</f>
        <v>0</v>
      </c>
      <c r="P228" s="0" t="n">
        <f aca="false">SUMPRODUCT((Rules!$A$2:$A$60=P$1)*Rules!$C$2:$C$60*ISNUMBER(SEARCH(Rules!$E$2:$E$60,$D228)))</f>
        <v>2</v>
      </c>
      <c r="Q228" s="0" t="n">
        <f aca="false">SUMPRODUCT((Rules!$A$2:$A$60=Q$1)*Rules!$C$2:$C$60*ISNUMBER(SEARCH(Rules!$E$2:$E$60,$D228)))</f>
        <v>3</v>
      </c>
      <c r="R228" s="0" t="str">
        <f aca="false">IF(OR(MAX(L228:Q228)&lt;Rules!$H$1,MAX(L228:Q228)-LARGE(L228:Q228,2)&lt;Rules!$H$2),"No label",INDEX($L$1:$Q$1,MATCH(MAX(L228:Q228),L228:Q228,0)))</f>
        <v>No label</v>
      </c>
      <c r="S228" s="0" t="n">
        <f aca="false">SUMPRODUCT(ISNUMBER(SEARCH(" "&amp;Terms!$A$3:$A$821&amp;" ",$D228))*Terms!B$3:B$821)+Terms!B$2</f>
        <v>-5.22264926392997</v>
      </c>
      <c r="T228" s="0" t="n">
        <f aca="false">SUMPRODUCT(ISNUMBER(SEARCH(" "&amp;Terms!$A$3:$A$821&amp;" ",$D228))*Terms!C$3:C$821)+Terms!C$2</f>
        <v>1.93049556215335</v>
      </c>
      <c r="U228" s="0" t="n">
        <f aca="false">SUMPRODUCT(ISNUMBER(SEARCH(" "&amp;Terms!$A$3:$A$821&amp;" ",$D228))*Terms!D$3:D$821)+Terms!D$2</f>
        <v>9.61394453407809</v>
      </c>
      <c r="V228" s="0" t="n">
        <f aca="false">SUMPRODUCT(ISNUMBER(SEARCH(" "&amp;Terms!$A$3:$A$821&amp;" ",$D228))*Terms!E$3:E$821)+Terms!E$2</f>
        <v>-2.79795785611691</v>
      </c>
      <c r="W228" s="0" t="n">
        <f aca="false">SUMPRODUCT(ISNUMBER(SEARCH(" "&amp;Terms!$A$3:$A$821&amp;" ",$D228))*Terms!F$3:F$821)+Terms!F$2</f>
        <v>-1.66696772553064</v>
      </c>
      <c r="X228" s="0" t="n">
        <f aca="false">SUMPRODUCT(ISNUMBER(SEARCH(" "&amp;Terms!$A$3:$A$821&amp;" ",$D228))*Terms!G$3:G$821)+Terms!G$2</f>
        <v>-1.85686525065382</v>
      </c>
      <c r="Y228" s="0" t="str">
        <f aca="false">INDEX($S$1:$X$1,MATCH(MAX(S228:X228),S228:X228,0))</f>
        <v>Delays &amp; Processing</v>
      </c>
      <c r="Z228" s="0" t="s">
        <v>2607</v>
      </c>
    </row>
    <row r="229" customFormat="false" ht="15" hidden="false" customHeight="false" outlineLevel="0" collapsed="false">
      <c r="A229" s="0" t="str">
        <f aca="false">Complaints!A229</f>
        <v>C0228</v>
      </c>
      <c r="B229" s="0" t="str">
        <f aca="false">Complaints!B229</f>
        <v>Frankly, The pension transfer advice I received was poor and I have lost out. There was also a fee involved. I want this put right.</v>
      </c>
      <c r="C229" s="0" t="str">
        <f aca="false">Complaints!C229</f>
        <v>Mis-selling</v>
      </c>
      <c r="D229" s="0" t="str">
        <f aca="false">" "&amp;TRIM(SUBSTITUTE(SUBSTITUTE(SUBSTITUTE(SUBSTITUTE(SUBSTITUTE(SUBSTITUTE(SUBSTITUTE(SUBSTITUTE(SUBSTITUTE(SUBSTITUTE(SUBSTITUTE(SUBSTITUTE(SUBSTITUTE(SUBSTITUTE(SUBSTITUTE(SUBSTITUTE(LOWER(B229),"."," "),","," "),"'"," "),"’"," "),"!"," "),"?"," "),";"," "),":"," "),"-"," "),"("," "),")"," "),"""", " "),"£"," "),"&amp;"," "),"/"," "),"%"," "))&amp;" "</f>
        <v> frankly the pension transfer advice i received was poor and i have lost out there was also a fee involved i want this put right </v>
      </c>
      <c r="E229" s="0" t="n">
        <f aca="false">SUMPRODUCT((Rules!$A$2:$A$60=E$1)*Rules!$C$2:$C$60*ISNUMBER(SEARCH(Rules!$D$2:$D$60,$D229)))</f>
        <v>0</v>
      </c>
      <c r="F229" s="0" t="n">
        <f aca="false">SUMPRODUCT((Rules!$A$2:$A$60=F$1)*Rules!$C$2:$C$60*ISNUMBER(SEARCH(Rules!$D$2:$D$60,$D229)))</f>
        <v>2</v>
      </c>
      <c r="G229" s="0" t="n">
        <f aca="false">SUMPRODUCT((Rules!$A$2:$A$60=G$1)*Rules!$C$2:$C$60*ISNUMBER(SEARCH(Rules!$D$2:$D$60,$D229)))</f>
        <v>0</v>
      </c>
      <c r="H229" s="0" t="n">
        <f aca="false">SUMPRODUCT((Rules!$A$2:$A$60=H$1)*Rules!$C$2:$C$60*ISNUMBER(SEARCH(Rules!$D$2:$D$60,$D229)))</f>
        <v>2</v>
      </c>
      <c r="I229" s="0" t="n">
        <f aca="false">SUMPRODUCT((Rules!$A$2:$A$60=I$1)*Rules!$C$2:$C$60*ISNUMBER(SEARCH(Rules!$D$2:$D$60,$D229)))</f>
        <v>0</v>
      </c>
      <c r="J229" s="0" t="n">
        <f aca="false">SUMPRODUCT((Rules!$A$2:$A$60=J$1)*Rules!$C$2:$C$60*ISNUMBER(SEARCH(Rules!$D$2:$D$60,$D229)))</f>
        <v>0</v>
      </c>
      <c r="K229" s="0" t="str">
        <f aca="false">IF(OR(MAX(E229:J229)&lt;Rules!$H$1,MAX(E229:J229)-LARGE(E229:J229,2)&lt;Rules!$H$2),"No label",INDEX($E$1:$J$1,MATCH(MAX(E229:J229),E229:J229,0)))</f>
        <v>No label</v>
      </c>
      <c r="L229" s="0" t="n">
        <f aca="false">SUMPRODUCT((Rules!$A$2:$A$60=L$1)*Rules!$C$2:$C$60*ISNUMBER(SEARCH(Rules!$E$2:$E$60,$D229)))</f>
        <v>0</v>
      </c>
      <c r="M229" s="0" t="n">
        <f aca="false">SUMPRODUCT((Rules!$A$2:$A$60=M$1)*Rules!$C$2:$C$60*ISNUMBER(SEARCH(Rules!$E$2:$E$60,$D229)))</f>
        <v>2</v>
      </c>
      <c r="N229" s="0" t="n">
        <f aca="false">SUMPRODUCT((Rules!$A$2:$A$60=N$1)*Rules!$C$2:$C$60*ISNUMBER(SEARCH(Rules!$E$2:$E$60,$D229)))</f>
        <v>0</v>
      </c>
      <c r="O229" s="0" t="n">
        <f aca="false">SUMPRODUCT((Rules!$A$2:$A$60=O$1)*Rules!$C$2:$C$60*ISNUMBER(SEARCH(Rules!$E$2:$E$60,$D229)))</f>
        <v>2</v>
      </c>
      <c r="P229" s="0" t="n">
        <f aca="false">SUMPRODUCT((Rules!$A$2:$A$60=P$1)*Rules!$C$2:$C$60*ISNUMBER(SEARCH(Rules!$E$2:$E$60,$D229)))</f>
        <v>0</v>
      </c>
      <c r="Q229" s="0" t="n">
        <f aca="false">SUMPRODUCT((Rules!$A$2:$A$60=Q$1)*Rules!$C$2:$C$60*ISNUMBER(SEARCH(Rules!$E$2:$E$60,$D229)))</f>
        <v>0</v>
      </c>
      <c r="R229" s="0" t="str">
        <f aca="false">IF(OR(MAX(L229:Q229)&lt;Rules!$H$1,MAX(L229:Q229)-LARGE(L229:Q229,2)&lt;Rules!$H$2),"No label",INDEX($L$1:$Q$1,MATCH(MAX(L229:Q229),L229:Q229,0)))</f>
        <v>No label</v>
      </c>
      <c r="S229" s="0" t="n">
        <f aca="false">SUMPRODUCT(ISNUMBER(SEARCH(" "&amp;Terms!$A$3:$A$821&amp;" ",$D229))*Terms!B$3:B$821)+Terms!B$2</f>
        <v>-4.01317436975919</v>
      </c>
      <c r="T229" s="0" t="n">
        <f aca="false">SUMPRODUCT(ISNUMBER(SEARCH(" "&amp;Terms!$A$3:$A$821&amp;" ",$D229))*Terms!C$3:C$821)+Terms!C$2</f>
        <v>-6.18567342183357</v>
      </c>
      <c r="U229" s="0" t="n">
        <f aca="false">SUMPRODUCT(ISNUMBER(SEARCH(" "&amp;Terms!$A$3:$A$821&amp;" ",$D229))*Terms!D$3:D$821)+Terms!D$2</f>
        <v>0.724296680540497</v>
      </c>
      <c r="V229" s="0" t="n">
        <f aca="false">SUMPRODUCT(ISNUMBER(SEARCH(" "&amp;Terms!$A$3:$A$821&amp;" ",$D229))*Terms!E$3:E$821)+Terms!E$2</f>
        <v>1.13078483029982</v>
      </c>
      <c r="W229" s="0" t="n">
        <f aca="false">SUMPRODUCT(ISNUMBER(SEARCH(" "&amp;Terms!$A$3:$A$821&amp;" ",$D229))*Terms!F$3:F$821)+Terms!F$2</f>
        <v>-0.88005577292285</v>
      </c>
      <c r="X229" s="0" t="n">
        <f aca="false">SUMPRODUCT(ISNUMBER(SEARCH(" "&amp;Terms!$A$3:$A$821&amp;" ",$D229))*Terms!G$3:G$821)+Terms!G$2</f>
        <v>9.2238220536754</v>
      </c>
      <c r="Y229" s="0" t="str">
        <f aca="false">INDEX($S$1:$X$1,MATCH(MAX(S229:X229),S229:X229,0))</f>
        <v>Mis-selling</v>
      </c>
      <c r="Z229" s="0" t="s">
        <v>2607</v>
      </c>
    </row>
    <row r="230" customFormat="false" ht="15" hidden="false" customHeight="false" outlineLevel="0" collapsed="false">
      <c r="A230" s="0" t="str">
        <f aca="false">Complaints!A230</f>
        <v>C0229</v>
      </c>
      <c r="B230" s="0" t="str">
        <f aca="false">Complaints!B230</f>
        <v>You promised the money within three working days and it is still outstanding. Please sort this out.</v>
      </c>
      <c r="C230" s="0" t="str">
        <f aca="false">Complaints!C230</f>
        <v>Delays &amp; Processing</v>
      </c>
      <c r="D230" s="0" t="str">
        <f aca="false">" "&amp;TRIM(SUBSTITUTE(SUBSTITUTE(SUBSTITUTE(SUBSTITUTE(SUBSTITUTE(SUBSTITUTE(SUBSTITUTE(SUBSTITUTE(SUBSTITUTE(SUBSTITUTE(SUBSTITUTE(SUBSTITUTE(SUBSTITUTE(SUBSTITUTE(SUBSTITUTE(SUBSTITUTE(LOWER(B230),"."," "),","," "),"'"," "),"’"," "),"!"," "),"?"," "),";"," "),":"," "),"-"," "),"("," "),")"," "),"""", " "),"£"," "),"&amp;"," "),"/"," "),"%"," "))&amp;" "</f>
        <v> you promised the money within three working days and it is still outstanding please sort this out </v>
      </c>
      <c r="E230" s="0" t="n">
        <f aca="false">SUMPRODUCT((Rules!$A$2:$A$60=E$1)*Rules!$C$2:$C$60*ISNUMBER(SEARCH(Rules!$D$2:$D$60,$D230)))</f>
        <v>0</v>
      </c>
      <c r="F230" s="0" t="n">
        <f aca="false">SUMPRODUCT((Rules!$A$2:$A$60=F$1)*Rules!$C$2:$C$60*ISNUMBER(SEARCH(Rules!$D$2:$D$60,$D230)))</f>
        <v>1</v>
      </c>
      <c r="G230" s="0" t="n">
        <f aca="false">SUMPRODUCT((Rules!$A$2:$A$60=G$1)*Rules!$C$2:$C$60*ISNUMBER(SEARCH(Rules!$D$2:$D$60,$D230)))</f>
        <v>0</v>
      </c>
      <c r="H230" s="0" t="n">
        <f aca="false">SUMPRODUCT((Rules!$A$2:$A$60=H$1)*Rules!$C$2:$C$60*ISNUMBER(SEARCH(Rules!$D$2:$D$60,$D230)))</f>
        <v>0</v>
      </c>
      <c r="I230" s="0" t="n">
        <f aca="false">SUMPRODUCT((Rules!$A$2:$A$60=I$1)*Rules!$C$2:$C$60*ISNUMBER(SEARCH(Rules!$D$2:$D$60,$D230)))</f>
        <v>2</v>
      </c>
      <c r="J230" s="0" t="n">
        <f aca="false">SUMPRODUCT((Rules!$A$2:$A$60=J$1)*Rules!$C$2:$C$60*ISNUMBER(SEARCH(Rules!$D$2:$D$60,$D230)))</f>
        <v>0</v>
      </c>
      <c r="K230" s="0" t="str">
        <f aca="false">IF(OR(MAX(E230:J230)&lt;Rules!$H$1,MAX(E230:J230)-LARGE(E230:J230,2)&lt;Rules!$H$2),"No label",INDEX($E$1:$J$1,MATCH(MAX(E230:J230),E230:J230,0)))</f>
        <v>No label</v>
      </c>
      <c r="L230" s="0" t="n">
        <f aca="false">SUMPRODUCT((Rules!$A$2:$A$60=L$1)*Rules!$C$2:$C$60*ISNUMBER(SEARCH(Rules!$E$2:$E$60,$D230)))</f>
        <v>0</v>
      </c>
      <c r="M230" s="0" t="n">
        <f aca="false">SUMPRODUCT((Rules!$A$2:$A$60=M$1)*Rules!$C$2:$C$60*ISNUMBER(SEARCH(Rules!$E$2:$E$60,$D230)))</f>
        <v>1</v>
      </c>
      <c r="N230" s="0" t="n">
        <f aca="false">SUMPRODUCT((Rules!$A$2:$A$60=N$1)*Rules!$C$2:$C$60*ISNUMBER(SEARCH(Rules!$E$2:$E$60,$D230)))</f>
        <v>0</v>
      </c>
      <c r="O230" s="0" t="n">
        <f aca="false">SUMPRODUCT((Rules!$A$2:$A$60=O$1)*Rules!$C$2:$C$60*ISNUMBER(SEARCH(Rules!$E$2:$E$60,$D230)))</f>
        <v>0</v>
      </c>
      <c r="P230" s="0" t="n">
        <f aca="false">SUMPRODUCT((Rules!$A$2:$A$60=P$1)*Rules!$C$2:$C$60*ISNUMBER(SEARCH(Rules!$E$2:$E$60,$D230)))</f>
        <v>2</v>
      </c>
      <c r="Q230" s="0" t="n">
        <f aca="false">SUMPRODUCT((Rules!$A$2:$A$60=Q$1)*Rules!$C$2:$C$60*ISNUMBER(SEARCH(Rules!$E$2:$E$60,$D230)))</f>
        <v>0</v>
      </c>
      <c r="R230" s="0" t="str">
        <f aca="false">IF(OR(MAX(L230:Q230)&lt;Rules!$H$1,MAX(L230:Q230)-LARGE(L230:Q230,2)&lt;Rules!$H$2),"No label",INDEX($L$1:$Q$1,MATCH(MAX(L230:Q230),L230:Q230,0)))</f>
        <v>No label</v>
      </c>
      <c r="S230" s="0" t="n">
        <f aca="false">SUMPRODUCT(ISNUMBER(SEARCH(" "&amp;Terms!$A$3:$A$821&amp;" ",$D230))*Terms!B$3:B$821)+Terms!B$2</f>
        <v>-0.652540409605807</v>
      </c>
      <c r="T230" s="0" t="n">
        <f aca="false">SUMPRODUCT(ISNUMBER(SEARCH(" "&amp;Terms!$A$3:$A$821&amp;" ",$D230))*Terms!C$3:C$821)+Terms!C$2</f>
        <v>-3.10743388482342</v>
      </c>
      <c r="U230" s="0" t="n">
        <f aca="false">SUMPRODUCT(ISNUMBER(SEARCH(" "&amp;Terms!$A$3:$A$821&amp;" ",$D230))*Terms!D$3:D$821)+Terms!D$2</f>
        <v>7.13703962966139</v>
      </c>
      <c r="V230" s="0" t="n">
        <f aca="false">SUMPRODUCT(ISNUMBER(SEARCH(" "&amp;Terms!$A$3:$A$821&amp;" ",$D230))*Terms!E$3:E$821)+Terms!E$2</f>
        <v>-0.669685091114187</v>
      </c>
      <c r="W230" s="0" t="n">
        <f aca="false">SUMPRODUCT(ISNUMBER(SEARCH(" "&amp;Terms!$A$3:$A$821&amp;" ",$D230))*Terms!F$3:F$821)+Terms!F$2</f>
        <v>-1.5124297377776</v>
      </c>
      <c r="X230" s="0" t="n">
        <f aca="false">SUMPRODUCT(ISNUMBER(SEARCH(" "&amp;Terms!$A$3:$A$821&amp;" ",$D230))*Terms!G$3:G$821)+Terms!G$2</f>
        <v>-1.19495050634028</v>
      </c>
      <c r="Y230" s="0" t="str">
        <f aca="false">INDEX($S$1:$X$1,MATCH(MAX(S230:X230),S230:X230,0))</f>
        <v>Delays &amp; Processing</v>
      </c>
      <c r="Z230" s="0" t="s">
        <v>2608</v>
      </c>
    </row>
    <row r="231" customFormat="false" ht="15" hidden="false" customHeight="false" outlineLevel="0" collapsed="false">
      <c r="A231" s="0" t="str">
        <f aca="false">Complaints!A231</f>
        <v>C0230</v>
      </c>
      <c r="B231" s="0" t="str">
        <f aca="false">Complaints!B231</f>
        <v>The staff member was rude and dismissive when I called. This is not acceptable.</v>
      </c>
      <c r="C231" s="0" t="str">
        <f aca="false">Complaints!C231</f>
        <v>Customer Service</v>
      </c>
      <c r="D231" s="0" t="str">
        <f aca="false">" "&amp;TRIM(SUBSTITUTE(SUBSTITUTE(SUBSTITUTE(SUBSTITUTE(SUBSTITUTE(SUBSTITUTE(SUBSTITUTE(SUBSTITUTE(SUBSTITUTE(SUBSTITUTE(SUBSTITUTE(SUBSTITUTE(SUBSTITUTE(SUBSTITUTE(SUBSTITUTE(SUBSTITUTE(LOWER(B231),"."," "),","," "),"'"," "),"’"," "),"!"," "),"?"," "),";"," "),":"," "),"-"," "),"("," "),")"," "),"""", " "),"£"," "),"&amp;"," "),"/"," "),"%"," "))&amp;" "</f>
        <v> the staff member was rude and dismissive when i called this is not acceptable </v>
      </c>
      <c r="E231" s="0" t="n">
        <f aca="false">SUMPRODUCT((Rules!$A$2:$A$60=E$1)*Rules!$C$2:$C$60*ISNUMBER(SEARCH(Rules!$D$2:$D$60,$D231)))</f>
        <v>0</v>
      </c>
      <c r="F231" s="0" t="n">
        <f aca="false">SUMPRODUCT((Rules!$A$2:$A$60=F$1)*Rules!$C$2:$C$60*ISNUMBER(SEARCH(Rules!$D$2:$D$60,$D231)))</f>
        <v>0</v>
      </c>
      <c r="G231" s="0" t="n">
        <f aca="false">SUMPRODUCT((Rules!$A$2:$A$60=G$1)*Rules!$C$2:$C$60*ISNUMBER(SEARCH(Rules!$D$2:$D$60,$D231)))</f>
        <v>0</v>
      </c>
      <c r="H231" s="0" t="n">
        <f aca="false">SUMPRODUCT((Rules!$A$2:$A$60=H$1)*Rules!$C$2:$C$60*ISNUMBER(SEARCH(Rules!$D$2:$D$60,$D231)))</f>
        <v>0</v>
      </c>
      <c r="I231" s="0" t="n">
        <f aca="false">SUMPRODUCT((Rules!$A$2:$A$60=I$1)*Rules!$C$2:$C$60*ISNUMBER(SEARCH(Rules!$D$2:$D$60,$D231)))</f>
        <v>0</v>
      </c>
      <c r="J231" s="0" t="n">
        <f aca="false">SUMPRODUCT((Rules!$A$2:$A$60=J$1)*Rules!$C$2:$C$60*ISNUMBER(SEARCH(Rules!$D$2:$D$60,$D231)))</f>
        <v>4</v>
      </c>
      <c r="K231" s="0" t="str">
        <f aca="false">IF(OR(MAX(E231:J231)&lt;Rules!$H$1,MAX(E231:J231)-LARGE(E231:J231,2)&lt;Rules!$H$2),"No label",INDEX($E$1:$J$1,MATCH(MAX(E231:J231),E231:J231,0)))</f>
        <v>Customer Service</v>
      </c>
      <c r="L231" s="0" t="n">
        <f aca="false">SUMPRODUCT((Rules!$A$2:$A$60=L$1)*Rules!$C$2:$C$60*ISNUMBER(SEARCH(Rules!$E$2:$E$60,$D231)))</f>
        <v>0</v>
      </c>
      <c r="M231" s="0" t="n">
        <f aca="false">SUMPRODUCT((Rules!$A$2:$A$60=M$1)*Rules!$C$2:$C$60*ISNUMBER(SEARCH(Rules!$E$2:$E$60,$D231)))</f>
        <v>0</v>
      </c>
      <c r="N231" s="0" t="n">
        <f aca="false">SUMPRODUCT((Rules!$A$2:$A$60=N$1)*Rules!$C$2:$C$60*ISNUMBER(SEARCH(Rules!$E$2:$E$60,$D231)))</f>
        <v>1</v>
      </c>
      <c r="O231" s="0" t="n">
        <f aca="false">SUMPRODUCT((Rules!$A$2:$A$60=O$1)*Rules!$C$2:$C$60*ISNUMBER(SEARCH(Rules!$E$2:$E$60,$D231)))</f>
        <v>0</v>
      </c>
      <c r="P231" s="0" t="n">
        <f aca="false">SUMPRODUCT((Rules!$A$2:$A$60=P$1)*Rules!$C$2:$C$60*ISNUMBER(SEARCH(Rules!$E$2:$E$60,$D231)))</f>
        <v>0</v>
      </c>
      <c r="Q231" s="0" t="n">
        <f aca="false">SUMPRODUCT((Rules!$A$2:$A$60=Q$1)*Rules!$C$2:$C$60*ISNUMBER(SEARCH(Rules!$E$2:$E$60,$D231)))</f>
        <v>4</v>
      </c>
      <c r="R231" s="0" t="str">
        <f aca="false">IF(OR(MAX(L231:Q231)&lt;Rules!$H$1,MAX(L231:Q231)-LARGE(L231:Q231,2)&lt;Rules!$H$2),"No label",INDEX($L$1:$Q$1,MATCH(MAX(L231:Q231),L231:Q231,0)))</f>
        <v>Customer Service</v>
      </c>
      <c r="S231" s="0" t="n">
        <f aca="false">SUMPRODUCT(ISNUMBER(SEARCH(" "&amp;Terms!$A$3:$A$821&amp;" ",$D231))*Terms!B$3:B$821)+Terms!B$2</f>
        <v>-2.77367238075727</v>
      </c>
      <c r="T231" s="0" t="n">
        <f aca="false">SUMPRODUCT(ISNUMBER(SEARCH(" "&amp;Terms!$A$3:$A$821&amp;" ",$D231))*Terms!C$3:C$821)+Terms!C$2</f>
        <v>8.27048790576791</v>
      </c>
      <c r="U231" s="0" t="n">
        <f aca="false">SUMPRODUCT(ISNUMBER(SEARCH(" "&amp;Terms!$A$3:$A$821&amp;" ",$D231))*Terms!D$3:D$821)+Terms!D$2</f>
        <v>-0.102261471837016</v>
      </c>
      <c r="V231" s="0" t="n">
        <f aca="false">SUMPRODUCT(ISNUMBER(SEARCH(" "&amp;Terms!$A$3:$A$821&amp;" ",$D231))*Terms!E$3:E$821)+Terms!E$2</f>
        <v>-0.395409625271901</v>
      </c>
      <c r="W231" s="0" t="n">
        <f aca="false">SUMPRODUCT(ISNUMBER(SEARCH(" "&amp;Terms!$A$3:$A$821&amp;" ",$D231))*Terms!F$3:F$821)+Terms!F$2</f>
        <v>-2.10798090054354</v>
      </c>
      <c r="X231" s="0" t="n">
        <f aca="false">SUMPRODUCT(ISNUMBER(SEARCH(" "&amp;Terms!$A$3:$A$821&amp;" ",$D231))*Terms!G$3:G$821)+Terms!G$2</f>
        <v>-2.8911635273581</v>
      </c>
      <c r="Y231" s="0" t="str">
        <f aca="false">INDEX($S$1:$X$1,MATCH(MAX(S231:X231),S231:X231,0))</f>
        <v>Customer Service</v>
      </c>
      <c r="Z231" s="0" t="s">
        <v>2607</v>
      </c>
    </row>
    <row r="232" customFormat="false" ht="15" hidden="false" customHeight="false" outlineLevel="0" collapsed="false">
      <c r="A232" s="0" t="str">
        <f aca="false">Complaints!A232</f>
        <v>C0231</v>
      </c>
      <c r="B232" s="0" t="str">
        <f aca="false">Complaints!B232</f>
        <v>The website will not let me register for online access. Also, i feel I was treated badly because of my age. Please sort this out.</v>
      </c>
      <c r="C232" s="0" t="str">
        <f aca="false">Complaints!C232</f>
        <v>Account Access</v>
      </c>
      <c r="D232" s="0" t="str">
        <f aca="false">" "&amp;TRIM(SUBSTITUTE(SUBSTITUTE(SUBSTITUTE(SUBSTITUTE(SUBSTITUTE(SUBSTITUTE(SUBSTITUTE(SUBSTITUTE(SUBSTITUTE(SUBSTITUTE(SUBSTITUTE(SUBSTITUTE(SUBSTITUTE(SUBSTITUTE(SUBSTITUTE(SUBSTITUTE(LOWER(B232),"."," "),","," "),"'"," "),"’"," "),"!"," "),"?"," "),";"," "),":"," "),"-"," "),"("," "),")"," "),"""", " "),"£"," "),"&amp;"," "),"/"," "),"%"," "))&amp;" "</f>
        <v> the website will not let me register for online access also i feel i was treated badly because of my age please sort this out </v>
      </c>
      <c r="E232" s="0" t="n">
        <f aca="false">SUMPRODUCT((Rules!$A$2:$A$60=E$1)*Rules!$C$2:$C$60*ISNUMBER(SEARCH(Rules!$D$2:$D$60,$D232)))</f>
        <v>0</v>
      </c>
      <c r="F232" s="0" t="n">
        <f aca="false">SUMPRODUCT((Rules!$A$2:$A$60=F$1)*Rules!$C$2:$C$60*ISNUMBER(SEARCH(Rules!$D$2:$D$60,$D232)))</f>
        <v>0</v>
      </c>
      <c r="G232" s="0" t="n">
        <f aca="false">SUMPRODUCT((Rules!$A$2:$A$60=G$1)*Rules!$C$2:$C$60*ISNUMBER(SEARCH(Rules!$D$2:$D$60,$D232)))</f>
        <v>1</v>
      </c>
      <c r="H232" s="0" t="n">
        <f aca="false">SUMPRODUCT((Rules!$A$2:$A$60=H$1)*Rules!$C$2:$C$60*ISNUMBER(SEARCH(Rules!$D$2:$D$60,$D232)))</f>
        <v>0</v>
      </c>
      <c r="I232" s="0" t="n">
        <f aca="false">SUMPRODUCT((Rules!$A$2:$A$60=I$1)*Rules!$C$2:$C$60*ISNUMBER(SEARCH(Rules!$D$2:$D$60,$D232)))</f>
        <v>0</v>
      </c>
      <c r="J232" s="0" t="n">
        <f aca="false">SUMPRODUCT((Rules!$A$2:$A$60=J$1)*Rules!$C$2:$C$60*ISNUMBER(SEARCH(Rules!$D$2:$D$60,$D232)))</f>
        <v>3</v>
      </c>
      <c r="K232" s="0" t="str">
        <f aca="false">IF(OR(MAX(E232:J232)&lt;Rules!$H$1,MAX(E232:J232)-LARGE(E232:J232,2)&lt;Rules!$H$2),"No label",INDEX($E$1:$J$1,MATCH(MAX(E232:J232),E232:J232,0)))</f>
        <v>Customer Service</v>
      </c>
      <c r="L232" s="0" t="n">
        <f aca="false">SUMPRODUCT((Rules!$A$2:$A$60=L$1)*Rules!$C$2:$C$60*ISNUMBER(SEARCH(Rules!$E$2:$E$60,$D232)))</f>
        <v>0</v>
      </c>
      <c r="M232" s="0" t="n">
        <f aca="false">SUMPRODUCT((Rules!$A$2:$A$60=M$1)*Rules!$C$2:$C$60*ISNUMBER(SEARCH(Rules!$E$2:$E$60,$D232)))</f>
        <v>0</v>
      </c>
      <c r="N232" s="0" t="n">
        <f aca="false">SUMPRODUCT((Rules!$A$2:$A$60=N$1)*Rules!$C$2:$C$60*ISNUMBER(SEARCH(Rules!$E$2:$E$60,$D232)))</f>
        <v>1</v>
      </c>
      <c r="O232" s="0" t="n">
        <f aca="false">SUMPRODUCT((Rules!$A$2:$A$60=O$1)*Rules!$C$2:$C$60*ISNUMBER(SEARCH(Rules!$E$2:$E$60,$D232)))</f>
        <v>0</v>
      </c>
      <c r="P232" s="0" t="n">
        <f aca="false">SUMPRODUCT((Rules!$A$2:$A$60=P$1)*Rules!$C$2:$C$60*ISNUMBER(SEARCH(Rules!$E$2:$E$60,$D232)))</f>
        <v>0</v>
      </c>
      <c r="Q232" s="0" t="n">
        <f aca="false">SUMPRODUCT((Rules!$A$2:$A$60=Q$1)*Rules!$C$2:$C$60*ISNUMBER(SEARCH(Rules!$E$2:$E$60,$D232)))</f>
        <v>3</v>
      </c>
      <c r="R232" s="0" t="str">
        <f aca="false">IF(OR(MAX(L232:Q232)&lt;Rules!$H$1,MAX(L232:Q232)-LARGE(L232:Q232,2)&lt;Rules!$H$2),"No label",INDEX($L$1:$Q$1,MATCH(MAX(L232:Q232),L232:Q232,0)))</f>
        <v>Customer Service</v>
      </c>
      <c r="S232" s="0" t="n">
        <f aca="false">SUMPRODUCT(ISNUMBER(SEARCH(" "&amp;Terms!$A$3:$A$821&amp;" ",$D232))*Terms!B$3:B$821)+Terms!B$2</f>
        <v>7.22730397721954</v>
      </c>
      <c r="T232" s="0" t="n">
        <f aca="false">SUMPRODUCT(ISNUMBER(SEARCH(" "&amp;Terms!$A$3:$A$821&amp;" ",$D232))*Terms!C$3:C$821)+Terms!C$2</f>
        <v>5.42154653241617</v>
      </c>
      <c r="U232" s="0" t="n">
        <f aca="false">SUMPRODUCT(ISNUMBER(SEARCH(" "&amp;Terms!$A$3:$A$821&amp;" ",$D232))*Terms!D$3:D$821)+Terms!D$2</f>
        <v>-4.75402897975563</v>
      </c>
      <c r="V232" s="0" t="n">
        <f aca="false">SUMPRODUCT(ISNUMBER(SEARCH(" "&amp;Terms!$A$3:$A$821&amp;" ",$D232))*Terms!E$3:E$821)+Terms!E$2</f>
        <v>-4.32207739249311</v>
      </c>
      <c r="W232" s="0" t="n">
        <f aca="false">SUMPRODUCT(ISNUMBER(SEARCH(" "&amp;Terms!$A$3:$A$821&amp;" ",$D232))*Terms!F$3:F$821)+Terms!F$2</f>
        <v>-3.05215979352853</v>
      </c>
      <c r="X232" s="0" t="n">
        <f aca="false">SUMPRODUCT(ISNUMBER(SEARCH(" "&amp;Terms!$A$3:$A$821&amp;" ",$D232))*Terms!G$3:G$821)+Terms!G$2</f>
        <v>-0.520584343858347</v>
      </c>
      <c r="Y232" s="0" t="str">
        <f aca="false">INDEX($S$1:$X$1,MATCH(MAX(S232:X232),S232:X232,0))</f>
        <v>Account Access</v>
      </c>
      <c r="Z232" s="0" t="s">
        <v>2607</v>
      </c>
    </row>
    <row r="233" customFormat="false" ht="15" hidden="false" customHeight="false" outlineLevel="0" collapsed="false">
      <c r="A233" s="0" t="str">
        <f aca="false">Complaints!A233</f>
        <v>C0232</v>
      </c>
      <c r="B233" s="0" t="str">
        <f aca="false">Complaints!B233</f>
        <v>Frankly, The paperwork was submitted a month ago and I am still waiting.</v>
      </c>
      <c r="C233" s="0" t="str">
        <f aca="false">Complaints!C233</f>
        <v>Delays &amp; Processing</v>
      </c>
      <c r="D233" s="0" t="str">
        <f aca="false">" "&amp;TRIM(SUBSTITUTE(SUBSTITUTE(SUBSTITUTE(SUBSTITUTE(SUBSTITUTE(SUBSTITUTE(SUBSTITUTE(SUBSTITUTE(SUBSTITUTE(SUBSTITUTE(SUBSTITUTE(SUBSTITUTE(SUBSTITUTE(SUBSTITUTE(SUBSTITUTE(SUBSTITUTE(LOWER(B233),"."," "),","," "),"'"," "),"’"," "),"!"," "),"?"," "),";"," "),":"," "),"-"," "),"("," "),")"," "),"""", " "),"£"," "),"&amp;"," "),"/"," "),"%"," "))&amp;" "</f>
        <v> frankly the paperwork was submitted a month ago and i am still waiting </v>
      </c>
      <c r="E233" s="0" t="n">
        <f aca="false">SUMPRODUCT((Rules!$A$2:$A$60=E$1)*Rules!$C$2:$C$60*ISNUMBER(SEARCH(Rules!$D$2:$D$60,$D233)))</f>
        <v>0</v>
      </c>
      <c r="F233" s="0" t="n">
        <f aca="false">SUMPRODUCT((Rules!$A$2:$A$60=F$1)*Rules!$C$2:$C$60*ISNUMBER(SEARCH(Rules!$D$2:$D$60,$D233)))</f>
        <v>0</v>
      </c>
      <c r="G233" s="0" t="n">
        <f aca="false">SUMPRODUCT((Rules!$A$2:$A$60=G$1)*Rules!$C$2:$C$60*ISNUMBER(SEARCH(Rules!$D$2:$D$60,$D233)))</f>
        <v>0</v>
      </c>
      <c r="H233" s="0" t="n">
        <f aca="false">SUMPRODUCT((Rules!$A$2:$A$60=H$1)*Rules!$C$2:$C$60*ISNUMBER(SEARCH(Rules!$D$2:$D$60,$D233)))</f>
        <v>0</v>
      </c>
      <c r="I233" s="0" t="n">
        <f aca="false">SUMPRODUCT((Rules!$A$2:$A$60=I$1)*Rules!$C$2:$C$60*ISNUMBER(SEARCH(Rules!$D$2:$D$60,$D233)))</f>
        <v>2</v>
      </c>
      <c r="J233" s="0" t="n">
        <f aca="false">SUMPRODUCT((Rules!$A$2:$A$60=J$1)*Rules!$C$2:$C$60*ISNUMBER(SEARCH(Rules!$D$2:$D$60,$D233)))</f>
        <v>0</v>
      </c>
      <c r="K233" s="0" t="str">
        <f aca="false">IF(OR(MAX(E233:J233)&lt;Rules!$H$1,MAX(E233:J233)-LARGE(E233:J233,2)&lt;Rules!$H$2),"No label",INDEX($E$1:$J$1,MATCH(MAX(E233:J233),E233:J233,0)))</f>
        <v>No label</v>
      </c>
      <c r="L233" s="0" t="n">
        <f aca="false">SUMPRODUCT((Rules!$A$2:$A$60=L$1)*Rules!$C$2:$C$60*ISNUMBER(SEARCH(Rules!$E$2:$E$60,$D233)))</f>
        <v>0</v>
      </c>
      <c r="M233" s="0" t="n">
        <f aca="false">SUMPRODUCT((Rules!$A$2:$A$60=M$1)*Rules!$C$2:$C$60*ISNUMBER(SEARCH(Rules!$E$2:$E$60,$D233)))</f>
        <v>0</v>
      </c>
      <c r="N233" s="0" t="n">
        <f aca="false">SUMPRODUCT((Rules!$A$2:$A$60=N$1)*Rules!$C$2:$C$60*ISNUMBER(SEARCH(Rules!$E$2:$E$60,$D233)))</f>
        <v>0</v>
      </c>
      <c r="O233" s="0" t="n">
        <f aca="false">SUMPRODUCT((Rules!$A$2:$A$60=O$1)*Rules!$C$2:$C$60*ISNUMBER(SEARCH(Rules!$E$2:$E$60,$D233)))</f>
        <v>0</v>
      </c>
      <c r="P233" s="0" t="n">
        <f aca="false">SUMPRODUCT((Rules!$A$2:$A$60=P$1)*Rules!$C$2:$C$60*ISNUMBER(SEARCH(Rules!$E$2:$E$60,$D233)))</f>
        <v>2</v>
      </c>
      <c r="Q233" s="0" t="n">
        <f aca="false">SUMPRODUCT((Rules!$A$2:$A$60=Q$1)*Rules!$C$2:$C$60*ISNUMBER(SEARCH(Rules!$E$2:$E$60,$D233)))</f>
        <v>0</v>
      </c>
      <c r="R233" s="0" t="str">
        <f aca="false">IF(OR(MAX(L233:Q233)&lt;Rules!$H$1,MAX(L233:Q233)-LARGE(L233:Q233,2)&lt;Rules!$H$2),"No label",INDEX($L$1:$Q$1,MATCH(MAX(L233:Q233),L233:Q233,0)))</f>
        <v>No label</v>
      </c>
      <c r="S233" s="0" t="n">
        <f aca="false">SUMPRODUCT(ISNUMBER(SEARCH(" "&amp;Terms!$A$3:$A$821&amp;" ",$D233))*Terms!B$3:B$821)+Terms!B$2</f>
        <v>-0.795649350106387</v>
      </c>
      <c r="T233" s="0" t="n">
        <f aca="false">SUMPRODUCT(ISNUMBER(SEARCH(" "&amp;Terms!$A$3:$A$821&amp;" ",$D233))*Terms!C$3:C$821)+Terms!C$2</f>
        <v>-1.01292955933597</v>
      </c>
      <c r="U233" s="0" t="n">
        <f aca="false">SUMPRODUCT(ISNUMBER(SEARCH(" "&amp;Terms!$A$3:$A$821&amp;" ",$D233))*Terms!D$3:D$821)+Terms!D$2</f>
        <v>6.27182515894002</v>
      </c>
      <c r="V233" s="0" t="n">
        <f aca="false">SUMPRODUCT(ISNUMBER(SEARCH(" "&amp;Terms!$A$3:$A$821&amp;" ",$D233))*Terms!E$3:E$821)+Terms!E$2</f>
        <v>0.0419781379399062</v>
      </c>
      <c r="W233" s="0" t="n">
        <f aca="false">SUMPRODUCT(ISNUMBER(SEARCH(" "&amp;Terms!$A$3:$A$821&amp;" ",$D233))*Terms!F$3:F$821)+Terms!F$2</f>
        <v>-3.13600900383744</v>
      </c>
      <c r="X233" s="0" t="n">
        <f aca="false">SUMPRODUCT(ISNUMBER(SEARCH(" "&amp;Terms!$A$3:$A$821&amp;" ",$D233))*Terms!G$3:G$821)+Terms!G$2</f>
        <v>-1.36921538360004</v>
      </c>
      <c r="Y233" s="0" t="str">
        <f aca="false">INDEX($S$1:$X$1,MATCH(MAX(S233:X233),S233:X233,0))</f>
        <v>Delays &amp; Processing</v>
      </c>
      <c r="Z233" s="0" t="s">
        <v>2607</v>
      </c>
    </row>
    <row r="234" customFormat="false" ht="15" hidden="false" customHeight="false" outlineLevel="0" collapsed="false">
      <c r="A234" s="0" t="str">
        <f aca="false">Complaints!A234</f>
        <v>C0233</v>
      </c>
      <c r="B234" s="0" t="str">
        <f aca="false">Complaints!B234</f>
        <v>The account maintenance fee was taken twice this month. I expect compensation.</v>
      </c>
      <c r="C234" s="0" t="str">
        <f aca="false">Complaints!C234</f>
        <v>Fees &amp; Charges</v>
      </c>
      <c r="D234" s="0" t="str">
        <f aca="false">" "&amp;TRIM(SUBSTITUTE(SUBSTITUTE(SUBSTITUTE(SUBSTITUTE(SUBSTITUTE(SUBSTITUTE(SUBSTITUTE(SUBSTITUTE(SUBSTITUTE(SUBSTITUTE(SUBSTITUTE(SUBSTITUTE(SUBSTITUTE(SUBSTITUTE(SUBSTITUTE(SUBSTITUTE(LOWER(B234),"."," "),","," "),"'"," "),"’"," "),"!"," "),"?"," "),";"," "),":"," "),"-"," "),"("," "),")"," "),"""", " "),"£"," "),"&amp;"," "),"/"," "),"%"," "))&amp;" "</f>
        <v> the account maintenance fee was taken twice this month i expect compensation </v>
      </c>
      <c r="E234" s="0" t="n">
        <f aca="false">SUMPRODUCT((Rules!$A$2:$A$60=E$1)*Rules!$C$2:$C$60*ISNUMBER(SEARCH(Rules!$D$2:$D$60,$D234)))</f>
        <v>0</v>
      </c>
      <c r="F234" s="0" t="n">
        <f aca="false">SUMPRODUCT((Rules!$A$2:$A$60=F$1)*Rules!$C$2:$C$60*ISNUMBER(SEARCH(Rules!$D$2:$D$60,$D234)))</f>
        <v>0</v>
      </c>
      <c r="G234" s="0" t="n">
        <f aca="false">SUMPRODUCT((Rules!$A$2:$A$60=G$1)*Rules!$C$2:$C$60*ISNUMBER(SEARCH(Rules!$D$2:$D$60,$D234)))</f>
        <v>0</v>
      </c>
      <c r="H234" s="0" t="n">
        <f aca="false">SUMPRODUCT((Rules!$A$2:$A$60=H$1)*Rules!$C$2:$C$60*ISNUMBER(SEARCH(Rules!$D$2:$D$60,$D234)))</f>
        <v>2</v>
      </c>
      <c r="I234" s="0" t="n">
        <f aca="false">SUMPRODUCT((Rules!$A$2:$A$60=I$1)*Rules!$C$2:$C$60*ISNUMBER(SEARCH(Rules!$D$2:$D$60,$D234)))</f>
        <v>0</v>
      </c>
      <c r="J234" s="0" t="n">
        <f aca="false">SUMPRODUCT((Rules!$A$2:$A$60=J$1)*Rules!$C$2:$C$60*ISNUMBER(SEARCH(Rules!$D$2:$D$60,$D234)))</f>
        <v>0</v>
      </c>
      <c r="K234" s="0" t="str">
        <f aca="false">IF(OR(MAX(E234:J234)&lt;Rules!$H$1,MAX(E234:J234)-LARGE(E234:J234,2)&lt;Rules!$H$2),"No label",INDEX($E$1:$J$1,MATCH(MAX(E234:J234),E234:J234,0)))</f>
        <v>No label</v>
      </c>
      <c r="L234" s="0" t="n">
        <f aca="false">SUMPRODUCT((Rules!$A$2:$A$60=L$1)*Rules!$C$2:$C$60*ISNUMBER(SEARCH(Rules!$E$2:$E$60,$D234)))</f>
        <v>0</v>
      </c>
      <c r="M234" s="0" t="n">
        <f aca="false">SUMPRODUCT((Rules!$A$2:$A$60=M$1)*Rules!$C$2:$C$60*ISNUMBER(SEARCH(Rules!$E$2:$E$60,$D234)))</f>
        <v>0</v>
      </c>
      <c r="N234" s="0" t="n">
        <f aca="false">SUMPRODUCT((Rules!$A$2:$A$60=N$1)*Rules!$C$2:$C$60*ISNUMBER(SEARCH(Rules!$E$2:$E$60,$D234)))</f>
        <v>0</v>
      </c>
      <c r="O234" s="0" t="n">
        <f aca="false">SUMPRODUCT((Rules!$A$2:$A$60=O$1)*Rules!$C$2:$C$60*ISNUMBER(SEARCH(Rules!$E$2:$E$60,$D234)))</f>
        <v>2</v>
      </c>
      <c r="P234" s="0" t="n">
        <f aca="false">SUMPRODUCT((Rules!$A$2:$A$60=P$1)*Rules!$C$2:$C$60*ISNUMBER(SEARCH(Rules!$E$2:$E$60,$D234)))</f>
        <v>0</v>
      </c>
      <c r="Q234" s="0" t="n">
        <f aca="false">SUMPRODUCT((Rules!$A$2:$A$60=Q$1)*Rules!$C$2:$C$60*ISNUMBER(SEARCH(Rules!$E$2:$E$60,$D234)))</f>
        <v>0</v>
      </c>
      <c r="R234" s="0" t="str">
        <f aca="false">IF(OR(MAX(L234:Q234)&lt;Rules!$H$1,MAX(L234:Q234)-LARGE(L234:Q234,2)&lt;Rules!$H$2),"No label",INDEX($L$1:$Q$1,MATCH(MAX(L234:Q234),L234:Q234,0)))</f>
        <v>No label</v>
      </c>
      <c r="S234" s="0" t="n">
        <f aca="false">SUMPRODUCT(ISNUMBER(SEARCH(" "&amp;Terms!$A$3:$A$821&amp;" ",$D234))*Terms!B$3:B$821)+Terms!B$2</f>
        <v>1.2327178411657</v>
      </c>
      <c r="T234" s="0" t="n">
        <f aca="false">SUMPRODUCT(ISNUMBER(SEARCH(" "&amp;Terms!$A$3:$A$821&amp;" ",$D234))*Terms!C$3:C$821)+Terms!C$2</f>
        <v>-3.68794255286797</v>
      </c>
      <c r="U234" s="0" t="n">
        <f aca="false">SUMPRODUCT(ISNUMBER(SEARCH(" "&amp;Terms!$A$3:$A$821&amp;" ",$D234))*Terms!D$3:D$821)+Terms!D$2</f>
        <v>-0.7183912447659</v>
      </c>
      <c r="V234" s="0" t="n">
        <f aca="false">SUMPRODUCT(ISNUMBER(SEARCH(" "&amp;Terms!$A$3:$A$821&amp;" ",$D234))*Terms!E$3:E$821)+Terms!E$2</f>
        <v>11.0917603446526</v>
      </c>
      <c r="W234" s="0" t="n">
        <f aca="false">SUMPRODUCT(ISNUMBER(SEARCH(" "&amp;Terms!$A$3:$A$821&amp;" ",$D234))*Terms!F$3:F$821)+Terms!F$2</f>
        <v>-0.920240318536556</v>
      </c>
      <c r="X234" s="0" t="n">
        <f aca="false">SUMPRODUCT(ISNUMBER(SEARCH(" "&amp;Terms!$A$3:$A$821&amp;" ",$D234))*Terms!G$3:G$821)+Terms!G$2</f>
        <v>-6.99790406964776</v>
      </c>
      <c r="Y234" s="0" t="str">
        <f aca="false">INDEX($S$1:$X$1,MATCH(MAX(S234:X234),S234:X234,0))</f>
        <v>Fees &amp; Charges</v>
      </c>
      <c r="Z234" s="0" t="s">
        <v>2607</v>
      </c>
    </row>
    <row r="235" customFormat="false" ht="15" hidden="false" customHeight="false" outlineLevel="0" collapsed="false">
      <c r="A235" s="0" t="str">
        <f aca="false">Complaints!A235</f>
        <v>C0234</v>
      </c>
      <c r="B235" s="0" t="str">
        <f aca="false">Complaints!B235</f>
        <v>I reported the unauthorised payment but you refused to reimburse me. I could not log in to check either.</v>
      </c>
      <c r="C235" s="0" t="str">
        <f aca="false">Complaints!C235</f>
        <v>Fraud &amp; Scams</v>
      </c>
      <c r="D235" s="0" t="str">
        <f aca="false">" "&amp;TRIM(SUBSTITUTE(SUBSTITUTE(SUBSTITUTE(SUBSTITUTE(SUBSTITUTE(SUBSTITUTE(SUBSTITUTE(SUBSTITUTE(SUBSTITUTE(SUBSTITUTE(SUBSTITUTE(SUBSTITUTE(SUBSTITUTE(SUBSTITUTE(SUBSTITUTE(SUBSTITUTE(LOWER(B235),"."," "),","," "),"'"," "),"’"," "),"!"," "),"?"," "),";"," "),":"," "),"-"," "),"("," "),")"," "),"""", " "),"£"," "),"&amp;"," "),"/"," "),"%"," "))&amp;" "</f>
        <v> i reported the unauthorised payment but you refused to reimburse me i could not log in to check either </v>
      </c>
      <c r="E235" s="0" t="n">
        <f aca="false">SUMPRODUCT((Rules!$A$2:$A$60=E$1)*Rules!$C$2:$C$60*ISNUMBER(SEARCH(Rules!$D$2:$D$60,$D235)))</f>
        <v>3</v>
      </c>
      <c r="F235" s="0" t="n">
        <f aca="false">SUMPRODUCT((Rules!$A$2:$A$60=F$1)*Rules!$C$2:$C$60*ISNUMBER(SEARCH(Rules!$D$2:$D$60,$D235)))</f>
        <v>0</v>
      </c>
      <c r="G235" s="0" t="n">
        <f aca="false">SUMPRODUCT((Rules!$A$2:$A$60=G$1)*Rules!$C$2:$C$60*ISNUMBER(SEARCH(Rules!$D$2:$D$60,$D235)))</f>
        <v>3</v>
      </c>
      <c r="H235" s="0" t="n">
        <f aca="false">SUMPRODUCT((Rules!$A$2:$A$60=H$1)*Rules!$C$2:$C$60*ISNUMBER(SEARCH(Rules!$D$2:$D$60,$D235)))</f>
        <v>0</v>
      </c>
      <c r="I235" s="0" t="n">
        <f aca="false">SUMPRODUCT((Rules!$A$2:$A$60=I$1)*Rules!$C$2:$C$60*ISNUMBER(SEARCH(Rules!$D$2:$D$60,$D235)))</f>
        <v>0</v>
      </c>
      <c r="J235" s="0" t="n">
        <f aca="false">SUMPRODUCT((Rules!$A$2:$A$60=J$1)*Rules!$C$2:$C$60*ISNUMBER(SEARCH(Rules!$D$2:$D$60,$D235)))</f>
        <v>0</v>
      </c>
      <c r="K235" s="0" t="str">
        <f aca="false">IF(OR(MAX(E235:J235)&lt;Rules!$H$1,MAX(E235:J235)-LARGE(E235:J235,2)&lt;Rules!$H$2),"No label",INDEX($E$1:$J$1,MATCH(MAX(E235:J235),E235:J235,0)))</f>
        <v>No label</v>
      </c>
      <c r="L235" s="0" t="n">
        <f aca="false">SUMPRODUCT((Rules!$A$2:$A$60=L$1)*Rules!$C$2:$C$60*ISNUMBER(SEARCH(Rules!$E$2:$E$60,$D235)))</f>
        <v>3</v>
      </c>
      <c r="M235" s="0" t="n">
        <f aca="false">SUMPRODUCT((Rules!$A$2:$A$60=M$1)*Rules!$C$2:$C$60*ISNUMBER(SEARCH(Rules!$E$2:$E$60,$D235)))</f>
        <v>0</v>
      </c>
      <c r="N235" s="0" t="n">
        <f aca="false">SUMPRODUCT((Rules!$A$2:$A$60=N$1)*Rules!$C$2:$C$60*ISNUMBER(SEARCH(Rules!$E$2:$E$60,$D235)))</f>
        <v>3</v>
      </c>
      <c r="O235" s="0" t="n">
        <f aca="false">SUMPRODUCT((Rules!$A$2:$A$60=O$1)*Rules!$C$2:$C$60*ISNUMBER(SEARCH(Rules!$E$2:$E$60,$D235)))</f>
        <v>0</v>
      </c>
      <c r="P235" s="0" t="n">
        <f aca="false">SUMPRODUCT((Rules!$A$2:$A$60=P$1)*Rules!$C$2:$C$60*ISNUMBER(SEARCH(Rules!$E$2:$E$60,$D235)))</f>
        <v>0</v>
      </c>
      <c r="Q235" s="0" t="n">
        <f aca="false">SUMPRODUCT((Rules!$A$2:$A$60=Q$1)*Rules!$C$2:$C$60*ISNUMBER(SEARCH(Rules!$E$2:$E$60,$D235)))</f>
        <v>0</v>
      </c>
      <c r="R235" s="0" t="str">
        <f aca="false">IF(OR(MAX(L235:Q235)&lt;Rules!$H$1,MAX(L235:Q235)-LARGE(L235:Q235,2)&lt;Rules!$H$2),"No label",INDEX($L$1:$Q$1,MATCH(MAX(L235:Q235),L235:Q235,0)))</f>
        <v>No label</v>
      </c>
      <c r="S235" s="0" t="n">
        <f aca="false">SUMPRODUCT(ISNUMBER(SEARCH(" "&amp;Terms!$A$3:$A$821&amp;" ",$D235))*Terms!B$3:B$821)+Terms!B$2</f>
        <v>-0.53610464981824</v>
      </c>
      <c r="T235" s="0" t="n">
        <f aca="false">SUMPRODUCT(ISNUMBER(SEARCH(" "&amp;Terms!$A$3:$A$821&amp;" ",$D235))*Terms!C$3:C$821)+Terms!C$2</f>
        <v>-4.2200620863941</v>
      </c>
      <c r="U235" s="0" t="n">
        <f aca="false">SUMPRODUCT(ISNUMBER(SEARCH(" "&amp;Terms!$A$3:$A$821&amp;" ",$D235))*Terms!D$3:D$821)+Terms!D$2</f>
        <v>-0.10350500606976</v>
      </c>
      <c r="V235" s="0" t="n">
        <f aca="false">SUMPRODUCT(ISNUMBER(SEARCH(" "&amp;Terms!$A$3:$A$821&amp;" ",$D235))*Terms!E$3:E$821)+Terms!E$2</f>
        <v>-1.49813367100755</v>
      </c>
      <c r="W235" s="0" t="n">
        <f aca="false">SUMPRODUCT(ISNUMBER(SEARCH(" "&amp;Terms!$A$3:$A$821&amp;" ",$D235))*Terms!F$3:F$821)+Terms!F$2</f>
        <v>8.7126113798252</v>
      </c>
      <c r="X235" s="0" t="n">
        <f aca="false">SUMPRODUCT(ISNUMBER(SEARCH(" "&amp;Terms!$A$3:$A$821&amp;" ",$D235))*Terms!G$3:G$821)+Terms!G$2</f>
        <v>-2.35480596653548</v>
      </c>
      <c r="Y235" s="0" t="str">
        <f aca="false">INDEX($S$1:$X$1,MATCH(MAX(S235:X235),S235:X235,0))</f>
        <v>Fraud &amp; Scams</v>
      </c>
      <c r="Z235" s="0" t="s">
        <v>2607</v>
      </c>
    </row>
    <row r="236" customFormat="false" ht="15" hidden="false" customHeight="false" outlineLevel="0" collapsed="false">
      <c r="A236" s="0" t="str">
        <f aca="false">Complaints!A236</f>
        <v>C0235</v>
      </c>
      <c r="B236" s="0" t="str">
        <f aca="false">Complaints!B236</f>
        <v>My card reader stopped working and I cannot approve payments.</v>
      </c>
      <c r="C236" s="0" t="str">
        <f aca="false">Complaints!C236</f>
        <v>Account Access</v>
      </c>
      <c r="D236" s="0" t="str">
        <f aca="false">" "&amp;TRIM(SUBSTITUTE(SUBSTITUTE(SUBSTITUTE(SUBSTITUTE(SUBSTITUTE(SUBSTITUTE(SUBSTITUTE(SUBSTITUTE(SUBSTITUTE(SUBSTITUTE(SUBSTITUTE(SUBSTITUTE(SUBSTITUTE(SUBSTITUTE(SUBSTITUTE(SUBSTITUTE(LOWER(B236),"."," "),","," "),"'"," "),"’"," "),"!"," "),"?"," "),";"," "),":"," "),"-"," "),"("," "),")"," "),"""", " "),"£"," "),"&amp;"," "),"/"," "),"%"," "))&amp;" "</f>
        <v> my card reader stopped working and i cannot approve payments </v>
      </c>
      <c r="E236" s="0" t="n">
        <f aca="false">SUMPRODUCT((Rules!$A$2:$A$60=E$1)*Rules!$C$2:$C$60*ISNUMBER(SEARCH(Rules!$D$2:$D$60,$D236)))</f>
        <v>0</v>
      </c>
      <c r="F236" s="0" t="n">
        <f aca="false">SUMPRODUCT((Rules!$A$2:$A$60=F$1)*Rules!$C$2:$C$60*ISNUMBER(SEARCH(Rules!$D$2:$D$60,$D236)))</f>
        <v>0</v>
      </c>
      <c r="G236" s="0" t="n">
        <f aca="false">SUMPRODUCT((Rules!$A$2:$A$60=G$1)*Rules!$C$2:$C$60*ISNUMBER(SEARCH(Rules!$D$2:$D$60,$D236)))</f>
        <v>0</v>
      </c>
      <c r="H236" s="0" t="n">
        <f aca="false">SUMPRODUCT((Rules!$A$2:$A$60=H$1)*Rules!$C$2:$C$60*ISNUMBER(SEARCH(Rules!$D$2:$D$60,$D236)))</f>
        <v>0</v>
      </c>
      <c r="I236" s="0" t="n">
        <f aca="false">SUMPRODUCT((Rules!$A$2:$A$60=I$1)*Rules!$C$2:$C$60*ISNUMBER(SEARCH(Rules!$D$2:$D$60,$D236)))</f>
        <v>0</v>
      </c>
      <c r="J236" s="0" t="n">
        <f aca="false">SUMPRODUCT((Rules!$A$2:$A$60=J$1)*Rules!$C$2:$C$60*ISNUMBER(SEARCH(Rules!$D$2:$D$60,$D236)))</f>
        <v>0</v>
      </c>
      <c r="K236" s="0" t="str">
        <f aca="false">IF(OR(MAX(E236:J236)&lt;Rules!$H$1,MAX(E236:J236)-LARGE(E236:J236,2)&lt;Rules!$H$2),"No label",INDEX($E$1:$J$1,MATCH(MAX(E236:J236),E236:J236,0)))</f>
        <v>No label</v>
      </c>
      <c r="L236" s="0" t="n">
        <f aca="false">SUMPRODUCT((Rules!$A$2:$A$60=L$1)*Rules!$C$2:$C$60*ISNUMBER(SEARCH(Rules!$E$2:$E$60,$D236)))</f>
        <v>0</v>
      </c>
      <c r="M236" s="0" t="n">
        <f aca="false">SUMPRODUCT((Rules!$A$2:$A$60=M$1)*Rules!$C$2:$C$60*ISNUMBER(SEARCH(Rules!$E$2:$E$60,$D236)))</f>
        <v>0</v>
      </c>
      <c r="N236" s="0" t="n">
        <f aca="false">SUMPRODUCT((Rules!$A$2:$A$60=N$1)*Rules!$C$2:$C$60*ISNUMBER(SEARCH(Rules!$E$2:$E$60,$D236)))</f>
        <v>0</v>
      </c>
      <c r="O236" s="0" t="n">
        <f aca="false">SUMPRODUCT((Rules!$A$2:$A$60=O$1)*Rules!$C$2:$C$60*ISNUMBER(SEARCH(Rules!$E$2:$E$60,$D236)))</f>
        <v>0</v>
      </c>
      <c r="P236" s="0" t="n">
        <f aca="false">SUMPRODUCT((Rules!$A$2:$A$60=P$1)*Rules!$C$2:$C$60*ISNUMBER(SEARCH(Rules!$E$2:$E$60,$D236)))</f>
        <v>0</v>
      </c>
      <c r="Q236" s="0" t="n">
        <f aca="false">SUMPRODUCT((Rules!$A$2:$A$60=Q$1)*Rules!$C$2:$C$60*ISNUMBER(SEARCH(Rules!$E$2:$E$60,$D236)))</f>
        <v>0</v>
      </c>
      <c r="R236" s="0" t="str">
        <f aca="false">IF(OR(MAX(L236:Q236)&lt;Rules!$H$1,MAX(L236:Q236)-LARGE(L236:Q236,2)&lt;Rules!$H$2),"No label",INDEX($L$1:$Q$1,MATCH(MAX(L236:Q236),L236:Q236,0)))</f>
        <v>No label</v>
      </c>
      <c r="S236" s="0" t="n">
        <f aca="false">SUMPRODUCT(ISNUMBER(SEARCH(" "&amp;Terms!$A$3:$A$821&amp;" ",$D236))*Terms!B$3:B$821)+Terms!B$2</f>
        <v>15.7674903131384</v>
      </c>
      <c r="T236" s="0" t="n">
        <f aca="false">SUMPRODUCT(ISNUMBER(SEARCH(" "&amp;Terms!$A$3:$A$821&amp;" ",$D236))*Terms!C$3:C$821)+Terms!C$2</f>
        <v>0.0367702771529349</v>
      </c>
      <c r="U236" s="0" t="n">
        <f aca="false">SUMPRODUCT(ISNUMBER(SEARCH(" "&amp;Terms!$A$3:$A$821&amp;" ",$D236))*Terms!D$3:D$821)+Terms!D$2</f>
        <v>-2.92257983861843</v>
      </c>
      <c r="V236" s="0" t="n">
        <f aca="false">SUMPRODUCT(ISNUMBER(SEARCH(" "&amp;Terms!$A$3:$A$821&amp;" ",$D236))*Terms!E$3:E$821)+Terms!E$2</f>
        <v>-4.94001252091286</v>
      </c>
      <c r="W236" s="0" t="n">
        <f aca="false">SUMPRODUCT(ISNUMBER(SEARCH(" "&amp;Terms!$A$3:$A$821&amp;" ",$D236))*Terms!F$3:F$821)+Terms!F$2</f>
        <v>-0.0673487189589702</v>
      </c>
      <c r="X236" s="0" t="n">
        <f aca="false">SUMPRODUCT(ISNUMBER(SEARCH(" "&amp;Terms!$A$3:$A$821&amp;" ",$D236))*Terms!G$3:G$821)+Terms!G$2</f>
        <v>-7.87431951180104</v>
      </c>
      <c r="Y236" s="0" t="str">
        <f aca="false">INDEX($S$1:$X$1,MATCH(MAX(S236:X236),S236:X236,0))</f>
        <v>Account Access</v>
      </c>
      <c r="Z236" s="0" t="s">
        <v>2608</v>
      </c>
    </row>
    <row r="237" customFormat="false" ht="15" hidden="false" customHeight="false" outlineLevel="0" collapsed="false">
      <c r="A237" s="0" t="str">
        <f aca="false">Complaints!A237</f>
        <v>C0236</v>
      </c>
      <c r="B237" s="0" t="str">
        <f aca="false">Complaints!B237</f>
        <v>This is the second time I have raised this. A late payment fee appeared and I want it refunded. I could not log in to check either. Please sort this out.</v>
      </c>
      <c r="C237" s="0" t="str">
        <f aca="false">Complaints!C237</f>
        <v>Fees &amp; Charges</v>
      </c>
      <c r="D237" s="0" t="str">
        <f aca="false">" "&amp;TRIM(SUBSTITUTE(SUBSTITUTE(SUBSTITUTE(SUBSTITUTE(SUBSTITUTE(SUBSTITUTE(SUBSTITUTE(SUBSTITUTE(SUBSTITUTE(SUBSTITUTE(SUBSTITUTE(SUBSTITUTE(SUBSTITUTE(SUBSTITUTE(SUBSTITUTE(SUBSTITUTE(LOWER(B237),"."," "),","," "),"'"," "),"’"," "),"!"," "),"?"," "),";"," "),":"," "),"-"," "),"("," "),")"," "),"""", " "),"£"," "),"&amp;"," "),"/"," "),"%"," "))&amp;" "</f>
        <v> this is the second time i have raised this a late payment fee appeared and i want it refunded i could not log in to check either please sort this out </v>
      </c>
      <c r="E237" s="0" t="n">
        <f aca="false">SUMPRODUCT((Rules!$A$2:$A$60=E$1)*Rules!$C$2:$C$60*ISNUMBER(SEARCH(Rules!$D$2:$D$60,$D237)))</f>
        <v>0</v>
      </c>
      <c r="F237" s="0" t="n">
        <f aca="false">SUMPRODUCT((Rules!$A$2:$A$60=F$1)*Rules!$C$2:$C$60*ISNUMBER(SEARCH(Rules!$D$2:$D$60,$D237)))</f>
        <v>0</v>
      </c>
      <c r="G237" s="0" t="n">
        <f aca="false">SUMPRODUCT((Rules!$A$2:$A$60=G$1)*Rules!$C$2:$C$60*ISNUMBER(SEARCH(Rules!$D$2:$D$60,$D237)))</f>
        <v>3</v>
      </c>
      <c r="H237" s="0" t="n">
        <f aca="false">SUMPRODUCT((Rules!$A$2:$A$60=H$1)*Rules!$C$2:$C$60*ISNUMBER(SEARCH(Rules!$D$2:$D$60,$D237)))</f>
        <v>2</v>
      </c>
      <c r="I237" s="0" t="n">
        <f aca="false">SUMPRODUCT((Rules!$A$2:$A$60=I$1)*Rules!$C$2:$C$60*ISNUMBER(SEARCH(Rules!$D$2:$D$60,$D237)))</f>
        <v>0</v>
      </c>
      <c r="J237" s="0" t="n">
        <f aca="false">SUMPRODUCT((Rules!$A$2:$A$60=J$1)*Rules!$C$2:$C$60*ISNUMBER(SEARCH(Rules!$D$2:$D$60,$D237)))</f>
        <v>0</v>
      </c>
      <c r="K237" s="0" t="str">
        <f aca="false">IF(OR(MAX(E237:J237)&lt;Rules!$H$1,MAX(E237:J237)-LARGE(E237:J237,2)&lt;Rules!$H$2),"No label",INDEX($E$1:$J$1,MATCH(MAX(E237:J237),E237:J237,0)))</f>
        <v>No label</v>
      </c>
      <c r="L237" s="0" t="n">
        <f aca="false">SUMPRODUCT((Rules!$A$2:$A$60=L$1)*Rules!$C$2:$C$60*ISNUMBER(SEARCH(Rules!$E$2:$E$60,$D237)))</f>
        <v>0</v>
      </c>
      <c r="M237" s="0" t="n">
        <f aca="false">SUMPRODUCT((Rules!$A$2:$A$60=M$1)*Rules!$C$2:$C$60*ISNUMBER(SEARCH(Rules!$E$2:$E$60,$D237)))</f>
        <v>0</v>
      </c>
      <c r="N237" s="0" t="n">
        <f aca="false">SUMPRODUCT((Rules!$A$2:$A$60=N$1)*Rules!$C$2:$C$60*ISNUMBER(SEARCH(Rules!$E$2:$E$60,$D237)))</f>
        <v>3</v>
      </c>
      <c r="O237" s="0" t="n">
        <f aca="false">SUMPRODUCT((Rules!$A$2:$A$60=O$1)*Rules!$C$2:$C$60*ISNUMBER(SEARCH(Rules!$E$2:$E$60,$D237)))</f>
        <v>2</v>
      </c>
      <c r="P237" s="0" t="n">
        <f aca="false">SUMPRODUCT((Rules!$A$2:$A$60=P$1)*Rules!$C$2:$C$60*ISNUMBER(SEARCH(Rules!$E$2:$E$60,$D237)))</f>
        <v>0</v>
      </c>
      <c r="Q237" s="0" t="n">
        <f aca="false">SUMPRODUCT((Rules!$A$2:$A$60=Q$1)*Rules!$C$2:$C$60*ISNUMBER(SEARCH(Rules!$E$2:$E$60,$D237)))</f>
        <v>0</v>
      </c>
      <c r="R237" s="0" t="str">
        <f aca="false">IF(OR(MAX(L237:Q237)&lt;Rules!$H$1,MAX(L237:Q237)-LARGE(L237:Q237,2)&lt;Rules!$H$2),"No label",INDEX($L$1:$Q$1,MATCH(MAX(L237:Q237),L237:Q237,0)))</f>
        <v>No label</v>
      </c>
      <c r="S237" s="0" t="n">
        <f aca="false">SUMPRODUCT(ISNUMBER(SEARCH(" "&amp;Terms!$A$3:$A$821&amp;" ",$D237))*Terms!B$3:B$821)+Terms!B$2</f>
        <v>-7.85249026709574</v>
      </c>
      <c r="T237" s="0" t="n">
        <f aca="false">SUMPRODUCT(ISNUMBER(SEARCH(" "&amp;Terms!$A$3:$A$821&amp;" ",$D237))*Terms!C$3:C$821)+Terms!C$2</f>
        <v>-3.81773001765495</v>
      </c>
      <c r="U237" s="0" t="n">
        <f aca="false">SUMPRODUCT(ISNUMBER(SEARCH(" "&amp;Terms!$A$3:$A$821&amp;" ",$D237))*Terms!D$3:D$821)+Terms!D$2</f>
        <v>0.142593092215937</v>
      </c>
      <c r="V237" s="0" t="n">
        <f aca="false">SUMPRODUCT(ISNUMBER(SEARCH(" "&amp;Terms!$A$3:$A$821&amp;" ",$D237))*Terms!E$3:E$821)+Terms!E$2</f>
        <v>16.8592774617955</v>
      </c>
      <c r="W237" s="0" t="n">
        <f aca="false">SUMPRODUCT(ISNUMBER(SEARCH(" "&amp;Terms!$A$3:$A$821&amp;" ",$D237))*Terms!F$3:F$821)+Terms!F$2</f>
        <v>1.10216478025693</v>
      </c>
      <c r="X237" s="0" t="n">
        <f aca="false">SUMPRODUCT(ISNUMBER(SEARCH(" "&amp;Terms!$A$3:$A$821&amp;" ",$D237))*Terms!G$3:G$821)+Terms!G$2</f>
        <v>-6.43381504951759</v>
      </c>
      <c r="Y237" s="0" t="str">
        <f aca="false">INDEX($S$1:$X$1,MATCH(MAX(S237:X237),S237:X237,0))</f>
        <v>Fees &amp; Charges</v>
      </c>
      <c r="Z237" s="0" t="s">
        <v>2607</v>
      </c>
    </row>
    <row r="238" customFormat="false" ht="15" hidden="false" customHeight="false" outlineLevel="0" collapsed="false">
      <c r="A238" s="0" t="str">
        <f aca="false">Complaints!A238</f>
        <v>C0237</v>
      </c>
      <c r="B238" s="0" t="str">
        <f aca="false">Complaints!B238</f>
        <v>I have had enough of the way this has gone. I would like a response in writing.</v>
      </c>
      <c r="C238" s="0" t="str">
        <f aca="false">Complaints!C238</f>
        <v>Mis-selling</v>
      </c>
      <c r="D238" s="0" t="str">
        <f aca="false">" "&amp;TRIM(SUBSTITUTE(SUBSTITUTE(SUBSTITUTE(SUBSTITUTE(SUBSTITUTE(SUBSTITUTE(SUBSTITUTE(SUBSTITUTE(SUBSTITUTE(SUBSTITUTE(SUBSTITUTE(SUBSTITUTE(SUBSTITUTE(SUBSTITUTE(SUBSTITUTE(SUBSTITUTE(LOWER(B238),"."," "),","," "),"'"," "),"’"," "),"!"," "),"?"," "),";"," "),":"," "),"-"," "),"("," "),")"," "),"""", " "),"£"," "),"&amp;"," "),"/"," "),"%"," "))&amp;" "</f>
        <v> i have had enough of the way this has gone i would like a response in writing </v>
      </c>
      <c r="E238" s="0" t="n">
        <f aca="false">SUMPRODUCT((Rules!$A$2:$A$60=E$1)*Rules!$C$2:$C$60*ISNUMBER(SEARCH(Rules!$D$2:$D$60,$D238)))</f>
        <v>0</v>
      </c>
      <c r="F238" s="0" t="n">
        <f aca="false">SUMPRODUCT((Rules!$A$2:$A$60=F$1)*Rules!$C$2:$C$60*ISNUMBER(SEARCH(Rules!$D$2:$D$60,$D238)))</f>
        <v>0</v>
      </c>
      <c r="G238" s="0" t="n">
        <f aca="false">SUMPRODUCT((Rules!$A$2:$A$60=G$1)*Rules!$C$2:$C$60*ISNUMBER(SEARCH(Rules!$D$2:$D$60,$D238)))</f>
        <v>0</v>
      </c>
      <c r="H238" s="0" t="n">
        <f aca="false">SUMPRODUCT((Rules!$A$2:$A$60=H$1)*Rules!$C$2:$C$60*ISNUMBER(SEARCH(Rules!$D$2:$D$60,$D238)))</f>
        <v>0</v>
      </c>
      <c r="I238" s="0" t="n">
        <f aca="false">SUMPRODUCT((Rules!$A$2:$A$60=I$1)*Rules!$C$2:$C$60*ISNUMBER(SEARCH(Rules!$D$2:$D$60,$D238)))</f>
        <v>0</v>
      </c>
      <c r="J238" s="0" t="n">
        <f aca="false">SUMPRODUCT((Rules!$A$2:$A$60=J$1)*Rules!$C$2:$C$60*ISNUMBER(SEARCH(Rules!$D$2:$D$60,$D238)))</f>
        <v>0</v>
      </c>
      <c r="K238" s="0" t="str">
        <f aca="false">IF(OR(MAX(E238:J238)&lt;Rules!$H$1,MAX(E238:J238)-LARGE(E238:J238,2)&lt;Rules!$H$2),"No label",INDEX($E$1:$J$1,MATCH(MAX(E238:J238),E238:J238,0)))</f>
        <v>No label</v>
      </c>
      <c r="L238" s="0" t="n">
        <f aca="false">SUMPRODUCT((Rules!$A$2:$A$60=L$1)*Rules!$C$2:$C$60*ISNUMBER(SEARCH(Rules!$E$2:$E$60,$D238)))</f>
        <v>0</v>
      </c>
      <c r="M238" s="0" t="n">
        <f aca="false">SUMPRODUCT((Rules!$A$2:$A$60=M$1)*Rules!$C$2:$C$60*ISNUMBER(SEARCH(Rules!$E$2:$E$60,$D238)))</f>
        <v>0</v>
      </c>
      <c r="N238" s="0" t="n">
        <f aca="false">SUMPRODUCT((Rules!$A$2:$A$60=N$1)*Rules!$C$2:$C$60*ISNUMBER(SEARCH(Rules!$E$2:$E$60,$D238)))</f>
        <v>0</v>
      </c>
      <c r="O238" s="0" t="n">
        <f aca="false">SUMPRODUCT((Rules!$A$2:$A$60=O$1)*Rules!$C$2:$C$60*ISNUMBER(SEARCH(Rules!$E$2:$E$60,$D238)))</f>
        <v>0</v>
      </c>
      <c r="P238" s="0" t="n">
        <f aca="false">SUMPRODUCT((Rules!$A$2:$A$60=P$1)*Rules!$C$2:$C$60*ISNUMBER(SEARCH(Rules!$E$2:$E$60,$D238)))</f>
        <v>0</v>
      </c>
      <c r="Q238" s="0" t="n">
        <f aca="false">SUMPRODUCT((Rules!$A$2:$A$60=Q$1)*Rules!$C$2:$C$60*ISNUMBER(SEARCH(Rules!$E$2:$E$60,$D238)))</f>
        <v>0</v>
      </c>
      <c r="R238" s="0" t="str">
        <f aca="false">IF(OR(MAX(L238:Q238)&lt;Rules!$H$1,MAX(L238:Q238)-LARGE(L238:Q238,2)&lt;Rules!$H$2),"No label",INDEX($L$1:$Q$1,MATCH(MAX(L238:Q238),L238:Q238,0)))</f>
        <v>No label</v>
      </c>
      <c r="S238" s="0" t="n">
        <f aca="false">SUMPRODUCT(ISNUMBER(SEARCH(" "&amp;Terms!$A$3:$A$821&amp;" ",$D238))*Terms!B$3:B$821)+Terms!B$2</f>
        <v>0.909468616099522</v>
      </c>
      <c r="T238" s="0" t="n">
        <f aca="false">SUMPRODUCT(ISNUMBER(SEARCH(" "&amp;Terms!$A$3:$A$821&amp;" ",$D238))*Terms!C$3:C$821)+Terms!C$2</f>
        <v>-0.366337533986498</v>
      </c>
      <c r="U238" s="0" t="n">
        <f aca="false">SUMPRODUCT(ISNUMBER(SEARCH(" "&amp;Terms!$A$3:$A$821&amp;" ",$D238))*Terms!D$3:D$821)+Terms!D$2</f>
        <v>-0.0958161860751883</v>
      </c>
      <c r="V238" s="0" t="n">
        <f aca="false">SUMPRODUCT(ISNUMBER(SEARCH(" "&amp;Terms!$A$3:$A$821&amp;" ",$D238))*Terms!E$3:E$821)+Terms!E$2</f>
        <v>1.01381044202624</v>
      </c>
      <c r="W238" s="0" t="n">
        <f aca="false">SUMPRODUCT(ISNUMBER(SEARCH(" "&amp;Terms!$A$3:$A$821&amp;" ",$D238))*Terms!F$3:F$821)+Terms!F$2</f>
        <v>-3.10088022943279</v>
      </c>
      <c r="X238" s="0" t="n">
        <f aca="false">SUMPRODUCT(ISNUMBER(SEARCH(" "&amp;Terms!$A$3:$A$821&amp;" ",$D238))*Terms!G$3:G$821)+Terms!G$2</f>
        <v>1.6397548913688</v>
      </c>
      <c r="Y238" s="0" t="str">
        <f aca="false">INDEX($S$1:$X$1,MATCH(MAX(S238:X238),S238:X238,0))</f>
        <v>Mis-selling</v>
      </c>
      <c r="Z238" s="0" t="s">
        <v>2607</v>
      </c>
    </row>
    <row r="239" customFormat="false" ht="15" hidden="false" customHeight="false" outlineLevel="0" collapsed="false">
      <c r="A239" s="0" t="str">
        <f aca="false">Complaints!A239</f>
        <v>C0238</v>
      </c>
      <c r="B239" s="0" t="str">
        <f aca="false">Complaints!B239</f>
        <v>I sent the form twice and it seems to have been lost in the system. I want this put right.</v>
      </c>
      <c r="C239" s="0" t="str">
        <f aca="false">Complaints!C239</f>
        <v>Delays &amp; Processing</v>
      </c>
      <c r="D239" s="0" t="str">
        <f aca="false">" "&amp;TRIM(SUBSTITUTE(SUBSTITUTE(SUBSTITUTE(SUBSTITUTE(SUBSTITUTE(SUBSTITUTE(SUBSTITUTE(SUBSTITUTE(SUBSTITUTE(SUBSTITUTE(SUBSTITUTE(SUBSTITUTE(SUBSTITUTE(SUBSTITUTE(SUBSTITUTE(SUBSTITUTE(LOWER(B239),"."," "),","," "),"'"," "),"’"," "),"!"," "),"?"," "),";"," "),":"," "),"-"," "),"("," "),")"," "),"""", " "),"£"," "),"&amp;"," "),"/"," "),"%"," "))&amp;" "</f>
        <v> i sent the form twice and it seems to have been lost in the system i want this put right </v>
      </c>
      <c r="E239" s="0" t="n">
        <f aca="false">SUMPRODUCT((Rules!$A$2:$A$60=E$1)*Rules!$C$2:$C$60*ISNUMBER(SEARCH(Rules!$D$2:$D$60,$D239)))</f>
        <v>0</v>
      </c>
      <c r="F239" s="0" t="n">
        <f aca="false">SUMPRODUCT((Rules!$A$2:$A$60=F$1)*Rules!$C$2:$C$60*ISNUMBER(SEARCH(Rules!$D$2:$D$60,$D239)))</f>
        <v>0</v>
      </c>
      <c r="G239" s="0" t="n">
        <f aca="false">SUMPRODUCT((Rules!$A$2:$A$60=G$1)*Rules!$C$2:$C$60*ISNUMBER(SEARCH(Rules!$D$2:$D$60,$D239)))</f>
        <v>0</v>
      </c>
      <c r="H239" s="0" t="n">
        <f aca="false">SUMPRODUCT((Rules!$A$2:$A$60=H$1)*Rules!$C$2:$C$60*ISNUMBER(SEARCH(Rules!$D$2:$D$60,$D239)))</f>
        <v>0</v>
      </c>
      <c r="I239" s="0" t="n">
        <f aca="false">SUMPRODUCT((Rules!$A$2:$A$60=I$1)*Rules!$C$2:$C$60*ISNUMBER(SEARCH(Rules!$D$2:$D$60,$D239)))</f>
        <v>0</v>
      </c>
      <c r="J239" s="0" t="n">
        <f aca="false">SUMPRODUCT((Rules!$A$2:$A$60=J$1)*Rules!$C$2:$C$60*ISNUMBER(SEARCH(Rules!$D$2:$D$60,$D239)))</f>
        <v>0</v>
      </c>
      <c r="K239" s="0" t="str">
        <f aca="false">IF(OR(MAX(E239:J239)&lt;Rules!$H$1,MAX(E239:J239)-LARGE(E239:J239,2)&lt;Rules!$H$2),"No label",INDEX($E$1:$J$1,MATCH(MAX(E239:J239),E239:J239,0)))</f>
        <v>No label</v>
      </c>
      <c r="L239" s="0" t="n">
        <f aca="false">SUMPRODUCT((Rules!$A$2:$A$60=L$1)*Rules!$C$2:$C$60*ISNUMBER(SEARCH(Rules!$E$2:$E$60,$D239)))</f>
        <v>0</v>
      </c>
      <c r="M239" s="0" t="n">
        <f aca="false">SUMPRODUCT((Rules!$A$2:$A$60=M$1)*Rules!$C$2:$C$60*ISNUMBER(SEARCH(Rules!$E$2:$E$60,$D239)))</f>
        <v>0</v>
      </c>
      <c r="N239" s="0" t="n">
        <f aca="false">SUMPRODUCT((Rules!$A$2:$A$60=N$1)*Rules!$C$2:$C$60*ISNUMBER(SEARCH(Rules!$E$2:$E$60,$D239)))</f>
        <v>0</v>
      </c>
      <c r="O239" s="0" t="n">
        <f aca="false">SUMPRODUCT((Rules!$A$2:$A$60=O$1)*Rules!$C$2:$C$60*ISNUMBER(SEARCH(Rules!$E$2:$E$60,$D239)))</f>
        <v>0</v>
      </c>
      <c r="P239" s="0" t="n">
        <f aca="false">SUMPRODUCT((Rules!$A$2:$A$60=P$1)*Rules!$C$2:$C$60*ISNUMBER(SEARCH(Rules!$E$2:$E$60,$D239)))</f>
        <v>0</v>
      </c>
      <c r="Q239" s="0" t="n">
        <f aca="false">SUMPRODUCT((Rules!$A$2:$A$60=Q$1)*Rules!$C$2:$C$60*ISNUMBER(SEARCH(Rules!$E$2:$E$60,$D239)))</f>
        <v>0</v>
      </c>
      <c r="R239" s="0" t="str">
        <f aca="false">IF(OR(MAX(L239:Q239)&lt;Rules!$H$1,MAX(L239:Q239)-LARGE(L239:Q239,2)&lt;Rules!$H$2),"No label",INDEX($L$1:$Q$1,MATCH(MAX(L239:Q239),L239:Q239,0)))</f>
        <v>No label</v>
      </c>
      <c r="S239" s="0" t="n">
        <f aca="false">SUMPRODUCT(ISNUMBER(SEARCH(" "&amp;Terms!$A$3:$A$821&amp;" ",$D239))*Terms!B$3:B$821)+Terms!B$2</f>
        <v>-4.23066595383337</v>
      </c>
      <c r="T239" s="0" t="n">
        <f aca="false">SUMPRODUCT(ISNUMBER(SEARCH(" "&amp;Terms!$A$3:$A$821&amp;" ",$D239))*Terms!C$3:C$821)+Terms!C$2</f>
        <v>-2.67921228234976</v>
      </c>
      <c r="U239" s="0" t="n">
        <f aca="false">SUMPRODUCT(ISNUMBER(SEARCH(" "&amp;Terms!$A$3:$A$821&amp;" ",$D239))*Terms!D$3:D$821)+Terms!D$2</f>
        <v>8.2870882851102</v>
      </c>
      <c r="V239" s="0" t="n">
        <f aca="false">SUMPRODUCT(ISNUMBER(SEARCH(" "&amp;Terms!$A$3:$A$821&amp;" ",$D239))*Terms!E$3:E$821)+Terms!E$2</f>
        <v>1.44139409627567</v>
      </c>
      <c r="W239" s="0" t="n">
        <f aca="false">SUMPRODUCT(ISNUMBER(SEARCH(" "&amp;Terms!$A$3:$A$821&amp;" ",$D239))*Terms!F$3:F$821)+Terms!F$2</f>
        <v>-1.06018864407883</v>
      </c>
      <c r="X239" s="0" t="n">
        <f aca="false">SUMPRODUCT(ISNUMBER(SEARCH(" "&amp;Terms!$A$3:$A$821&amp;" ",$D239))*Terms!G$3:G$821)+Terms!G$2</f>
        <v>-1.75841550112382</v>
      </c>
      <c r="Y239" s="0" t="str">
        <f aca="false">INDEX($S$1:$X$1,MATCH(MAX(S239:X239),S239:X239,0))</f>
        <v>Delays &amp; Processing</v>
      </c>
      <c r="Z239" s="0" t="s">
        <v>2607</v>
      </c>
    </row>
    <row r="240" customFormat="false" ht="15" hidden="false" customHeight="false" outlineLevel="0" collapsed="false">
      <c r="A240" s="0" t="str">
        <f aca="false">Complaints!A240</f>
        <v>C0239</v>
      </c>
      <c r="B240" s="0" t="str">
        <f aca="false">Complaints!B240</f>
        <v>This is the second time I have raised this. I sent the form twice and it seems to have been lost in the system. Also, i was tricked into moving savings to a safe account that was not safe.</v>
      </c>
      <c r="C240" s="0" t="str">
        <f aca="false">Complaints!C240</f>
        <v>Delays &amp; Processing</v>
      </c>
      <c r="D240" s="0" t="str">
        <f aca="false">" "&amp;TRIM(SUBSTITUTE(SUBSTITUTE(SUBSTITUTE(SUBSTITUTE(SUBSTITUTE(SUBSTITUTE(SUBSTITUTE(SUBSTITUTE(SUBSTITUTE(SUBSTITUTE(SUBSTITUTE(SUBSTITUTE(SUBSTITUTE(SUBSTITUTE(SUBSTITUTE(SUBSTITUTE(LOWER(B240),"."," "),","," "),"'"," "),"’"," "),"!"," "),"?"," "),";"," "),":"," "),"-"," "),"("," "),")"," "),"""", " "),"£"," "),"&amp;"," "),"/"," "),"%"," "))&amp;" "</f>
        <v> this is the second time i have raised this i sent the form twice and it seems to have been lost in the system also i was tricked into moving savings to a safe account that was not safe </v>
      </c>
      <c r="E240" s="0" t="n">
        <f aca="false">SUMPRODUCT((Rules!$A$2:$A$60=E$1)*Rules!$C$2:$C$60*ISNUMBER(SEARCH(Rules!$D$2:$D$60,$D240)))</f>
        <v>2</v>
      </c>
      <c r="F240" s="0" t="n">
        <f aca="false">SUMPRODUCT((Rules!$A$2:$A$60=F$1)*Rules!$C$2:$C$60*ISNUMBER(SEARCH(Rules!$D$2:$D$60,$D240)))</f>
        <v>0</v>
      </c>
      <c r="G240" s="0" t="n">
        <f aca="false">SUMPRODUCT((Rules!$A$2:$A$60=G$1)*Rules!$C$2:$C$60*ISNUMBER(SEARCH(Rules!$D$2:$D$60,$D240)))</f>
        <v>0</v>
      </c>
      <c r="H240" s="0" t="n">
        <f aca="false">SUMPRODUCT((Rules!$A$2:$A$60=H$1)*Rules!$C$2:$C$60*ISNUMBER(SEARCH(Rules!$D$2:$D$60,$D240)))</f>
        <v>0</v>
      </c>
      <c r="I240" s="0" t="n">
        <f aca="false">SUMPRODUCT((Rules!$A$2:$A$60=I$1)*Rules!$C$2:$C$60*ISNUMBER(SEARCH(Rules!$D$2:$D$60,$D240)))</f>
        <v>0</v>
      </c>
      <c r="J240" s="0" t="n">
        <f aca="false">SUMPRODUCT((Rules!$A$2:$A$60=J$1)*Rules!$C$2:$C$60*ISNUMBER(SEARCH(Rules!$D$2:$D$60,$D240)))</f>
        <v>0</v>
      </c>
      <c r="K240" s="0" t="str">
        <f aca="false">IF(OR(MAX(E240:J240)&lt;Rules!$H$1,MAX(E240:J240)-LARGE(E240:J240,2)&lt;Rules!$H$2),"No label",INDEX($E$1:$J$1,MATCH(MAX(E240:J240),E240:J240,0)))</f>
        <v>No label</v>
      </c>
      <c r="L240" s="0" t="n">
        <f aca="false">SUMPRODUCT((Rules!$A$2:$A$60=L$1)*Rules!$C$2:$C$60*ISNUMBER(SEARCH(Rules!$E$2:$E$60,$D240)))</f>
        <v>2</v>
      </c>
      <c r="M240" s="0" t="n">
        <f aca="false">SUMPRODUCT((Rules!$A$2:$A$60=M$1)*Rules!$C$2:$C$60*ISNUMBER(SEARCH(Rules!$E$2:$E$60,$D240)))</f>
        <v>0</v>
      </c>
      <c r="N240" s="0" t="n">
        <f aca="false">SUMPRODUCT((Rules!$A$2:$A$60=N$1)*Rules!$C$2:$C$60*ISNUMBER(SEARCH(Rules!$E$2:$E$60,$D240)))</f>
        <v>0</v>
      </c>
      <c r="O240" s="0" t="n">
        <f aca="false">SUMPRODUCT((Rules!$A$2:$A$60=O$1)*Rules!$C$2:$C$60*ISNUMBER(SEARCH(Rules!$E$2:$E$60,$D240)))</f>
        <v>0</v>
      </c>
      <c r="P240" s="0" t="n">
        <f aca="false">SUMPRODUCT((Rules!$A$2:$A$60=P$1)*Rules!$C$2:$C$60*ISNUMBER(SEARCH(Rules!$E$2:$E$60,$D240)))</f>
        <v>0</v>
      </c>
      <c r="Q240" s="0" t="n">
        <f aca="false">SUMPRODUCT((Rules!$A$2:$A$60=Q$1)*Rules!$C$2:$C$60*ISNUMBER(SEARCH(Rules!$E$2:$E$60,$D240)))</f>
        <v>0</v>
      </c>
      <c r="R240" s="0" t="str">
        <f aca="false">IF(OR(MAX(L240:Q240)&lt;Rules!$H$1,MAX(L240:Q240)-LARGE(L240:Q240,2)&lt;Rules!$H$2),"No label",INDEX($L$1:$Q$1,MATCH(MAX(L240:Q240),L240:Q240,0)))</f>
        <v>No label</v>
      </c>
      <c r="S240" s="0" t="n">
        <f aca="false">SUMPRODUCT(ISNUMBER(SEARCH(" "&amp;Terms!$A$3:$A$821&amp;" ",$D240))*Terms!B$3:B$821)+Terms!B$2</f>
        <v>-6.5604325734229</v>
      </c>
      <c r="T240" s="0" t="n">
        <f aca="false">SUMPRODUCT(ISNUMBER(SEARCH(" "&amp;Terms!$A$3:$A$821&amp;" ",$D240))*Terms!C$3:C$821)+Terms!C$2</f>
        <v>-4.78145606813736</v>
      </c>
      <c r="U240" s="0" t="n">
        <f aca="false">SUMPRODUCT(ISNUMBER(SEARCH(" "&amp;Terms!$A$3:$A$821&amp;" ",$D240))*Terms!D$3:D$821)+Terms!D$2</f>
        <v>10.6544999820614</v>
      </c>
      <c r="V240" s="0" t="n">
        <f aca="false">SUMPRODUCT(ISNUMBER(SEARCH(" "&amp;Terms!$A$3:$A$821&amp;" ",$D240))*Terms!E$3:E$821)+Terms!E$2</f>
        <v>-0.238763422794375</v>
      </c>
      <c r="W240" s="0" t="n">
        <f aca="false">SUMPRODUCT(ISNUMBER(SEARCH(" "&amp;Terms!$A$3:$A$821&amp;" ",$D240))*Terms!F$3:F$821)+Terms!F$2</f>
        <v>7.48332878569573</v>
      </c>
      <c r="X240" s="0" t="n">
        <f aca="false">SUMPRODUCT(ISNUMBER(SEARCH(" "&amp;Terms!$A$3:$A$821&amp;" ",$D240))*Terms!G$3:G$821)+Terms!G$2</f>
        <v>-6.55717670340242</v>
      </c>
      <c r="Y240" s="0" t="str">
        <f aca="false">INDEX($S$1:$X$1,MATCH(MAX(S240:X240),S240:X240,0))</f>
        <v>Delays &amp; Processing</v>
      </c>
      <c r="Z240" s="0" t="s">
        <v>2607</v>
      </c>
    </row>
    <row r="241" customFormat="false" ht="15" hidden="false" customHeight="false" outlineLevel="0" collapsed="false">
      <c r="A241" s="0" t="str">
        <f aca="false">Complaints!A241</f>
        <v>C0240</v>
      </c>
      <c r="B241" s="0" t="str">
        <f aca="false">Complaints!B241</f>
        <v>The fraud team closed my case without investigating properly. There was also a fee involved.</v>
      </c>
      <c r="C241" s="0" t="str">
        <f aca="false">Complaints!C241</f>
        <v>Fraud &amp; Scams</v>
      </c>
      <c r="D241" s="0" t="str">
        <f aca="false">" "&amp;TRIM(SUBSTITUTE(SUBSTITUTE(SUBSTITUTE(SUBSTITUTE(SUBSTITUTE(SUBSTITUTE(SUBSTITUTE(SUBSTITUTE(SUBSTITUTE(SUBSTITUTE(SUBSTITUTE(SUBSTITUTE(SUBSTITUTE(SUBSTITUTE(SUBSTITUTE(SUBSTITUTE(LOWER(B241),"."," "),","," "),"'"," "),"’"," "),"!"," "),"?"," "),";"," "),":"," "),"-"," "),"("," "),")"," "),"""", " "),"£"," "),"&amp;"," "),"/"," "),"%"," "))&amp;" "</f>
        <v> the fraud team closed my case without investigating properly there was also a fee involved </v>
      </c>
      <c r="E241" s="0" t="n">
        <f aca="false">SUMPRODUCT((Rules!$A$2:$A$60=E$1)*Rules!$C$2:$C$60*ISNUMBER(SEARCH(Rules!$D$2:$D$60,$D241)))</f>
        <v>3</v>
      </c>
      <c r="F241" s="0" t="n">
        <f aca="false">SUMPRODUCT((Rules!$A$2:$A$60=F$1)*Rules!$C$2:$C$60*ISNUMBER(SEARCH(Rules!$D$2:$D$60,$D241)))</f>
        <v>0</v>
      </c>
      <c r="G241" s="0" t="n">
        <f aca="false">SUMPRODUCT((Rules!$A$2:$A$60=G$1)*Rules!$C$2:$C$60*ISNUMBER(SEARCH(Rules!$D$2:$D$60,$D241)))</f>
        <v>0</v>
      </c>
      <c r="H241" s="0" t="n">
        <f aca="false">SUMPRODUCT((Rules!$A$2:$A$60=H$1)*Rules!$C$2:$C$60*ISNUMBER(SEARCH(Rules!$D$2:$D$60,$D241)))</f>
        <v>2</v>
      </c>
      <c r="I241" s="0" t="n">
        <f aca="false">SUMPRODUCT((Rules!$A$2:$A$60=I$1)*Rules!$C$2:$C$60*ISNUMBER(SEARCH(Rules!$D$2:$D$60,$D241)))</f>
        <v>0</v>
      </c>
      <c r="J241" s="0" t="n">
        <f aca="false">SUMPRODUCT((Rules!$A$2:$A$60=J$1)*Rules!$C$2:$C$60*ISNUMBER(SEARCH(Rules!$D$2:$D$60,$D241)))</f>
        <v>0</v>
      </c>
      <c r="K241" s="0" t="str">
        <f aca="false">IF(OR(MAX(E241:J241)&lt;Rules!$H$1,MAX(E241:J241)-LARGE(E241:J241,2)&lt;Rules!$H$2),"No label",INDEX($E$1:$J$1,MATCH(MAX(E241:J241),E241:J241,0)))</f>
        <v>No label</v>
      </c>
      <c r="L241" s="0" t="n">
        <f aca="false">SUMPRODUCT((Rules!$A$2:$A$60=L$1)*Rules!$C$2:$C$60*ISNUMBER(SEARCH(Rules!$E$2:$E$60,$D241)))</f>
        <v>3</v>
      </c>
      <c r="M241" s="0" t="n">
        <f aca="false">SUMPRODUCT((Rules!$A$2:$A$60=M$1)*Rules!$C$2:$C$60*ISNUMBER(SEARCH(Rules!$E$2:$E$60,$D241)))</f>
        <v>0</v>
      </c>
      <c r="N241" s="0" t="n">
        <f aca="false">SUMPRODUCT((Rules!$A$2:$A$60=N$1)*Rules!$C$2:$C$60*ISNUMBER(SEARCH(Rules!$E$2:$E$60,$D241)))</f>
        <v>0</v>
      </c>
      <c r="O241" s="0" t="n">
        <f aca="false">SUMPRODUCT((Rules!$A$2:$A$60=O$1)*Rules!$C$2:$C$60*ISNUMBER(SEARCH(Rules!$E$2:$E$60,$D241)))</f>
        <v>2</v>
      </c>
      <c r="P241" s="0" t="n">
        <f aca="false">SUMPRODUCT((Rules!$A$2:$A$60=P$1)*Rules!$C$2:$C$60*ISNUMBER(SEARCH(Rules!$E$2:$E$60,$D241)))</f>
        <v>0</v>
      </c>
      <c r="Q241" s="0" t="n">
        <f aca="false">SUMPRODUCT((Rules!$A$2:$A$60=Q$1)*Rules!$C$2:$C$60*ISNUMBER(SEARCH(Rules!$E$2:$E$60,$D241)))</f>
        <v>0</v>
      </c>
      <c r="R241" s="0" t="str">
        <f aca="false">IF(OR(MAX(L241:Q241)&lt;Rules!$H$1,MAX(L241:Q241)-LARGE(L241:Q241,2)&lt;Rules!$H$2),"No label",INDEX($L$1:$Q$1,MATCH(MAX(L241:Q241),L241:Q241,0)))</f>
        <v>No label</v>
      </c>
      <c r="S241" s="0" t="n">
        <f aca="false">SUMPRODUCT(ISNUMBER(SEARCH(" "&amp;Terms!$A$3:$A$821&amp;" ",$D241))*Terms!B$3:B$821)+Terms!B$2</f>
        <v>-2.94832898274687</v>
      </c>
      <c r="T241" s="0" t="n">
        <f aca="false">SUMPRODUCT(ISNUMBER(SEARCH(" "&amp;Terms!$A$3:$A$821&amp;" ",$D241))*Terms!C$3:C$821)+Terms!C$2</f>
        <v>-1.71317187106005</v>
      </c>
      <c r="U241" s="0" t="n">
        <f aca="false">SUMPRODUCT(ISNUMBER(SEARCH(" "&amp;Terms!$A$3:$A$821&amp;" ",$D241))*Terms!D$3:D$821)+Terms!D$2</f>
        <v>-2.63013986381921</v>
      </c>
      <c r="V241" s="0" t="n">
        <f aca="false">SUMPRODUCT(ISNUMBER(SEARCH(" "&amp;Terms!$A$3:$A$821&amp;" ",$D241))*Terms!E$3:E$821)+Terms!E$2</f>
        <v>-1.31142067358755</v>
      </c>
      <c r="W241" s="0" t="n">
        <f aca="false">SUMPRODUCT(ISNUMBER(SEARCH(" "&amp;Terms!$A$3:$A$821&amp;" ",$D241))*Terms!F$3:F$821)+Terms!F$2</f>
        <v>10.8370110719971</v>
      </c>
      <c r="X241" s="0" t="n">
        <f aca="false">SUMPRODUCT(ISNUMBER(SEARCH(" "&amp;Terms!$A$3:$A$821&amp;" ",$D241))*Terms!G$3:G$821)+Terms!G$2</f>
        <v>-2.23394968078329</v>
      </c>
      <c r="Y241" s="0" t="str">
        <f aca="false">INDEX($S$1:$X$1,MATCH(MAX(S241:X241),S241:X241,0))</f>
        <v>Fraud &amp; Scams</v>
      </c>
      <c r="Z241" s="0" t="s">
        <v>2607</v>
      </c>
    </row>
    <row r="242" customFormat="false" ht="15" hidden="false" customHeight="false" outlineLevel="0" collapsed="false">
      <c r="A242" s="0" t="str">
        <f aca="false">Complaints!A242</f>
        <v>C0241</v>
      </c>
      <c r="B242" s="0" t="str">
        <f aca="false">Complaints!B242</f>
        <v>Frankly, My application has been stuck for weeks with no progress. There was also a fee involved. I want this put right.</v>
      </c>
      <c r="C242" s="0" t="str">
        <f aca="false">Complaints!C242</f>
        <v>Delays &amp; Processing</v>
      </c>
      <c r="D242" s="0" t="str">
        <f aca="false">" "&amp;TRIM(SUBSTITUTE(SUBSTITUTE(SUBSTITUTE(SUBSTITUTE(SUBSTITUTE(SUBSTITUTE(SUBSTITUTE(SUBSTITUTE(SUBSTITUTE(SUBSTITUTE(SUBSTITUTE(SUBSTITUTE(SUBSTITUTE(SUBSTITUTE(SUBSTITUTE(SUBSTITUTE(LOWER(B242),"."," "),","," "),"'"," "),"’"," "),"!"," "),"?"," "),";"," "),":"," "),"-"," "),"("," "),")"," "),"""", " "),"£"," "),"&amp;"," "),"/"," "),"%"," "))&amp;" "</f>
        <v> frankly my application has been stuck for weeks with no progress there was also a fee involved i want this put right </v>
      </c>
      <c r="E242" s="0" t="n">
        <f aca="false">SUMPRODUCT((Rules!$A$2:$A$60=E$1)*Rules!$C$2:$C$60*ISNUMBER(SEARCH(Rules!$D$2:$D$60,$D242)))</f>
        <v>0</v>
      </c>
      <c r="F242" s="0" t="n">
        <f aca="false">SUMPRODUCT((Rules!$A$2:$A$60=F$1)*Rules!$C$2:$C$60*ISNUMBER(SEARCH(Rules!$D$2:$D$60,$D242)))</f>
        <v>0</v>
      </c>
      <c r="G242" s="0" t="n">
        <f aca="false">SUMPRODUCT((Rules!$A$2:$A$60=G$1)*Rules!$C$2:$C$60*ISNUMBER(SEARCH(Rules!$D$2:$D$60,$D242)))</f>
        <v>0</v>
      </c>
      <c r="H242" s="0" t="n">
        <f aca="false">SUMPRODUCT((Rules!$A$2:$A$60=H$1)*Rules!$C$2:$C$60*ISNUMBER(SEARCH(Rules!$D$2:$D$60,$D242)))</f>
        <v>2</v>
      </c>
      <c r="I242" s="0" t="n">
        <f aca="false">SUMPRODUCT((Rules!$A$2:$A$60=I$1)*Rules!$C$2:$C$60*ISNUMBER(SEARCH(Rules!$D$2:$D$60,$D242)))</f>
        <v>3</v>
      </c>
      <c r="J242" s="0" t="n">
        <f aca="false">SUMPRODUCT((Rules!$A$2:$A$60=J$1)*Rules!$C$2:$C$60*ISNUMBER(SEARCH(Rules!$D$2:$D$60,$D242)))</f>
        <v>0</v>
      </c>
      <c r="K242" s="0" t="str">
        <f aca="false">IF(OR(MAX(E242:J242)&lt;Rules!$H$1,MAX(E242:J242)-LARGE(E242:J242,2)&lt;Rules!$H$2),"No label",INDEX($E$1:$J$1,MATCH(MAX(E242:J242),E242:J242,0)))</f>
        <v>No label</v>
      </c>
      <c r="L242" s="0" t="n">
        <f aca="false">SUMPRODUCT((Rules!$A$2:$A$60=L$1)*Rules!$C$2:$C$60*ISNUMBER(SEARCH(Rules!$E$2:$E$60,$D242)))</f>
        <v>0</v>
      </c>
      <c r="M242" s="0" t="n">
        <f aca="false">SUMPRODUCT((Rules!$A$2:$A$60=M$1)*Rules!$C$2:$C$60*ISNUMBER(SEARCH(Rules!$E$2:$E$60,$D242)))</f>
        <v>0</v>
      </c>
      <c r="N242" s="0" t="n">
        <f aca="false">SUMPRODUCT((Rules!$A$2:$A$60=N$1)*Rules!$C$2:$C$60*ISNUMBER(SEARCH(Rules!$E$2:$E$60,$D242)))</f>
        <v>0</v>
      </c>
      <c r="O242" s="0" t="n">
        <f aca="false">SUMPRODUCT((Rules!$A$2:$A$60=O$1)*Rules!$C$2:$C$60*ISNUMBER(SEARCH(Rules!$E$2:$E$60,$D242)))</f>
        <v>2</v>
      </c>
      <c r="P242" s="0" t="n">
        <f aca="false">SUMPRODUCT((Rules!$A$2:$A$60=P$1)*Rules!$C$2:$C$60*ISNUMBER(SEARCH(Rules!$E$2:$E$60,$D242)))</f>
        <v>3</v>
      </c>
      <c r="Q242" s="0" t="n">
        <f aca="false">SUMPRODUCT((Rules!$A$2:$A$60=Q$1)*Rules!$C$2:$C$60*ISNUMBER(SEARCH(Rules!$E$2:$E$60,$D242)))</f>
        <v>0</v>
      </c>
      <c r="R242" s="0" t="str">
        <f aca="false">IF(OR(MAX(L242:Q242)&lt;Rules!$H$1,MAX(L242:Q242)-LARGE(L242:Q242,2)&lt;Rules!$H$2),"No label",INDEX($L$1:$Q$1,MATCH(MAX(L242:Q242),L242:Q242,0)))</f>
        <v>No label</v>
      </c>
      <c r="S242" s="0" t="n">
        <f aca="false">SUMPRODUCT(ISNUMBER(SEARCH(" "&amp;Terms!$A$3:$A$821&amp;" ",$D242))*Terms!B$3:B$821)+Terms!B$2</f>
        <v>-3.54306009060528</v>
      </c>
      <c r="T242" s="0" t="n">
        <f aca="false">SUMPRODUCT(ISNUMBER(SEARCH(" "&amp;Terms!$A$3:$A$821&amp;" ",$D242))*Terms!C$3:C$821)+Terms!C$2</f>
        <v>-3.24873708533757</v>
      </c>
      <c r="U242" s="0" t="n">
        <f aca="false">SUMPRODUCT(ISNUMBER(SEARCH(" "&amp;Terms!$A$3:$A$821&amp;" ",$D242))*Terms!D$3:D$821)+Terms!D$2</f>
        <v>6.90181256196497</v>
      </c>
      <c r="V242" s="0" t="n">
        <f aca="false">SUMPRODUCT(ISNUMBER(SEARCH(" "&amp;Terms!$A$3:$A$821&amp;" ",$D242))*Terms!E$3:E$821)+Terms!E$2</f>
        <v>2.27188837392758</v>
      </c>
      <c r="W242" s="0" t="n">
        <f aca="false">SUMPRODUCT(ISNUMBER(SEARCH(" "&amp;Terms!$A$3:$A$821&amp;" ",$D242))*Terms!F$3:F$821)+Terms!F$2</f>
        <v>-0.642273089423698</v>
      </c>
      <c r="X242" s="0" t="n">
        <f aca="false">SUMPRODUCT(ISNUMBER(SEARCH(" "&amp;Terms!$A$3:$A$821&amp;" ",$D242))*Terms!G$3:G$821)+Terms!G$2</f>
        <v>-1.73963067052591</v>
      </c>
      <c r="Y242" s="0" t="str">
        <f aca="false">INDEX($S$1:$X$1,MATCH(MAX(S242:X242),S242:X242,0))</f>
        <v>Delays &amp; Processing</v>
      </c>
      <c r="Z242" s="0" t="s">
        <v>2607</v>
      </c>
    </row>
    <row r="243" customFormat="false" ht="15" hidden="false" customHeight="false" outlineLevel="0" collapsed="false">
      <c r="A243" s="0" t="str">
        <f aca="false">Complaints!A243</f>
        <v>C0242</v>
      </c>
      <c r="B243" s="0" t="str">
        <f aca="false">Complaints!B243</f>
        <v>I have been a customer for years. The paperwork was submitted a month ago and I am still waiting. I would like a response in writing.</v>
      </c>
      <c r="C243" s="0" t="str">
        <f aca="false">Complaints!C243</f>
        <v>Delays &amp; Processing</v>
      </c>
      <c r="D243" s="0" t="str">
        <f aca="false">" "&amp;TRIM(SUBSTITUTE(SUBSTITUTE(SUBSTITUTE(SUBSTITUTE(SUBSTITUTE(SUBSTITUTE(SUBSTITUTE(SUBSTITUTE(SUBSTITUTE(SUBSTITUTE(SUBSTITUTE(SUBSTITUTE(SUBSTITUTE(SUBSTITUTE(SUBSTITUTE(SUBSTITUTE(LOWER(B243),"."," "),","," "),"'"," "),"’"," "),"!"," "),"?"," "),";"," "),":"," "),"-"," "),"("," "),")"," "),"""", " "),"£"," "),"&amp;"," "),"/"," "),"%"," "))&amp;" "</f>
        <v> i have been a customer for years the paperwork was submitted a month ago and i am still waiting i would like a response in writing </v>
      </c>
      <c r="E243" s="0" t="n">
        <f aca="false">SUMPRODUCT((Rules!$A$2:$A$60=E$1)*Rules!$C$2:$C$60*ISNUMBER(SEARCH(Rules!$D$2:$D$60,$D243)))</f>
        <v>0</v>
      </c>
      <c r="F243" s="0" t="n">
        <f aca="false">SUMPRODUCT((Rules!$A$2:$A$60=F$1)*Rules!$C$2:$C$60*ISNUMBER(SEARCH(Rules!$D$2:$D$60,$D243)))</f>
        <v>0</v>
      </c>
      <c r="G243" s="0" t="n">
        <f aca="false">SUMPRODUCT((Rules!$A$2:$A$60=G$1)*Rules!$C$2:$C$60*ISNUMBER(SEARCH(Rules!$D$2:$D$60,$D243)))</f>
        <v>0</v>
      </c>
      <c r="H243" s="0" t="n">
        <f aca="false">SUMPRODUCT((Rules!$A$2:$A$60=H$1)*Rules!$C$2:$C$60*ISNUMBER(SEARCH(Rules!$D$2:$D$60,$D243)))</f>
        <v>0</v>
      </c>
      <c r="I243" s="0" t="n">
        <f aca="false">SUMPRODUCT((Rules!$A$2:$A$60=I$1)*Rules!$C$2:$C$60*ISNUMBER(SEARCH(Rules!$D$2:$D$60,$D243)))</f>
        <v>2</v>
      </c>
      <c r="J243" s="0" t="n">
        <f aca="false">SUMPRODUCT((Rules!$A$2:$A$60=J$1)*Rules!$C$2:$C$60*ISNUMBER(SEARCH(Rules!$D$2:$D$60,$D243)))</f>
        <v>0</v>
      </c>
      <c r="K243" s="0" t="str">
        <f aca="false">IF(OR(MAX(E243:J243)&lt;Rules!$H$1,MAX(E243:J243)-LARGE(E243:J243,2)&lt;Rules!$H$2),"No label",INDEX($E$1:$J$1,MATCH(MAX(E243:J243),E243:J243,0)))</f>
        <v>No label</v>
      </c>
      <c r="L243" s="0" t="n">
        <f aca="false">SUMPRODUCT((Rules!$A$2:$A$60=L$1)*Rules!$C$2:$C$60*ISNUMBER(SEARCH(Rules!$E$2:$E$60,$D243)))</f>
        <v>0</v>
      </c>
      <c r="M243" s="0" t="n">
        <f aca="false">SUMPRODUCT((Rules!$A$2:$A$60=M$1)*Rules!$C$2:$C$60*ISNUMBER(SEARCH(Rules!$E$2:$E$60,$D243)))</f>
        <v>0</v>
      </c>
      <c r="N243" s="0" t="n">
        <f aca="false">SUMPRODUCT((Rules!$A$2:$A$60=N$1)*Rules!$C$2:$C$60*ISNUMBER(SEARCH(Rules!$E$2:$E$60,$D243)))</f>
        <v>0</v>
      </c>
      <c r="O243" s="0" t="n">
        <f aca="false">SUMPRODUCT((Rules!$A$2:$A$60=O$1)*Rules!$C$2:$C$60*ISNUMBER(SEARCH(Rules!$E$2:$E$60,$D243)))</f>
        <v>0</v>
      </c>
      <c r="P243" s="0" t="n">
        <f aca="false">SUMPRODUCT((Rules!$A$2:$A$60=P$1)*Rules!$C$2:$C$60*ISNUMBER(SEARCH(Rules!$E$2:$E$60,$D243)))</f>
        <v>2</v>
      </c>
      <c r="Q243" s="0" t="n">
        <f aca="false">SUMPRODUCT((Rules!$A$2:$A$60=Q$1)*Rules!$C$2:$C$60*ISNUMBER(SEARCH(Rules!$E$2:$E$60,$D243)))</f>
        <v>0</v>
      </c>
      <c r="R243" s="0" t="str">
        <f aca="false">IF(OR(MAX(L243:Q243)&lt;Rules!$H$1,MAX(L243:Q243)-LARGE(L243:Q243,2)&lt;Rules!$H$2),"No label",INDEX($L$1:$Q$1,MATCH(MAX(L243:Q243),L243:Q243,0)))</f>
        <v>No label</v>
      </c>
      <c r="S243" s="0" t="n">
        <f aca="false">SUMPRODUCT(ISNUMBER(SEARCH(" "&amp;Terms!$A$3:$A$821&amp;" ",$D243))*Terms!B$3:B$821)+Terms!B$2</f>
        <v>0.544954921141647</v>
      </c>
      <c r="T243" s="0" t="n">
        <f aca="false">SUMPRODUCT(ISNUMBER(SEARCH(" "&amp;Terms!$A$3:$A$821&amp;" ",$D243))*Terms!C$3:C$821)+Terms!C$2</f>
        <v>-0.442412875087555</v>
      </c>
      <c r="U243" s="0" t="n">
        <f aca="false">SUMPRODUCT(ISNUMBER(SEARCH(" "&amp;Terms!$A$3:$A$821&amp;" ",$D243))*Terms!D$3:D$821)+Terms!D$2</f>
        <v>7.34643871154294</v>
      </c>
      <c r="V243" s="0" t="n">
        <f aca="false">SUMPRODUCT(ISNUMBER(SEARCH(" "&amp;Terms!$A$3:$A$821&amp;" ",$D243))*Terms!E$3:E$821)+Terms!E$2</f>
        <v>-2.03363481543451</v>
      </c>
      <c r="W243" s="0" t="n">
        <f aca="false">SUMPRODUCT(ISNUMBER(SEARCH(" "&amp;Terms!$A$3:$A$821&amp;" ",$D243))*Terms!F$3:F$821)+Terms!F$2</f>
        <v>-5.36151756952371</v>
      </c>
      <c r="X243" s="0" t="n">
        <f aca="false">SUMPRODUCT(ISNUMBER(SEARCH(" "&amp;Terms!$A$3:$A$821&amp;" ",$D243))*Terms!G$3:G$821)+Terms!G$2</f>
        <v>-0.0538283726387275</v>
      </c>
      <c r="Y243" s="0" t="str">
        <f aca="false">INDEX($S$1:$X$1,MATCH(MAX(S243:X243),S243:X243,0))</f>
        <v>Delays &amp; Processing</v>
      </c>
      <c r="Z243" s="0" t="s">
        <v>2608</v>
      </c>
    </row>
    <row r="244" customFormat="false" ht="15" hidden="false" customHeight="false" outlineLevel="0" collapsed="false">
      <c r="A244" s="0" t="str">
        <f aca="false">Complaints!A244</f>
        <v>C0243</v>
      </c>
      <c r="B244" s="0" t="str">
        <f aca="false">Complaints!B244</f>
        <v>Hello, The salesperson pushed me into a plan I did not need.</v>
      </c>
      <c r="C244" s="0" t="str">
        <f aca="false">Complaints!C244</f>
        <v>Mis-selling</v>
      </c>
      <c r="D244" s="0" t="str">
        <f aca="false">" "&amp;TRIM(SUBSTITUTE(SUBSTITUTE(SUBSTITUTE(SUBSTITUTE(SUBSTITUTE(SUBSTITUTE(SUBSTITUTE(SUBSTITUTE(SUBSTITUTE(SUBSTITUTE(SUBSTITUTE(SUBSTITUTE(SUBSTITUTE(SUBSTITUTE(SUBSTITUTE(SUBSTITUTE(LOWER(B244),"."," "),","," "),"'"," "),"’"," "),"!"," "),"?"," "),";"," "),":"," "),"-"," "),"("," "),")"," "),"""", " "),"£"," "),"&amp;"," "),"/"," "),"%"," "))&amp;" "</f>
        <v> hello the salesperson pushed me into a plan i did not need </v>
      </c>
      <c r="E244" s="0" t="n">
        <f aca="false">SUMPRODUCT((Rules!$A$2:$A$60=E$1)*Rules!$C$2:$C$60*ISNUMBER(SEARCH(Rules!$D$2:$D$60,$D244)))</f>
        <v>0</v>
      </c>
      <c r="F244" s="0" t="n">
        <f aca="false">SUMPRODUCT((Rules!$A$2:$A$60=F$1)*Rules!$C$2:$C$60*ISNUMBER(SEARCH(Rules!$D$2:$D$60,$D244)))</f>
        <v>2</v>
      </c>
      <c r="G244" s="0" t="n">
        <f aca="false">SUMPRODUCT((Rules!$A$2:$A$60=G$1)*Rules!$C$2:$C$60*ISNUMBER(SEARCH(Rules!$D$2:$D$60,$D244)))</f>
        <v>0</v>
      </c>
      <c r="H244" s="0" t="n">
        <f aca="false">SUMPRODUCT((Rules!$A$2:$A$60=H$1)*Rules!$C$2:$C$60*ISNUMBER(SEARCH(Rules!$D$2:$D$60,$D244)))</f>
        <v>0</v>
      </c>
      <c r="I244" s="0" t="n">
        <f aca="false">SUMPRODUCT((Rules!$A$2:$A$60=I$1)*Rules!$C$2:$C$60*ISNUMBER(SEARCH(Rules!$D$2:$D$60,$D244)))</f>
        <v>0</v>
      </c>
      <c r="J244" s="0" t="n">
        <f aca="false">SUMPRODUCT((Rules!$A$2:$A$60=J$1)*Rules!$C$2:$C$60*ISNUMBER(SEARCH(Rules!$D$2:$D$60,$D244)))</f>
        <v>0</v>
      </c>
      <c r="K244" s="0" t="str">
        <f aca="false">IF(OR(MAX(E244:J244)&lt;Rules!$H$1,MAX(E244:J244)-LARGE(E244:J244,2)&lt;Rules!$H$2),"No label",INDEX($E$1:$J$1,MATCH(MAX(E244:J244),E244:J244,0)))</f>
        <v>No label</v>
      </c>
      <c r="L244" s="0" t="n">
        <f aca="false">SUMPRODUCT((Rules!$A$2:$A$60=L$1)*Rules!$C$2:$C$60*ISNUMBER(SEARCH(Rules!$E$2:$E$60,$D244)))</f>
        <v>0</v>
      </c>
      <c r="M244" s="0" t="n">
        <f aca="false">SUMPRODUCT((Rules!$A$2:$A$60=M$1)*Rules!$C$2:$C$60*ISNUMBER(SEARCH(Rules!$E$2:$E$60,$D244)))</f>
        <v>2</v>
      </c>
      <c r="N244" s="0" t="n">
        <f aca="false">SUMPRODUCT((Rules!$A$2:$A$60=N$1)*Rules!$C$2:$C$60*ISNUMBER(SEARCH(Rules!$E$2:$E$60,$D244)))</f>
        <v>0</v>
      </c>
      <c r="O244" s="0" t="n">
        <f aca="false">SUMPRODUCT((Rules!$A$2:$A$60=O$1)*Rules!$C$2:$C$60*ISNUMBER(SEARCH(Rules!$E$2:$E$60,$D244)))</f>
        <v>0</v>
      </c>
      <c r="P244" s="0" t="n">
        <f aca="false">SUMPRODUCT((Rules!$A$2:$A$60=P$1)*Rules!$C$2:$C$60*ISNUMBER(SEARCH(Rules!$E$2:$E$60,$D244)))</f>
        <v>0</v>
      </c>
      <c r="Q244" s="0" t="n">
        <f aca="false">SUMPRODUCT((Rules!$A$2:$A$60=Q$1)*Rules!$C$2:$C$60*ISNUMBER(SEARCH(Rules!$E$2:$E$60,$D244)))</f>
        <v>0</v>
      </c>
      <c r="R244" s="0" t="str">
        <f aca="false">IF(OR(MAX(L244:Q244)&lt;Rules!$H$1,MAX(L244:Q244)-LARGE(L244:Q244,2)&lt;Rules!$H$2),"No label",INDEX($L$1:$Q$1,MATCH(MAX(L244:Q244),L244:Q244,0)))</f>
        <v>No label</v>
      </c>
      <c r="S244" s="0" t="n">
        <f aca="false">SUMPRODUCT(ISNUMBER(SEARCH(" "&amp;Terms!$A$3:$A$821&amp;" ",$D244))*Terms!B$3:B$821)+Terms!B$2</f>
        <v>-2.61741371364881</v>
      </c>
      <c r="T244" s="0" t="n">
        <f aca="false">SUMPRODUCT(ISNUMBER(SEARCH(" "&amp;Terms!$A$3:$A$821&amp;" ",$D244))*Terms!C$3:C$821)+Terms!C$2</f>
        <v>0.898029303358131</v>
      </c>
      <c r="U244" s="0" t="n">
        <f aca="false">SUMPRODUCT(ISNUMBER(SEARCH(" "&amp;Terms!$A$3:$A$821&amp;" ",$D244))*Terms!D$3:D$821)+Terms!D$2</f>
        <v>-5.30830601234319</v>
      </c>
      <c r="V244" s="0" t="n">
        <f aca="false">SUMPRODUCT(ISNUMBER(SEARCH(" "&amp;Terms!$A$3:$A$821&amp;" ",$D244))*Terms!E$3:E$821)+Terms!E$2</f>
        <v>-1.82364980282409</v>
      </c>
      <c r="W244" s="0" t="n">
        <f aca="false">SUMPRODUCT(ISNUMBER(SEARCH(" "&amp;Terms!$A$3:$A$821&amp;" ",$D244))*Terms!F$3:F$821)+Terms!F$2</f>
        <v>0.159017980120386</v>
      </c>
      <c r="X244" s="0" t="n">
        <f aca="false">SUMPRODUCT(ISNUMBER(SEARCH(" "&amp;Terms!$A$3:$A$821&amp;" ",$D244))*Terms!G$3:G$821)+Terms!G$2</f>
        <v>8.69232224533769</v>
      </c>
      <c r="Y244" s="0" t="str">
        <f aca="false">INDEX($S$1:$X$1,MATCH(MAX(S244:X244),S244:X244,0))</f>
        <v>Mis-selling</v>
      </c>
      <c r="Z244" s="0" t="s">
        <v>2607</v>
      </c>
    </row>
    <row r="245" customFormat="false" ht="15" hidden="false" customHeight="false" outlineLevel="0" collapsed="false">
      <c r="A245" s="0" t="str">
        <f aca="false">Complaints!A245</f>
        <v>C0244</v>
      </c>
      <c r="B245" s="0" t="str">
        <f aca="false">Complaints!B245</f>
        <v>To whom it may concern, A late payment fee appeared and I want it refunded. I would like a response in writing.</v>
      </c>
      <c r="C245" s="0" t="str">
        <f aca="false">Complaints!C245</f>
        <v>Fees &amp; Charges</v>
      </c>
      <c r="D245" s="0" t="str">
        <f aca="false">" "&amp;TRIM(SUBSTITUTE(SUBSTITUTE(SUBSTITUTE(SUBSTITUTE(SUBSTITUTE(SUBSTITUTE(SUBSTITUTE(SUBSTITUTE(SUBSTITUTE(SUBSTITUTE(SUBSTITUTE(SUBSTITUTE(SUBSTITUTE(SUBSTITUTE(SUBSTITUTE(SUBSTITUTE(LOWER(B245),"."," "),","," "),"'"," "),"’"," "),"!"," "),"?"," "),";"," "),":"," "),"-"," "),"("," "),")"," "),"""", " "),"£"," "),"&amp;"," "),"/"," "),"%"," "))&amp;" "</f>
        <v> to whom it may concern a late payment fee appeared and i want it refunded i would like a response in writing </v>
      </c>
      <c r="E245" s="0" t="n">
        <f aca="false">SUMPRODUCT((Rules!$A$2:$A$60=E$1)*Rules!$C$2:$C$60*ISNUMBER(SEARCH(Rules!$D$2:$D$60,$D245)))</f>
        <v>0</v>
      </c>
      <c r="F245" s="0" t="n">
        <f aca="false">SUMPRODUCT((Rules!$A$2:$A$60=F$1)*Rules!$C$2:$C$60*ISNUMBER(SEARCH(Rules!$D$2:$D$60,$D245)))</f>
        <v>0</v>
      </c>
      <c r="G245" s="0" t="n">
        <f aca="false">SUMPRODUCT((Rules!$A$2:$A$60=G$1)*Rules!$C$2:$C$60*ISNUMBER(SEARCH(Rules!$D$2:$D$60,$D245)))</f>
        <v>0</v>
      </c>
      <c r="H245" s="0" t="n">
        <f aca="false">SUMPRODUCT((Rules!$A$2:$A$60=H$1)*Rules!$C$2:$C$60*ISNUMBER(SEARCH(Rules!$D$2:$D$60,$D245)))</f>
        <v>2</v>
      </c>
      <c r="I245" s="0" t="n">
        <f aca="false">SUMPRODUCT((Rules!$A$2:$A$60=I$1)*Rules!$C$2:$C$60*ISNUMBER(SEARCH(Rules!$D$2:$D$60,$D245)))</f>
        <v>0</v>
      </c>
      <c r="J245" s="0" t="n">
        <f aca="false">SUMPRODUCT((Rules!$A$2:$A$60=J$1)*Rules!$C$2:$C$60*ISNUMBER(SEARCH(Rules!$D$2:$D$60,$D245)))</f>
        <v>0</v>
      </c>
      <c r="K245" s="0" t="str">
        <f aca="false">IF(OR(MAX(E245:J245)&lt;Rules!$H$1,MAX(E245:J245)-LARGE(E245:J245,2)&lt;Rules!$H$2),"No label",INDEX($E$1:$J$1,MATCH(MAX(E245:J245),E245:J245,0)))</f>
        <v>No label</v>
      </c>
      <c r="L245" s="0" t="n">
        <f aca="false">SUMPRODUCT((Rules!$A$2:$A$60=L$1)*Rules!$C$2:$C$60*ISNUMBER(SEARCH(Rules!$E$2:$E$60,$D245)))</f>
        <v>0</v>
      </c>
      <c r="M245" s="0" t="n">
        <f aca="false">SUMPRODUCT((Rules!$A$2:$A$60=M$1)*Rules!$C$2:$C$60*ISNUMBER(SEARCH(Rules!$E$2:$E$60,$D245)))</f>
        <v>0</v>
      </c>
      <c r="N245" s="0" t="n">
        <f aca="false">SUMPRODUCT((Rules!$A$2:$A$60=N$1)*Rules!$C$2:$C$60*ISNUMBER(SEARCH(Rules!$E$2:$E$60,$D245)))</f>
        <v>0</v>
      </c>
      <c r="O245" s="0" t="n">
        <f aca="false">SUMPRODUCT((Rules!$A$2:$A$60=O$1)*Rules!$C$2:$C$60*ISNUMBER(SEARCH(Rules!$E$2:$E$60,$D245)))</f>
        <v>2</v>
      </c>
      <c r="P245" s="0" t="n">
        <f aca="false">SUMPRODUCT((Rules!$A$2:$A$60=P$1)*Rules!$C$2:$C$60*ISNUMBER(SEARCH(Rules!$E$2:$E$60,$D245)))</f>
        <v>0</v>
      </c>
      <c r="Q245" s="0" t="n">
        <f aca="false">SUMPRODUCT((Rules!$A$2:$A$60=Q$1)*Rules!$C$2:$C$60*ISNUMBER(SEARCH(Rules!$E$2:$E$60,$D245)))</f>
        <v>0</v>
      </c>
      <c r="R245" s="0" t="str">
        <f aca="false">IF(OR(MAX(L245:Q245)&lt;Rules!$H$1,MAX(L245:Q245)-LARGE(L245:Q245,2)&lt;Rules!$H$2),"No label",INDEX($L$1:$Q$1,MATCH(MAX(L245:Q245),L245:Q245,0)))</f>
        <v>No label</v>
      </c>
      <c r="S245" s="0" t="n">
        <f aca="false">SUMPRODUCT(ISNUMBER(SEARCH(" "&amp;Terms!$A$3:$A$821&amp;" ",$D245))*Terms!B$3:B$821)+Terms!B$2</f>
        <v>-3.56841438720816</v>
      </c>
      <c r="T245" s="0" t="n">
        <f aca="false">SUMPRODUCT(ISNUMBER(SEARCH(" "&amp;Terms!$A$3:$A$821&amp;" ",$D245))*Terms!C$3:C$821)+Terms!C$2</f>
        <v>-6.4080424934328</v>
      </c>
      <c r="U245" s="0" t="n">
        <f aca="false">SUMPRODUCT(ISNUMBER(SEARCH(" "&amp;Terms!$A$3:$A$821&amp;" ",$D245))*Terms!D$3:D$821)+Terms!D$2</f>
        <v>-0.418235209005313</v>
      </c>
      <c r="V245" s="0" t="n">
        <f aca="false">SUMPRODUCT(ISNUMBER(SEARCH(" "&amp;Terms!$A$3:$A$821&amp;" ",$D245))*Terms!E$3:E$821)+Terms!E$2</f>
        <v>15.0949768945327</v>
      </c>
      <c r="W245" s="0" t="n">
        <f aca="false">SUMPRODUCT(ISNUMBER(SEARCH(" "&amp;Terms!$A$3:$A$821&amp;" ",$D245))*Terms!F$3:F$821)+Terms!F$2</f>
        <v>-1.06607532186425</v>
      </c>
      <c r="X245" s="0" t="n">
        <f aca="false">SUMPRODUCT(ISNUMBER(SEARCH(" "&amp;Terms!$A$3:$A$821&amp;" ",$D245))*Terms!G$3:G$821)+Terms!G$2</f>
        <v>-3.63420948302211</v>
      </c>
      <c r="Y245" s="0" t="str">
        <f aca="false">INDEX($S$1:$X$1,MATCH(MAX(S245:X245),S245:X245,0))</f>
        <v>Fees &amp; Charges</v>
      </c>
      <c r="Z245" s="0" t="s">
        <v>2607</v>
      </c>
    </row>
    <row r="246" customFormat="false" ht="15" hidden="false" customHeight="false" outlineLevel="0" collapsed="false">
      <c r="A246" s="0" t="str">
        <f aca="false">Complaints!A246</f>
        <v>C0245</v>
      </c>
      <c r="B246" s="0" t="str">
        <f aca="false">Complaints!B246</f>
        <v>I have been a customer for years. The app crashes every time I try to open my statements. I expect compensation.</v>
      </c>
      <c r="C246" s="0" t="str">
        <f aca="false">Complaints!C246</f>
        <v>Account Access</v>
      </c>
      <c r="D246" s="0" t="str">
        <f aca="false">" "&amp;TRIM(SUBSTITUTE(SUBSTITUTE(SUBSTITUTE(SUBSTITUTE(SUBSTITUTE(SUBSTITUTE(SUBSTITUTE(SUBSTITUTE(SUBSTITUTE(SUBSTITUTE(SUBSTITUTE(SUBSTITUTE(SUBSTITUTE(SUBSTITUTE(SUBSTITUTE(SUBSTITUTE(LOWER(B246),"."," "),","," "),"'"," "),"’"," "),"!"," "),"?"," "),";"," "),":"," "),"-"," "),"("," "),")"," "),"""", " "),"£"," "),"&amp;"," "),"/"," "),"%"," "))&amp;" "</f>
        <v> i have been a customer for years the app crashes every time i try to open my statements i expect compensation </v>
      </c>
      <c r="E246" s="0" t="n">
        <f aca="false">SUMPRODUCT((Rules!$A$2:$A$60=E$1)*Rules!$C$2:$C$60*ISNUMBER(SEARCH(Rules!$D$2:$D$60,$D246)))</f>
        <v>0</v>
      </c>
      <c r="F246" s="0" t="n">
        <f aca="false">SUMPRODUCT((Rules!$A$2:$A$60=F$1)*Rules!$C$2:$C$60*ISNUMBER(SEARCH(Rules!$D$2:$D$60,$D246)))</f>
        <v>0</v>
      </c>
      <c r="G246" s="0" t="n">
        <f aca="false">SUMPRODUCT((Rules!$A$2:$A$60=G$1)*Rules!$C$2:$C$60*ISNUMBER(SEARCH(Rules!$D$2:$D$60,$D246)))</f>
        <v>3</v>
      </c>
      <c r="H246" s="0" t="n">
        <f aca="false">SUMPRODUCT((Rules!$A$2:$A$60=H$1)*Rules!$C$2:$C$60*ISNUMBER(SEARCH(Rules!$D$2:$D$60,$D246)))</f>
        <v>0</v>
      </c>
      <c r="I246" s="0" t="n">
        <f aca="false">SUMPRODUCT((Rules!$A$2:$A$60=I$1)*Rules!$C$2:$C$60*ISNUMBER(SEARCH(Rules!$D$2:$D$60,$D246)))</f>
        <v>0</v>
      </c>
      <c r="J246" s="0" t="n">
        <f aca="false">SUMPRODUCT((Rules!$A$2:$A$60=J$1)*Rules!$C$2:$C$60*ISNUMBER(SEARCH(Rules!$D$2:$D$60,$D246)))</f>
        <v>0</v>
      </c>
      <c r="K246" s="0" t="str">
        <f aca="false">IF(OR(MAX(E246:J246)&lt;Rules!$H$1,MAX(E246:J246)-LARGE(E246:J246,2)&lt;Rules!$H$2),"No label",INDEX($E$1:$J$1,MATCH(MAX(E246:J246),E246:J246,0)))</f>
        <v>Account Access</v>
      </c>
      <c r="L246" s="0" t="n">
        <f aca="false">SUMPRODUCT((Rules!$A$2:$A$60=L$1)*Rules!$C$2:$C$60*ISNUMBER(SEARCH(Rules!$E$2:$E$60,$D246)))</f>
        <v>0</v>
      </c>
      <c r="M246" s="0" t="n">
        <f aca="false">SUMPRODUCT((Rules!$A$2:$A$60=M$1)*Rules!$C$2:$C$60*ISNUMBER(SEARCH(Rules!$E$2:$E$60,$D246)))</f>
        <v>0</v>
      </c>
      <c r="N246" s="0" t="n">
        <f aca="false">SUMPRODUCT((Rules!$A$2:$A$60=N$1)*Rules!$C$2:$C$60*ISNUMBER(SEARCH(Rules!$E$2:$E$60,$D246)))</f>
        <v>3</v>
      </c>
      <c r="O246" s="0" t="n">
        <f aca="false">SUMPRODUCT((Rules!$A$2:$A$60=O$1)*Rules!$C$2:$C$60*ISNUMBER(SEARCH(Rules!$E$2:$E$60,$D246)))</f>
        <v>1</v>
      </c>
      <c r="P246" s="0" t="n">
        <f aca="false">SUMPRODUCT((Rules!$A$2:$A$60=P$1)*Rules!$C$2:$C$60*ISNUMBER(SEARCH(Rules!$E$2:$E$60,$D246)))</f>
        <v>0</v>
      </c>
      <c r="Q246" s="0" t="n">
        <f aca="false">SUMPRODUCT((Rules!$A$2:$A$60=Q$1)*Rules!$C$2:$C$60*ISNUMBER(SEARCH(Rules!$E$2:$E$60,$D246)))</f>
        <v>0</v>
      </c>
      <c r="R246" s="0" t="str">
        <f aca="false">IF(OR(MAX(L246:Q246)&lt;Rules!$H$1,MAX(L246:Q246)-LARGE(L246:Q246,2)&lt;Rules!$H$2),"No label",INDEX($L$1:$Q$1,MATCH(MAX(L246:Q246),L246:Q246,0)))</f>
        <v>Account Access</v>
      </c>
      <c r="S246" s="0" t="n">
        <f aca="false">SUMPRODUCT(ISNUMBER(SEARCH(" "&amp;Terms!$A$3:$A$821&amp;" ",$D246))*Terms!B$3:B$821)+Terms!B$2</f>
        <v>12.0538683576702</v>
      </c>
      <c r="T246" s="0" t="n">
        <f aca="false">SUMPRODUCT(ISNUMBER(SEARCH(" "&amp;Terms!$A$3:$A$821&amp;" ",$D246))*Terms!C$3:C$821)+Terms!C$2</f>
        <v>-0.337680745239717</v>
      </c>
      <c r="U246" s="0" t="n">
        <f aca="false">SUMPRODUCT(ISNUMBER(SEARCH(" "&amp;Terms!$A$3:$A$821&amp;" ",$D246))*Terms!D$3:D$821)+Terms!D$2</f>
        <v>-2.53210447932327</v>
      </c>
      <c r="V246" s="0" t="n">
        <f aca="false">SUMPRODUCT(ISNUMBER(SEARCH(" "&amp;Terms!$A$3:$A$821&amp;" ",$D246))*Terms!E$3:E$821)+Terms!E$2</f>
        <v>-2.06607113235936</v>
      </c>
      <c r="W246" s="0" t="n">
        <f aca="false">SUMPRODUCT(ISNUMBER(SEARCH(" "&amp;Terms!$A$3:$A$821&amp;" ",$D246))*Terms!F$3:F$821)+Terms!F$2</f>
        <v>-2.45145909072192</v>
      </c>
      <c r="X246" s="0" t="n">
        <f aca="false">SUMPRODUCT(ISNUMBER(SEARCH(" "&amp;Terms!$A$3:$A$821&amp;" ",$D246))*Terms!G$3:G$821)+Terms!G$2</f>
        <v>-4.66655291002585</v>
      </c>
      <c r="Y246" s="0" t="str">
        <f aca="false">INDEX($S$1:$X$1,MATCH(MAX(S246:X246),S246:X246,0))</f>
        <v>Account Access</v>
      </c>
      <c r="Z246" s="0" t="s">
        <v>2607</v>
      </c>
    </row>
    <row r="247" customFormat="false" ht="15" hidden="false" customHeight="false" outlineLevel="0" collapsed="false">
      <c r="A247" s="0" t="str">
        <f aca="false">Complaints!A247</f>
        <v>C0246</v>
      </c>
      <c r="B247" s="0" t="str">
        <f aca="false">Complaints!B247</f>
        <v>Hello, I feel I was treated badly because of my age. Please sort this out.</v>
      </c>
      <c r="C247" s="0" t="str">
        <f aca="false">Complaints!C247</f>
        <v>Customer Service</v>
      </c>
      <c r="D247" s="0" t="str">
        <f aca="false">" "&amp;TRIM(SUBSTITUTE(SUBSTITUTE(SUBSTITUTE(SUBSTITUTE(SUBSTITUTE(SUBSTITUTE(SUBSTITUTE(SUBSTITUTE(SUBSTITUTE(SUBSTITUTE(SUBSTITUTE(SUBSTITUTE(SUBSTITUTE(SUBSTITUTE(SUBSTITUTE(SUBSTITUTE(LOWER(B247),"."," "),","," "),"'"," "),"’"," "),"!"," "),"?"," "),";"," "),":"," "),"-"," "),"("," "),")"," "),"""", " "),"£"," "),"&amp;"," "),"/"," "),"%"," "))&amp;" "</f>
        <v> hello i feel i was treated badly because of my age please sort this out </v>
      </c>
      <c r="E247" s="0" t="n">
        <f aca="false">SUMPRODUCT((Rules!$A$2:$A$60=E$1)*Rules!$C$2:$C$60*ISNUMBER(SEARCH(Rules!$D$2:$D$60,$D247)))</f>
        <v>0</v>
      </c>
      <c r="F247" s="0" t="n">
        <f aca="false">SUMPRODUCT((Rules!$A$2:$A$60=F$1)*Rules!$C$2:$C$60*ISNUMBER(SEARCH(Rules!$D$2:$D$60,$D247)))</f>
        <v>0</v>
      </c>
      <c r="G247" s="0" t="n">
        <f aca="false">SUMPRODUCT((Rules!$A$2:$A$60=G$1)*Rules!$C$2:$C$60*ISNUMBER(SEARCH(Rules!$D$2:$D$60,$D247)))</f>
        <v>0</v>
      </c>
      <c r="H247" s="0" t="n">
        <f aca="false">SUMPRODUCT((Rules!$A$2:$A$60=H$1)*Rules!$C$2:$C$60*ISNUMBER(SEARCH(Rules!$D$2:$D$60,$D247)))</f>
        <v>0</v>
      </c>
      <c r="I247" s="0" t="n">
        <f aca="false">SUMPRODUCT((Rules!$A$2:$A$60=I$1)*Rules!$C$2:$C$60*ISNUMBER(SEARCH(Rules!$D$2:$D$60,$D247)))</f>
        <v>0</v>
      </c>
      <c r="J247" s="0" t="n">
        <f aca="false">SUMPRODUCT((Rules!$A$2:$A$60=J$1)*Rules!$C$2:$C$60*ISNUMBER(SEARCH(Rules!$D$2:$D$60,$D247)))</f>
        <v>3</v>
      </c>
      <c r="K247" s="0" t="str">
        <f aca="false">IF(OR(MAX(E247:J247)&lt;Rules!$H$1,MAX(E247:J247)-LARGE(E247:J247,2)&lt;Rules!$H$2),"No label",INDEX($E$1:$J$1,MATCH(MAX(E247:J247),E247:J247,0)))</f>
        <v>Customer Service</v>
      </c>
      <c r="L247" s="0" t="n">
        <f aca="false">SUMPRODUCT((Rules!$A$2:$A$60=L$1)*Rules!$C$2:$C$60*ISNUMBER(SEARCH(Rules!$E$2:$E$60,$D247)))</f>
        <v>0</v>
      </c>
      <c r="M247" s="0" t="n">
        <f aca="false">SUMPRODUCT((Rules!$A$2:$A$60=M$1)*Rules!$C$2:$C$60*ISNUMBER(SEARCH(Rules!$E$2:$E$60,$D247)))</f>
        <v>0</v>
      </c>
      <c r="N247" s="0" t="n">
        <f aca="false">SUMPRODUCT((Rules!$A$2:$A$60=N$1)*Rules!$C$2:$C$60*ISNUMBER(SEARCH(Rules!$E$2:$E$60,$D247)))</f>
        <v>0</v>
      </c>
      <c r="O247" s="0" t="n">
        <f aca="false">SUMPRODUCT((Rules!$A$2:$A$60=O$1)*Rules!$C$2:$C$60*ISNUMBER(SEARCH(Rules!$E$2:$E$60,$D247)))</f>
        <v>0</v>
      </c>
      <c r="P247" s="0" t="n">
        <f aca="false">SUMPRODUCT((Rules!$A$2:$A$60=P$1)*Rules!$C$2:$C$60*ISNUMBER(SEARCH(Rules!$E$2:$E$60,$D247)))</f>
        <v>0</v>
      </c>
      <c r="Q247" s="0" t="n">
        <f aca="false">SUMPRODUCT((Rules!$A$2:$A$60=Q$1)*Rules!$C$2:$C$60*ISNUMBER(SEARCH(Rules!$E$2:$E$60,$D247)))</f>
        <v>3</v>
      </c>
      <c r="R247" s="0" t="str">
        <f aca="false">IF(OR(MAX(L247:Q247)&lt;Rules!$H$1,MAX(L247:Q247)-LARGE(L247:Q247,2)&lt;Rules!$H$2),"No label",INDEX($L$1:$Q$1,MATCH(MAX(L247:Q247),L247:Q247,0)))</f>
        <v>Customer Service</v>
      </c>
      <c r="S247" s="0" t="n">
        <f aca="false">SUMPRODUCT(ISNUMBER(SEARCH(" "&amp;Terms!$A$3:$A$821&amp;" ",$D247))*Terms!B$3:B$821)+Terms!B$2</f>
        <v>-1.71154190972319</v>
      </c>
      <c r="T247" s="0" t="n">
        <f aca="false">SUMPRODUCT(ISNUMBER(SEARCH(" "&amp;Terms!$A$3:$A$821&amp;" ",$D247))*Terms!C$3:C$821)+Terms!C$2</f>
        <v>10.0758232021605</v>
      </c>
      <c r="U247" s="0" t="n">
        <f aca="false">SUMPRODUCT(ISNUMBER(SEARCH(" "&amp;Terms!$A$3:$A$821&amp;" ",$D247))*Terms!D$3:D$821)+Terms!D$2</f>
        <v>-4.25621762218715</v>
      </c>
      <c r="V247" s="0" t="n">
        <f aca="false">SUMPRODUCT(ISNUMBER(SEARCH(" "&amp;Terms!$A$3:$A$821&amp;" ",$D247))*Terms!E$3:E$821)+Terms!E$2</f>
        <v>-1.36004460188607</v>
      </c>
      <c r="W247" s="0" t="n">
        <f aca="false">SUMPRODUCT(ISNUMBER(SEARCH(" "&amp;Terms!$A$3:$A$821&amp;" ",$D247))*Terms!F$3:F$821)+Terms!F$2</f>
        <v>-1.94481001125557</v>
      </c>
      <c r="X247" s="0" t="n">
        <f aca="false">SUMPRODUCT(ISNUMBER(SEARCH(" "&amp;Terms!$A$3:$A$821&amp;" ",$D247))*Terms!G$3:G$821)+Terms!G$2</f>
        <v>-0.80320905710844</v>
      </c>
      <c r="Y247" s="0" t="str">
        <f aca="false">INDEX($S$1:$X$1,MATCH(MAX(S247:X247),S247:X247,0))</f>
        <v>Customer Service</v>
      </c>
      <c r="Z247" s="0" t="s">
        <v>2607</v>
      </c>
    </row>
    <row r="248" customFormat="false" ht="15" hidden="false" customHeight="false" outlineLevel="0" collapsed="false">
      <c r="A248" s="0" t="str">
        <f aca="false">Complaints!A248</f>
        <v>C0247</v>
      </c>
      <c r="B248" s="0" t="str">
        <f aca="false">Complaints!B248</f>
        <v>My mortgage switch is taking far longer than you said it would.</v>
      </c>
      <c r="C248" s="0" t="str">
        <f aca="false">Complaints!C248</f>
        <v>Delays &amp; Processing</v>
      </c>
      <c r="D248" s="0" t="str">
        <f aca="false">" "&amp;TRIM(SUBSTITUTE(SUBSTITUTE(SUBSTITUTE(SUBSTITUTE(SUBSTITUTE(SUBSTITUTE(SUBSTITUTE(SUBSTITUTE(SUBSTITUTE(SUBSTITUTE(SUBSTITUTE(SUBSTITUTE(SUBSTITUTE(SUBSTITUTE(SUBSTITUTE(SUBSTITUTE(LOWER(B248),"."," "),","," "),"'"," "),"’"," "),"!"," "),"?"," "),";"," "),":"," "),"-"," "),"("," "),")"," "),"""", " "),"£"," "),"&amp;"," "),"/"," "),"%"," "))&amp;" "</f>
        <v> my mortgage switch is taking far longer than you said it would </v>
      </c>
      <c r="E248" s="0" t="n">
        <f aca="false">SUMPRODUCT((Rules!$A$2:$A$60=E$1)*Rules!$C$2:$C$60*ISNUMBER(SEARCH(Rules!$D$2:$D$60,$D248)))</f>
        <v>0</v>
      </c>
      <c r="F248" s="0" t="n">
        <f aca="false">SUMPRODUCT((Rules!$A$2:$A$60=F$1)*Rules!$C$2:$C$60*ISNUMBER(SEARCH(Rules!$D$2:$D$60,$D248)))</f>
        <v>0</v>
      </c>
      <c r="G248" s="0" t="n">
        <f aca="false">SUMPRODUCT((Rules!$A$2:$A$60=G$1)*Rules!$C$2:$C$60*ISNUMBER(SEARCH(Rules!$D$2:$D$60,$D248)))</f>
        <v>0</v>
      </c>
      <c r="H248" s="0" t="n">
        <f aca="false">SUMPRODUCT((Rules!$A$2:$A$60=H$1)*Rules!$C$2:$C$60*ISNUMBER(SEARCH(Rules!$D$2:$D$60,$D248)))</f>
        <v>0</v>
      </c>
      <c r="I248" s="0" t="n">
        <f aca="false">SUMPRODUCT((Rules!$A$2:$A$60=I$1)*Rules!$C$2:$C$60*ISNUMBER(SEARCH(Rules!$D$2:$D$60,$D248)))</f>
        <v>2</v>
      </c>
      <c r="J248" s="0" t="n">
        <f aca="false">SUMPRODUCT((Rules!$A$2:$A$60=J$1)*Rules!$C$2:$C$60*ISNUMBER(SEARCH(Rules!$D$2:$D$60,$D248)))</f>
        <v>0</v>
      </c>
      <c r="K248" s="0" t="str">
        <f aca="false">IF(OR(MAX(E248:J248)&lt;Rules!$H$1,MAX(E248:J248)-LARGE(E248:J248,2)&lt;Rules!$H$2),"No label",INDEX($E$1:$J$1,MATCH(MAX(E248:J248),E248:J248,0)))</f>
        <v>No label</v>
      </c>
      <c r="L248" s="0" t="n">
        <f aca="false">SUMPRODUCT((Rules!$A$2:$A$60=L$1)*Rules!$C$2:$C$60*ISNUMBER(SEARCH(Rules!$E$2:$E$60,$D248)))</f>
        <v>0</v>
      </c>
      <c r="M248" s="0" t="n">
        <f aca="false">SUMPRODUCT((Rules!$A$2:$A$60=M$1)*Rules!$C$2:$C$60*ISNUMBER(SEARCH(Rules!$E$2:$E$60,$D248)))</f>
        <v>0</v>
      </c>
      <c r="N248" s="0" t="n">
        <f aca="false">SUMPRODUCT((Rules!$A$2:$A$60=N$1)*Rules!$C$2:$C$60*ISNUMBER(SEARCH(Rules!$E$2:$E$60,$D248)))</f>
        <v>0</v>
      </c>
      <c r="O248" s="0" t="n">
        <f aca="false">SUMPRODUCT((Rules!$A$2:$A$60=O$1)*Rules!$C$2:$C$60*ISNUMBER(SEARCH(Rules!$E$2:$E$60,$D248)))</f>
        <v>0</v>
      </c>
      <c r="P248" s="0" t="n">
        <f aca="false">SUMPRODUCT((Rules!$A$2:$A$60=P$1)*Rules!$C$2:$C$60*ISNUMBER(SEARCH(Rules!$E$2:$E$60,$D248)))</f>
        <v>2</v>
      </c>
      <c r="Q248" s="0" t="n">
        <f aca="false">SUMPRODUCT((Rules!$A$2:$A$60=Q$1)*Rules!$C$2:$C$60*ISNUMBER(SEARCH(Rules!$E$2:$E$60,$D248)))</f>
        <v>0</v>
      </c>
      <c r="R248" s="0" t="str">
        <f aca="false">IF(OR(MAX(L248:Q248)&lt;Rules!$H$1,MAX(L248:Q248)-LARGE(L248:Q248,2)&lt;Rules!$H$2),"No label",INDEX($L$1:$Q$1,MATCH(MAX(L248:Q248),L248:Q248,0)))</f>
        <v>No label</v>
      </c>
      <c r="S248" s="0" t="n">
        <f aca="false">SUMPRODUCT(ISNUMBER(SEARCH(" "&amp;Terms!$A$3:$A$821&amp;" ",$D248))*Terms!B$3:B$821)+Terms!B$2</f>
        <v>-4.06485730154796</v>
      </c>
      <c r="T248" s="0" t="n">
        <f aca="false">SUMPRODUCT(ISNUMBER(SEARCH(" "&amp;Terms!$A$3:$A$821&amp;" ",$D248))*Terms!C$3:C$821)+Terms!C$2</f>
        <v>-0.271722405992414</v>
      </c>
      <c r="U248" s="0" t="n">
        <f aca="false">SUMPRODUCT(ISNUMBER(SEARCH(" "&amp;Terms!$A$3:$A$821&amp;" ",$D248))*Terms!D$3:D$821)+Terms!D$2</f>
        <v>10.1897888230267</v>
      </c>
      <c r="V248" s="0" t="n">
        <f aca="false">SUMPRODUCT(ISNUMBER(SEARCH(" "&amp;Terms!$A$3:$A$821&amp;" ",$D248))*Terms!E$3:E$821)+Terms!E$2</f>
        <v>-1.89874537111359</v>
      </c>
      <c r="W248" s="0" t="n">
        <f aca="false">SUMPRODUCT(ISNUMBER(SEARCH(" "&amp;Terms!$A$3:$A$821&amp;" ",$D248))*Terms!F$3:F$821)+Terms!F$2</f>
        <v>-2.03152843401181</v>
      </c>
      <c r="X248" s="0" t="n">
        <f aca="false">SUMPRODUCT(ISNUMBER(SEARCH(" "&amp;Terms!$A$3:$A$821&amp;" ",$D248))*Terms!G$3:G$821)+Terms!G$2</f>
        <v>-1.9229353103608</v>
      </c>
      <c r="Y248" s="0" t="str">
        <f aca="false">INDEX($S$1:$X$1,MATCH(MAX(S248:X248),S248:X248,0))</f>
        <v>Delays &amp; Processing</v>
      </c>
      <c r="Z248" s="0" t="s">
        <v>2607</v>
      </c>
    </row>
    <row r="249" customFormat="false" ht="15" hidden="false" customHeight="false" outlineLevel="0" collapsed="false">
      <c r="A249" s="0" t="str">
        <f aca="false">Complaints!A249</f>
        <v>C0248</v>
      </c>
      <c r="B249" s="0" t="str">
        <f aca="false">Complaints!B249</f>
        <v>This is the second time I have raised this. The branch manager would not listen to my concerns. Also, nobody explained the foreign transaction charges before my holiday.</v>
      </c>
      <c r="C249" s="0" t="str">
        <f aca="false">Complaints!C249</f>
        <v>Customer Service</v>
      </c>
      <c r="D249" s="0" t="str">
        <f aca="false">" "&amp;TRIM(SUBSTITUTE(SUBSTITUTE(SUBSTITUTE(SUBSTITUTE(SUBSTITUTE(SUBSTITUTE(SUBSTITUTE(SUBSTITUTE(SUBSTITUTE(SUBSTITUTE(SUBSTITUTE(SUBSTITUTE(SUBSTITUTE(SUBSTITUTE(SUBSTITUTE(SUBSTITUTE(LOWER(B249),"."," "),","," "),"'"," "),"’"," "),"!"," "),"?"," "),";"," "),":"," "),"-"," "),"("," "),")"," "),"""", " "),"£"," "),"&amp;"," "),"/"," "),"%"," "))&amp;" "</f>
        <v> this is the second time i have raised this the branch manager would not listen to my concerns also nobody explained the foreign transaction charges before my holiday </v>
      </c>
      <c r="E249" s="0" t="n">
        <f aca="false">SUMPRODUCT((Rules!$A$2:$A$60=E$1)*Rules!$C$2:$C$60*ISNUMBER(SEARCH(Rules!$D$2:$D$60,$D249)))</f>
        <v>0</v>
      </c>
      <c r="F249" s="0" t="n">
        <f aca="false">SUMPRODUCT((Rules!$A$2:$A$60=F$1)*Rules!$C$2:$C$60*ISNUMBER(SEARCH(Rules!$D$2:$D$60,$D249)))</f>
        <v>0</v>
      </c>
      <c r="G249" s="0" t="n">
        <f aca="false">SUMPRODUCT((Rules!$A$2:$A$60=G$1)*Rules!$C$2:$C$60*ISNUMBER(SEARCH(Rules!$D$2:$D$60,$D249)))</f>
        <v>0</v>
      </c>
      <c r="H249" s="0" t="n">
        <f aca="false">SUMPRODUCT((Rules!$A$2:$A$60=H$1)*Rules!$C$2:$C$60*ISNUMBER(SEARCH(Rules!$D$2:$D$60,$D249)))</f>
        <v>0</v>
      </c>
      <c r="I249" s="0" t="n">
        <f aca="false">SUMPRODUCT((Rules!$A$2:$A$60=I$1)*Rules!$C$2:$C$60*ISNUMBER(SEARCH(Rules!$D$2:$D$60,$D249)))</f>
        <v>0</v>
      </c>
      <c r="J249" s="0" t="n">
        <f aca="false">SUMPRODUCT((Rules!$A$2:$A$60=J$1)*Rules!$C$2:$C$60*ISNUMBER(SEARCH(Rules!$D$2:$D$60,$D249)))</f>
        <v>0</v>
      </c>
      <c r="K249" s="0" t="str">
        <f aca="false">IF(OR(MAX(E249:J249)&lt;Rules!$H$1,MAX(E249:J249)-LARGE(E249:J249,2)&lt;Rules!$H$2),"No label",INDEX($E$1:$J$1,MATCH(MAX(E249:J249),E249:J249,0)))</f>
        <v>No label</v>
      </c>
      <c r="L249" s="0" t="n">
        <f aca="false">SUMPRODUCT((Rules!$A$2:$A$60=L$1)*Rules!$C$2:$C$60*ISNUMBER(SEARCH(Rules!$E$2:$E$60,$D249)))</f>
        <v>0</v>
      </c>
      <c r="M249" s="0" t="n">
        <f aca="false">SUMPRODUCT((Rules!$A$2:$A$60=M$1)*Rules!$C$2:$C$60*ISNUMBER(SEARCH(Rules!$E$2:$E$60,$D249)))</f>
        <v>0</v>
      </c>
      <c r="N249" s="0" t="n">
        <f aca="false">SUMPRODUCT((Rules!$A$2:$A$60=N$1)*Rules!$C$2:$C$60*ISNUMBER(SEARCH(Rules!$E$2:$E$60,$D249)))</f>
        <v>0</v>
      </c>
      <c r="O249" s="0" t="n">
        <f aca="false">SUMPRODUCT((Rules!$A$2:$A$60=O$1)*Rules!$C$2:$C$60*ISNUMBER(SEARCH(Rules!$E$2:$E$60,$D249)))</f>
        <v>4</v>
      </c>
      <c r="P249" s="0" t="n">
        <f aca="false">SUMPRODUCT((Rules!$A$2:$A$60=P$1)*Rules!$C$2:$C$60*ISNUMBER(SEARCH(Rules!$E$2:$E$60,$D249)))</f>
        <v>0</v>
      </c>
      <c r="Q249" s="0" t="n">
        <f aca="false">SUMPRODUCT((Rules!$A$2:$A$60=Q$1)*Rules!$C$2:$C$60*ISNUMBER(SEARCH(Rules!$E$2:$E$60,$D249)))</f>
        <v>0</v>
      </c>
      <c r="R249" s="0" t="str">
        <f aca="false">IF(OR(MAX(L249:Q249)&lt;Rules!$H$1,MAX(L249:Q249)-LARGE(L249:Q249,2)&lt;Rules!$H$2),"No label",INDEX($L$1:$Q$1,MATCH(MAX(L249:Q249),L249:Q249,0)))</f>
        <v>Fees &amp; Charges</v>
      </c>
      <c r="S249" s="0" t="n">
        <f aca="false">SUMPRODUCT(ISNUMBER(SEARCH(" "&amp;Terms!$A$3:$A$821&amp;" ",$D249))*Terms!B$3:B$821)+Terms!B$2</f>
        <v>-4.49767973382172</v>
      </c>
      <c r="T249" s="0" t="n">
        <f aca="false">SUMPRODUCT(ISNUMBER(SEARCH(" "&amp;Terms!$A$3:$A$821&amp;" ",$D249))*Terms!C$3:C$821)+Terms!C$2</f>
        <v>10.4883535293947</v>
      </c>
      <c r="U249" s="0" t="n">
        <f aca="false">SUMPRODUCT(ISNUMBER(SEARCH(" "&amp;Terms!$A$3:$A$821&amp;" ",$D249))*Terms!D$3:D$821)+Terms!D$2</f>
        <v>-6.21931993968401</v>
      </c>
      <c r="V249" s="0" t="n">
        <f aca="false">SUMPRODUCT(ISNUMBER(SEARCH(" "&amp;Terms!$A$3:$A$821&amp;" ",$D249))*Terms!E$3:E$821)+Terms!E$2</f>
        <v>11.2003794783339</v>
      </c>
      <c r="W249" s="0" t="n">
        <f aca="false">SUMPRODUCT(ISNUMBER(SEARCH(" "&amp;Terms!$A$3:$A$821&amp;" ",$D249))*Terms!F$3:F$821)+Terms!F$2</f>
        <v>-4.76984606360202</v>
      </c>
      <c r="X249" s="0" t="n">
        <f aca="false">SUMPRODUCT(ISNUMBER(SEARCH(" "&amp;Terms!$A$3:$A$821&amp;" ",$D249))*Terms!G$3:G$821)+Terms!G$2</f>
        <v>-6.20188727062072</v>
      </c>
      <c r="Y249" s="0" t="str">
        <f aca="false">INDEX($S$1:$X$1,MATCH(MAX(S249:X249),S249:X249,0))</f>
        <v>Fees &amp; Charges</v>
      </c>
      <c r="Z249" s="0" t="s">
        <v>2607</v>
      </c>
    </row>
    <row r="250" customFormat="false" ht="15" hidden="false" customHeight="false" outlineLevel="0" collapsed="false">
      <c r="A250" s="0" t="str">
        <f aca="false">Complaints!A250</f>
        <v>C0249</v>
      </c>
      <c r="B250" s="0" t="str">
        <f aca="false">Complaints!B250</f>
        <v>This is the second time I have raised this. My card was cloned and used abroad. I could not log in to check ither. Please sort this out.</v>
      </c>
      <c r="C250" s="0" t="str">
        <f aca="false">Complaints!C250</f>
        <v>Fraud &amp; Scams</v>
      </c>
      <c r="D250" s="0" t="str">
        <f aca="false">" "&amp;TRIM(SUBSTITUTE(SUBSTITUTE(SUBSTITUTE(SUBSTITUTE(SUBSTITUTE(SUBSTITUTE(SUBSTITUTE(SUBSTITUTE(SUBSTITUTE(SUBSTITUTE(SUBSTITUTE(SUBSTITUTE(SUBSTITUTE(SUBSTITUTE(SUBSTITUTE(SUBSTITUTE(LOWER(B250),"."," "),","," "),"'"," "),"’"," "),"!"," "),"?"," "),";"," "),":"," "),"-"," "),"("," "),")"," "),"""", " "),"£"," "),"&amp;"," "),"/"," "),"%"," "))&amp;" "</f>
        <v> this is the second time i have raised this my card was cloned and used abroad i could not log in to check ither please sort this out </v>
      </c>
      <c r="E250" s="0" t="n">
        <f aca="false">SUMPRODUCT((Rules!$A$2:$A$60=E$1)*Rules!$C$2:$C$60*ISNUMBER(SEARCH(Rules!$D$2:$D$60,$D250)))</f>
        <v>3</v>
      </c>
      <c r="F250" s="0" t="n">
        <f aca="false">SUMPRODUCT((Rules!$A$2:$A$60=F$1)*Rules!$C$2:$C$60*ISNUMBER(SEARCH(Rules!$D$2:$D$60,$D250)))</f>
        <v>0</v>
      </c>
      <c r="G250" s="0" t="n">
        <f aca="false">SUMPRODUCT((Rules!$A$2:$A$60=G$1)*Rules!$C$2:$C$60*ISNUMBER(SEARCH(Rules!$D$2:$D$60,$D250)))</f>
        <v>3</v>
      </c>
      <c r="H250" s="0" t="n">
        <f aca="false">SUMPRODUCT((Rules!$A$2:$A$60=H$1)*Rules!$C$2:$C$60*ISNUMBER(SEARCH(Rules!$D$2:$D$60,$D250)))</f>
        <v>0</v>
      </c>
      <c r="I250" s="0" t="n">
        <f aca="false">SUMPRODUCT((Rules!$A$2:$A$60=I$1)*Rules!$C$2:$C$60*ISNUMBER(SEARCH(Rules!$D$2:$D$60,$D250)))</f>
        <v>0</v>
      </c>
      <c r="J250" s="0" t="n">
        <f aca="false">SUMPRODUCT((Rules!$A$2:$A$60=J$1)*Rules!$C$2:$C$60*ISNUMBER(SEARCH(Rules!$D$2:$D$60,$D250)))</f>
        <v>0</v>
      </c>
      <c r="K250" s="0" t="str">
        <f aca="false">IF(OR(MAX(E250:J250)&lt;Rules!$H$1,MAX(E250:J250)-LARGE(E250:J250,2)&lt;Rules!$H$2),"No label",INDEX($E$1:$J$1,MATCH(MAX(E250:J250),E250:J250,0)))</f>
        <v>No label</v>
      </c>
      <c r="L250" s="0" t="n">
        <f aca="false">SUMPRODUCT((Rules!$A$2:$A$60=L$1)*Rules!$C$2:$C$60*ISNUMBER(SEARCH(Rules!$E$2:$E$60,$D250)))</f>
        <v>3</v>
      </c>
      <c r="M250" s="0" t="n">
        <f aca="false">SUMPRODUCT((Rules!$A$2:$A$60=M$1)*Rules!$C$2:$C$60*ISNUMBER(SEARCH(Rules!$E$2:$E$60,$D250)))</f>
        <v>0</v>
      </c>
      <c r="N250" s="0" t="n">
        <f aca="false">SUMPRODUCT((Rules!$A$2:$A$60=N$1)*Rules!$C$2:$C$60*ISNUMBER(SEARCH(Rules!$E$2:$E$60,$D250)))</f>
        <v>3</v>
      </c>
      <c r="O250" s="0" t="n">
        <f aca="false">SUMPRODUCT((Rules!$A$2:$A$60=O$1)*Rules!$C$2:$C$60*ISNUMBER(SEARCH(Rules!$E$2:$E$60,$D250)))</f>
        <v>0</v>
      </c>
      <c r="P250" s="0" t="n">
        <f aca="false">SUMPRODUCT((Rules!$A$2:$A$60=P$1)*Rules!$C$2:$C$60*ISNUMBER(SEARCH(Rules!$E$2:$E$60,$D250)))</f>
        <v>0</v>
      </c>
      <c r="Q250" s="0" t="n">
        <f aca="false">SUMPRODUCT((Rules!$A$2:$A$60=Q$1)*Rules!$C$2:$C$60*ISNUMBER(SEARCH(Rules!$E$2:$E$60,$D250)))</f>
        <v>0</v>
      </c>
      <c r="R250" s="0" t="str">
        <f aca="false">IF(OR(MAX(L250:Q250)&lt;Rules!$H$1,MAX(L250:Q250)-LARGE(L250:Q250,2)&lt;Rules!$H$2),"No label",INDEX($L$1:$Q$1,MATCH(MAX(L250:Q250),L250:Q250,0)))</f>
        <v>No label</v>
      </c>
      <c r="S250" s="0" t="n">
        <f aca="false">SUMPRODUCT(ISNUMBER(SEARCH(" "&amp;Terms!$A$3:$A$821&amp;" ",$D250))*Terms!B$3:B$821)+Terms!B$2</f>
        <v>-4.53216702510037</v>
      </c>
      <c r="T250" s="0" t="n">
        <f aca="false">SUMPRODUCT(ISNUMBER(SEARCH(" "&amp;Terms!$A$3:$A$821&amp;" ",$D250))*Terms!C$3:C$821)+Terms!C$2</f>
        <v>1.11786074009374</v>
      </c>
      <c r="U250" s="0" t="n">
        <f aca="false">SUMPRODUCT(ISNUMBER(SEARCH(" "&amp;Terms!$A$3:$A$821&amp;" ",$D250))*Terms!D$3:D$821)+Terms!D$2</f>
        <v>-3.7357025102375</v>
      </c>
      <c r="V250" s="0" t="n">
        <f aca="false">SUMPRODUCT(ISNUMBER(SEARCH(" "&amp;Terms!$A$3:$A$821&amp;" ",$D250))*Terms!E$3:E$821)+Terms!E$2</f>
        <v>0.283494842703173</v>
      </c>
      <c r="W250" s="0" t="n">
        <f aca="false">SUMPRODUCT(ISNUMBER(SEARCH(" "&amp;Terms!$A$3:$A$821&amp;" ",$D250))*Terms!F$3:F$821)+Terms!F$2</f>
        <v>10.1463677302794</v>
      </c>
      <c r="X250" s="0" t="n">
        <f aca="false">SUMPRODUCT(ISNUMBER(SEARCH(" "&amp;Terms!$A$3:$A$821&amp;" ",$D250))*Terms!G$3:G$821)+Terms!G$2</f>
        <v>-3.27985377773834</v>
      </c>
      <c r="Y250" s="0" t="str">
        <f aca="false">INDEX($S$1:$X$1,MATCH(MAX(S250:X250),S250:X250,0))</f>
        <v>Fraud &amp; Scams</v>
      </c>
      <c r="Z250" s="0" t="s">
        <v>2608</v>
      </c>
    </row>
    <row r="251" customFormat="false" ht="15" hidden="false" customHeight="false" outlineLevel="0" collapsed="false">
      <c r="A251" s="0" t="str">
        <f aca="false">Complaints!A251</f>
        <v>C0250</v>
      </c>
      <c r="B251" s="0" t="str">
        <f aca="false">Complaints!B251</f>
        <v>I have been a customer for years. The account maintenance fee was taken twice this month. Please sort this out.</v>
      </c>
      <c r="C251" s="0" t="str">
        <f aca="false">Complaints!C251</f>
        <v>Fees &amp; Charges</v>
      </c>
      <c r="D251" s="0" t="str">
        <f aca="false">" "&amp;TRIM(SUBSTITUTE(SUBSTITUTE(SUBSTITUTE(SUBSTITUTE(SUBSTITUTE(SUBSTITUTE(SUBSTITUTE(SUBSTITUTE(SUBSTITUTE(SUBSTITUTE(SUBSTITUTE(SUBSTITUTE(SUBSTITUTE(SUBSTITUTE(SUBSTITUTE(SUBSTITUTE(LOWER(B251),"."," "),","," "),"'"," "),"’"," "),"!"," "),"?"," "),";"," "),":"," "),"-"," "),"("," "),")"," "),"""", " "),"£"," "),"&amp;"," "),"/"," "),"%"," "))&amp;" "</f>
        <v> i have been a customer for years the account maintenance fee was taken twice this month please sort this out </v>
      </c>
      <c r="E251" s="0" t="n">
        <f aca="false">SUMPRODUCT((Rules!$A$2:$A$60=E$1)*Rules!$C$2:$C$60*ISNUMBER(SEARCH(Rules!$D$2:$D$60,$D251)))</f>
        <v>0</v>
      </c>
      <c r="F251" s="0" t="n">
        <f aca="false">SUMPRODUCT((Rules!$A$2:$A$60=F$1)*Rules!$C$2:$C$60*ISNUMBER(SEARCH(Rules!$D$2:$D$60,$D251)))</f>
        <v>0</v>
      </c>
      <c r="G251" s="0" t="n">
        <f aca="false">SUMPRODUCT((Rules!$A$2:$A$60=G$1)*Rules!$C$2:$C$60*ISNUMBER(SEARCH(Rules!$D$2:$D$60,$D251)))</f>
        <v>0</v>
      </c>
      <c r="H251" s="0" t="n">
        <f aca="false">SUMPRODUCT((Rules!$A$2:$A$60=H$1)*Rules!$C$2:$C$60*ISNUMBER(SEARCH(Rules!$D$2:$D$60,$D251)))</f>
        <v>2</v>
      </c>
      <c r="I251" s="0" t="n">
        <f aca="false">SUMPRODUCT((Rules!$A$2:$A$60=I$1)*Rules!$C$2:$C$60*ISNUMBER(SEARCH(Rules!$D$2:$D$60,$D251)))</f>
        <v>0</v>
      </c>
      <c r="J251" s="0" t="n">
        <f aca="false">SUMPRODUCT((Rules!$A$2:$A$60=J$1)*Rules!$C$2:$C$60*ISNUMBER(SEARCH(Rules!$D$2:$D$60,$D251)))</f>
        <v>0</v>
      </c>
      <c r="K251" s="0" t="str">
        <f aca="false">IF(OR(MAX(E251:J251)&lt;Rules!$H$1,MAX(E251:J251)-LARGE(E251:J251,2)&lt;Rules!$H$2),"No label",INDEX($E$1:$J$1,MATCH(MAX(E251:J251),E251:J251,0)))</f>
        <v>No label</v>
      </c>
      <c r="L251" s="0" t="n">
        <f aca="false">SUMPRODUCT((Rules!$A$2:$A$60=L$1)*Rules!$C$2:$C$60*ISNUMBER(SEARCH(Rules!$E$2:$E$60,$D251)))</f>
        <v>0</v>
      </c>
      <c r="M251" s="0" t="n">
        <f aca="false">SUMPRODUCT((Rules!$A$2:$A$60=M$1)*Rules!$C$2:$C$60*ISNUMBER(SEARCH(Rules!$E$2:$E$60,$D251)))</f>
        <v>0</v>
      </c>
      <c r="N251" s="0" t="n">
        <f aca="false">SUMPRODUCT((Rules!$A$2:$A$60=N$1)*Rules!$C$2:$C$60*ISNUMBER(SEARCH(Rules!$E$2:$E$60,$D251)))</f>
        <v>0</v>
      </c>
      <c r="O251" s="0" t="n">
        <f aca="false">SUMPRODUCT((Rules!$A$2:$A$60=O$1)*Rules!$C$2:$C$60*ISNUMBER(SEARCH(Rules!$E$2:$E$60,$D251)))</f>
        <v>2</v>
      </c>
      <c r="P251" s="0" t="n">
        <f aca="false">SUMPRODUCT((Rules!$A$2:$A$60=P$1)*Rules!$C$2:$C$60*ISNUMBER(SEARCH(Rules!$E$2:$E$60,$D251)))</f>
        <v>0</v>
      </c>
      <c r="Q251" s="0" t="n">
        <f aca="false">SUMPRODUCT((Rules!$A$2:$A$60=Q$1)*Rules!$C$2:$C$60*ISNUMBER(SEARCH(Rules!$E$2:$E$60,$D251)))</f>
        <v>0</v>
      </c>
      <c r="R251" s="0" t="str">
        <f aca="false">IF(OR(MAX(L251:Q251)&lt;Rules!$H$1,MAX(L251:Q251)-LARGE(L251:Q251,2)&lt;Rules!$H$2),"No label",INDEX($L$1:$Q$1,MATCH(MAX(L251:Q251),L251:Q251,0)))</f>
        <v>No label</v>
      </c>
      <c r="S251" s="0" t="n">
        <f aca="false">SUMPRODUCT(ISNUMBER(SEARCH(" "&amp;Terms!$A$3:$A$821&amp;" ",$D251))*Terms!B$3:B$821)+Terms!B$2</f>
        <v>-2.49549773005195</v>
      </c>
      <c r="T251" s="0" t="n">
        <f aca="false">SUMPRODUCT(ISNUMBER(SEARCH(" "&amp;Terms!$A$3:$A$821&amp;" ",$D251))*Terms!C$3:C$821)+Terms!C$2</f>
        <v>-1.29614722800803</v>
      </c>
      <c r="U251" s="0" t="n">
        <f aca="false">SUMPRODUCT(ISNUMBER(SEARCH(" "&amp;Terms!$A$3:$A$821&amp;" ",$D251))*Terms!D$3:D$821)+Terms!D$2</f>
        <v>1.30589053062759</v>
      </c>
      <c r="V251" s="0" t="n">
        <f aca="false">SUMPRODUCT(ISNUMBER(SEARCH(" "&amp;Terms!$A$3:$A$821&amp;" ",$D251))*Terms!E$3:E$821)+Terms!E$2</f>
        <v>12.3531436882099</v>
      </c>
      <c r="W251" s="0" t="n">
        <f aca="false">SUMPRODUCT(ISNUMBER(SEARCH(" "&amp;Terms!$A$3:$A$821&amp;" ",$D251))*Terms!F$3:F$821)+Terms!F$2</f>
        <v>-3.04332998767619</v>
      </c>
      <c r="X251" s="0" t="n">
        <f aca="false">SUMPRODUCT(ISNUMBER(SEARCH(" "&amp;Terms!$A$3:$A$821&amp;" ",$D251))*Terms!G$3:G$821)+Terms!G$2</f>
        <v>-6.82405927310127</v>
      </c>
      <c r="Y251" s="0" t="str">
        <f aca="false">INDEX($S$1:$X$1,MATCH(MAX(S251:X251),S251:X251,0))</f>
        <v>Fees &amp; Charges</v>
      </c>
      <c r="Z251" s="0" t="s">
        <v>2607</v>
      </c>
    </row>
    <row r="252" customFormat="false" ht="15" hidden="false" customHeight="false" outlineLevel="0" collapsed="false">
      <c r="A252" s="0" t="str">
        <f aca="false">Complaints!A252</f>
        <v>C0251</v>
      </c>
      <c r="B252" s="0" t="str">
        <f aca="false">Complaints!B252</f>
        <v>Frankly, A fake text message led me to a website and my money disappeared.</v>
      </c>
      <c r="C252" s="0" t="str">
        <f aca="false">Complaints!C252</f>
        <v>Fraud &amp; Scams</v>
      </c>
      <c r="D252" s="0" t="str">
        <f aca="false">" "&amp;TRIM(SUBSTITUTE(SUBSTITUTE(SUBSTITUTE(SUBSTITUTE(SUBSTITUTE(SUBSTITUTE(SUBSTITUTE(SUBSTITUTE(SUBSTITUTE(SUBSTITUTE(SUBSTITUTE(SUBSTITUTE(SUBSTITUTE(SUBSTITUTE(SUBSTITUTE(SUBSTITUTE(LOWER(B252),"."," "),","," "),"'"," "),"’"," "),"!"," "),"?"," "),";"," "),":"," "),"-"," "),"("," "),")"," "),"""", " "),"£"," "),"&amp;"," "),"/"," "),"%"," "))&amp;" "</f>
        <v> frankly a fake text message led me to a website and my money disappeared </v>
      </c>
      <c r="E252" s="0" t="n">
        <f aca="false">SUMPRODUCT((Rules!$A$2:$A$60=E$1)*Rules!$C$2:$C$60*ISNUMBER(SEARCH(Rules!$D$2:$D$60,$D252)))</f>
        <v>2</v>
      </c>
      <c r="F252" s="0" t="n">
        <f aca="false">SUMPRODUCT((Rules!$A$2:$A$60=F$1)*Rules!$C$2:$C$60*ISNUMBER(SEARCH(Rules!$D$2:$D$60,$D252)))</f>
        <v>0</v>
      </c>
      <c r="G252" s="0" t="n">
        <f aca="false">SUMPRODUCT((Rules!$A$2:$A$60=G$1)*Rules!$C$2:$C$60*ISNUMBER(SEARCH(Rules!$D$2:$D$60,$D252)))</f>
        <v>0</v>
      </c>
      <c r="H252" s="0" t="n">
        <f aca="false">SUMPRODUCT((Rules!$A$2:$A$60=H$1)*Rules!$C$2:$C$60*ISNUMBER(SEARCH(Rules!$D$2:$D$60,$D252)))</f>
        <v>0</v>
      </c>
      <c r="I252" s="0" t="n">
        <f aca="false">SUMPRODUCT((Rules!$A$2:$A$60=I$1)*Rules!$C$2:$C$60*ISNUMBER(SEARCH(Rules!$D$2:$D$60,$D252)))</f>
        <v>0</v>
      </c>
      <c r="J252" s="0" t="n">
        <f aca="false">SUMPRODUCT((Rules!$A$2:$A$60=J$1)*Rules!$C$2:$C$60*ISNUMBER(SEARCH(Rules!$D$2:$D$60,$D252)))</f>
        <v>0</v>
      </c>
      <c r="K252" s="0" t="str">
        <f aca="false">IF(OR(MAX(E252:J252)&lt;Rules!$H$1,MAX(E252:J252)-LARGE(E252:J252,2)&lt;Rules!$H$2),"No label",INDEX($E$1:$J$1,MATCH(MAX(E252:J252),E252:J252,0)))</f>
        <v>No label</v>
      </c>
      <c r="L252" s="0" t="n">
        <f aca="false">SUMPRODUCT((Rules!$A$2:$A$60=L$1)*Rules!$C$2:$C$60*ISNUMBER(SEARCH(Rules!$E$2:$E$60,$D252)))</f>
        <v>2</v>
      </c>
      <c r="M252" s="0" t="n">
        <f aca="false">SUMPRODUCT((Rules!$A$2:$A$60=M$1)*Rules!$C$2:$C$60*ISNUMBER(SEARCH(Rules!$E$2:$E$60,$D252)))</f>
        <v>0</v>
      </c>
      <c r="N252" s="0" t="n">
        <f aca="false">SUMPRODUCT((Rules!$A$2:$A$60=N$1)*Rules!$C$2:$C$60*ISNUMBER(SEARCH(Rules!$E$2:$E$60,$D252)))</f>
        <v>0</v>
      </c>
      <c r="O252" s="0" t="n">
        <f aca="false">SUMPRODUCT((Rules!$A$2:$A$60=O$1)*Rules!$C$2:$C$60*ISNUMBER(SEARCH(Rules!$E$2:$E$60,$D252)))</f>
        <v>0</v>
      </c>
      <c r="P252" s="0" t="n">
        <f aca="false">SUMPRODUCT((Rules!$A$2:$A$60=P$1)*Rules!$C$2:$C$60*ISNUMBER(SEARCH(Rules!$E$2:$E$60,$D252)))</f>
        <v>0</v>
      </c>
      <c r="Q252" s="0" t="n">
        <f aca="false">SUMPRODUCT((Rules!$A$2:$A$60=Q$1)*Rules!$C$2:$C$60*ISNUMBER(SEARCH(Rules!$E$2:$E$60,$D252)))</f>
        <v>0</v>
      </c>
      <c r="R252" s="0" t="str">
        <f aca="false">IF(OR(MAX(L252:Q252)&lt;Rules!$H$1,MAX(L252:Q252)-LARGE(L252:Q252,2)&lt;Rules!$H$2),"No label",INDEX($L$1:$Q$1,MATCH(MAX(L252:Q252),L252:Q252,0)))</f>
        <v>No label</v>
      </c>
      <c r="S252" s="0" t="n">
        <f aca="false">SUMPRODUCT(ISNUMBER(SEARCH(" "&amp;Terms!$A$3:$A$821&amp;" ",$D252))*Terms!B$3:B$821)+Terms!B$2</f>
        <v>-0.0143686800254319</v>
      </c>
      <c r="T252" s="0" t="n">
        <f aca="false">SUMPRODUCT(ISNUMBER(SEARCH(" "&amp;Terms!$A$3:$A$821&amp;" ",$D252))*Terms!C$3:C$821)+Terms!C$2</f>
        <v>-2.93585670190399</v>
      </c>
      <c r="U252" s="0" t="n">
        <f aca="false">SUMPRODUCT(ISNUMBER(SEARCH(" "&amp;Terms!$A$3:$A$821&amp;" ",$D252))*Terms!D$3:D$821)+Terms!D$2</f>
        <v>-2.00002785522178</v>
      </c>
      <c r="V252" s="0" t="n">
        <f aca="false">SUMPRODUCT(ISNUMBER(SEARCH(" "&amp;Terms!$A$3:$A$821&amp;" ",$D252))*Terms!E$3:E$821)+Terms!E$2</f>
        <v>-5.80148662223646</v>
      </c>
      <c r="W252" s="0" t="n">
        <f aca="false">SUMPRODUCT(ISNUMBER(SEARCH(" "&amp;Terms!$A$3:$A$821&amp;" ",$D252))*Terms!F$3:F$821)+Terms!F$2</f>
        <v>10.9178862925166</v>
      </c>
      <c r="X252" s="0" t="n">
        <f aca="false">SUMPRODUCT(ISNUMBER(SEARCH(" "&amp;Terms!$A$3:$A$821&amp;" ",$D252))*Terms!G$3:G$821)+Terms!G$2</f>
        <v>-0.166146433128895</v>
      </c>
      <c r="Y252" s="0" t="str">
        <f aca="false">INDEX($S$1:$X$1,MATCH(MAX(S252:X252),S252:X252,0))</f>
        <v>Fraud &amp; Scams</v>
      </c>
      <c r="Z252" s="0" t="s">
        <v>2607</v>
      </c>
    </row>
    <row r="253" customFormat="false" ht="15" hidden="false" customHeight="false" outlineLevel="0" collapsed="false">
      <c r="A253" s="0" t="str">
        <f aca="false">Complaints!A253</f>
        <v>C0252</v>
      </c>
      <c r="B253" s="0" t="str">
        <f aca="false">Complaints!B253</f>
        <v>The payment still has not arrived in my account. I expect compensation.</v>
      </c>
      <c r="C253" s="0" t="str">
        <f aca="false">Complaints!C253</f>
        <v>Delays &amp; Processing</v>
      </c>
      <c r="D253" s="0" t="str">
        <f aca="false">" "&amp;TRIM(SUBSTITUTE(SUBSTITUTE(SUBSTITUTE(SUBSTITUTE(SUBSTITUTE(SUBSTITUTE(SUBSTITUTE(SUBSTITUTE(SUBSTITUTE(SUBSTITUTE(SUBSTITUTE(SUBSTITUTE(SUBSTITUTE(SUBSTITUTE(SUBSTITUTE(SUBSTITUTE(LOWER(B253),"."," "),","," "),"'"," "),"’"," "),"!"," "),"?"," "),";"," "),":"," "),"-"," "),"("," "),")"," "),"""", " "),"£"," "),"&amp;"," "),"/"," "),"%"," "))&amp;" "</f>
        <v> the payment still has not arrived in my account i expect compensation </v>
      </c>
      <c r="E253" s="0" t="n">
        <f aca="false">SUMPRODUCT((Rules!$A$2:$A$60=E$1)*Rules!$C$2:$C$60*ISNUMBER(SEARCH(Rules!$D$2:$D$60,$D253)))</f>
        <v>0</v>
      </c>
      <c r="F253" s="0" t="n">
        <f aca="false">SUMPRODUCT((Rules!$A$2:$A$60=F$1)*Rules!$C$2:$C$60*ISNUMBER(SEARCH(Rules!$D$2:$D$60,$D253)))</f>
        <v>0</v>
      </c>
      <c r="G253" s="0" t="n">
        <f aca="false">SUMPRODUCT((Rules!$A$2:$A$60=G$1)*Rules!$C$2:$C$60*ISNUMBER(SEARCH(Rules!$D$2:$D$60,$D253)))</f>
        <v>0</v>
      </c>
      <c r="H253" s="0" t="n">
        <f aca="false">SUMPRODUCT((Rules!$A$2:$A$60=H$1)*Rules!$C$2:$C$60*ISNUMBER(SEARCH(Rules!$D$2:$D$60,$D253)))</f>
        <v>0</v>
      </c>
      <c r="I253" s="0" t="n">
        <f aca="false">SUMPRODUCT((Rules!$A$2:$A$60=I$1)*Rules!$C$2:$C$60*ISNUMBER(SEARCH(Rules!$D$2:$D$60,$D253)))</f>
        <v>2</v>
      </c>
      <c r="J253" s="0" t="n">
        <f aca="false">SUMPRODUCT((Rules!$A$2:$A$60=J$1)*Rules!$C$2:$C$60*ISNUMBER(SEARCH(Rules!$D$2:$D$60,$D253)))</f>
        <v>0</v>
      </c>
      <c r="K253" s="0" t="str">
        <f aca="false">IF(OR(MAX(E253:J253)&lt;Rules!$H$1,MAX(E253:J253)-LARGE(E253:J253,2)&lt;Rules!$H$2),"No label",INDEX($E$1:$J$1,MATCH(MAX(E253:J253),E253:J253,0)))</f>
        <v>No label</v>
      </c>
      <c r="L253" s="0" t="n">
        <f aca="false">SUMPRODUCT((Rules!$A$2:$A$60=L$1)*Rules!$C$2:$C$60*ISNUMBER(SEARCH(Rules!$E$2:$E$60,$D253)))</f>
        <v>0</v>
      </c>
      <c r="M253" s="0" t="n">
        <f aca="false">SUMPRODUCT((Rules!$A$2:$A$60=M$1)*Rules!$C$2:$C$60*ISNUMBER(SEARCH(Rules!$E$2:$E$60,$D253)))</f>
        <v>0</v>
      </c>
      <c r="N253" s="0" t="n">
        <f aca="false">SUMPRODUCT((Rules!$A$2:$A$60=N$1)*Rules!$C$2:$C$60*ISNUMBER(SEARCH(Rules!$E$2:$E$60,$D253)))</f>
        <v>0</v>
      </c>
      <c r="O253" s="0" t="n">
        <f aca="false">SUMPRODUCT((Rules!$A$2:$A$60=O$1)*Rules!$C$2:$C$60*ISNUMBER(SEARCH(Rules!$E$2:$E$60,$D253)))</f>
        <v>0</v>
      </c>
      <c r="P253" s="0" t="n">
        <f aca="false">SUMPRODUCT((Rules!$A$2:$A$60=P$1)*Rules!$C$2:$C$60*ISNUMBER(SEARCH(Rules!$E$2:$E$60,$D253)))</f>
        <v>2</v>
      </c>
      <c r="Q253" s="0" t="n">
        <f aca="false">SUMPRODUCT((Rules!$A$2:$A$60=Q$1)*Rules!$C$2:$C$60*ISNUMBER(SEARCH(Rules!$E$2:$E$60,$D253)))</f>
        <v>0</v>
      </c>
      <c r="R253" s="0" t="str">
        <f aca="false">IF(OR(MAX(L253:Q253)&lt;Rules!$H$1,MAX(L253:Q253)-LARGE(L253:Q253,2)&lt;Rules!$H$2),"No label",INDEX($L$1:$Q$1,MATCH(MAX(L253:Q253),L253:Q253,0)))</f>
        <v>No label</v>
      </c>
      <c r="S253" s="0" t="n">
        <f aca="false">SUMPRODUCT(ISNUMBER(SEARCH(" "&amp;Terms!$A$3:$A$821&amp;" ",$D253))*Terms!B$3:B$821)+Terms!B$2</f>
        <v>3.00922404306179</v>
      </c>
      <c r="T253" s="0" t="n">
        <f aca="false">SUMPRODUCT(ISNUMBER(SEARCH(" "&amp;Terms!$A$3:$A$821&amp;" ",$D253))*Terms!C$3:C$821)+Terms!C$2</f>
        <v>-3.85882269793347</v>
      </c>
      <c r="U253" s="0" t="n">
        <f aca="false">SUMPRODUCT(ISNUMBER(SEARCH(" "&amp;Terms!$A$3:$A$821&amp;" ",$D253))*Terms!D$3:D$821)+Terms!D$2</f>
        <v>5.42395077816314</v>
      </c>
      <c r="V253" s="0" t="n">
        <f aca="false">SUMPRODUCT(ISNUMBER(SEARCH(" "&amp;Terms!$A$3:$A$821&amp;" ",$D253))*Terms!E$3:E$821)+Terms!E$2</f>
        <v>-1.24429842389895</v>
      </c>
      <c r="W253" s="0" t="n">
        <f aca="false">SUMPRODUCT(ISNUMBER(SEARCH(" "&amp;Terms!$A$3:$A$821&amp;" ",$D253))*Terms!F$3:F$821)+Terms!F$2</f>
        <v>1.52137404940306</v>
      </c>
      <c r="X253" s="0" t="n">
        <f aca="false">SUMPRODUCT(ISNUMBER(SEARCH(" "&amp;Terms!$A$3:$A$821&amp;" ",$D253))*Terms!G$3:G$821)+Terms!G$2</f>
        <v>-4.85142774879549</v>
      </c>
      <c r="Y253" s="0" t="str">
        <f aca="false">INDEX($S$1:$X$1,MATCH(MAX(S253:X253),S253:X253,0))</f>
        <v>Delays &amp; Processing</v>
      </c>
      <c r="Z253" s="0" t="s">
        <v>2607</v>
      </c>
    </row>
    <row r="254" customFormat="false" ht="15" hidden="false" customHeight="false" outlineLevel="0" collapsed="false">
      <c r="A254" s="0" t="str">
        <f aca="false">Complaints!A254</f>
        <v>C0253</v>
      </c>
      <c r="B254" s="0" t="str">
        <f aca="false">Complaints!B254</f>
        <v>To whom it may concern, The branch manager would not listen to my concerns. I would like a response in writing.</v>
      </c>
      <c r="C254" s="0" t="str">
        <f aca="false">Complaints!C254</f>
        <v>Customer Service</v>
      </c>
      <c r="D254" s="0" t="str">
        <f aca="false">" "&amp;TRIM(SUBSTITUTE(SUBSTITUTE(SUBSTITUTE(SUBSTITUTE(SUBSTITUTE(SUBSTITUTE(SUBSTITUTE(SUBSTITUTE(SUBSTITUTE(SUBSTITUTE(SUBSTITUTE(SUBSTITUTE(SUBSTITUTE(SUBSTITUTE(SUBSTITUTE(SUBSTITUTE(LOWER(B254),"."," "),","," "),"'"," "),"’"," "),"!"," "),"?"," "),";"," "),":"," "),"-"," "),"("," "),")"," "),"""", " "),"£"," "),"&amp;"," "),"/"," "),"%"," "))&amp;" "</f>
        <v> to whom it may concern the branch manager would not listen to my concerns i would like a response in writing </v>
      </c>
      <c r="E254" s="0" t="n">
        <f aca="false">SUMPRODUCT((Rules!$A$2:$A$60=E$1)*Rules!$C$2:$C$60*ISNUMBER(SEARCH(Rules!$D$2:$D$60,$D254)))</f>
        <v>0</v>
      </c>
      <c r="F254" s="0" t="n">
        <f aca="false">SUMPRODUCT((Rules!$A$2:$A$60=F$1)*Rules!$C$2:$C$60*ISNUMBER(SEARCH(Rules!$D$2:$D$60,$D254)))</f>
        <v>0</v>
      </c>
      <c r="G254" s="0" t="n">
        <f aca="false">SUMPRODUCT((Rules!$A$2:$A$60=G$1)*Rules!$C$2:$C$60*ISNUMBER(SEARCH(Rules!$D$2:$D$60,$D254)))</f>
        <v>0</v>
      </c>
      <c r="H254" s="0" t="n">
        <f aca="false">SUMPRODUCT((Rules!$A$2:$A$60=H$1)*Rules!$C$2:$C$60*ISNUMBER(SEARCH(Rules!$D$2:$D$60,$D254)))</f>
        <v>0</v>
      </c>
      <c r="I254" s="0" t="n">
        <f aca="false">SUMPRODUCT((Rules!$A$2:$A$60=I$1)*Rules!$C$2:$C$60*ISNUMBER(SEARCH(Rules!$D$2:$D$60,$D254)))</f>
        <v>0</v>
      </c>
      <c r="J254" s="0" t="n">
        <f aca="false">SUMPRODUCT((Rules!$A$2:$A$60=J$1)*Rules!$C$2:$C$60*ISNUMBER(SEARCH(Rules!$D$2:$D$60,$D254)))</f>
        <v>0</v>
      </c>
      <c r="K254" s="0" t="str">
        <f aca="false">IF(OR(MAX(E254:J254)&lt;Rules!$H$1,MAX(E254:J254)-LARGE(E254:J254,2)&lt;Rules!$H$2),"No label",INDEX($E$1:$J$1,MATCH(MAX(E254:J254),E254:J254,0)))</f>
        <v>No label</v>
      </c>
      <c r="L254" s="0" t="n">
        <f aca="false">SUMPRODUCT((Rules!$A$2:$A$60=L$1)*Rules!$C$2:$C$60*ISNUMBER(SEARCH(Rules!$E$2:$E$60,$D254)))</f>
        <v>0</v>
      </c>
      <c r="M254" s="0" t="n">
        <f aca="false">SUMPRODUCT((Rules!$A$2:$A$60=M$1)*Rules!$C$2:$C$60*ISNUMBER(SEARCH(Rules!$E$2:$E$60,$D254)))</f>
        <v>0</v>
      </c>
      <c r="N254" s="0" t="n">
        <f aca="false">SUMPRODUCT((Rules!$A$2:$A$60=N$1)*Rules!$C$2:$C$60*ISNUMBER(SEARCH(Rules!$E$2:$E$60,$D254)))</f>
        <v>0</v>
      </c>
      <c r="O254" s="0" t="n">
        <f aca="false">SUMPRODUCT((Rules!$A$2:$A$60=O$1)*Rules!$C$2:$C$60*ISNUMBER(SEARCH(Rules!$E$2:$E$60,$D254)))</f>
        <v>0</v>
      </c>
      <c r="P254" s="0" t="n">
        <f aca="false">SUMPRODUCT((Rules!$A$2:$A$60=P$1)*Rules!$C$2:$C$60*ISNUMBER(SEARCH(Rules!$E$2:$E$60,$D254)))</f>
        <v>0</v>
      </c>
      <c r="Q254" s="0" t="n">
        <f aca="false">SUMPRODUCT((Rules!$A$2:$A$60=Q$1)*Rules!$C$2:$C$60*ISNUMBER(SEARCH(Rules!$E$2:$E$60,$D254)))</f>
        <v>0</v>
      </c>
      <c r="R254" s="0" t="str">
        <f aca="false">IF(OR(MAX(L254:Q254)&lt;Rules!$H$1,MAX(L254:Q254)-LARGE(L254:Q254,2)&lt;Rules!$H$2),"No label",INDEX($L$1:$Q$1,MATCH(MAX(L254:Q254),L254:Q254,0)))</f>
        <v>No label</v>
      </c>
      <c r="S254" s="0" t="n">
        <f aca="false">SUMPRODUCT(ISNUMBER(SEARCH(" "&amp;Terms!$A$3:$A$821&amp;" ",$D254))*Terms!B$3:B$821)+Terms!B$2</f>
        <v>-1.2694853504005</v>
      </c>
      <c r="T254" s="0" t="n">
        <f aca="false">SUMPRODUCT(ISNUMBER(SEARCH(" "&amp;Terms!$A$3:$A$821&amp;" ",$D254))*Terms!C$3:C$821)+Terms!C$2</f>
        <v>9.7651948164203</v>
      </c>
      <c r="U254" s="0" t="n">
        <f aca="false">SUMPRODUCT(ISNUMBER(SEARCH(" "&amp;Terms!$A$3:$A$821&amp;" ",$D254))*Terms!D$3:D$821)+Terms!D$2</f>
        <v>-3.30180317442917</v>
      </c>
      <c r="V254" s="0" t="n">
        <f aca="false">SUMPRODUCT(ISNUMBER(SEARCH(" "&amp;Terms!$A$3:$A$821&amp;" ",$D254))*Terms!E$3:E$821)+Terms!E$2</f>
        <v>-0.401211084791848</v>
      </c>
      <c r="W254" s="0" t="n">
        <f aca="false">SUMPRODUCT(ISNUMBER(SEARCH(" "&amp;Terms!$A$3:$A$821&amp;" ",$D254))*Terms!F$3:F$821)+Terms!F$2</f>
        <v>-4.08042811292419</v>
      </c>
      <c r="X254" s="0" t="n">
        <f aca="false">SUMPRODUCT(ISNUMBER(SEARCH(" "&amp;Terms!$A$3:$A$821&amp;" ",$D254))*Terms!G$3:G$821)+Terms!G$2</f>
        <v>-0.712267093874495</v>
      </c>
      <c r="Y254" s="0" t="str">
        <f aca="false">INDEX($S$1:$X$1,MATCH(MAX(S254:X254),S254:X254,0))</f>
        <v>Customer Service</v>
      </c>
      <c r="Z254" s="0" t="s">
        <v>2607</v>
      </c>
    </row>
    <row r="255" customFormat="false" ht="15" hidden="false" customHeight="false" outlineLevel="0" collapsed="false">
      <c r="A255" s="0" t="str">
        <f aca="false">Complaints!A255</f>
        <v>C0254</v>
      </c>
      <c r="B255" s="0" t="str">
        <f aca="false">Complaints!B255</f>
        <v>To whom it may concern, A late payment fee appeared and I want it refunded. I expect compensation.</v>
      </c>
      <c r="C255" s="0" t="str">
        <f aca="false">Complaints!C255</f>
        <v>Fees &amp; Charges</v>
      </c>
      <c r="D255" s="0" t="str">
        <f aca="false">" "&amp;TRIM(SUBSTITUTE(SUBSTITUTE(SUBSTITUTE(SUBSTITUTE(SUBSTITUTE(SUBSTITUTE(SUBSTITUTE(SUBSTITUTE(SUBSTITUTE(SUBSTITUTE(SUBSTITUTE(SUBSTITUTE(SUBSTITUTE(SUBSTITUTE(SUBSTITUTE(SUBSTITUTE(LOWER(B255),"."," "),","," "),"'"," "),"’"," "),"!"," "),"?"," "),";"," "),":"," "),"-"," "),"("," "),")"," "),"""", " "),"£"," "),"&amp;"," "),"/"," "),"%"," "))&amp;" "</f>
        <v> to whom it may concern a late payment fee appeared and i want it refunded i expect compensation </v>
      </c>
      <c r="E255" s="0" t="n">
        <f aca="false">SUMPRODUCT((Rules!$A$2:$A$60=E$1)*Rules!$C$2:$C$60*ISNUMBER(SEARCH(Rules!$D$2:$D$60,$D255)))</f>
        <v>0</v>
      </c>
      <c r="F255" s="0" t="n">
        <f aca="false">SUMPRODUCT((Rules!$A$2:$A$60=F$1)*Rules!$C$2:$C$60*ISNUMBER(SEARCH(Rules!$D$2:$D$60,$D255)))</f>
        <v>0</v>
      </c>
      <c r="G255" s="0" t="n">
        <f aca="false">SUMPRODUCT((Rules!$A$2:$A$60=G$1)*Rules!$C$2:$C$60*ISNUMBER(SEARCH(Rules!$D$2:$D$60,$D255)))</f>
        <v>0</v>
      </c>
      <c r="H255" s="0" t="n">
        <f aca="false">SUMPRODUCT((Rules!$A$2:$A$60=H$1)*Rules!$C$2:$C$60*ISNUMBER(SEARCH(Rules!$D$2:$D$60,$D255)))</f>
        <v>2</v>
      </c>
      <c r="I255" s="0" t="n">
        <f aca="false">SUMPRODUCT((Rules!$A$2:$A$60=I$1)*Rules!$C$2:$C$60*ISNUMBER(SEARCH(Rules!$D$2:$D$60,$D255)))</f>
        <v>0</v>
      </c>
      <c r="J255" s="0" t="n">
        <f aca="false">SUMPRODUCT((Rules!$A$2:$A$60=J$1)*Rules!$C$2:$C$60*ISNUMBER(SEARCH(Rules!$D$2:$D$60,$D255)))</f>
        <v>0</v>
      </c>
      <c r="K255" s="0" t="str">
        <f aca="false">IF(OR(MAX(E255:J255)&lt;Rules!$H$1,MAX(E255:J255)-LARGE(E255:J255,2)&lt;Rules!$H$2),"No label",INDEX($E$1:$J$1,MATCH(MAX(E255:J255),E255:J255,0)))</f>
        <v>No label</v>
      </c>
      <c r="L255" s="0" t="n">
        <f aca="false">SUMPRODUCT((Rules!$A$2:$A$60=L$1)*Rules!$C$2:$C$60*ISNUMBER(SEARCH(Rules!$E$2:$E$60,$D255)))</f>
        <v>0</v>
      </c>
      <c r="M255" s="0" t="n">
        <f aca="false">SUMPRODUCT((Rules!$A$2:$A$60=M$1)*Rules!$C$2:$C$60*ISNUMBER(SEARCH(Rules!$E$2:$E$60,$D255)))</f>
        <v>0</v>
      </c>
      <c r="N255" s="0" t="n">
        <f aca="false">SUMPRODUCT((Rules!$A$2:$A$60=N$1)*Rules!$C$2:$C$60*ISNUMBER(SEARCH(Rules!$E$2:$E$60,$D255)))</f>
        <v>0</v>
      </c>
      <c r="O255" s="0" t="n">
        <f aca="false">SUMPRODUCT((Rules!$A$2:$A$60=O$1)*Rules!$C$2:$C$60*ISNUMBER(SEARCH(Rules!$E$2:$E$60,$D255)))</f>
        <v>2</v>
      </c>
      <c r="P255" s="0" t="n">
        <f aca="false">SUMPRODUCT((Rules!$A$2:$A$60=P$1)*Rules!$C$2:$C$60*ISNUMBER(SEARCH(Rules!$E$2:$E$60,$D255)))</f>
        <v>0</v>
      </c>
      <c r="Q255" s="0" t="n">
        <f aca="false">SUMPRODUCT((Rules!$A$2:$A$60=Q$1)*Rules!$C$2:$C$60*ISNUMBER(SEARCH(Rules!$E$2:$E$60,$D255)))</f>
        <v>0</v>
      </c>
      <c r="R255" s="0" t="str">
        <f aca="false">IF(OR(MAX(L255:Q255)&lt;Rules!$H$1,MAX(L255:Q255)-LARGE(L255:Q255,2)&lt;Rules!$H$2),"No label",INDEX($L$1:$Q$1,MATCH(MAX(L255:Q255),L255:Q255,0)))</f>
        <v>No label</v>
      </c>
      <c r="S255" s="0" t="n">
        <f aca="false">SUMPRODUCT(ISNUMBER(SEARCH(" "&amp;Terms!$A$3:$A$821&amp;" ",$D255))*Terms!B$3:B$821)+Terms!B$2</f>
        <v>-1.31127644346317</v>
      </c>
      <c r="T255" s="0" t="n">
        <f aca="false">SUMPRODUCT(ISNUMBER(SEARCH(" "&amp;Terms!$A$3:$A$821&amp;" ",$D255))*Terms!C$3:C$821)+Terms!C$2</f>
        <v>-6.87995622708836</v>
      </c>
      <c r="U255" s="0" t="n">
        <f aca="false">SUMPRODUCT(ISNUMBER(SEARCH(" "&amp;Terms!$A$3:$A$821&amp;" ",$D255))*Terms!D$3:D$821)+Terms!D$2</f>
        <v>-1.24362131507514</v>
      </c>
      <c r="V255" s="0" t="n">
        <f aca="false">SUMPRODUCT(ISNUMBER(SEARCH(" "&amp;Terms!$A$3:$A$821&amp;" ",$D255))*Terms!E$3:E$821)+Terms!E$2</f>
        <v>15.1455450676831</v>
      </c>
      <c r="W255" s="0" t="n">
        <f aca="false">SUMPRODUCT(ISNUMBER(SEARCH(" "&amp;Terms!$A$3:$A$821&amp;" ",$D255))*Terms!F$3:F$821)+Terms!F$2</f>
        <v>1.50837459589135</v>
      </c>
      <c r="X255" s="0" t="n">
        <f aca="false">SUMPRODUCT(ISNUMBER(SEARCH(" "&amp;Terms!$A$3:$A$821&amp;" ",$D255))*Terms!G$3:G$821)+Terms!G$2</f>
        <v>-7.21906567794764</v>
      </c>
      <c r="Y255" s="0" t="str">
        <f aca="false">INDEX($S$1:$X$1,MATCH(MAX(S255:X255),S255:X255,0))</f>
        <v>Fees &amp; Charges</v>
      </c>
      <c r="Z255" s="0" t="s">
        <v>2607</v>
      </c>
    </row>
    <row r="256" customFormat="false" ht="15" hidden="false" customHeight="false" outlineLevel="0" collapsed="false">
      <c r="A256" s="0" t="str">
        <f aca="false">Complaints!A256</f>
        <v>C0255</v>
      </c>
      <c r="B256" s="0" t="str">
        <f aca="false">Complaints!B256</f>
        <v>The terms were very different from what I was promised at the time of sale. Also, the webchat agent ended the conversation without solving anything. Please escalate this.</v>
      </c>
      <c r="C256" s="0" t="str">
        <f aca="false">Complaints!C256</f>
        <v>Mis-selling</v>
      </c>
      <c r="D256" s="0" t="str">
        <f aca="false">" "&amp;TRIM(SUBSTITUTE(SUBSTITUTE(SUBSTITUTE(SUBSTITUTE(SUBSTITUTE(SUBSTITUTE(SUBSTITUTE(SUBSTITUTE(SUBSTITUTE(SUBSTITUTE(SUBSTITUTE(SUBSTITUTE(SUBSTITUTE(SUBSTITUTE(SUBSTITUTE(SUBSTITUTE(LOWER(B256),"."," "),","," "),"'"," "),"’"," "),"!"," "),"?"," "),";"," "),":"," "),"-"," "),"("," "),")"," "),"""", " "),"£"," "),"&amp;"," "),"/"," "),"%"," "))&amp;" "</f>
        <v> the terms were very different from what i was promised at the time of sale also the webchat agent ended the conversation without solving anything please escalate this </v>
      </c>
      <c r="E256" s="0" t="n">
        <f aca="false">SUMPRODUCT((Rules!$A$2:$A$60=E$1)*Rules!$C$2:$C$60*ISNUMBER(SEARCH(Rules!$D$2:$D$60,$D256)))</f>
        <v>0</v>
      </c>
      <c r="F256" s="0" t="n">
        <f aca="false">SUMPRODUCT((Rules!$A$2:$A$60=F$1)*Rules!$C$2:$C$60*ISNUMBER(SEARCH(Rules!$D$2:$D$60,$D256)))</f>
        <v>1</v>
      </c>
      <c r="G256" s="0" t="n">
        <f aca="false">SUMPRODUCT((Rules!$A$2:$A$60=G$1)*Rules!$C$2:$C$60*ISNUMBER(SEARCH(Rules!$D$2:$D$60,$D256)))</f>
        <v>0</v>
      </c>
      <c r="H256" s="0" t="n">
        <f aca="false">SUMPRODUCT((Rules!$A$2:$A$60=H$1)*Rules!$C$2:$C$60*ISNUMBER(SEARCH(Rules!$D$2:$D$60,$D256)))</f>
        <v>0</v>
      </c>
      <c r="I256" s="0" t="n">
        <f aca="false">SUMPRODUCT((Rules!$A$2:$A$60=I$1)*Rules!$C$2:$C$60*ISNUMBER(SEARCH(Rules!$D$2:$D$60,$D256)))</f>
        <v>0</v>
      </c>
      <c r="J256" s="0" t="n">
        <f aca="false">SUMPRODUCT((Rules!$A$2:$A$60=J$1)*Rules!$C$2:$C$60*ISNUMBER(SEARCH(Rules!$D$2:$D$60,$D256)))</f>
        <v>2</v>
      </c>
      <c r="K256" s="0" t="str">
        <f aca="false">IF(OR(MAX(E256:J256)&lt;Rules!$H$1,MAX(E256:J256)-LARGE(E256:J256,2)&lt;Rules!$H$2),"No label",INDEX($E$1:$J$1,MATCH(MAX(E256:J256),E256:J256,0)))</f>
        <v>No label</v>
      </c>
      <c r="L256" s="0" t="n">
        <f aca="false">SUMPRODUCT((Rules!$A$2:$A$60=L$1)*Rules!$C$2:$C$60*ISNUMBER(SEARCH(Rules!$E$2:$E$60,$D256)))</f>
        <v>0</v>
      </c>
      <c r="M256" s="0" t="n">
        <f aca="false">SUMPRODUCT((Rules!$A$2:$A$60=M$1)*Rules!$C$2:$C$60*ISNUMBER(SEARCH(Rules!$E$2:$E$60,$D256)))</f>
        <v>1</v>
      </c>
      <c r="N256" s="0" t="n">
        <f aca="false">SUMPRODUCT((Rules!$A$2:$A$60=N$1)*Rules!$C$2:$C$60*ISNUMBER(SEARCH(Rules!$E$2:$E$60,$D256)))</f>
        <v>0</v>
      </c>
      <c r="O256" s="0" t="n">
        <f aca="false">SUMPRODUCT((Rules!$A$2:$A$60=O$1)*Rules!$C$2:$C$60*ISNUMBER(SEARCH(Rules!$E$2:$E$60,$D256)))</f>
        <v>0</v>
      </c>
      <c r="P256" s="0" t="n">
        <f aca="false">SUMPRODUCT((Rules!$A$2:$A$60=P$1)*Rules!$C$2:$C$60*ISNUMBER(SEARCH(Rules!$E$2:$E$60,$D256)))</f>
        <v>0</v>
      </c>
      <c r="Q256" s="0" t="n">
        <f aca="false">SUMPRODUCT((Rules!$A$2:$A$60=Q$1)*Rules!$C$2:$C$60*ISNUMBER(SEARCH(Rules!$E$2:$E$60,$D256)))</f>
        <v>2</v>
      </c>
      <c r="R256" s="0" t="str">
        <f aca="false">IF(OR(MAX(L256:Q256)&lt;Rules!$H$1,MAX(L256:Q256)-LARGE(L256:Q256,2)&lt;Rules!$H$2),"No label",INDEX($L$1:$Q$1,MATCH(MAX(L256:Q256),L256:Q256,0)))</f>
        <v>No label</v>
      </c>
      <c r="S256" s="0" t="n">
        <f aca="false">SUMPRODUCT(ISNUMBER(SEARCH(" "&amp;Terms!$A$3:$A$821&amp;" ",$D256))*Terms!B$3:B$821)+Terms!B$2</f>
        <v>-2.83746111215003</v>
      </c>
      <c r="T256" s="0" t="n">
        <f aca="false">SUMPRODUCT(ISNUMBER(SEARCH(" "&amp;Terms!$A$3:$A$821&amp;" ",$D256))*Terms!C$3:C$821)+Terms!C$2</f>
        <v>7.82329291531197</v>
      </c>
      <c r="U256" s="0" t="n">
        <f aca="false">SUMPRODUCT(ISNUMBER(SEARCH(" "&amp;Terms!$A$3:$A$821&amp;" ",$D256))*Terms!D$3:D$821)+Terms!D$2</f>
        <v>-0.470643765050302</v>
      </c>
      <c r="V256" s="0" t="n">
        <f aca="false">SUMPRODUCT(ISNUMBER(SEARCH(" "&amp;Terms!$A$3:$A$821&amp;" ",$D256))*Terms!E$3:E$821)+Terms!E$2</f>
        <v>-4.09363660347175</v>
      </c>
      <c r="W256" s="0" t="n">
        <f aca="false">SUMPRODUCT(ISNUMBER(SEARCH(" "&amp;Terms!$A$3:$A$821&amp;" ",$D256))*Terms!F$3:F$821)+Terms!F$2</f>
        <v>-5.97651861219344</v>
      </c>
      <c r="X256" s="0" t="n">
        <f aca="false">SUMPRODUCT(ISNUMBER(SEARCH(" "&amp;Terms!$A$3:$A$821&amp;" ",$D256))*Terms!G$3:G$821)+Terms!G$2</f>
        <v>5.55496717755365</v>
      </c>
      <c r="Y256" s="0" t="str">
        <f aca="false">INDEX($S$1:$X$1,MATCH(MAX(S256:X256),S256:X256,0))</f>
        <v>Customer Service</v>
      </c>
      <c r="Z256" s="0" t="s">
        <v>2607</v>
      </c>
    </row>
    <row r="257" customFormat="false" ht="15" hidden="false" customHeight="false" outlineLevel="0" collapsed="false">
      <c r="A257" s="0" t="str">
        <f aca="false">Complaints!A257</f>
        <v>C0256</v>
      </c>
      <c r="B257" s="0" t="str">
        <f aca="false">Complaints!B257</f>
        <v>My transfer has been pending for over a week. I could not log in to check either.</v>
      </c>
      <c r="C257" s="0" t="str">
        <f aca="false">Complaints!C257</f>
        <v>Delays &amp; Processing</v>
      </c>
      <c r="D257" s="0" t="str">
        <f aca="false">" "&amp;TRIM(SUBSTITUTE(SUBSTITUTE(SUBSTITUTE(SUBSTITUTE(SUBSTITUTE(SUBSTITUTE(SUBSTITUTE(SUBSTITUTE(SUBSTITUTE(SUBSTITUTE(SUBSTITUTE(SUBSTITUTE(SUBSTITUTE(SUBSTITUTE(SUBSTITUTE(SUBSTITUTE(LOWER(B257),"."," "),","," "),"'"," "),"’"," "),"!"," "),"?"," "),";"," "),":"," "),"-"," "),"("," "),")"," "),"""", " "),"£"," "),"&amp;"," "),"/"," "),"%"," "))&amp;" "</f>
        <v> my transfer has been pending for over a week i could not log in to check either </v>
      </c>
      <c r="E257" s="0" t="n">
        <f aca="false">SUMPRODUCT((Rules!$A$2:$A$60=E$1)*Rules!$C$2:$C$60*ISNUMBER(SEARCH(Rules!$D$2:$D$60,$D257)))</f>
        <v>0</v>
      </c>
      <c r="F257" s="0" t="n">
        <f aca="false">SUMPRODUCT((Rules!$A$2:$A$60=F$1)*Rules!$C$2:$C$60*ISNUMBER(SEARCH(Rules!$D$2:$D$60,$D257)))</f>
        <v>0</v>
      </c>
      <c r="G257" s="0" t="n">
        <f aca="false">SUMPRODUCT((Rules!$A$2:$A$60=G$1)*Rules!$C$2:$C$60*ISNUMBER(SEARCH(Rules!$D$2:$D$60,$D257)))</f>
        <v>3</v>
      </c>
      <c r="H257" s="0" t="n">
        <f aca="false">SUMPRODUCT((Rules!$A$2:$A$60=H$1)*Rules!$C$2:$C$60*ISNUMBER(SEARCH(Rules!$D$2:$D$60,$D257)))</f>
        <v>0</v>
      </c>
      <c r="I257" s="0" t="n">
        <f aca="false">SUMPRODUCT((Rules!$A$2:$A$60=I$1)*Rules!$C$2:$C$60*ISNUMBER(SEARCH(Rules!$D$2:$D$60,$D257)))</f>
        <v>2</v>
      </c>
      <c r="J257" s="0" t="n">
        <f aca="false">SUMPRODUCT((Rules!$A$2:$A$60=J$1)*Rules!$C$2:$C$60*ISNUMBER(SEARCH(Rules!$D$2:$D$60,$D257)))</f>
        <v>0</v>
      </c>
      <c r="K257" s="0" t="str">
        <f aca="false">IF(OR(MAX(E257:J257)&lt;Rules!$H$1,MAX(E257:J257)-LARGE(E257:J257,2)&lt;Rules!$H$2),"No label",INDEX($E$1:$J$1,MATCH(MAX(E257:J257),E257:J257,0)))</f>
        <v>No label</v>
      </c>
      <c r="L257" s="0" t="n">
        <f aca="false">SUMPRODUCT((Rules!$A$2:$A$60=L$1)*Rules!$C$2:$C$60*ISNUMBER(SEARCH(Rules!$E$2:$E$60,$D257)))</f>
        <v>0</v>
      </c>
      <c r="M257" s="0" t="n">
        <f aca="false">SUMPRODUCT((Rules!$A$2:$A$60=M$1)*Rules!$C$2:$C$60*ISNUMBER(SEARCH(Rules!$E$2:$E$60,$D257)))</f>
        <v>0</v>
      </c>
      <c r="N257" s="0" t="n">
        <f aca="false">SUMPRODUCT((Rules!$A$2:$A$60=N$1)*Rules!$C$2:$C$60*ISNUMBER(SEARCH(Rules!$E$2:$E$60,$D257)))</f>
        <v>3</v>
      </c>
      <c r="O257" s="0" t="n">
        <f aca="false">SUMPRODUCT((Rules!$A$2:$A$60=O$1)*Rules!$C$2:$C$60*ISNUMBER(SEARCH(Rules!$E$2:$E$60,$D257)))</f>
        <v>0</v>
      </c>
      <c r="P257" s="0" t="n">
        <f aca="false">SUMPRODUCT((Rules!$A$2:$A$60=P$1)*Rules!$C$2:$C$60*ISNUMBER(SEARCH(Rules!$E$2:$E$60,$D257)))</f>
        <v>2</v>
      </c>
      <c r="Q257" s="0" t="n">
        <f aca="false">SUMPRODUCT((Rules!$A$2:$A$60=Q$1)*Rules!$C$2:$C$60*ISNUMBER(SEARCH(Rules!$E$2:$E$60,$D257)))</f>
        <v>0</v>
      </c>
      <c r="R257" s="0" t="str">
        <f aca="false">IF(OR(MAX(L257:Q257)&lt;Rules!$H$1,MAX(L257:Q257)-LARGE(L257:Q257,2)&lt;Rules!$H$2),"No label",INDEX($L$1:$Q$1,MATCH(MAX(L257:Q257),L257:Q257,0)))</f>
        <v>No label</v>
      </c>
      <c r="S257" s="0" t="n">
        <f aca="false">SUMPRODUCT(ISNUMBER(SEARCH(" "&amp;Terms!$A$3:$A$821&amp;" ",$D257))*Terms!B$3:B$821)+Terms!B$2</f>
        <v>-2.16774199388925</v>
      </c>
      <c r="T257" s="0" t="n">
        <f aca="false">SUMPRODUCT(ISNUMBER(SEARCH(" "&amp;Terms!$A$3:$A$821&amp;" ",$D257))*Terms!C$3:C$821)+Terms!C$2</f>
        <v>-0.973378854617011</v>
      </c>
      <c r="U257" s="0" t="n">
        <f aca="false">SUMPRODUCT(ISNUMBER(SEARCH(" "&amp;Terms!$A$3:$A$821&amp;" ",$D257))*Terms!D$3:D$821)+Terms!D$2</f>
        <v>7.11916082188877</v>
      </c>
      <c r="V257" s="0" t="n">
        <f aca="false">SUMPRODUCT(ISNUMBER(SEARCH(" "&amp;Terms!$A$3:$A$821&amp;" ",$D257))*Terms!E$3:E$821)+Terms!E$2</f>
        <v>-2.31794427190512</v>
      </c>
      <c r="W257" s="0" t="n">
        <f aca="false">SUMPRODUCT(ISNUMBER(SEARCH(" "&amp;Terms!$A$3:$A$821&amp;" ",$D257))*Terms!F$3:F$821)+Terms!F$2</f>
        <v>-0.314240735802688</v>
      </c>
      <c r="X257" s="0" t="n">
        <f aca="false">SUMPRODUCT(ISNUMBER(SEARCH(" "&amp;Terms!$A$3:$A$821&amp;" ",$D257))*Terms!G$3:G$821)+Terms!G$2</f>
        <v>-1.34585496567461</v>
      </c>
      <c r="Y257" s="0" t="str">
        <f aca="false">INDEX($S$1:$X$1,MATCH(MAX(S257:X257),S257:X257,0))</f>
        <v>Delays &amp; Processing</v>
      </c>
      <c r="Z257" s="0" t="s">
        <v>2607</v>
      </c>
    </row>
    <row r="258" customFormat="false" ht="15" hidden="false" customHeight="false" outlineLevel="0" collapsed="false">
      <c r="A258" s="0" t="str">
        <f aca="false">Complaints!A258</f>
        <v>C0257</v>
      </c>
      <c r="B258" s="0" t="str">
        <f aca="false">Complaints!B258</f>
        <v>I am writing to complain. My identity was stolen and a loan was taken out in my name. I also spent ages on hold when I called about it. This is not acceptable.</v>
      </c>
      <c r="C258" s="0" t="str">
        <f aca="false">Complaints!C258</f>
        <v>Fraud &amp; Scams</v>
      </c>
      <c r="D258" s="0" t="str">
        <f aca="false">" "&amp;TRIM(SUBSTITUTE(SUBSTITUTE(SUBSTITUTE(SUBSTITUTE(SUBSTITUTE(SUBSTITUTE(SUBSTITUTE(SUBSTITUTE(SUBSTITUTE(SUBSTITUTE(SUBSTITUTE(SUBSTITUTE(SUBSTITUTE(SUBSTITUTE(SUBSTITUTE(SUBSTITUTE(LOWER(B258),"."," "),","," "),"'"," "),"’"," "),"!"," "),"?"," "),";"," "),":"," "),"-"," "),"("," "),")"," "),"""", " "),"£"," "),"&amp;"," "),"/"," "),"%"," "))&amp;" "</f>
        <v> i am writing to complain my identity was stolen and a loan was taken out in my name i also spent ages on hold when i called about it this is not acceptable </v>
      </c>
      <c r="E258" s="0" t="n">
        <f aca="false">SUMPRODUCT((Rules!$A$2:$A$60=E$1)*Rules!$C$2:$C$60*ISNUMBER(SEARCH(Rules!$D$2:$D$60,$D258)))</f>
        <v>2</v>
      </c>
      <c r="F258" s="0" t="n">
        <f aca="false">SUMPRODUCT((Rules!$A$2:$A$60=F$1)*Rules!$C$2:$C$60*ISNUMBER(SEARCH(Rules!$D$2:$D$60,$D258)))</f>
        <v>0</v>
      </c>
      <c r="G258" s="0" t="n">
        <f aca="false">SUMPRODUCT((Rules!$A$2:$A$60=G$1)*Rules!$C$2:$C$60*ISNUMBER(SEARCH(Rules!$D$2:$D$60,$D258)))</f>
        <v>0</v>
      </c>
      <c r="H258" s="0" t="n">
        <f aca="false">SUMPRODUCT((Rules!$A$2:$A$60=H$1)*Rules!$C$2:$C$60*ISNUMBER(SEARCH(Rules!$D$2:$D$60,$D258)))</f>
        <v>0</v>
      </c>
      <c r="I258" s="0" t="n">
        <f aca="false">SUMPRODUCT((Rules!$A$2:$A$60=I$1)*Rules!$C$2:$C$60*ISNUMBER(SEARCH(Rules!$D$2:$D$60,$D258)))</f>
        <v>0</v>
      </c>
      <c r="J258" s="0" t="n">
        <f aca="false">SUMPRODUCT((Rules!$A$2:$A$60=J$1)*Rules!$C$2:$C$60*ISNUMBER(SEARCH(Rules!$D$2:$D$60,$D258)))</f>
        <v>3</v>
      </c>
      <c r="K258" s="0" t="str">
        <f aca="false">IF(OR(MAX(E258:J258)&lt;Rules!$H$1,MAX(E258:J258)-LARGE(E258:J258,2)&lt;Rules!$H$2),"No label",INDEX($E$1:$J$1,MATCH(MAX(E258:J258),E258:J258,0)))</f>
        <v>No label</v>
      </c>
      <c r="L258" s="0" t="n">
        <f aca="false">SUMPRODUCT((Rules!$A$2:$A$60=L$1)*Rules!$C$2:$C$60*ISNUMBER(SEARCH(Rules!$E$2:$E$60,$D258)))</f>
        <v>2</v>
      </c>
      <c r="M258" s="0" t="n">
        <f aca="false">SUMPRODUCT((Rules!$A$2:$A$60=M$1)*Rules!$C$2:$C$60*ISNUMBER(SEARCH(Rules!$E$2:$E$60,$D258)))</f>
        <v>0</v>
      </c>
      <c r="N258" s="0" t="n">
        <f aca="false">SUMPRODUCT((Rules!$A$2:$A$60=N$1)*Rules!$C$2:$C$60*ISNUMBER(SEARCH(Rules!$E$2:$E$60,$D258)))</f>
        <v>1</v>
      </c>
      <c r="O258" s="0" t="n">
        <f aca="false">SUMPRODUCT((Rules!$A$2:$A$60=O$1)*Rules!$C$2:$C$60*ISNUMBER(SEARCH(Rules!$E$2:$E$60,$D258)))</f>
        <v>0</v>
      </c>
      <c r="P258" s="0" t="n">
        <f aca="false">SUMPRODUCT((Rules!$A$2:$A$60=P$1)*Rules!$C$2:$C$60*ISNUMBER(SEARCH(Rules!$E$2:$E$60,$D258)))</f>
        <v>0</v>
      </c>
      <c r="Q258" s="0" t="n">
        <f aca="false">SUMPRODUCT((Rules!$A$2:$A$60=Q$1)*Rules!$C$2:$C$60*ISNUMBER(SEARCH(Rules!$E$2:$E$60,$D258)))</f>
        <v>3</v>
      </c>
      <c r="R258" s="0" t="str">
        <f aca="false">IF(OR(MAX(L258:Q258)&lt;Rules!$H$1,MAX(L258:Q258)-LARGE(L258:Q258,2)&lt;Rules!$H$2),"No label",INDEX($L$1:$Q$1,MATCH(MAX(L258:Q258),L258:Q258,0)))</f>
        <v>No label</v>
      </c>
      <c r="S258" s="0" t="n">
        <f aca="false">SUMPRODUCT(ISNUMBER(SEARCH(" "&amp;Terms!$A$3:$A$821&amp;" ",$D258))*Terms!B$3:B$821)+Terms!B$2</f>
        <v>-0.553062046005904</v>
      </c>
      <c r="T258" s="0" t="n">
        <f aca="false">SUMPRODUCT(ISNUMBER(SEARCH(" "&amp;Terms!$A$3:$A$821&amp;" ",$D258))*Terms!C$3:C$821)+Terms!C$2</f>
        <v>0.226707699521267</v>
      </c>
      <c r="U258" s="0" t="n">
        <f aca="false">SUMPRODUCT(ISNUMBER(SEARCH(" "&amp;Terms!$A$3:$A$821&amp;" ",$D258))*Terms!D$3:D$821)+Terms!D$2</f>
        <v>-0.693932337094856</v>
      </c>
      <c r="V258" s="0" t="n">
        <f aca="false">SUMPRODUCT(ISNUMBER(SEARCH(" "&amp;Terms!$A$3:$A$821&amp;" ",$D258))*Terms!E$3:E$821)+Terms!E$2</f>
        <v>-2.97678172614746</v>
      </c>
      <c r="W258" s="0" t="n">
        <f aca="false">SUMPRODUCT(ISNUMBER(SEARCH(" "&amp;Terms!$A$3:$A$821&amp;" ",$D258))*Terms!F$3:F$821)+Terms!F$2</f>
        <v>5.45629115537804</v>
      </c>
      <c r="X258" s="0" t="n">
        <f aca="false">SUMPRODUCT(ISNUMBER(SEARCH(" "&amp;Terms!$A$3:$A$821&amp;" ",$D258))*Terms!G$3:G$821)+Terms!G$2</f>
        <v>-1.45922274565099</v>
      </c>
      <c r="Y258" s="0" t="str">
        <f aca="false">INDEX($S$1:$X$1,MATCH(MAX(S258:X258),S258:X258,0))</f>
        <v>Fraud &amp; Scams</v>
      </c>
      <c r="Z258" s="0" t="s">
        <v>2608</v>
      </c>
    </row>
    <row r="259" customFormat="false" ht="15" hidden="false" customHeight="false" outlineLevel="0" collapsed="false">
      <c r="A259" s="0" t="str">
        <f aca="false">Complaints!A259</f>
        <v>C0258</v>
      </c>
      <c r="B259" s="0" t="str">
        <f aca="false">Complaints!B259</f>
        <v>It has taken six weeks to process my claim and nobody has updated me. I would like a response in writing.</v>
      </c>
      <c r="C259" s="0" t="str">
        <f aca="false">Complaints!C259</f>
        <v>Delays &amp; Processing</v>
      </c>
      <c r="D259" s="0" t="str">
        <f aca="false">" "&amp;TRIM(SUBSTITUTE(SUBSTITUTE(SUBSTITUTE(SUBSTITUTE(SUBSTITUTE(SUBSTITUTE(SUBSTITUTE(SUBSTITUTE(SUBSTITUTE(SUBSTITUTE(SUBSTITUTE(SUBSTITUTE(SUBSTITUTE(SUBSTITUTE(SUBSTITUTE(SUBSTITUTE(LOWER(B259),"."," "),","," "),"'"," "),"’"," "),"!"," "),"?"," "),";"," "),":"," "),"-"," "),"("," "),")"," "),"""", " "),"£"," "),"&amp;"," "),"/"," "),"%"," "))&amp;" "</f>
        <v> it has taken six weeks to process my claim and nobody has updated me i would like a response in writing </v>
      </c>
      <c r="E259" s="0" t="n">
        <f aca="false">SUMPRODUCT((Rules!$A$2:$A$60=E$1)*Rules!$C$2:$C$60*ISNUMBER(SEARCH(Rules!$D$2:$D$60,$D259)))</f>
        <v>0</v>
      </c>
      <c r="F259" s="0" t="n">
        <f aca="false">SUMPRODUCT((Rules!$A$2:$A$60=F$1)*Rules!$C$2:$C$60*ISNUMBER(SEARCH(Rules!$D$2:$D$60,$D259)))</f>
        <v>0</v>
      </c>
      <c r="G259" s="0" t="n">
        <f aca="false">SUMPRODUCT((Rules!$A$2:$A$60=G$1)*Rules!$C$2:$C$60*ISNUMBER(SEARCH(Rules!$D$2:$D$60,$D259)))</f>
        <v>0</v>
      </c>
      <c r="H259" s="0" t="n">
        <f aca="false">SUMPRODUCT((Rules!$A$2:$A$60=H$1)*Rules!$C$2:$C$60*ISNUMBER(SEARCH(Rules!$D$2:$D$60,$D259)))</f>
        <v>0</v>
      </c>
      <c r="I259" s="0" t="n">
        <f aca="false">SUMPRODUCT((Rules!$A$2:$A$60=I$1)*Rules!$C$2:$C$60*ISNUMBER(SEARCH(Rules!$D$2:$D$60,$D259)))</f>
        <v>2</v>
      </c>
      <c r="J259" s="0" t="n">
        <f aca="false">SUMPRODUCT((Rules!$A$2:$A$60=J$1)*Rules!$C$2:$C$60*ISNUMBER(SEARCH(Rules!$D$2:$D$60,$D259)))</f>
        <v>0</v>
      </c>
      <c r="K259" s="0" t="str">
        <f aca="false">IF(OR(MAX(E259:J259)&lt;Rules!$H$1,MAX(E259:J259)-LARGE(E259:J259,2)&lt;Rules!$H$2),"No label",INDEX($E$1:$J$1,MATCH(MAX(E259:J259),E259:J259,0)))</f>
        <v>No label</v>
      </c>
      <c r="L259" s="0" t="n">
        <f aca="false">SUMPRODUCT((Rules!$A$2:$A$60=L$1)*Rules!$C$2:$C$60*ISNUMBER(SEARCH(Rules!$E$2:$E$60,$D259)))</f>
        <v>0</v>
      </c>
      <c r="M259" s="0" t="n">
        <f aca="false">SUMPRODUCT((Rules!$A$2:$A$60=M$1)*Rules!$C$2:$C$60*ISNUMBER(SEARCH(Rules!$E$2:$E$60,$D259)))</f>
        <v>0</v>
      </c>
      <c r="N259" s="0" t="n">
        <f aca="false">SUMPRODUCT((Rules!$A$2:$A$60=N$1)*Rules!$C$2:$C$60*ISNUMBER(SEARCH(Rules!$E$2:$E$60,$D259)))</f>
        <v>0</v>
      </c>
      <c r="O259" s="0" t="n">
        <f aca="false">SUMPRODUCT((Rules!$A$2:$A$60=O$1)*Rules!$C$2:$C$60*ISNUMBER(SEARCH(Rules!$E$2:$E$60,$D259)))</f>
        <v>0</v>
      </c>
      <c r="P259" s="0" t="n">
        <f aca="false">SUMPRODUCT((Rules!$A$2:$A$60=P$1)*Rules!$C$2:$C$60*ISNUMBER(SEARCH(Rules!$E$2:$E$60,$D259)))</f>
        <v>2</v>
      </c>
      <c r="Q259" s="0" t="n">
        <f aca="false">SUMPRODUCT((Rules!$A$2:$A$60=Q$1)*Rules!$C$2:$C$60*ISNUMBER(SEARCH(Rules!$E$2:$E$60,$D259)))</f>
        <v>0</v>
      </c>
      <c r="R259" s="0" t="str">
        <f aca="false">IF(OR(MAX(L259:Q259)&lt;Rules!$H$1,MAX(L259:Q259)-LARGE(L259:Q259,2)&lt;Rules!$H$2),"No label",INDEX($L$1:$Q$1,MATCH(MAX(L259:Q259),L259:Q259,0)))</f>
        <v>No label</v>
      </c>
      <c r="S259" s="0" t="n">
        <f aca="false">SUMPRODUCT(ISNUMBER(SEARCH(" "&amp;Terms!$A$3:$A$821&amp;" ",$D259))*Terms!B$3:B$821)+Terms!B$2</f>
        <v>-2.00564612999395</v>
      </c>
      <c r="T259" s="0" t="n">
        <f aca="false">SUMPRODUCT(ISNUMBER(SEARCH(" "&amp;Terms!$A$3:$A$821&amp;" ",$D259))*Terms!C$3:C$821)+Terms!C$2</f>
        <v>-3.13988860624863</v>
      </c>
      <c r="U259" s="0" t="n">
        <f aca="false">SUMPRODUCT(ISNUMBER(SEARCH(" "&amp;Terms!$A$3:$A$821&amp;" ",$D259))*Terms!D$3:D$821)+Terms!D$2</f>
        <v>7.36000247898843</v>
      </c>
      <c r="V259" s="0" t="n">
        <f aca="false">SUMPRODUCT(ISNUMBER(SEARCH(" "&amp;Terms!$A$3:$A$821&amp;" ",$D259))*Terms!E$3:E$821)+Terms!E$2</f>
        <v>-1.75147088569387</v>
      </c>
      <c r="W259" s="0" t="n">
        <f aca="false">SUMPRODUCT(ISNUMBER(SEARCH(" "&amp;Terms!$A$3:$A$821&amp;" ",$D259))*Terms!F$3:F$821)+Terms!F$2</f>
        <v>-1.87677766291377</v>
      </c>
      <c r="X259" s="0" t="n">
        <f aca="false">SUMPRODUCT(ISNUMBER(SEARCH(" "&amp;Terms!$A$3:$A$821&amp;" ",$D259))*Terms!G$3:G$821)+Terms!G$2</f>
        <v>1.41378080586188</v>
      </c>
      <c r="Y259" s="0" t="str">
        <f aca="false">INDEX($S$1:$X$1,MATCH(MAX(S259:X259),S259:X259,0))</f>
        <v>Delays &amp; Processing</v>
      </c>
      <c r="Z259" s="0" t="s">
        <v>2607</v>
      </c>
    </row>
    <row r="260" customFormat="false" ht="15" hidden="false" customHeight="false" outlineLevel="0" collapsed="false">
      <c r="A260" s="0" t="str">
        <f aca="false">Complaints!A260</f>
        <v>C0259</v>
      </c>
      <c r="B260" s="0" t="str">
        <f aca="false">Complaints!B260</f>
        <v>Frankly, There are transactions on my card I do not recognise.</v>
      </c>
      <c r="C260" s="0" t="str">
        <f aca="false">Complaints!C260</f>
        <v>Fraud &amp; Scams</v>
      </c>
      <c r="D260" s="0" t="str">
        <f aca="false">" "&amp;TRIM(SUBSTITUTE(SUBSTITUTE(SUBSTITUTE(SUBSTITUTE(SUBSTITUTE(SUBSTITUTE(SUBSTITUTE(SUBSTITUTE(SUBSTITUTE(SUBSTITUTE(SUBSTITUTE(SUBSTITUTE(SUBSTITUTE(SUBSTITUTE(SUBSTITUTE(SUBSTITUTE(LOWER(B260),"."," "),","," "),"'"," "),"’"," "),"!"," "),"?"," "),";"," "),":"," "),"-"," "),"("," "),")"," "),"""", " "),"£"," "),"&amp;"," "),"/"," "),"%"," "))&amp;" "</f>
        <v> frankly there are transactions on my card i do not recognise </v>
      </c>
      <c r="E260" s="0" t="n">
        <f aca="false">SUMPRODUCT((Rules!$A$2:$A$60=E$1)*Rules!$C$2:$C$60*ISNUMBER(SEARCH(Rules!$D$2:$D$60,$D260)))</f>
        <v>2</v>
      </c>
      <c r="F260" s="0" t="n">
        <f aca="false">SUMPRODUCT((Rules!$A$2:$A$60=F$1)*Rules!$C$2:$C$60*ISNUMBER(SEARCH(Rules!$D$2:$D$60,$D260)))</f>
        <v>0</v>
      </c>
      <c r="G260" s="0" t="n">
        <f aca="false">SUMPRODUCT((Rules!$A$2:$A$60=G$1)*Rules!$C$2:$C$60*ISNUMBER(SEARCH(Rules!$D$2:$D$60,$D260)))</f>
        <v>0</v>
      </c>
      <c r="H260" s="0" t="n">
        <f aca="false">SUMPRODUCT((Rules!$A$2:$A$60=H$1)*Rules!$C$2:$C$60*ISNUMBER(SEARCH(Rules!$D$2:$D$60,$D260)))</f>
        <v>0</v>
      </c>
      <c r="I260" s="0" t="n">
        <f aca="false">SUMPRODUCT((Rules!$A$2:$A$60=I$1)*Rules!$C$2:$C$60*ISNUMBER(SEARCH(Rules!$D$2:$D$60,$D260)))</f>
        <v>0</v>
      </c>
      <c r="J260" s="0" t="n">
        <f aca="false">SUMPRODUCT((Rules!$A$2:$A$60=J$1)*Rules!$C$2:$C$60*ISNUMBER(SEARCH(Rules!$D$2:$D$60,$D260)))</f>
        <v>0</v>
      </c>
      <c r="K260" s="0" t="str">
        <f aca="false">IF(OR(MAX(E260:J260)&lt;Rules!$H$1,MAX(E260:J260)-LARGE(E260:J260,2)&lt;Rules!$H$2),"No label",INDEX($E$1:$J$1,MATCH(MAX(E260:J260),E260:J260,0)))</f>
        <v>No label</v>
      </c>
      <c r="L260" s="0" t="n">
        <f aca="false">SUMPRODUCT((Rules!$A$2:$A$60=L$1)*Rules!$C$2:$C$60*ISNUMBER(SEARCH(Rules!$E$2:$E$60,$D260)))</f>
        <v>2</v>
      </c>
      <c r="M260" s="0" t="n">
        <f aca="false">SUMPRODUCT((Rules!$A$2:$A$60=M$1)*Rules!$C$2:$C$60*ISNUMBER(SEARCH(Rules!$E$2:$E$60,$D260)))</f>
        <v>0</v>
      </c>
      <c r="N260" s="0" t="n">
        <f aca="false">SUMPRODUCT((Rules!$A$2:$A$60=N$1)*Rules!$C$2:$C$60*ISNUMBER(SEARCH(Rules!$E$2:$E$60,$D260)))</f>
        <v>0</v>
      </c>
      <c r="O260" s="0" t="n">
        <f aca="false">SUMPRODUCT((Rules!$A$2:$A$60=O$1)*Rules!$C$2:$C$60*ISNUMBER(SEARCH(Rules!$E$2:$E$60,$D260)))</f>
        <v>0</v>
      </c>
      <c r="P260" s="0" t="n">
        <f aca="false">SUMPRODUCT((Rules!$A$2:$A$60=P$1)*Rules!$C$2:$C$60*ISNUMBER(SEARCH(Rules!$E$2:$E$60,$D260)))</f>
        <v>0</v>
      </c>
      <c r="Q260" s="0" t="n">
        <f aca="false">SUMPRODUCT((Rules!$A$2:$A$60=Q$1)*Rules!$C$2:$C$60*ISNUMBER(SEARCH(Rules!$E$2:$E$60,$D260)))</f>
        <v>0</v>
      </c>
      <c r="R260" s="0" t="str">
        <f aca="false">IF(OR(MAX(L260:Q260)&lt;Rules!$H$1,MAX(L260:Q260)-LARGE(L260:Q260,2)&lt;Rules!$H$2),"No label",INDEX($L$1:$Q$1,MATCH(MAX(L260:Q260),L260:Q260,0)))</f>
        <v>No label</v>
      </c>
      <c r="S260" s="0" t="n">
        <f aca="false">SUMPRODUCT(ISNUMBER(SEARCH(" "&amp;Terms!$A$3:$A$821&amp;" ",$D260))*Terms!B$3:B$821)+Terms!B$2</f>
        <v>0.0191774641500251</v>
      </c>
      <c r="T260" s="0" t="n">
        <f aca="false">SUMPRODUCT(ISNUMBER(SEARCH(" "&amp;Terms!$A$3:$A$821&amp;" ",$D260))*Terms!C$3:C$821)+Terms!C$2</f>
        <v>-0.438211519842867</v>
      </c>
      <c r="U260" s="0" t="n">
        <f aca="false">SUMPRODUCT(ISNUMBER(SEARCH(" "&amp;Terms!$A$3:$A$821&amp;" ",$D260))*Terms!D$3:D$821)+Terms!D$2</f>
        <v>-2.15465484477298</v>
      </c>
      <c r="V260" s="0" t="n">
        <f aca="false">SUMPRODUCT(ISNUMBER(SEARCH(" "&amp;Terms!$A$3:$A$821&amp;" ",$D260))*Terms!E$3:E$821)+Terms!E$2</f>
        <v>-1.68541310195433</v>
      </c>
      <c r="W260" s="0" t="n">
        <f aca="false">SUMPRODUCT(ISNUMBER(SEARCH(" "&amp;Terms!$A$3:$A$821&amp;" ",$D260))*Terms!F$3:F$821)+Terms!F$2</f>
        <v>6.01239334580946</v>
      </c>
      <c r="X260" s="0" t="n">
        <f aca="false">SUMPRODUCT(ISNUMBER(SEARCH(" "&amp;Terms!$A$3:$A$821&amp;" ",$D260))*Terms!G$3:G$821)+Terms!G$2</f>
        <v>-1.75329134338922</v>
      </c>
      <c r="Y260" s="0" t="str">
        <f aca="false">INDEX($S$1:$X$1,MATCH(MAX(S260:X260),S260:X260,0))</f>
        <v>Fraud &amp; Scams</v>
      </c>
      <c r="Z260" s="0" t="s">
        <v>2608</v>
      </c>
    </row>
    <row r="261" customFormat="false" ht="15" hidden="false" customHeight="false" outlineLevel="0" collapsed="false">
      <c r="A261" s="0" t="str">
        <f aca="false">Complaints!A261</f>
        <v>C0260</v>
      </c>
      <c r="B261" s="0" t="str">
        <f aca="false">Complaints!B261</f>
        <v>I am writing to complain. The staff member was rude and dismissive when I called. Also, my card reader stopped working and I cannot approve payments.</v>
      </c>
      <c r="C261" s="0" t="str">
        <f aca="false">Complaints!C261</f>
        <v>Customer Service</v>
      </c>
      <c r="D261" s="0" t="str">
        <f aca="false">" "&amp;TRIM(SUBSTITUTE(SUBSTITUTE(SUBSTITUTE(SUBSTITUTE(SUBSTITUTE(SUBSTITUTE(SUBSTITUTE(SUBSTITUTE(SUBSTITUTE(SUBSTITUTE(SUBSTITUTE(SUBSTITUTE(SUBSTITUTE(SUBSTITUTE(SUBSTITUTE(SUBSTITUTE(LOWER(B261),"."," "),","," "),"'"," "),"’"," "),"!"," "),"?"," "),";"," "),":"," "),"-"," "),"("," "),")"," "),"""", " "),"£"," "),"&amp;"," "),"/"," "),"%"," "))&amp;" "</f>
        <v> i am writing to complain the staff member was rude and dismissive when i called also my card reader stopped working and i cannot approve payments </v>
      </c>
      <c r="E261" s="0" t="n">
        <f aca="false">SUMPRODUCT((Rules!$A$2:$A$60=E$1)*Rules!$C$2:$C$60*ISNUMBER(SEARCH(Rules!$D$2:$D$60,$D261)))</f>
        <v>0</v>
      </c>
      <c r="F261" s="0" t="n">
        <f aca="false">SUMPRODUCT((Rules!$A$2:$A$60=F$1)*Rules!$C$2:$C$60*ISNUMBER(SEARCH(Rules!$D$2:$D$60,$D261)))</f>
        <v>0</v>
      </c>
      <c r="G261" s="0" t="n">
        <f aca="false">SUMPRODUCT((Rules!$A$2:$A$60=G$1)*Rules!$C$2:$C$60*ISNUMBER(SEARCH(Rules!$D$2:$D$60,$D261)))</f>
        <v>0</v>
      </c>
      <c r="H261" s="0" t="n">
        <f aca="false">SUMPRODUCT((Rules!$A$2:$A$60=H$1)*Rules!$C$2:$C$60*ISNUMBER(SEARCH(Rules!$D$2:$D$60,$D261)))</f>
        <v>0</v>
      </c>
      <c r="I261" s="0" t="n">
        <f aca="false">SUMPRODUCT((Rules!$A$2:$A$60=I$1)*Rules!$C$2:$C$60*ISNUMBER(SEARCH(Rules!$D$2:$D$60,$D261)))</f>
        <v>0</v>
      </c>
      <c r="J261" s="0" t="n">
        <f aca="false">SUMPRODUCT((Rules!$A$2:$A$60=J$1)*Rules!$C$2:$C$60*ISNUMBER(SEARCH(Rules!$D$2:$D$60,$D261)))</f>
        <v>4</v>
      </c>
      <c r="K261" s="0" t="str">
        <f aca="false">IF(OR(MAX(E261:J261)&lt;Rules!$H$1,MAX(E261:J261)-LARGE(E261:J261,2)&lt;Rules!$H$2),"No label",INDEX($E$1:$J$1,MATCH(MAX(E261:J261),E261:J261,0)))</f>
        <v>Customer Service</v>
      </c>
      <c r="L261" s="0" t="n">
        <f aca="false">SUMPRODUCT((Rules!$A$2:$A$60=L$1)*Rules!$C$2:$C$60*ISNUMBER(SEARCH(Rules!$E$2:$E$60,$D261)))</f>
        <v>0</v>
      </c>
      <c r="M261" s="0" t="n">
        <f aca="false">SUMPRODUCT((Rules!$A$2:$A$60=M$1)*Rules!$C$2:$C$60*ISNUMBER(SEARCH(Rules!$E$2:$E$60,$D261)))</f>
        <v>0</v>
      </c>
      <c r="N261" s="0" t="n">
        <f aca="false">SUMPRODUCT((Rules!$A$2:$A$60=N$1)*Rules!$C$2:$C$60*ISNUMBER(SEARCH(Rules!$E$2:$E$60,$D261)))</f>
        <v>0</v>
      </c>
      <c r="O261" s="0" t="n">
        <f aca="false">SUMPRODUCT((Rules!$A$2:$A$60=O$1)*Rules!$C$2:$C$60*ISNUMBER(SEARCH(Rules!$E$2:$E$60,$D261)))</f>
        <v>0</v>
      </c>
      <c r="P261" s="0" t="n">
        <f aca="false">SUMPRODUCT((Rules!$A$2:$A$60=P$1)*Rules!$C$2:$C$60*ISNUMBER(SEARCH(Rules!$E$2:$E$60,$D261)))</f>
        <v>0</v>
      </c>
      <c r="Q261" s="0" t="n">
        <f aca="false">SUMPRODUCT((Rules!$A$2:$A$60=Q$1)*Rules!$C$2:$C$60*ISNUMBER(SEARCH(Rules!$E$2:$E$60,$D261)))</f>
        <v>4</v>
      </c>
      <c r="R261" s="0" t="str">
        <f aca="false">IF(OR(MAX(L261:Q261)&lt;Rules!$H$1,MAX(L261:Q261)-LARGE(L261:Q261,2)&lt;Rules!$H$2),"No label",INDEX($L$1:$Q$1,MATCH(MAX(L261:Q261),L261:Q261,0)))</f>
        <v>Customer Service</v>
      </c>
      <c r="S261" s="0" t="n">
        <f aca="false">SUMPRODUCT(ISNUMBER(SEARCH(" "&amp;Terms!$A$3:$A$821&amp;" ",$D261))*Terms!B$3:B$821)+Terms!B$2</f>
        <v>11.7907897013432</v>
      </c>
      <c r="T261" s="0" t="n">
        <f aca="false">SUMPRODUCT(ISNUMBER(SEARCH(" "&amp;Terms!$A$3:$A$821&amp;" ",$D261))*Terms!C$3:C$821)+Terms!C$2</f>
        <v>10.0229051448179</v>
      </c>
      <c r="U261" s="0" t="n">
        <f aca="false">SUMPRODUCT(ISNUMBER(SEARCH(" "&amp;Terms!$A$3:$A$821&amp;" ",$D261))*Terms!D$3:D$821)+Terms!D$2</f>
        <v>-2.05308045022105</v>
      </c>
      <c r="V261" s="0" t="n">
        <f aca="false">SUMPRODUCT(ISNUMBER(SEARCH(" "&amp;Terms!$A$3:$A$821&amp;" ",$D261))*Terms!E$3:E$821)+Terms!E$2</f>
        <v>-5.60377683068073</v>
      </c>
      <c r="W261" s="0" t="n">
        <f aca="false">SUMPRODUCT(ISNUMBER(SEARCH(" "&amp;Terms!$A$3:$A$821&amp;" ",$D261))*Terms!F$3:F$821)+Terms!F$2</f>
        <v>-2.77115935023482</v>
      </c>
      <c r="X261" s="0" t="n">
        <f aca="false">SUMPRODUCT(ISNUMBER(SEARCH(" "&amp;Terms!$A$3:$A$821&amp;" ",$D261))*Terms!G$3:G$821)+Terms!G$2</f>
        <v>-11.3856782150244</v>
      </c>
      <c r="Y261" s="0" t="str">
        <f aca="false">INDEX($S$1:$X$1,MATCH(MAX(S261:X261),S261:X261,0))</f>
        <v>Account Access</v>
      </c>
      <c r="Z261" s="0" t="s">
        <v>2607</v>
      </c>
    </row>
    <row r="262" customFormat="false" ht="15" hidden="false" customHeight="false" outlineLevel="0" collapsed="false">
      <c r="A262" s="0" t="str">
        <f aca="false">Complaints!A262</f>
        <v>C0261</v>
      </c>
      <c r="B262" s="0" t="str">
        <f aca="false">Complaints!B262</f>
        <v>I am writing to complain. A fake text message led me to a website and my money disappeared.</v>
      </c>
      <c r="C262" s="0" t="str">
        <f aca="false">Complaints!C262</f>
        <v>Fraud &amp; Scams</v>
      </c>
      <c r="D262" s="0" t="str">
        <f aca="false">" "&amp;TRIM(SUBSTITUTE(SUBSTITUTE(SUBSTITUTE(SUBSTITUTE(SUBSTITUTE(SUBSTITUTE(SUBSTITUTE(SUBSTITUTE(SUBSTITUTE(SUBSTITUTE(SUBSTITUTE(SUBSTITUTE(SUBSTITUTE(SUBSTITUTE(SUBSTITUTE(SUBSTITUTE(LOWER(B262),"."," "),","," "),"'"," "),"’"," "),"!"," "),"?"," "),";"," "),":"," "),"-"," "),"("," "),")"," "),"""", " "),"£"," "),"&amp;"," "),"/"," "),"%"," "))&amp;" "</f>
        <v> i am writing to complain a fake text message led me to a website and my money disappeared </v>
      </c>
      <c r="E262" s="0" t="n">
        <f aca="false">SUMPRODUCT((Rules!$A$2:$A$60=E$1)*Rules!$C$2:$C$60*ISNUMBER(SEARCH(Rules!$D$2:$D$60,$D262)))</f>
        <v>2</v>
      </c>
      <c r="F262" s="0" t="n">
        <f aca="false">SUMPRODUCT((Rules!$A$2:$A$60=F$1)*Rules!$C$2:$C$60*ISNUMBER(SEARCH(Rules!$D$2:$D$60,$D262)))</f>
        <v>0</v>
      </c>
      <c r="G262" s="0" t="n">
        <f aca="false">SUMPRODUCT((Rules!$A$2:$A$60=G$1)*Rules!$C$2:$C$60*ISNUMBER(SEARCH(Rules!$D$2:$D$60,$D262)))</f>
        <v>0</v>
      </c>
      <c r="H262" s="0" t="n">
        <f aca="false">SUMPRODUCT((Rules!$A$2:$A$60=H$1)*Rules!$C$2:$C$60*ISNUMBER(SEARCH(Rules!$D$2:$D$60,$D262)))</f>
        <v>0</v>
      </c>
      <c r="I262" s="0" t="n">
        <f aca="false">SUMPRODUCT((Rules!$A$2:$A$60=I$1)*Rules!$C$2:$C$60*ISNUMBER(SEARCH(Rules!$D$2:$D$60,$D262)))</f>
        <v>0</v>
      </c>
      <c r="J262" s="0" t="n">
        <f aca="false">SUMPRODUCT((Rules!$A$2:$A$60=J$1)*Rules!$C$2:$C$60*ISNUMBER(SEARCH(Rules!$D$2:$D$60,$D262)))</f>
        <v>0</v>
      </c>
      <c r="K262" s="0" t="str">
        <f aca="false">IF(OR(MAX(E262:J262)&lt;Rules!$H$1,MAX(E262:J262)-LARGE(E262:J262,2)&lt;Rules!$H$2),"No label",INDEX($E$1:$J$1,MATCH(MAX(E262:J262),E262:J262,0)))</f>
        <v>No label</v>
      </c>
      <c r="L262" s="0" t="n">
        <f aca="false">SUMPRODUCT((Rules!$A$2:$A$60=L$1)*Rules!$C$2:$C$60*ISNUMBER(SEARCH(Rules!$E$2:$E$60,$D262)))</f>
        <v>2</v>
      </c>
      <c r="M262" s="0" t="n">
        <f aca="false">SUMPRODUCT((Rules!$A$2:$A$60=M$1)*Rules!$C$2:$C$60*ISNUMBER(SEARCH(Rules!$E$2:$E$60,$D262)))</f>
        <v>0</v>
      </c>
      <c r="N262" s="0" t="n">
        <f aca="false">SUMPRODUCT((Rules!$A$2:$A$60=N$1)*Rules!$C$2:$C$60*ISNUMBER(SEARCH(Rules!$E$2:$E$60,$D262)))</f>
        <v>0</v>
      </c>
      <c r="O262" s="0" t="n">
        <f aca="false">SUMPRODUCT((Rules!$A$2:$A$60=O$1)*Rules!$C$2:$C$60*ISNUMBER(SEARCH(Rules!$E$2:$E$60,$D262)))</f>
        <v>0</v>
      </c>
      <c r="P262" s="0" t="n">
        <f aca="false">SUMPRODUCT((Rules!$A$2:$A$60=P$1)*Rules!$C$2:$C$60*ISNUMBER(SEARCH(Rules!$E$2:$E$60,$D262)))</f>
        <v>0</v>
      </c>
      <c r="Q262" s="0" t="n">
        <f aca="false">SUMPRODUCT((Rules!$A$2:$A$60=Q$1)*Rules!$C$2:$C$60*ISNUMBER(SEARCH(Rules!$E$2:$E$60,$D262)))</f>
        <v>0</v>
      </c>
      <c r="R262" s="0" t="str">
        <f aca="false">IF(OR(MAX(L262:Q262)&lt;Rules!$H$1,MAX(L262:Q262)-LARGE(L262:Q262,2)&lt;Rules!$H$2),"No label",INDEX($L$1:$Q$1,MATCH(MAX(L262:Q262),L262:Q262,0)))</f>
        <v>No label</v>
      </c>
      <c r="S262" s="0" t="n">
        <f aca="false">SUMPRODUCT(ISNUMBER(SEARCH(" "&amp;Terms!$A$3:$A$821&amp;" ",$D262))*Terms!B$3:B$821)+Terms!B$2</f>
        <v>0.235025710121229</v>
      </c>
      <c r="T262" s="0" t="n">
        <f aca="false">SUMPRODUCT(ISNUMBER(SEARCH(" "&amp;Terms!$A$3:$A$821&amp;" ",$D262))*Terms!C$3:C$821)+Terms!C$2</f>
        <v>-2.19959653253647</v>
      </c>
      <c r="U262" s="0" t="n">
        <f aca="false">SUMPRODUCT(ISNUMBER(SEARCH(" "&amp;Terms!$A$3:$A$821&amp;" ",$D262))*Terms!D$3:D$821)+Terms!D$2</f>
        <v>-0.00197859659875631</v>
      </c>
      <c r="V262" s="0" t="n">
        <f aca="false">SUMPRODUCT(ISNUMBER(SEARCH(" "&amp;Terms!$A$3:$A$821&amp;" ",$D262))*Terms!E$3:E$821)+Terms!E$2</f>
        <v>-7.57711685837359</v>
      </c>
      <c r="W262" s="0" t="n">
        <f aca="false">SUMPRODUCT(ISNUMBER(SEARCH(" "&amp;Terms!$A$3:$A$821&amp;" ",$D262))*Terms!F$3:F$821)+Terms!F$2</f>
        <v>10.0368777268599</v>
      </c>
      <c r="X262" s="0" t="n">
        <f aca="false">SUMPRODUCT(ISNUMBER(SEARCH(" "&amp;Terms!$A$3:$A$821&amp;" ",$D262))*Terms!G$3:G$821)+Terms!G$2</f>
        <v>-0.493211449472278</v>
      </c>
      <c r="Y262" s="0" t="str">
        <f aca="false">INDEX($S$1:$X$1,MATCH(MAX(S262:X262),S262:X262,0))</f>
        <v>Fraud &amp; Scams</v>
      </c>
      <c r="Z262" s="0" t="s">
        <v>2607</v>
      </c>
    </row>
    <row r="263" customFormat="false" ht="15" hidden="false" customHeight="false" outlineLevel="0" collapsed="false">
      <c r="A263" s="0" t="str">
        <f aca="false">Complaints!A263</f>
        <v>C0262</v>
      </c>
      <c r="B263" s="0" t="str">
        <f aca="false">Complaints!B263</f>
        <v>I have been a customer for years. I asked for a callback and it never happened. It has also been taking far too long. I want this put right.</v>
      </c>
      <c r="C263" s="0" t="str">
        <f aca="false">Complaints!C263</f>
        <v>Customer Service</v>
      </c>
      <c r="D263" s="0" t="str">
        <f aca="false">" "&amp;TRIM(SUBSTITUTE(SUBSTITUTE(SUBSTITUTE(SUBSTITUTE(SUBSTITUTE(SUBSTITUTE(SUBSTITUTE(SUBSTITUTE(SUBSTITUTE(SUBSTITUTE(SUBSTITUTE(SUBSTITUTE(SUBSTITUTE(SUBSTITUTE(SUBSTITUTE(SUBSTITUTE(LOWER(B263),"."," "),","," "),"'"," "),"’"," "),"!"," "),"?"," "),";"," "),":"," "),"-"," "),"("," "),")"," "),"""", " "),"£"," "),"&amp;"," "),"/"," "),"%"," "))&amp;" "</f>
        <v> i have been a customer for years i asked for a callback and it never happened it has also been taking far too long i want this put right </v>
      </c>
      <c r="E263" s="0" t="n">
        <f aca="false">SUMPRODUCT((Rules!$A$2:$A$60=E$1)*Rules!$C$2:$C$60*ISNUMBER(SEARCH(Rules!$D$2:$D$60,$D263)))</f>
        <v>0</v>
      </c>
      <c r="F263" s="0" t="n">
        <f aca="false">SUMPRODUCT((Rules!$A$2:$A$60=F$1)*Rules!$C$2:$C$60*ISNUMBER(SEARCH(Rules!$D$2:$D$60,$D263)))</f>
        <v>0</v>
      </c>
      <c r="G263" s="0" t="n">
        <f aca="false">SUMPRODUCT((Rules!$A$2:$A$60=G$1)*Rules!$C$2:$C$60*ISNUMBER(SEARCH(Rules!$D$2:$D$60,$D263)))</f>
        <v>0</v>
      </c>
      <c r="H263" s="0" t="n">
        <f aca="false">SUMPRODUCT((Rules!$A$2:$A$60=H$1)*Rules!$C$2:$C$60*ISNUMBER(SEARCH(Rules!$D$2:$D$60,$D263)))</f>
        <v>0</v>
      </c>
      <c r="I263" s="0" t="n">
        <f aca="false">SUMPRODUCT((Rules!$A$2:$A$60=I$1)*Rules!$C$2:$C$60*ISNUMBER(SEARCH(Rules!$D$2:$D$60,$D263)))</f>
        <v>0</v>
      </c>
      <c r="J263" s="0" t="n">
        <f aca="false">SUMPRODUCT((Rules!$A$2:$A$60=J$1)*Rules!$C$2:$C$60*ISNUMBER(SEARCH(Rules!$D$2:$D$60,$D263)))</f>
        <v>2</v>
      </c>
      <c r="K263" s="0" t="str">
        <f aca="false">IF(OR(MAX(E263:J263)&lt;Rules!$H$1,MAX(E263:J263)-LARGE(E263:J263,2)&lt;Rules!$H$2),"No label",INDEX($E$1:$J$1,MATCH(MAX(E263:J263),E263:J263,0)))</f>
        <v>No label</v>
      </c>
      <c r="L263" s="0" t="n">
        <f aca="false">SUMPRODUCT((Rules!$A$2:$A$60=L$1)*Rules!$C$2:$C$60*ISNUMBER(SEARCH(Rules!$E$2:$E$60,$D263)))</f>
        <v>0</v>
      </c>
      <c r="M263" s="0" t="n">
        <f aca="false">SUMPRODUCT((Rules!$A$2:$A$60=M$1)*Rules!$C$2:$C$60*ISNUMBER(SEARCH(Rules!$E$2:$E$60,$D263)))</f>
        <v>0</v>
      </c>
      <c r="N263" s="0" t="n">
        <f aca="false">SUMPRODUCT((Rules!$A$2:$A$60=N$1)*Rules!$C$2:$C$60*ISNUMBER(SEARCH(Rules!$E$2:$E$60,$D263)))</f>
        <v>0</v>
      </c>
      <c r="O263" s="0" t="n">
        <f aca="false">SUMPRODUCT((Rules!$A$2:$A$60=O$1)*Rules!$C$2:$C$60*ISNUMBER(SEARCH(Rules!$E$2:$E$60,$D263)))</f>
        <v>0</v>
      </c>
      <c r="P263" s="0" t="n">
        <f aca="false">SUMPRODUCT((Rules!$A$2:$A$60=P$1)*Rules!$C$2:$C$60*ISNUMBER(SEARCH(Rules!$E$2:$E$60,$D263)))</f>
        <v>0</v>
      </c>
      <c r="Q263" s="0" t="n">
        <f aca="false">SUMPRODUCT((Rules!$A$2:$A$60=Q$1)*Rules!$C$2:$C$60*ISNUMBER(SEARCH(Rules!$E$2:$E$60,$D263)))</f>
        <v>2</v>
      </c>
      <c r="R263" s="0" t="str">
        <f aca="false">IF(OR(MAX(L263:Q263)&lt;Rules!$H$1,MAX(L263:Q263)-LARGE(L263:Q263,2)&lt;Rules!$H$2),"No label",INDEX($L$1:$Q$1,MATCH(MAX(L263:Q263),L263:Q263,0)))</f>
        <v>No label</v>
      </c>
      <c r="S263" s="0" t="n">
        <f aca="false">SUMPRODUCT(ISNUMBER(SEARCH(" "&amp;Terms!$A$3:$A$821&amp;" ",$D263))*Terms!B$3:B$821)+Terms!B$2</f>
        <v>-2.33959636154507</v>
      </c>
      <c r="T263" s="0" t="n">
        <f aca="false">SUMPRODUCT(ISNUMBER(SEARCH(" "&amp;Terms!$A$3:$A$821&amp;" ",$D263))*Terms!C$3:C$821)+Terms!C$2</f>
        <v>4.52684739878178</v>
      </c>
      <c r="U263" s="0" t="n">
        <f aca="false">SUMPRODUCT(ISNUMBER(SEARCH(" "&amp;Terms!$A$3:$A$821&amp;" ",$D263))*Terms!D$3:D$821)+Terms!D$2</f>
        <v>-1.70783910217978</v>
      </c>
      <c r="V263" s="0" t="n">
        <f aca="false">SUMPRODUCT(ISNUMBER(SEARCH(" "&amp;Terms!$A$3:$A$821&amp;" ",$D263))*Terms!E$3:E$821)+Terms!E$2</f>
        <v>0.569403391023353</v>
      </c>
      <c r="W263" s="0" t="n">
        <f aca="false">SUMPRODUCT(ISNUMBER(SEARCH(" "&amp;Terms!$A$3:$A$821&amp;" ",$D263))*Terms!F$3:F$821)+Terms!F$2</f>
        <v>0.4896001415435</v>
      </c>
      <c r="X263" s="0" t="n">
        <f aca="false">SUMPRODUCT(ISNUMBER(SEARCH(" "&amp;Terms!$A$3:$A$821&amp;" ",$D263))*Terms!G$3:G$821)+Terms!G$2</f>
        <v>-1.53841546762369</v>
      </c>
      <c r="Y263" s="0" t="str">
        <f aca="false">INDEX($S$1:$X$1,MATCH(MAX(S263:X263),S263:X263,0))</f>
        <v>Customer Service</v>
      </c>
      <c r="Z263" s="0" t="s">
        <v>2607</v>
      </c>
    </row>
    <row r="264" customFormat="false" ht="15" hidden="false" customHeight="false" outlineLevel="0" collapsed="false">
      <c r="A264" s="0" t="str">
        <f aca="false">Complaints!A264</f>
        <v>C0263</v>
      </c>
      <c r="B264" s="0" t="str">
        <f aca="false">Complaints!B264</f>
        <v>Hello, My account was frozen and I cannot get in to move money. Please escalate this.</v>
      </c>
      <c r="C264" s="0" t="str">
        <f aca="false">Complaints!C264</f>
        <v>Account Access</v>
      </c>
      <c r="D264" s="0" t="str">
        <f aca="false">" "&amp;TRIM(SUBSTITUTE(SUBSTITUTE(SUBSTITUTE(SUBSTITUTE(SUBSTITUTE(SUBSTITUTE(SUBSTITUTE(SUBSTITUTE(SUBSTITUTE(SUBSTITUTE(SUBSTITUTE(SUBSTITUTE(SUBSTITUTE(SUBSTITUTE(SUBSTITUTE(SUBSTITUTE(LOWER(B264),"."," "),","," "),"'"," "),"’"," "),"!"," "),"?"," "),";"," "),":"," "),"-"," "),"("," "),")"," "),"""", " "),"£"," "),"&amp;"," "),"/"," "),"%"," "))&amp;" "</f>
        <v> hello my account was frozen and i cannot get in to move money please escalate this </v>
      </c>
      <c r="E264" s="0" t="n">
        <f aca="false">SUMPRODUCT((Rules!$A$2:$A$60=E$1)*Rules!$C$2:$C$60*ISNUMBER(SEARCH(Rules!$D$2:$D$60,$D264)))</f>
        <v>0</v>
      </c>
      <c r="F264" s="0" t="n">
        <f aca="false">SUMPRODUCT((Rules!$A$2:$A$60=F$1)*Rules!$C$2:$C$60*ISNUMBER(SEARCH(Rules!$D$2:$D$60,$D264)))</f>
        <v>0</v>
      </c>
      <c r="G264" s="0" t="n">
        <f aca="false">SUMPRODUCT((Rules!$A$2:$A$60=G$1)*Rules!$C$2:$C$60*ISNUMBER(SEARCH(Rules!$D$2:$D$60,$D264)))</f>
        <v>0</v>
      </c>
      <c r="H264" s="0" t="n">
        <f aca="false">SUMPRODUCT((Rules!$A$2:$A$60=H$1)*Rules!$C$2:$C$60*ISNUMBER(SEARCH(Rules!$D$2:$D$60,$D264)))</f>
        <v>0</v>
      </c>
      <c r="I264" s="0" t="n">
        <f aca="false">SUMPRODUCT((Rules!$A$2:$A$60=I$1)*Rules!$C$2:$C$60*ISNUMBER(SEARCH(Rules!$D$2:$D$60,$D264)))</f>
        <v>0</v>
      </c>
      <c r="J264" s="0" t="n">
        <f aca="false">SUMPRODUCT((Rules!$A$2:$A$60=J$1)*Rules!$C$2:$C$60*ISNUMBER(SEARCH(Rules!$D$2:$D$60,$D264)))</f>
        <v>0</v>
      </c>
      <c r="K264" s="0" t="str">
        <f aca="false">IF(OR(MAX(E264:J264)&lt;Rules!$H$1,MAX(E264:J264)-LARGE(E264:J264,2)&lt;Rules!$H$2),"No label",INDEX($E$1:$J$1,MATCH(MAX(E264:J264),E264:J264,0)))</f>
        <v>No label</v>
      </c>
      <c r="L264" s="0" t="n">
        <f aca="false">SUMPRODUCT((Rules!$A$2:$A$60=L$1)*Rules!$C$2:$C$60*ISNUMBER(SEARCH(Rules!$E$2:$E$60,$D264)))</f>
        <v>0</v>
      </c>
      <c r="M264" s="0" t="n">
        <f aca="false">SUMPRODUCT((Rules!$A$2:$A$60=M$1)*Rules!$C$2:$C$60*ISNUMBER(SEARCH(Rules!$E$2:$E$60,$D264)))</f>
        <v>0</v>
      </c>
      <c r="N264" s="0" t="n">
        <f aca="false">SUMPRODUCT((Rules!$A$2:$A$60=N$1)*Rules!$C$2:$C$60*ISNUMBER(SEARCH(Rules!$E$2:$E$60,$D264)))</f>
        <v>0</v>
      </c>
      <c r="O264" s="0" t="n">
        <f aca="false">SUMPRODUCT((Rules!$A$2:$A$60=O$1)*Rules!$C$2:$C$60*ISNUMBER(SEARCH(Rules!$E$2:$E$60,$D264)))</f>
        <v>0</v>
      </c>
      <c r="P264" s="0" t="n">
        <f aca="false">SUMPRODUCT((Rules!$A$2:$A$60=P$1)*Rules!$C$2:$C$60*ISNUMBER(SEARCH(Rules!$E$2:$E$60,$D264)))</f>
        <v>0</v>
      </c>
      <c r="Q264" s="0" t="n">
        <f aca="false">SUMPRODUCT((Rules!$A$2:$A$60=Q$1)*Rules!$C$2:$C$60*ISNUMBER(SEARCH(Rules!$E$2:$E$60,$D264)))</f>
        <v>0</v>
      </c>
      <c r="R264" s="0" t="str">
        <f aca="false">IF(OR(MAX(L264:Q264)&lt;Rules!$H$1,MAX(L264:Q264)-LARGE(L264:Q264,2)&lt;Rules!$H$2),"No label",INDEX($L$1:$Q$1,MATCH(MAX(L264:Q264),L264:Q264,0)))</f>
        <v>No label</v>
      </c>
      <c r="S264" s="0" t="n">
        <f aca="false">SUMPRODUCT(ISNUMBER(SEARCH(" "&amp;Terms!$A$3:$A$821&amp;" ",$D264))*Terms!B$3:B$821)+Terms!B$2</f>
        <v>5.30026502639515</v>
      </c>
      <c r="T264" s="0" t="n">
        <f aca="false">SUMPRODUCT(ISNUMBER(SEARCH(" "&amp;Terms!$A$3:$A$821&amp;" ",$D264))*Terms!C$3:C$821)+Terms!C$2</f>
        <v>-2.86480565187049</v>
      </c>
      <c r="U264" s="0" t="n">
        <f aca="false">SUMPRODUCT(ISNUMBER(SEARCH(" "&amp;Terms!$A$3:$A$821&amp;" ",$D264))*Terms!D$3:D$821)+Terms!D$2</f>
        <v>-0.954970933185048</v>
      </c>
      <c r="V264" s="0" t="n">
        <f aca="false">SUMPRODUCT(ISNUMBER(SEARCH(" "&amp;Terms!$A$3:$A$821&amp;" ",$D264))*Terms!E$3:E$821)+Terms!E$2</f>
        <v>-0.919319101524313</v>
      </c>
      <c r="W264" s="0" t="n">
        <f aca="false">SUMPRODUCT(ISNUMBER(SEARCH(" "&amp;Terms!$A$3:$A$821&amp;" ",$D264))*Terms!F$3:F$821)+Terms!F$2</f>
        <v>0.170827309907236</v>
      </c>
      <c r="X264" s="0" t="n">
        <f aca="false">SUMPRODUCT(ISNUMBER(SEARCH(" "&amp;Terms!$A$3:$A$821&amp;" ",$D264))*Terms!G$3:G$821)+Terms!G$2</f>
        <v>-0.731996649722448</v>
      </c>
      <c r="Y264" s="0" t="str">
        <f aca="false">INDEX($S$1:$X$1,MATCH(MAX(S264:X264),S264:X264,0))</f>
        <v>Account Access</v>
      </c>
      <c r="Z264" s="0" t="s">
        <v>2607</v>
      </c>
    </row>
    <row r="265" customFormat="false" ht="15" hidden="false" customHeight="false" outlineLevel="0" collapsed="false">
      <c r="A265" s="0" t="str">
        <f aca="false">Complaints!A265</f>
        <v>C0264</v>
      </c>
      <c r="B265" s="0" t="str">
        <f aca="false">Complaints!B265</f>
        <v>This is the second time I hve raised this. The password reset keeps failing and I am locked out.</v>
      </c>
      <c r="C265" s="0" t="str">
        <f aca="false">Complaints!C265</f>
        <v>Account Access</v>
      </c>
      <c r="D265" s="0" t="str">
        <f aca="false">" "&amp;TRIM(SUBSTITUTE(SUBSTITUTE(SUBSTITUTE(SUBSTITUTE(SUBSTITUTE(SUBSTITUTE(SUBSTITUTE(SUBSTITUTE(SUBSTITUTE(SUBSTITUTE(SUBSTITUTE(SUBSTITUTE(SUBSTITUTE(SUBSTITUTE(SUBSTITUTE(SUBSTITUTE(LOWER(B265),"."," "),","," "),"'"," "),"’"," "),"!"," "),"?"," "),";"," "),":"," "),"-"," "),"("," "),")"," "),"""", " "),"£"," "),"&amp;"," "),"/"," "),"%"," "))&amp;" "</f>
        <v> this is the second time i hve raised this the password reset keeps failing and i am locked out </v>
      </c>
      <c r="E265" s="0" t="n">
        <f aca="false">SUMPRODUCT((Rules!$A$2:$A$60=E$1)*Rules!$C$2:$C$60*ISNUMBER(SEARCH(Rules!$D$2:$D$60,$D265)))</f>
        <v>0</v>
      </c>
      <c r="F265" s="0" t="n">
        <f aca="false">SUMPRODUCT((Rules!$A$2:$A$60=F$1)*Rules!$C$2:$C$60*ISNUMBER(SEARCH(Rules!$D$2:$D$60,$D265)))</f>
        <v>0</v>
      </c>
      <c r="G265" s="0" t="n">
        <f aca="false">SUMPRODUCT((Rules!$A$2:$A$60=G$1)*Rules!$C$2:$C$60*ISNUMBER(SEARCH(Rules!$D$2:$D$60,$D265)))</f>
        <v>8</v>
      </c>
      <c r="H265" s="0" t="n">
        <f aca="false">SUMPRODUCT((Rules!$A$2:$A$60=H$1)*Rules!$C$2:$C$60*ISNUMBER(SEARCH(Rules!$D$2:$D$60,$D265)))</f>
        <v>0</v>
      </c>
      <c r="I265" s="0" t="n">
        <f aca="false">SUMPRODUCT((Rules!$A$2:$A$60=I$1)*Rules!$C$2:$C$60*ISNUMBER(SEARCH(Rules!$D$2:$D$60,$D265)))</f>
        <v>0</v>
      </c>
      <c r="J265" s="0" t="n">
        <f aca="false">SUMPRODUCT((Rules!$A$2:$A$60=J$1)*Rules!$C$2:$C$60*ISNUMBER(SEARCH(Rules!$D$2:$D$60,$D265)))</f>
        <v>0</v>
      </c>
      <c r="K265" s="0" t="str">
        <f aca="false">IF(OR(MAX(E265:J265)&lt;Rules!$H$1,MAX(E265:J265)-LARGE(E265:J265,2)&lt;Rules!$H$2),"No label",INDEX($E$1:$J$1,MATCH(MAX(E265:J265),E265:J265,0)))</f>
        <v>Account Access</v>
      </c>
      <c r="L265" s="0" t="n">
        <f aca="false">SUMPRODUCT((Rules!$A$2:$A$60=L$1)*Rules!$C$2:$C$60*ISNUMBER(SEARCH(Rules!$E$2:$E$60,$D265)))</f>
        <v>0</v>
      </c>
      <c r="M265" s="0" t="n">
        <f aca="false">SUMPRODUCT((Rules!$A$2:$A$60=M$1)*Rules!$C$2:$C$60*ISNUMBER(SEARCH(Rules!$E$2:$E$60,$D265)))</f>
        <v>0</v>
      </c>
      <c r="N265" s="0" t="n">
        <f aca="false">SUMPRODUCT((Rules!$A$2:$A$60=N$1)*Rules!$C$2:$C$60*ISNUMBER(SEARCH(Rules!$E$2:$E$60,$D265)))</f>
        <v>8</v>
      </c>
      <c r="O265" s="0" t="n">
        <f aca="false">SUMPRODUCT((Rules!$A$2:$A$60=O$1)*Rules!$C$2:$C$60*ISNUMBER(SEARCH(Rules!$E$2:$E$60,$D265)))</f>
        <v>0</v>
      </c>
      <c r="P265" s="0" t="n">
        <f aca="false">SUMPRODUCT((Rules!$A$2:$A$60=P$1)*Rules!$C$2:$C$60*ISNUMBER(SEARCH(Rules!$E$2:$E$60,$D265)))</f>
        <v>0</v>
      </c>
      <c r="Q265" s="0" t="n">
        <f aca="false">SUMPRODUCT((Rules!$A$2:$A$60=Q$1)*Rules!$C$2:$C$60*ISNUMBER(SEARCH(Rules!$E$2:$E$60,$D265)))</f>
        <v>0</v>
      </c>
      <c r="R265" s="0" t="str">
        <f aca="false">IF(OR(MAX(L265:Q265)&lt;Rules!$H$1,MAX(L265:Q265)-LARGE(L265:Q265,2)&lt;Rules!$H$2),"No label",INDEX($L$1:$Q$1,MATCH(MAX(L265:Q265),L265:Q265,0)))</f>
        <v>Account Access</v>
      </c>
      <c r="S265" s="0" t="n">
        <f aca="false">SUMPRODUCT(ISNUMBER(SEARCH(" "&amp;Terms!$A$3:$A$821&amp;" ",$D265))*Terms!B$3:B$821)+Terms!B$2</f>
        <v>9.38902291228991</v>
      </c>
      <c r="T265" s="0" t="n">
        <f aca="false">SUMPRODUCT(ISNUMBER(SEARCH(" "&amp;Terms!$A$3:$A$821&amp;" ",$D265))*Terms!C$3:C$821)+Terms!C$2</f>
        <v>-3.05460148541688</v>
      </c>
      <c r="U265" s="0" t="n">
        <f aca="false">SUMPRODUCT(ISNUMBER(SEARCH(" "&amp;Terms!$A$3:$A$821&amp;" ",$D265))*Terms!D$3:D$821)+Terms!D$2</f>
        <v>-2.81411924981255</v>
      </c>
      <c r="V265" s="0" t="n">
        <f aca="false">SUMPRODUCT(ISNUMBER(SEARCH(" "&amp;Terms!$A$3:$A$821&amp;" ",$D265))*Terms!E$3:E$821)+Terms!E$2</f>
        <v>-1.22497356946899</v>
      </c>
      <c r="W265" s="0" t="n">
        <f aca="false">SUMPRODUCT(ISNUMBER(SEARCH(" "&amp;Terms!$A$3:$A$821&amp;" ",$D265))*Terms!F$3:F$821)+Terms!F$2</f>
        <v>-1.35001636250527</v>
      </c>
      <c r="X265" s="0" t="n">
        <f aca="false">SUMPRODUCT(ISNUMBER(SEARCH(" "&amp;Terms!$A$3:$A$821&amp;" ",$D265))*Terms!G$3:G$821)+Terms!G$2</f>
        <v>-0.945312245086107</v>
      </c>
      <c r="Y265" s="0" t="str">
        <f aca="false">INDEX($S$1:$X$1,MATCH(MAX(S265:X265),S265:X265,0))</f>
        <v>Account Access</v>
      </c>
      <c r="Z265" s="0" t="s">
        <v>2607</v>
      </c>
    </row>
    <row r="266" customFormat="false" ht="15" hidden="false" customHeight="false" outlineLevel="0" collapsed="false">
      <c r="A266" s="0" t="str">
        <f aca="false">Complaints!A266</f>
        <v>C0265</v>
      </c>
      <c r="B266" s="0" t="str">
        <f aca="false">Complaints!B266</f>
        <v>This is the second time I have raised this. You promised the money within three workin days and it is still outstanding.</v>
      </c>
      <c r="C266" s="0" t="str">
        <f aca="false">Complaints!C266</f>
        <v>Delays &amp; Processing</v>
      </c>
      <c r="D266" s="0" t="str">
        <f aca="false">" "&amp;TRIM(SUBSTITUTE(SUBSTITUTE(SUBSTITUTE(SUBSTITUTE(SUBSTITUTE(SUBSTITUTE(SUBSTITUTE(SUBSTITUTE(SUBSTITUTE(SUBSTITUTE(SUBSTITUTE(SUBSTITUTE(SUBSTITUTE(SUBSTITUTE(SUBSTITUTE(SUBSTITUTE(LOWER(B266),"."," "),","," "),"'"," "),"’"," "),"!"," "),"?"," "),";"," "),":"," "),"-"," "),"("," "),")"," "),"""", " "),"£"," "),"&amp;"," "),"/"," "),"%"," "))&amp;" "</f>
        <v> this is the second time i have raised this you promised the money within three workin days and it is still outstanding </v>
      </c>
      <c r="E266" s="0" t="n">
        <f aca="false">SUMPRODUCT((Rules!$A$2:$A$60=E$1)*Rules!$C$2:$C$60*ISNUMBER(SEARCH(Rules!$D$2:$D$60,$D266)))</f>
        <v>0</v>
      </c>
      <c r="F266" s="0" t="n">
        <f aca="false">SUMPRODUCT((Rules!$A$2:$A$60=F$1)*Rules!$C$2:$C$60*ISNUMBER(SEARCH(Rules!$D$2:$D$60,$D266)))</f>
        <v>1</v>
      </c>
      <c r="G266" s="0" t="n">
        <f aca="false">SUMPRODUCT((Rules!$A$2:$A$60=G$1)*Rules!$C$2:$C$60*ISNUMBER(SEARCH(Rules!$D$2:$D$60,$D266)))</f>
        <v>0</v>
      </c>
      <c r="H266" s="0" t="n">
        <f aca="false">SUMPRODUCT((Rules!$A$2:$A$60=H$1)*Rules!$C$2:$C$60*ISNUMBER(SEARCH(Rules!$D$2:$D$60,$D266)))</f>
        <v>0</v>
      </c>
      <c r="I266" s="0" t="n">
        <f aca="false">SUMPRODUCT((Rules!$A$2:$A$60=I$1)*Rules!$C$2:$C$60*ISNUMBER(SEARCH(Rules!$D$2:$D$60,$D266)))</f>
        <v>2</v>
      </c>
      <c r="J266" s="0" t="n">
        <f aca="false">SUMPRODUCT((Rules!$A$2:$A$60=J$1)*Rules!$C$2:$C$60*ISNUMBER(SEARCH(Rules!$D$2:$D$60,$D266)))</f>
        <v>0</v>
      </c>
      <c r="K266" s="0" t="str">
        <f aca="false">IF(OR(MAX(E266:J266)&lt;Rules!$H$1,MAX(E266:J266)-LARGE(E266:J266,2)&lt;Rules!$H$2),"No label",INDEX($E$1:$J$1,MATCH(MAX(E266:J266),E266:J266,0)))</f>
        <v>No label</v>
      </c>
      <c r="L266" s="0" t="n">
        <f aca="false">SUMPRODUCT((Rules!$A$2:$A$60=L$1)*Rules!$C$2:$C$60*ISNUMBER(SEARCH(Rules!$E$2:$E$60,$D266)))</f>
        <v>0</v>
      </c>
      <c r="M266" s="0" t="n">
        <f aca="false">SUMPRODUCT((Rules!$A$2:$A$60=M$1)*Rules!$C$2:$C$60*ISNUMBER(SEARCH(Rules!$E$2:$E$60,$D266)))</f>
        <v>1</v>
      </c>
      <c r="N266" s="0" t="n">
        <f aca="false">SUMPRODUCT((Rules!$A$2:$A$60=N$1)*Rules!$C$2:$C$60*ISNUMBER(SEARCH(Rules!$E$2:$E$60,$D266)))</f>
        <v>0</v>
      </c>
      <c r="O266" s="0" t="n">
        <f aca="false">SUMPRODUCT((Rules!$A$2:$A$60=O$1)*Rules!$C$2:$C$60*ISNUMBER(SEARCH(Rules!$E$2:$E$60,$D266)))</f>
        <v>0</v>
      </c>
      <c r="P266" s="0" t="n">
        <f aca="false">SUMPRODUCT((Rules!$A$2:$A$60=P$1)*Rules!$C$2:$C$60*ISNUMBER(SEARCH(Rules!$E$2:$E$60,$D266)))</f>
        <v>2</v>
      </c>
      <c r="Q266" s="0" t="n">
        <f aca="false">SUMPRODUCT((Rules!$A$2:$A$60=Q$1)*Rules!$C$2:$C$60*ISNUMBER(SEARCH(Rules!$E$2:$E$60,$D266)))</f>
        <v>0</v>
      </c>
      <c r="R266" s="0" t="str">
        <f aca="false">IF(OR(MAX(L266:Q266)&lt;Rules!$H$1,MAX(L266:Q266)-LARGE(L266:Q266,2)&lt;Rules!$H$2),"No label",INDEX($L$1:$Q$1,MATCH(MAX(L266:Q266),L266:Q266,0)))</f>
        <v>No label</v>
      </c>
      <c r="S266" s="0" t="n">
        <f aca="false">SUMPRODUCT(ISNUMBER(SEARCH(" "&amp;Terms!$A$3:$A$821&amp;" ",$D266))*Terms!B$3:B$821)+Terms!B$2</f>
        <v>-1.62594523976621</v>
      </c>
      <c r="T266" s="0" t="n">
        <f aca="false">SUMPRODUCT(ISNUMBER(SEARCH(" "&amp;Terms!$A$3:$A$821&amp;" ",$D266))*Terms!C$3:C$821)+Terms!C$2</f>
        <v>-1.34836467904435</v>
      </c>
      <c r="U266" s="0" t="n">
        <f aca="false">SUMPRODUCT(ISNUMBER(SEARCH(" "&amp;Terms!$A$3:$A$821&amp;" ",$D266))*Terms!D$3:D$821)+Terms!D$2</f>
        <v>4.24010428362709</v>
      </c>
      <c r="V266" s="0" t="n">
        <f aca="false">SUMPRODUCT(ISNUMBER(SEARCH(" "&amp;Terms!$A$3:$A$821&amp;" ",$D266))*Terms!E$3:E$821)+Terms!E$2</f>
        <v>-1.24006032410152</v>
      </c>
      <c r="W266" s="0" t="n">
        <f aca="false">SUMPRODUCT(ISNUMBER(SEARCH(" "&amp;Terms!$A$3:$A$821&amp;" ",$D266))*Terms!F$3:F$821)+Terms!F$2</f>
        <v>0.0242272007874108</v>
      </c>
      <c r="X266" s="0" t="n">
        <f aca="false">SUMPRODUCT(ISNUMBER(SEARCH(" "&amp;Terms!$A$3:$A$821&amp;" ",$D266))*Terms!G$3:G$821)+Terms!G$2</f>
        <v>-0.0499612415023343</v>
      </c>
      <c r="Y266" s="0" t="str">
        <f aca="false">INDEX($S$1:$X$1,MATCH(MAX(S266:X266),S266:X266,0))</f>
        <v>Delays &amp; Processing</v>
      </c>
      <c r="Z266" s="0" t="s">
        <v>2607</v>
      </c>
    </row>
    <row r="267" customFormat="false" ht="15" hidden="false" customHeight="false" outlineLevel="0" collapsed="false">
      <c r="A267" s="0" t="str">
        <f aca="false">Complaints!A267</f>
        <v>C0266</v>
      </c>
      <c r="B267" s="0" t="str">
        <f aca="false">Complaints!B267</f>
        <v>This is the second time I have raised this. I was tricked into moving savings to a safe account that was not safe. Also, i spent an hour on hold and then the call was cut off. Please escalate this.</v>
      </c>
      <c r="C267" s="0" t="str">
        <f aca="false">Complaints!C267</f>
        <v>Fraud &amp; Scams</v>
      </c>
      <c r="D267" s="0" t="str">
        <f aca="false">" "&amp;TRIM(SUBSTITUTE(SUBSTITUTE(SUBSTITUTE(SUBSTITUTE(SUBSTITUTE(SUBSTITUTE(SUBSTITUTE(SUBSTITUTE(SUBSTITUTE(SUBSTITUTE(SUBSTITUTE(SUBSTITUTE(SUBSTITUTE(SUBSTITUTE(SUBSTITUTE(SUBSTITUTE(LOWER(B267),"."," "),","," "),"'"," "),"’"," "),"!"," "),"?"," "),";"," "),":"," "),"-"," "),"("," "),")"," "),"""", " "),"£"," "),"&amp;"," "),"/"," "),"%"," "))&amp;" "</f>
        <v> this is the second time i have raised this i was tricked into moving savings to a safe account that was not safe also i spent an hour on hold and then the call was cut off please escalate this </v>
      </c>
      <c r="E267" s="0" t="n">
        <f aca="false">SUMPRODUCT((Rules!$A$2:$A$60=E$1)*Rules!$C$2:$C$60*ISNUMBER(SEARCH(Rules!$D$2:$D$60,$D267)))</f>
        <v>2</v>
      </c>
      <c r="F267" s="0" t="n">
        <f aca="false">SUMPRODUCT((Rules!$A$2:$A$60=F$1)*Rules!$C$2:$C$60*ISNUMBER(SEARCH(Rules!$D$2:$D$60,$D267)))</f>
        <v>0</v>
      </c>
      <c r="G267" s="0" t="n">
        <f aca="false">SUMPRODUCT((Rules!$A$2:$A$60=G$1)*Rules!$C$2:$C$60*ISNUMBER(SEARCH(Rules!$D$2:$D$60,$D267)))</f>
        <v>0</v>
      </c>
      <c r="H267" s="0" t="n">
        <f aca="false">SUMPRODUCT((Rules!$A$2:$A$60=H$1)*Rules!$C$2:$C$60*ISNUMBER(SEARCH(Rules!$D$2:$D$60,$D267)))</f>
        <v>0</v>
      </c>
      <c r="I267" s="0" t="n">
        <f aca="false">SUMPRODUCT((Rules!$A$2:$A$60=I$1)*Rules!$C$2:$C$60*ISNUMBER(SEARCH(Rules!$D$2:$D$60,$D267)))</f>
        <v>0</v>
      </c>
      <c r="J267" s="0" t="n">
        <f aca="false">SUMPRODUCT((Rules!$A$2:$A$60=J$1)*Rules!$C$2:$C$60*ISNUMBER(SEARCH(Rules!$D$2:$D$60,$D267)))</f>
        <v>3</v>
      </c>
      <c r="K267" s="0" t="str">
        <f aca="false">IF(OR(MAX(E267:J267)&lt;Rules!$H$1,MAX(E267:J267)-LARGE(E267:J267,2)&lt;Rules!$H$2),"No label",INDEX($E$1:$J$1,MATCH(MAX(E267:J267),E267:J267,0)))</f>
        <v>No label</v>
      </c>
      <c r="L267" s="0" t="n">
        <f aca="false">SUMPRODUCT((Rules!$A$2:$A$60=L$1)*Rules!$C$2:$C$60*ISNUMBER(SEARCH(Rules!$E$2:$E$60,$D267)))</f>
        <v>2</v>
      </c>
      <c r="M267" s="0" t="n">
        <f aca="false">SUMPRODUCT((Rules!$A$2:$A$60=M$1)*Rules!$C$2:$C$60*ISNUMBER(SEARCH(Rules!$E$2:$E$60,$D267)))</f>
        <v>0</v>
      </c>
      <c r="N267" s="0" t="n">
        <f aca="false">SUMPRODUCT((Rules!$A$2:$A$60=N$1)*Rules!$C$2:$C$60*ISNUMBER(SEARCH(Rules!$E$2:$E$60,$D267)))</f>
        <v>0</v>
      </c>
      <c r="O267" s="0" t="n">
        <f aca="false">SUMPRODUCT((Rules!$A$2:$A$60=O$1)*Rules!$C$2:$C$60*ISNUMBER(SEARCH(Rules!$E$2:$E$60,$D267)))</f>
        <v>0</v>
      </c>
      <c r="P267" s="0" t="n">
        <f aca="false">SUMPRODUCT((Rules!$A$2:$A$60=P$1)*Rules!$C$2:$C$60*ISNUMBER(SEARCH(Rules!$E$2:$E$60,$D267)))</f>
        <v>0</v>
      </c>
      <c r="Q267" s="0" t="n">
        <f aca="false">SUMPRODUCT((Rules!$A$2:$A$60=Q$1)*Rules!$C$2:$C$60*ISNUMBER(SEARCH(Rules!$E$2:$E$60,$D267)))</f>
        <v>3</v>
      </c>
      <c r="R267" s="0" t="str">
        <f aca="false">IF(OR(MAX(L267:Q267)&lt;Rules!$H$1,MAX(L267:Q267)-LARGE(L267:Q267,2)&lt;Rules!$H$2),"No label",INDEX($L$1:$Q$1,MATCH(MAX(L267:Q267),L267:Q267,0)))</f>
        <v>No label</v>
      </c>
      <c r="S267" s="0" t="n">
        <f aca="false">SUMPRODUCT(ISNUMBER(SEARCH(" "&amp;Terms!$A$3:$A$821&amp;" ",$D267))*Terms!B$3:B$821)+Terms!B$2</f>
        <v>-4.31802968886008</v>
      </c>
      <c r="T267" s="0" t="n">
        <f aca="false">SUMPRODUCT(ISNUMBER(SEARCH(" "&amp;Terms!$A$3:$A$821&amp;" ",$D267))*Terms!C$3:C$821)+Terms!C$2</f>
        <v>3.0602782537442</v>
      </c>
      <c r="U267" s="0" t="n">
        <f aca="false">SUMPRODUCT(ISNUMBER(SEARCH(" "&amp;Terms!$A$3:$A$821&amp;" ",$D267))*Terms!D$3:D$821)+Terms!D$2</f>
        <v>-0.0868063192941881</v>
      </c>
      <c r="V267" s="0" t="n">
        <f aca="false">SUMPRODUCT(ISNUMBER(SEARCH(" "&amp;Terms!$A$3:$A$821&amp;" ",$D267))*Terms!E$3:E$821)+Terms!E$2</f>
        <v>-3.38377469593615</v>
      </c>
      <c r="W267" s="0" t="n">
        <f aca="false">SUMPRODUCT(ISNUMBER(SEARCH(" "&amp;Terms!$A$3:$A$821&amp;" ",$D267))*Terms!F$3:F$821)+Terms!F$2</f>
        <v>9.46251775417342</v>
      </c>
      <c r="X267" s="0" t="n">
        <f aca="false">SUMPRODUCT(ISNUMBER(SEARCH(" "&amp;Terms!$A$3:$A$821&amp;" ",$D267))*Terms!G$3:G$821)+Terms!G$2</f>
        <v>-4.73418530382709</v>
      </c>
      <c r="Y267" s="0" t="str">
        <f aca="false">INDEX($S$1:$X$1,MATCH(MAX(S267:X267),S267:X267,0))</f>
        <v>Fraud &amp; Scams</v>
      </c>
      <c r="Z267" s="0" t="s">
        <v>2607</v>
      </c>
    </row>
    <row r="268" customFormat="false" ht="15" hidden="false" customHeight="false" outlineLevel="0" collapsed="false">
      <c r="A268" s="0" t="str">
        <f aca="false">Complaints!A268</f>
        <v>C0267</v>
      </c>
      <c r="B268" s="0" t="str">
        <f aca="false">Complaints!B268</f>
        <v>I am writing to complain. I think I was the victim of a scam and sent money to a fraudster. I want this put right.</v>
      </c>
      <c r="C268" s="0" t="str">
        <f aca="false">Complaints!C268</f>
        <v>Fraud &amp; Scams</v>
      </c>
      <c r="D268" s="0" t="str">
        <f aca="false">" "&amp;TRIM(SUBSTITUTE(SUBSTITUTE(SUBSTITUTE(SUBSTITUTE(SUBSTITUTE(SUBSTITUTE(SUBSTITUTE(SUBSTITUTE(SUBSTITUTE(SUBSTITUTE(SUBSTITUTE(SUBSTITUTE(SUBSTITUTE(SUBSTITUTE(SUBSTITUTE(SUBSTITUTE(LOWER(B268),"."," "),","," "),"'"," "),"’"," "),"!"," "),"?"," "),";"," "),":"," "),"-"," "),"("," "),")"," "),"""", " "),"£"," "),"&amp;"," "),"/"," "),"%"," "))&amp;" "</f>
        <v> i am writing to complain i think i was the victim of a scam and sent money to a fraudster i want this put right </v>
      </c>
      <c r="E268" s="0" t="n">
        <f aca="false">SUMPRODUCT((Rules!$A$2:$A$60=E$1)*Rules!$C$2:$C$60*ISNUMBER(SEARCH(Rules!$D$2:$D$60,$D268)))</f>
        <v>6</v>
      </c>
      <c r="F268" s="0" t="n">
        <f aca="false">SUMPRODUCT((Rules!$A$2:$A$60=F$1)*Rules!$C$2:$C$60*ISNUMBER(SEARCH(Rules!$D$2:$D$60,$D268)))</f>
        <v>0</v>
      </c>
      <c r="G268" s="0" t="n">
        <f aca="false">SUMPRODUCT((Rules!$A$2:$A$60=G$1)*Rules!$C$2:$C$60*ISNUMBER(SEARCH(Rules!$D$2:$D$60,$D268)))</f>
        <v>0</v>
      </c>
      <c r="H268" s="0" t="n">
        <f aca="false">SUMPRODUCT((Rules!$A$2:$A$60=H$1)*Rules!$C$2:$C$60*ISNUMBER(SEARCH(Rules!$D$2:$D$60,$D268)))</f>
        <v>0</v>
      </c>
      <c r="I268" s="0" t="n">
        <f aca="false">SUMPRODUCT((Rules!$A$2:$A$60=I$1)*Rules!$C$2:$C$60*ISNUMBER(SEARCH(Rules!$D$2:$D$60,$D268)))</f>
        <v>0</v>
      </c>
      <c r="J268" s="0" t="n">
        <f aca="false">SUMPRODUCT((Rules!$A$2:$A$60=J$1)*Rules!$C$2:$C$60*ISNUMBER(SEARCH(Rules!$D$2:$D$60,$D268)))</f>
        <v>0</v>
      </c>
      <c r="K268" s="0" t="str">
        <f aca="false">IF(OR(MAX(E268:J268)&lt;Rules!$H$1,MAX(E268:J268)-LARGE(E268:J268,2)&lt;Rules!$H$2),"No label",INDEX($E$1:$J$1,MATCH(MAX(E268:J268),E268:J268,0)))</f>
        <v>Fraud &amp; Scams</v>
      </c>
      <c r="L268" s="0" t="n">
        <f aca="false">SUMPRODUCT((Rules!$A$2:$A$60=L$1)*Rules!$C$2:$C$60*ISNUMBER(SEARCH(Rules!$E$2:$E$60,$D268)))</f>
        <v>6</v>
      </c>
      <c r="M268" s="0" t="n">
        <f aca="false">SUMPRODUCT((Rules!$A$2:$A$60=M$1)*Rules!$C$2:$C$60*ISNUMBER(SEARCH(Rules!$E$2:$E$60,$D268)))</f>
        <v>0</v>
      </c>
      <c r="N268" s="0" t="n">
        <f aca="false">SUMPRODUCT((Rules!$A$2:$A$60=N$1)*Rules!$C$2:$C$60*ISNUMBER(SEARCH(Rules!$E$2:$E$60,$D268)))</f>
        <v>0</v>
      </c>
      <c r="O268" s="0" t="n">
        <f aca="false">SUMPRODUCT((Rules!$A$2:$A$60=O$1)*Rules!$C$2:$C$60*ISNUMBER(SEARCH(Rules!$E$2:$E$60,$D268)))</f>
        <v>0</v>
      </c>
      <c r="P268" s="0" t="n">
        <f aca="false">SUMPRODUCT((Rules!$A$2:$A$60=P$1)*Rules!$C$2:$C$60*ISNUMBER(SEARCH(Rules!$E$2:$E$60,$D268)))</f>
        <v>0</v>
      </c>
      <c r="Q268" s="0" t="n">
        <f aca="false">SUMPRODUCT((Rules!$A$2:$A$60=Q$1)*Rules!$C$2:$C$60*ISNUMBER(SEARCH(Rules!$E$2:$E$60,$D268)))</f>
        <v>0</v>
      </c>
      <c r="R268" s="0" t="str">
        <f aca="false">IF(OR(MAX(L268:Q268)&lt;Rules!$H$1,MAX(L268:Q268)-LARGE(L268:Q268,2)&lt;Rules!$H$2),"No label",INDEX($L$1:$Q$1,MATCH(MAX(L268:Q268),L268:Q268,0)))</f>
        <v>Fraud &amp; Scams</v>
      </c>
      <c r="S268" s="0" t="n">
        <f aca="false">SUMPRODUCT(ISNUMBER(SEARCH(" "&amp;Terms!$A$3:$A$821&amp;" ",$D268))*Terms!B$3:B$821)+Terms!B$2</f>
        <v>-1.23161365009206</v>
      </c>
      <c r="T268" s="0" t="n">
        <f aca="false">SUMPRODUCT(ISNUMBER(SEARCH(" "&amp;Terms!$A$3:$A$821&amp;" ",$D268))*Terms!C$3:C$821)+Terms!C$2</f>
        <v>-5.08787210784919</v>
      </c>
      <c r="U268" s="0" t="n">
        <f aca="false">SUMPRODUCT(ISNUMBER(SEARCH(" "&amp;Terms!$A$3:$A$821&amp;" ",$D268))*Terms!D$3:D$821)+Terms!D$2</f>
        <v>0.351745129164253</v>
      </c>
      <c r="V268" s="0" t="n">
        <f aca="false">SUMPRODUCT(ISNUMBER(SEARCH(" "&amp;Terms!$A$3:$A$821&amp;" ",$D268))*Terms!E$3:E$821)+Terms!E$2</f>
        <v>-2.36018982574962</v>
      </c>
      <c r="W268" s="0" t="n">
        <f aca="false">SUMPRODUCT(ISNUMBER(SEARCH(" "&amp;Terms!$A$3:$A$821&amp;" ",$D268))*Terms!F$3:F$821)+Terms!F$2</f>
        <v>10.7630622001613</v>
      </c>
      <c r="X268" s="0" t="n">
        <f aca="false">SUMPRODUCT(ISNUMBER(SEARCH(" "&amp;Terms!$A$3:$A$821&amp;" ",$D268))*Terms!G$3:G$821)+Terms!G$2</f>
        <v>-2.43513174563457</v>
      </c>
      <c r="Y268" s="0" t="str">
        <f aca="false">INDEX($S$1:$X$1,MATCH(MAX(S268:X268),S268:X268,0))</f>
        <v>Fraud &amp; Scams</v>
      </c>
      <c r="Z268" s="0" t="s">
        <v>2607</v>
      </c>
    </row>
    <row r="269" customFormat="false" ht="15" hidden="false" customHeight="false" outlineLevel="0" collapsed="false">
      <c r="A269" s="0" t="str">
        <f aca="false">Complaints!A269</f>
        <v>C0268</v>
      </c>
      <c r="B269" s="0" t="str">
        <f aca="false">Complaints!B269</f>
        <v>This is the second time I have raised this. I spent an hour on hold and then the call was cut off. This is not acceptable.</v>
      </c>
      <c r="C269" s="0" t="str">
        <f aca="false">Complaints!C269</f>
        <v>Customer Service</v>
      </c>
      <c r="D269" s="0" t="str">
        <f aca="false">" "&amp;TRIM(SUBSTITUTE(SUBSTITUTE(SUBSTITUTE(SUBSTITUTE(SUBSTITUTE(SUBSTITUTE(SUBSTITUTE(SUBSTITUTE(SUBSTITUTE(SUBSTITUTE(SUBSTITUTE(SUBSTITUTE(SUBSTITUTE(SUBSTITUTE(SUBSTITUTE(SUBSTITUTE(LOWER(B269),"."," "),","," "),"'"," "),"’"," "),"!"," "),"?"," "),";"," "),":"," "),"-"," "),"("," "),")"," "),"""", " "),"£"," "),"&amp;"," "),"/"," "),"%"," "))&amp;" "</f>
        <v> this is the second time i have raised this i spent an hour on hold and then the call was cut off this is not acceptable </v>
      </c>
      <c r="E269" s="0" t="n">
        <f aca="false">SUMPRODUCT((Rules!$A$2:$A$60=E$1)*Rules!$C$2:$C$60*ISNUMBER(SEARCH(Rules!$D$2:$D$60,$D269)))</f>
        <v>0</v>
      </c>
      <c r="F269" s="0" t="n">
        <f aca="false">SUMPRODUCT((Rules!$A$2:$A$60=F$1)*Rules!$C$2:$C$60*ISNUMBER(SEARCH(Rules!$D$2:$D$60,$D269)))</f>
        <v>0</v>
      </c>
      <c r="G269" s="0" t="n">
        <f aca="false">SUMPRODUCT((Rules!$A$2:$A$60=G$1)*Rules!$C$2:$C$60*ISNUMBER(SEARCH(Rules!$D$2:$D$60,$D269)))</f>
        <v>0</v>
      </c>
      <c r="H269" s="0" t="n">
        <f aca="false">SUMPRODUCT((Rules!$A$2:$A$60=H$1)*Rules!$C$2:$C$60*ISNUMBER(SEARCH(Rules!$D$2:$D$60,$D269)))</f>
        <v>0</v>
      </c>
      <c r="I269" s="0" t="n">
        <f aca="false">SUMPRODUCT((Rules!$A$2:$A$60=I$1)*Rules!$C$2:$C$60*ISNUMBER(SEARCH(Rules!$D$2:$D$60,$D269)))</f>
        <v>0</v>
      </c>
      <c r="J269" s="0" t="n">
        <f aca="false">SUMPRODUCT((Rules!$A$2:$A$60=J$1)*Rules!$C$2:$C$60*ISNUMBER(SEARCH(Rules!$D$2:$D$60,$D269)))</f>
        <v>3</v>
      </c>
      <c r="K269" s="0" t="str">
        <f aca="false">IF(OR(MAX(E269:J269)&lt;Rules!$H$1,MAX(E269:J269)-LARGE(E269:J269,2)&lt;Rules!$H$2),"No label",INDEX($E$1:$J$1,MATCH(MAX(E269:J269),E269:J269,0)))</f>
        <v>Customer Service</v>
      </c>
      <c r="L269" s="0" t="n">
        <f aca="false">SUMPRODUCT((Rules!$A$2:$A$60=L$1)*Rules!$C$2:$C$60*ISNUMBER(SEARCH(Rules!$E$2:$E$60,$D269)))</f>
        <v>0</v>
      </c>
      <c r="M269" s="0" t="n">
        <f aca="false">SUMPRODUCT((Rules!$A$2:$A$60=M$1)*Rules!$C$2:$C$60*ISNUMBER(SEARCH(Rules!$E$2:$E$60,$D269)))</f>
        <v>0</v>
      </c>
      <c r="N269" s="0" t="n">
        <f aca="false">SUMPRODUCT((Rules!$A$2:$A$60=N$1)*Rules!$C$2:$C$60*ISNUMBER(SEARCH(Rules!$E$2:$E$60,$D269)))</f>
        <v>1</v>
      </c>
      <c r="O269" s="0" t="n">
        <f aca="false">SUMPRODUCT((Rules!$A$2:$A$60=O$1)*Rules!$C$2:$C$60*ISNUMBER(SEARCH(Rules!$E$2:$E$60,$D269)))</f>
        <v>0</v>
      </c>
      <c r="P269" s="0" t="n">
        <f aca="false">SUMPRODUCT((Rules!$A$2:$A$60=P$1)*Rules!$C$2:$C$60*ISNUMBER(SEARCH(Rules!$E$2:$E$60,$D269)))</f>
        <v>0</v>
      </c>
      <c r="Q269" s="0" t="n">
        <f aca="false">SUMPRODUCT((Rules!$A$2:$A$60=Q$1)*Rules!$C$2:$C$60*ISNUMBER(SEARCH(Rules!$E$2:$E$60,$D269)))</f>
        <v>3</v>
      </c>
      <c r="R269" s="0" t="str">
        <f aca="false">IF(OR(MAX(L269:Q269)&lt;Rules!$H$1,MAX(L269:Q269)-LARGE(L269:Q269,2)&lt;Rules!$H$2),"No label",INDEX($L$1:$Q$1,MATCH(MAX(L269:Q269),L269:Q269,0)))</f>
        <v>Customer Service</v>
      </c>
      <c r="S269" s="0" t="n">
        <f aca="false">SUMPRODUCT(ISNUMBER(SEARCH(" "&amp;Terms!$A$3:$A$821&amp;" ",$D269))*Terms!B$3:B$821)+Terms!B$2</f>
        <v>-1.90189419571327</v>
      </c>
      <c r="T269" s="0" t="n">
        <f aca="false">SUMPRODUCT(ISNUMBER(SEARCH(" "&amp;Terms!$A$3:$A$821&amp;" ",$D269))*Terms!C$3:C$821)+Terms!C$2</f>
        <v>7.51802088102392</v>
      </c>
      <c r="U269" s="0" t="n">
        <f aca="false">SUMPRODUCT(ISNUMBER(SEARCH(" "&amp;Terms!$A$3:$A$821&amp;" ",$D269))*Terms!D$3:D$821)+Terms!D$2</f>
        <v>-1.56732343863503</v>
      </c>
      <c r="V269" s="0" t="n">
        <f aca="false">SUMPRODUCT(ISNUMBER(SEARCH(" "&amp;Terms!$A$3:$A$821&amp;" ",$D269))*Terms!E$3:E$821)+Terms!E$2</f>
        <v>-3.64165652319009</v>
      </c>
      <c r="W269" s="0" t="n">
        <f aca="false">SUMPRODUCT(ISNUMBER(SEARCH(" "&amp;Terms!$A$3:$A$821&amp;" ",$D269))*Terms!F$3:F$821)+Terms!F$2</f>
        <v>0.25174190805366</v>
      </c>
      <c r="X269" s="0" t="n">
        <f aca="false">SUMPRODUCT(ISNUMBER(SEARCH(" "&amp;Terms!$A$3:$A$821&amp;" ",$D269))*Terms!G$3:G$821)+Terms!G$2</f>
        <v>-0.658888631539083</v>
      </c>
      <c r="Y269" s="0" t="str">
        <f aca="false">INDEX($S$1:$X$1,MATCH(MAX(S269:X269),S269:X269,0))</f>
        <v>Customer Service</v>
      </c>
      <c r="Z269" s="0" t="s">
        <v>2607</v>
      </c>
    </row>
    <row r="270" customFormat="false" ht="15" hidden="false" customHeight="false" outlineLevel="0" collapsed="false">
      <c r="A270" s="0" t="str">
        <f aca="false">Complaints!A270</f>
        <v>C0269</v>
      </c>
      <c r="B270" s="0" t="str">
        <f aca="false">Complaints!B270</f>
        <v>I have been a customer for years. I was tricked into moving savings to a safe account that was not safe. This is not acceptable.</v>
      </c>
      <c r="C270" s="0" t="str">
        <f aca="false">Complaints!C270</f>
        <v>Fraud &amp; Scams</v>
      </c>
      <c r="D270" s="0" t="str">
        <f aca="false">" "&amp;TRIM(SUBSTITUTE(SUBSTITUTE(SUBSTITUTE(SUBSTITUTE(SUBSTITUTE(SUBSTITUTE(SUBSTITUTE(SUBSTITUTE(SUBSTITUTE(SUBSTITUTE(SUBSTITUTE(SUBSTITUTE(SUBSTITUTE(SUBSTITUTE(SUBSTITUTE(SUBSTITUTE(LOWER(B270),"."," "),","," "),"'"," "),"’"," "),"!"," "),"?"," "),";"," "),":"," "),"-"," "),"("," "),")"," "),"""", " "),"£"," "),"&amp;"," "),"/"," "),"%"," "))&amp;" "</f>
        <v> i have been a customer for years i was tricked into moving savings to a safe account that was not safe this is not acceptable </v>
      </c>
      <c r="E270" s="0" t="n">
        <f aca="false">SUMPRODUCT((Rules!$A$2:$A$60=E$1)*Rules!$C$2:$C$60*ISNUMBER(SEARCH(Rules!$D$2:$D$60,$D270)))</f>
        <v>2</v>
      </c>
      <c r="F270" s="0" t="n">
        <f aca="false">SUMPRODUCT((Rules!$A$2:$A$60=F$1)*Rules!$C$2:$C$60*ISNUMBER(SEARCH(Rules!$D$2:$D$60,$D270)))</f>
        <v>0</v>
      </c>
      <c r="G270" s="0" t="n">
        <f aca="false">SUMPRODUCT((Rules!$A$2:$A$60=G$1)*Rules!$C$2:$C$60*ISNUMBER(SEARCH(Rules!$D$2:$D$60,$D270)))</f>
        <v>0</v>
      </c>
      <c r="H270" s="0" t="n">
        <f aca="false">SUMPRODUCT((Rules!$A$2:$A$60=H$1)*Rules!$C$2:$C$60*ISNUMBER(SEARCH(Rules!$D$2:$D$60,$D270)))</f>
        <v>0</v>
      </c>
      <c r="I270" s="0" t="n">
        <f aca="false">SUMPRODUCT((Rules!$A$2:$A$60=I$1)*Rules!$C$2:$C$60*ISNUMBER(SEARCH(Rules!$D$2:$D$60,$D270)))</f>
        <v>0</v>
      </c>
      <c r="J270" s="0" t="n">
        <f aca="false">SUMPRODUCT((Rules!$A$2:$A$60=J$1)*Rules!$C$2:$C$60*ISNUMBER(SEARCH(Rules!$D$2:$D$60,$D270)))</f>
        <v>0</v>
      </c>
      <c r="K270" s="0" t="str">
        <f aca="false">IF(OR(MAX(E270:J270)&lt;Rules!$H$1,MAX(E270:J270)-LARGE(E270:J270,2)&lt;Rules!$H$2),"No label",INDEX($E$1:$J$1,MATCH(MAX(E270:J270),E270:J270,0)))</f>
        <v>No label</v>
      </c>
      <c r="L270" s="0" t="n">
        <f aca="false">SUMPRODUCT((Rules!$A$2:$A$60=L$1)*Rules!$C$2:$C$60*ISNUMBER(SEARCH(Rules!$E$2:$E$60,$D270)))</f>
        <v>2</v>
      </c>
      <c r="M270" s="0" t="n">
        <f aca="false">SUMPRODUCT((Rules!$A$2:$A$60=M$1)*Rules!$C$2:$C$60*ISNUMBER(SEARCH(Rules!$E$2:$E$60,$D270)))</f>
        <v>0</v>
      </c>
      <c r="N270" s="0" t="n">
        <f aca="false">SUMPRODUCT((Rules!$A$2:$A$60=N$1)*Rules!$C$2:$C$60*ISNUMBER(SEARCH(Rules!$E$2:$E$60,$D270)))</f>
        <v>1</v>
      </c>
      <c r="O270" s="0" t="n">
        <f aca="false">SUMPRODUCT((Rules!$A$2:$A$60=O$1)*Rules!$C$2:$C$60*ISNUMBER(SEARCH(Rules!$E$2:$E$60,$D270)))</f>
        <v>0</v>
      </c>
      <c r="P270" s="0" t="n">
        <f aca="false">SUMPRODUCT((Rules!$A$2:$A$60=P$1)*Rules!$C$2:$C$60*ISNUMBER(SEARCH(Rules!$E$2:$E$60,$D270)))</f>
        <v>0</v>
      </c>
      <c r="Q270" s="0" t="n">
        <f aca="false">SUMPRODUCT((Rules!$A$2:$A$60=Q$1)*Rules!$C$2:$C$60*ISNUMBER(SEARCH(Rules!$E$2:$E$60,$D270)))</f>
        <v>0</v>
      </c>
      <c r="R270" s="0" t="str">
        <f aca="false">IF(OR(MAX(L270:Q270)&lt;Rules!$H$1,MAX(L270:Q270)-LARGE(L270:Q270,2)&lt;Rules!$H$2),"No label",INDEX($L$1:$Q$1,MATCH(MAX(L270:Q270),L270:Q270,0)))</f>
        <v>No label</v>
      </c>
      <c r="S270" s="0" t="n">
        <f aca="false">SUMPRODUCT(ISNUMBER(SEARCH(" "&amp;Terms!$A$3:$A$821&amp;" ",$D270))*Terms!B$3:B$821)+Terms!B$2</f>
        <v>0.295097705175781</v>
      </c>
      <c r="T270" s="0" t="n">
        <f aca="false">SUMPRODUCT(ISNUMBER(SEARCH(" "&amp;Terms!$A$3:$A$821&amp;" ",$D270))*Terms!C$3:C$821)+Terms!C$2</f>
        <v>-5.89803181595106</v>
      </c>
      <c r="U270" s="0" t="n">
        <f aca="false">SUMPRODUCT(ISNUMBER(SEARCH(" "&amp;Terms!$A$3:$A$821&amp;" ",$D270))*Terms!D$3:D$821)+Terms!D$2</f>
        <v>3.68902821068868</v>
      </c>
      <c r="V270" s="0" t="n">
        <f aca="false">SUMPRODUCT(ISNUMBER(SEARCH(" "&amp;Terms!$A$3:$A$821&amp;" ",$D270))*Terms!E$3:E$821)+Terms!E$2</f>
        <v>-2.5822257613722</v>
      </c>
      <c r="W270" s="0" t="n">
        <f aca="false">SUMPRODUCT(ISNUMBER(SEARCH(" "&amp;Terms!$A$3:$A$821&amp;" ",$D270))*Terms!F$3:F$821)+Terms!F$2</f>
        <v>9.03149952418262</v>
      </c>
      <c r="X270" s="0" t="n">
        <f aca="false">SUMPRODUCT(ISNUMBER(SEARCH(" "&amp;Terms!$A$3:$A$821&amp;" ",$D270))*Terms!G$3:G$821)+Terms!G$2</f>
        <v>-4.53536786272374</v>
      </c>
      <c r="Y270" s="0" t="str">
        <f aca="false">INDEX($S$1:$X$1,MATCH(MAX(S270:X270),S270:X270,0))</f>
        <v>Fraud &amp; Scams</v>
      </c>
      <c r="Z270" s="0" t="s">
        <v>2607</v>
      </c>
    </row>
    <row r="271" customFormat="false" ht="15" hidden="false" customHeight="false" outlineLevel="0" collapsed="false">
      <c r="A271" s="0" t="str">
        <f aca="false">Complaints!A271</f>
        <v>C0270</v>
      </c>
      <c r="B271" s="0" t="str">
        <f aca="false">Complaints!B271</f>
        <v>Frankly, Two factor codes are not being sent to my phone.</v>
      </c>
      <c r="C271" s="0" t="str">
        <f aca="false">Complaints!C271</f>
        <v>Account Access</v>
      </c>
      <c r="D271" s="0" t="str">
        <f aca="false">" "&amp;TRIM(SUBSTITUTE(SUBSTITUTE(SUBSTITUTE(SUBSTITUTE(SUBSTITUTE(SUBSTITUTE(SUBSTITUTE(SUBSTITUTE(SUBSTITUTE(SUBSTITUTE(SUBSTITUTE(SUBSTITUTE(SUBSTITUTE(SUBSTITUTE(SUBSTITUTE(SUBSTITUTE(LOWER(B271),"."," "),","," "),"'"," "),"’"," "),"!"," "),"?"," "),";"," "),":"," "),"-"," "),"("," "),")"," "),"""", " "),"£"," "),"&amp;"," "),"/"," "),"%"," "))&amp;" "</f>
        <v> frankly two factor codes are not being sent to my phone </v>
      </c>
      <c r="E271" s="0" t="n">
        <f aca="false">SUMPRODUCT((Rules!$A$2:$A$60=E$1)*Rules!$C$2:$C$60*ISNUMBER(SEARCH(Rules!$D$2:$D$60,$D271)))</f>
        <v>0</v>
      </c>
      <c r="F271" s="0" t="n">
        <f aca="false">SUMPRODUCT((Rules!$A$2:$A$60=F$1)*Rules!$C$2:$C$60*ISNUMBER(SEARCH(Rules!$D$2:$D$60,$D271)))</f>
        <v>0</v>
      </c>
      <c r="G271" s="0" t="n">
        <f aca="false">SUMPRODUCT((Rules!$A$2:$A$60=G$1)*Rules!$C$2:$C$60*ISNUMBER(SEARCH(Rules!$D$2:$D$60,$D271)))</f>
        <v>3</v>
      </c>
      <c r="H271" s="0" t="n">
        <f aca="false">SUMPRODUCT((Rules!$A$2:$A$60=H$1)*Rules!$C$2:$C$60*ISNUMBER(SEARCH(Rules!$D$2:$D$60,$D271)))</f>
        <v>0</v>
      </c>
      <c r="I271" s="0" t="n">
        <f aca="false">SUMPRODUCT((Rules!$A$2:$A$60=I$1)*Rules!$C$2:$C$60*ISNUMBER(SEARCH(Rules!$D$2:$D$60,$D271)))</f>
        <v>0</v>
      </c>
      <c r="J271" s="0" t="n">
        <f aca="false">SUMPRODUCT((Rules!$A$2:$A$60=J$1)*Rules!$C$2:$C$60*ISNUMBER(SEARCH(Rules!$D$2:$D$60,$D271)))</f>
        <v>0</v>
      </c>
      <c r="K271" s="0" t="str">
        <f aca="false">IF(OR(MAX(E271:J271)&lt;Rules!$H$1,MAX(E271:J271)-LARGE(E271:J271,2)&lt;Rules!$H$2),"No label",INDEX($E$1:$J$1,MATCH(MAX(E271:J271),E271:J271,0)))</f>
        <v>Account Access</v>
      </c>
      <c r="L271" s="0" t="n">
        <f aca="false">SUMPRODUCT((Rules!$A$2:$A$60=L$1)*Rules!$C$2:$C$60*ISNUMBER(SEARCH(Rules!$E$2:$E$60,$D271)))</f>
        <v>0</v>
      </c>
      <c r="M271" s="0" t="n">
        <f aca="false">SUMPRODUCT((Rules!$A$2:$A$60=M$1)*Rules!$C$2:$C$60*ISNUMBER(SEARCH(Rules!$E$2:$E$60,$D271)))</f>
        <v>0</v>
      </c>
      <c r="N271" s="0" t="n">
        <f aca="false">SUMPRODUCT((Rules!$A$2:$A$60=N$1)*Rules!$C$2:$C$60*ISNUMBER(SEARCH(Rules!$E$2:$E$60,$D271)))</f>
        <v>3</v>
      </c>
      <c r="O271" s="0" t="n">
        <f aca="false">SUMPRODUCT((Rules!$A$2:$A$60=O$1)*Rules!$C$2:$C$60*ISNUMBER(SEARCH(Rules!$E$2:$E$60,$D271)))</f>
        <v>0</v>
      </c>
      <c r="P271" s="0" t="n">
        <f aca="false">SUMPRODUCT((Rules!$A$2:$A$60=P$1)*Rules!$C$2:$C$60*ISNUMBER(SEARCH(Rules!$E$2:$E$60,$D271)))</f>
        <v>0</v>
      </c>
      <c r="Q271" s="0" t="n">
        <f aca="false">SUMPRODUCT((Rules!$A$2:$A$60=Q$1)*Rules!$C$2:$C$60*ISNUMBER(SEARCH(Rules!$E$2:$E$60,$D271)))</f>
        <v>0</v>
      </c>
      <c r="R271" s="0" t="str">
        <f aca="false">IF(OR(MAX(L271:Q271)&lt;Rules!$H$1,MAX(L271:Q271)-LARGE(L271:Q271,2)&lt;Rules!$H$2),"No label",INDEX($L$1:$Q$1,MATCH(MAX(L271:Q271),L271:Q271,0)))</f>
        <v>Account Access</v>
      </c>
      <c r="S271" s="0" t="n">
        <f aca="false">SUMPRODUCT(ISNUMBER(SEARCH(" "&amp;Terms!$A$3:$A$821&amp;" ",$D271))*Terms!B$3:B$821)+Terms!B$2</f>
        <v>8.60132985080038</v>
      </c>
      <c r="T271" s="0" t="n">
        <f aca="false">SUMPRODUCT(ISNUMBER(SEARCH(" "&amp;Terms!$A$3:$A$821&amp;" ",$D271))*Terms!C$3:C$821)+Terms!C$2</f>
        <v>-3.29070608368614</v>
      </c>
      <c r="U271" s="0" t="n">
        <f aca="false">SUMPRODUCT(ISNUMBER(SEARCH(" "&amp;Terms!$A$3:$A$821&amp;" ",$D271))*Terms!D$3:D$821)+Terms!D$2</f>
        <v>2.25965485675156</v>
      </c>
      <c r="V271" s="0" t="n">
        <f aca="false">SUMPRODUCT(ISNUMBER(SEARCH(" "&amp;Terms!$A$3:$A$821&amp;" ",$D271))*Terms!E$3:E$821)+Terms!E$2</f>
        <v>-1.23784815175655</v>
      </c>
      <c r="W271" s="0" t="n">
        <f aca="false">SUMPRODUCT(ISNUMBER(SEARCH(" "&amp;Terms!$A$3:$A$821&amp;" ",$D271))*Terms!F$3:F$821)+Terms!F$2</f>
        <v>-4.13473064666416</v>
      </c>
      <c r="X271" s="0" t="n">
        <f aca="false">SUMPRODUCT(ISNUMBER(SEARCH(" "&amp;Terms!$A$3:$A$821&amp;" ",$D271))*Terms!G$3:G$821)+Terms!G$2</f>
        <v>-2.19769982544501</v>
      </c>
      <c r="Y271" s="0" t="str">
        <f aca="false">INDEX($S$1:$X$1,MATCH(MAX(S271:X271),S271:X271,0))</f>
        <v>Account Access</v>
      </c>
      <c r="Z271" s="0" t="s">
        <v>2608</v>
      </c>
    </row>
    <row r="272" customFormat="false" ht="15" hidden="false" customHeight="false" outlineLevel="0" collapsed="false">
      <c r="A272" s="0" t="str">
        <f aca="false">Complaints!A272</f>
        <v>C0271</v>
      </c>
      <c r="B272" s="0" t="str">
        <f aca="false">Complaints!B272</f>
        <v>To whom it may concern, My identity was stolen and a loan was taken out in my name. Also, my transfer has been pending for over a week. I want this put right.</v>
      </c>
      <c r="C272" s="0" t="str">
        <f aca="false">Complaints!C272</f>
        <v>Fraud &amp; Scams</v>
      </c>
      <c r="D272" s="0" t="str">
        <f aca="false">" "&amp;TRIM(SUBSTITUTE(SUBSTITUTE(SUBSTITUTE(SUBSTITUTE(SUBSTITUTE(SUBSTITUTE(SUBSTITUTE(SUBSTITUTE(SUBSTITUTE(SUBSTITUTE(SUBSTITUTE(SUBSTITUTE(SUBSTITUTE(SUBSTITUTE(SUBSTITUTE(SUBSTITUTE(LOWER(B272),"."," "),","," "),"'"," "),"’"," "),"!"," "),"?"," "),";"," "),":"," "),"-"," "),"("," "),")"," "),"""", " "),"£"," "),"&amp;"," "),"/"," "),"%"," "))&amp;" "</f>
        <v> to whom it may concern my identity was stolen and a loan was taken out in my name also my transfer has been pending for over a week i want this put right </v>
      </c>
      <c r="E272" s="0" t="n">
        <f aca="false">SUMPRODUCT((Rules!$A$2:$A$60=E$1)*Rules!$C$2:$C$60*ISNUMBER(SEARCH(Rules!$D$2:$D$60,$D272)))</f>
        <v>2</v>
      </c>
      <c r="F272" s="0" t="n">
        <f aca="false">SUMPRODUCT((Rules!$A$2:$A$60=F$1)*Rules!$C$2:$C$60*ISNUMBER(SEARCH(Rules!$D$2:$D$60,$D272)))</f>
        <v>0</v>
      </c>
      <c r="G272" s="0" t="n">
        <f aca="false">SUMPRODUCT((Rules!$A$2:$A$60=G$1)*Rules!$C$2:$C$60*ISNUMBER(SEARCH(Rules!$D$2:$D$60,$D272)))</f>
        <v>0</v>
      </c>
      <c r="H272" s="0" t="n">
        <f aca="false">SUMPRODUCT((Rules!$A$2:$A$60=H$1)*Rules!$C$2:$C$60*ISNUMBER(SEARCH(Rules!$D$2:$D$60,$D272)))</f>
        <v>0</v>
      </c>
      <c r="I272" s="0" t="n">
        <f aca="false">SUMPRODUCT((Rules!$A$2:$A$60=I$1)*Rules!$C$2:$C$60*ISNUMBER(SEARCH(Rules!$D$2:$D$60,$D272)))</f>
        <v>2</v>
      </c>
      <c r="J272" s="0" t="n">
        <f aca="false">SUMPRODUCT((Rules!$A$2:$A$60=J$1)*Rules!$C$2:$C$60*ISNUMBER(SEARCH(Rules!$D$2:$D$60,$D272)))</f>
        <v>0</v>
      </c>
      <c r="K272" s="0" t="str">
        <f aca="false">IF(OR(MAX(E272:J272)&lt;Rules!$H$1,MAX(E272:J272)-LARGE(E272:J272,2)&lt;Rules!$H$2),"No label",INDEX($E$1:$J$1,MATCH(MAX(E272:J272),E272:J272,0)))</f>
        <v>No label</v>
      </c>
      <c r="L272" s="0" t="n">
        <f aca="false">SUMPRODUCT((Rules!$A$2:$A$60=L$1)*Rules!$C$2:$C$60*ISNUMBER(SEARCH(Rules!$E$2:$E$60,$D272)))</f>
        <v>2</v>
      </c>
      <c r="M272" s="0" t="n">
        <f aca="false">SUMPRODUCT((Rules!$A$2:$A$60=M$1)*Rules!$C$2:$C$60*ISNUMBER(SEARCH(Rules!$E$2:$E$60,$D272)))</f>
        <v>0</v>
      </c>
      <c r="N272" s="0" t="n">
        <f aca="false">SUMPRODUCT((Rules!$A$2:$A$60=N$1)*Rules!$C$2:$C$60*ISNUMBER(SEARCH(Rules!$E$2:$E$60,$D272)))</f>
        <v>0</v>
      </c>
      <c r="O272" s="0" t="n">
        <f aca="false">SUMPRODUCT((Rules!$A$2:$A$60=O$1)*Rules!$C$2:$C$60*ISNUMBER(SEARCH(Rules!$E$2:$E$60,$D272)))</f>
        <v>0</v>
      </c>
      <c r="P272" s="0" t="n">
        <f aca="false">SUMPRODUCT((Rules!$A$2:$A$60=P$1)*Rules!$C$2:$C$60*ISNUMBER(SEARCH(Rules!$E$2:$E$60,$D272)))</f>
        <v>2</v>
      </c>
      <c r="Q272" s="0" t="n">
        <f aca="false">SUMPRODUCT((Rules!$A$2:$A$60=Q$1)*Rules!$C$2:$C$60*ISNUMBER(SEARCH(Rules!$E$2:$E$60,$D272)))</f>
        <v>0</v>
      </c>
      <c r="R272" s="0" t="str">
        <f aca="false">IF(OR(MAX(L272:Q272)&lt;Rules!$H$1,MAX(L272:Q272)-LARGE(L272:Q272,2)&lt;Rules!$H$2),"No label",INDEX($L$1:$Q$1,MATCH(MAX(L272:Q272),L272:Q272,0)))</f>
        <v>No label</v>
      </c>
      <c r="S272" s="0" t="n">
        <f aca="false">SUMPRODUCT(ISNUMBER(SEARCH(" "&amp;Terms!$A$3:$A$821&amp;" ",$D272))*Terms!B$3:B$821)+Terms!B$2</f>
        <v>-4.0975925599573</v>
      </c>
      <c r="T272" s="0" t="n">
        <f aca="false">SUMPRODUCT(ISNUMBER(SEARCH(" "&amp;Terms!$A$3:$A$821&amp;" ",$D272))*Terms!C$3:C$821)+Terms!C$2</f>
        <v>-3.23571097148156</v>
      </c>
      <c r="U272" s="0" t="n">
        <f aca="false">SUMPRODUCT(ISNUMBER(SEARCH(" "&amp;Terms!$A$3:$A$821&amp;" ",$D272))*Terms!D$3:D$821)+Terms!D$2</f>
        <v>3.17046686202917</v>
      </c>
      <c r="V272" s="0" t="n">
        <f aca="false">SUMPRODUCT(ISNUMBER(SEARCH(" "&amp;Terms!$A$3:$A$821&amp;" ",$D272))*Terms!E$3:E$821)+Terms!E$2</f>
        <v>-0.523536792122086</v>
      </c>
      <c r="W272" s="0" t="n">
        <f aca="false">SUMPRODUCT(ISNUMBER(SEARCH(" "&amp;Terms!$A$3:$A$821&amp;" ",$D272))*Terms!F$3:F$821)+Terms!F$2</f>
        <v>8.58781249526841</v>
      </c>
      <c r="X272" s="0" t="n">
        <f aca="false">SUMPRODUCT(ISNUMBER(SEARCH(" "&amp;Terms!$A$3:$A$821&amp;" ",$D272))*Terms!G$3:G$821)+Terms!G$2</f>
        <v>-3.90143903373654</v>
      </c>
      <c r="Y272" s="0" t="str">
        <f aca="false">INDEX($S$1:$X$1,MATCH(MAX(S272:X272),S272:X272,0))</f>
        <v>Fraud &amp; Scams</v>
      </c>
      <c r="Z272" s="0" t="s">
        <v>2608</v>
      </c>
    </row>
    <row r="273" customFormat="false" ht="15" hidden="false" customHeight="false" outlineLevel="0" collapsed="false">
      <c r="A273" s="0" t="str">
        <f aca="false">Complaints!A273</f>
        <v>C0272</v>
      </c>
      <c r="B273" s="0" t="str">
        <f aca="false">Complaints!B273</f>
        <v>I have been a customer for years. There are transactions on my card I do not recognise. Also, the app crashes every time I try to open my statements.</v>
      </c>
      <c r="C273" s="0" t="str">
        <f aca="false">Complaints!C273</f>
        <v>Fraud &amp; Scams</v>
      </c>
      <c r="D273" s="0" t="str">
        <f aca="false">" "&amp;TRIM(SUBSTITUTE(SUBSTITUTE(SUBSTITUTE(SUBSTITUTE(SUBSTITUTE(SUBSTITUTE(SUBSTITUTE(SUBSTITUTE(SUBSTITUTE(SUBSTITUTE(SUBSTITUTE(SUBSTITUTE(SUBSTITUTE(SUBSTITUTE(SUBSTITUTE(SUBSTITUTE(LOWER(B273),"."," "),","," "),"'"," "),"’"," "),"!"," "),"?"," "),";"," "),":"," "),"-"," "),"("," "),")"," "),"""", " "),"£"," "),"&amp;"," "),"/"," "),"%"," "))&amp;" "</f>
        <v> i have been a customer for years there are transactions on my card i do not recognise also the app crashes every time i try to open my statements </v>
      </c>
      <c r="E273" s="0" t="n">
        <f aca="false">SUMPRODUCT((Rules!$A$2:$A$60=E$1)*Rules!$C$2:$C$60*ISNUMBER(SEARCH(Rules!$D$2:$D$60,$D273)))</f>
        <v>2</v>
      </c>
      <c r="F273" s="0" t="n">
        <f aca="false">SUMPRODUCT((Rules!$A$2:$A$60=F$1)*Rules!$C$2:$C$60*ISNUMBER(SEARCH(Rules!$D$2:$D$60,$D273)))</f>
        <v>0</v>
      </c>
      <c r="G273" s="0" t="n">
        <f aca="false">SUMPRODUCT((Rules!$A$2:$A$60=G$1)*Rules!$C$2:$C$60*ISNUMBER(SEARCH(Rules!$D$2:$D$60,$D273)))</f>
        <v>3</v>
      </c>
      <c r="H273" s="0" t="n">
        <f aca="false">SUMPRODUCT((Rules!$A$2:$A$60=H$1)*Rules!$C$2:$C$60*ISNUMBER(SEARCH(Rules!$D$2:$D$60,$D273)))</f>
        <v>0</v>
      </c>
      <c r="I273" s="0" t="n">
        <f aca="false">SUMPRODUCT((Rules!$A$2:$A$60=I$1)*Rules!$C$2:$C$60*ISNUMBER(SEARCH(Rules!$D$2:$D$60,$D273)))</f>
        <v>0</v>
      </c>
      <c r="J273" s="0" t="n">
        <f aca="false">SUMPRODUCT((Rules!$A$2:$A$60=J$1)*Rules!$C$2:$C$60*ISNUMBER(SEARCH(Rules!$D$2:$D$60,$D273)))</f>
        <v>0</v>
      </c>
      <c r="K273" s="0" t="str">
        <f aca="false">IF(OR(MAX(E273:J273)&lt;Rules!$H$1,MAX(E273:J273)-LARGE(E273:J273,2)&lt;Rules!$H$2),"No label",INDEX($E$1:$J$1,MATCH(MAX(E273:J273),E273:J273,0)))</f>
        <v>No label</v>
      </c>
      <c r="L273" s="0" t="n">
        <f aca="false">SUMPRODUCT((Rules!$A$2:$A$60=L$1)*Rules!$C$2:$C$60*ISNUMBER(SEARCH(Rules!$E$2:$E$60,$D273)))</f>
        <v>2</v>
      </c>
      <c r="M273" s="0" t="n">
        <f aca="false">SUMPRODUCT((Rules!$A$2:$A$60=M$1)*Rules!$C$2:$C$60*ISNUMBER(SEARCH(Rules!$E$2:$E$60,$D273)))</f>
        <v>0</v>
      </c>
      <c r="N273" s="0" t="n">
        <f aca="false">SUMPRODUCT((Rules!$A$2:$A$60=N$1)*Rules!$C$2:$C$60*ISNUMBER(SEARCH(Rules!$E$2:$E$60,$D273)))</f>
        <v>3</v>
      </c>
      <c r="O273" s="0" t="n">
        <f aca="false">SUMPRODUCT((Rules!$A$2:$A$60=O$1)*Rules!$C$2:$C$60*ISNUMBER(SEARCH(Rules!$E$2:$E$60,$D273)))</f>
        <v>1</v>
      </c>
      <c r="P273" s="0" t="n">
        <f aca="false">SUMPRODUCT((Rules!$A$2:$A$60=P$1)*Rules!$C$2:$C$60*ISNUMBER(SEARCH(Rules!$E$2:$E$60,$D273)))</f>
        <v>0</v>
      </c>
      <c r="Q273" s="0" t="n">
        <f aca="false">SUMPRODUCT((Rules!$A$2:$A$60=Q$1)*Rules!$C$2:$C$60*ISNUMBER(SEARCH(Rules!$E$2:$E$60,$D273)))</f>
        <v>0</v>
      </c>
      <c r="R273" s="0" t="str">
        <f aca="false">IF(OR(MAX(L273:Q273)&lt;Rules!$H$1,MAX(L273:Q273)-LARGE(L273:Q273,2)&lt;Rules!$H$2),"No label",INDEX($L$1:$Q$1,MATCH(MAX(L273:Q273),L273:Q273,0)))</f>
        <v>No label</v>
      </c>
      <c r="S273" s="0" t="n">
        <f aca="false">SUMPRODUCT(ISNUMBER(SEARCH(" "&amp;Terms!$A$3:$A$821&amp;" ",$D273))*Terms!B$3:B$821)+Terms!B$2</f>
        <v>9.93886299645829</v>
      </c>
      <c r="T273" s="0" t="n">
        <f aca="false">SUMPRODUCT(ISNUMBER(SEARCH(" "&amp;Terms!$A$3:$A$821&amp;" ",$D273))*Terms!C$3:C$821)+Terms!C$2</f>
        <v>-0.0579982520467469</v>
      </c>
      <c r="U273" s="0" t="n">
        <f aca="false">SUMPRODUCT(ISNUMBER(SEARCH(" "&amp;Terms!$A$3:$A$821&amp;" ",$D273))*Terms!D$3:D$821)+Terms!D$2</f>
        <v>-3.37137533623362</v>
      </c>
      <c r="V273" s="0" t="n">
        <f aca="false">SUMPRODUCT(ISNUMBER(SEARCH(" "&amp;Terms!$A$3:$A$821&amp;" ",$D273))*Terms!E$3:E$821)+Terms!E$2</f>
        <v>-3.60093489637416</v>
      </c>
      <c r="W273" s="0" t="n">
        <f aca="false">SUMPRODUCT(ISNUMBER(SEARCH(" "&amp;Terms!$A$3:$A$821&amp;" ",$D273))*Terms!F$3:F$821)+Terms!F$2</f>
        <v>2.12716659436406</v>
      </c>
      <c r="X273" s="0" t="n">
        <f aca="false">SUMPRODUCT(ISNUMBER(SEARCH(" "&amp;Terms!$A$3:$A$821&amp;" ",$D273))*Terms!G$3:G$821)+Terms!G$2</f>
        <v>-5.03572110616772</v>
      </c>
      <c r="Y273" s="0" t="str">
        <f aca="false">INDEX($S$1:$X$1,MATCH(MAX(S273:X273),S273:X273,0))</f>
        <v>Account Access</v>
      </c>
      <c r="Z273" s="0" t="s">
        <v>2608</v>
      </c>
    </row>
    <row r="274" customFormat="false" ht="15" hidden="false" customHeight="false" outlineLevel="0" collapsed="false">
      <c r="A274" s="0" t="str">
        <f aca="false">Complaints!A274</f>
        <v>C0273</v>
      </c>
      <c r="B274" s="0" t="str">
        <f aca="false">Complaints!B274</f>
        <v>I am writing to complain. I feel I was treated badly because of my age. Please sort this out.</v>
      </c>
      <c r="C274" s="0" t="str">
        <f aca="false">Complaints!C274</f>
        <v>Customer Service</v>
      </c>
      <c r="D274" s="0" t="str">
        <f aca="false">" "&amp;TRIM(SUBSTITUTE(SUBSTITUTE(SUBSTITUTE(SUBSTITUTE(SUBSTITUTE(SUBSTITUTE(SUBSTITUTE(SUBSTITUTE(SUBSTITUTE(SUBSTITUTE(SUBSTITUTE(SUBSTITUTE(SUBSTITUTE(SUBSTITUTE(SUBSTITUTE(SUBSTITUTE(LOWER(B274),"."," "),","," "),"'"," "),"’"," "),"!"," "),"?"," "),";"," "),":"," "),"-"," "),"("," "),")"," "),"""", " "),"£"," "),"&amp;"," "),"/"," "),"%"," "))&amp;" "</f>
        <v> i am writing to complain i feel i was treated badly because of my age please sort this out </v>
      </c>
      <c r="E274" s="0" t="n">
        <f aca="false">SUMPRODUCT((Rules!$A$2:$A$60=E$1)*Rules!$C$2:$C$60*ISNUMBER(SEARCH(Rules!$D$2:$D$60,$D274)))</f>
        <v>0</v>
      </c>
      <c r="F274" s="0" t="n">
        <f aca="false">SUMPRODUCT((Rules!$A$2:$A$60=F$1)*Rules!$C$2:$C$60*ISNUMBER(SEARCH(Rules!$D$2:$D$60,$D274)))</f>
        <v>0</v>
      </c>
      <c r="G274" s="0" t="n">
        <f aca="false">SUMPRODUCT((Rules!$A$2:$A$60=G$1)*Rules!$C$2:$C$60*ISNUMBER(SEARCH(Rules!$D$2:$D$60,$D274)))</f>
        <v>0</v>
      </c>
      <c r="H274" s="0" t="n">
        <f aca="false">SUMPRODUCT((Rules!$A$2:$A$60=H$1)*Rules!$C$2:$C$60*ISNUMBER(SEARCH(Rules!$D$2:$D$60,$D274)))</f>
        <v>0</v>
      </c>
      <c r="I274" s="0" t="n">
        <f aca="false">SUMPRODUCT((Rules!$A$2:$A$60=I$1)*Rules!$C$2:$C$60*ISNUMBER(SEARCH(Rules!$D$2:$D$60,$D274)))</f>
        <v>0</v>
      </c>
      <c r="J274" s="0" t="n">
        <f aca="false">SUMPRODUCT((Rules!$A$2:$A$60=J$1)*Rules!$C$2:$C$60*ISNUMBER(SEARCH(Rules!$D$2:$D$60,$D274)))</f>
        <v>3</v>
      </c>
      <c r="K274" s="0" t="str">
        <f aca="false">IF(OR(MAX(E274:J274)&lt;Rules!$H$1,MAX(E274:J274)-LARGE(E274:J274,2)&lt;Rules!$H$2),"No label",INDEX($E$1:$J$1,MATCH(MAX(E274:J274),E274:J274,0)))</f>
        <v>Customer Service</v>
      </c>
      <c r="L274" s="0" t="n">
        <f aca="false">SUMPRODUCT((Rules!$A$2:$A$60=L$1)*Rules!$C$2:$C$60*ISNUMBER(SEARCH(Rules!$E$2:$E$60,$D274)))</f>
        <v>0</v>
      </c>
      <c r="M274" s="0" t="n">
        <f aca="false">SUMPRODUCT((Rules!$A$2:$A$60=M$1)*Rules!$C$2:$C$60*ISNUMBER(SEARCH(Rules!$E$2:$E$60,$D274)))</f>
        <v>0</v>
      </c>
      <c r="N274" s="0" t="n">
        <f aca="false">SUMPRODUCT((Rules!$A$2:$A$60=N$1)*Rules!$C$2:$C$60*ISNUMBER(SEARCH(Rules!$E$2:$E$60,$D274)))</f>
        <v>0</v>
      </c>
      <c r="O274" s="0" t="n">
        <f aca="false">SUMPRODUCT((Rules!$A$2:$A$60=O$1)*Rules!$C$2:$C$60*ISNUMBER(SEARCH(Rules!$E$2:$E$60,$D274)))</f>
        <v>0</v>
      </c>
      <c r="P274" s="0" t="n">
        <f aca="false">SUMPRODUCT((Rules!$A$2:$A$60=P$1)*Rules!$C$2:$C$60*ISNUMBER(SEARCH(Rules!$E$2:$E$60,$D274)))</f>
        <v>0</v>
      </c>
      <c r="Q274" s="0" t="n">
        <f aca="false">SUMPRODUCT((Rules!$A$2:$A$60=Q$1)*Rules!$C$2:$C$60*ISNUMBER(SEARCH(Rules!$E$2:$E$60,$D274)))</f>
        <v>3</v>
      </c>
      <c r="R274" s="0" t="str">
        <f aca="false">IF(OR(MAX(L274:Q274)&lt;Rules!$H$1,MAX(L274:Q274)-LARGE(L274:Q274,2)&lt;Rules!$H$2),"No label",INDEX($L$1:$Q$1,MATCH(MAX(L274:Q274),L274:Q274,0)))</f>
        <v>Customer Service</v>
      </c>
      <c r="S274" s="0" t="n">
        <f aca="false">SUMPRODUCT(ISNUMBER(SEARCH(" "&amp;Terms!$A$3:$A$821&amp;" ",$D274))*Terms!B$3:B$821)+Terms!B$2</f>
        <v>-2.31437787443136</v>
      </c>
      <c r="T274" s="0" t="n">
        <f aca="false">SUMPRODUCT(ISNUMBER(SEARCH(" "&amp;Terms!$A$3:$A$821&amp;" ",$D274))*Terms!C$3:C$821)+Terms!C$2</f>
        <v>10.3168490353343</v>
      </c>
      <c r="U274" s="0" t="n">
        <f aca="false">SUMPRODUCT(ISNUMBER(SEARCH(" "&amp;Terms!$A$3:$A$821&amp;" ",$D274))*Terms!D$3:D$821)+Terms!D$2</f>
        <v>-1.41505958282748</v>
      </c>
      <c r="V274" s="0" t="n">
        <f aca="false">SUMPRODUCT(ISNUMBER(SEARCH(" "&amp;Terms!$A$3:$A$821&amp;" ",$D274))*Terms!E$3:E$821)+Terms!E$2</f>
        <v>-2.99393859296423</v>
      </c>
      <c r="W274" s="0" t="n">
        <f aca="false">SUMPRODUCT(ISNUMBER(SEARCH(" "&amp;Terms!$A$3:$A$821&amp;" ",$D274))*Terms!F$3:F$821)+Terms!F$2</f>
        <v>-2.39235537304067</v>
      </c>
      <c r="X274" s="0" t="n">
        <f aca="false">SUMPRODUCT(ISNUMBER(SEARCH(" "&amp;Terms!$A$3:$A$821&amp;" ",$D274))*Terms!G$3:G$821)+Terms!G$2</f>
        <v>-1.20111761207041</v>
      </c>
      <c r="Y274" s="0" t="str">
        <f aca="false">INDEX($S$1:$X$1,MATCH(MAX(S274:X274),S274:X274,0))</f>
        <v>Customer Service</v>
      </c>
      <c r="Z274" s="0" t="s">
        <v>2608</v>
      </c>
    </row>
    <row r="275" customFormat="false" ht="15" hidden="false" customHeight="false" outlineLevel="0" collapsed="false">
      <c r="A275" s="0" t="str">
        <f aca="false">Complaints!A275</f>
        <v>C0274</v>
      </c>
      <c r="B275" s="0" t="str">
        <f aca="false">Complaints!B275</f>
        <v>I am unable to access my account to see my balance. I do not think it was explained properly when I bought it.</v>
      </c>
      <c r="C275" s="0" t="str">
        <f aca="false">Complaints!C275</f>
        <v>Account Access</v>
      </c>
      <c r="D275" s="0" t="str">
        <f aca="false">" "&amp;TRIM(SUBSTITUTE(SUBSTITUTE(SUBSTITUTE(SUBSTITUTE(SUBSTITUTE(SUBSTITUTE(SUBSTITUTE(SUBSTITUTE(SUBSTITUTE(SUBSTITUTE(SUBSTITUTE(SUBSTITUTE(SUBSTITUTE(SUBSTITUTE(SUBSTITUTE(SUBSTITUTE(LOWER(B275),"."," "),","," "),"'"," "),"’"," "),"!"," "),"?"," "),";"," "),":"," "),"-"," "),"("," "),")"," "),"""", " "),"£"," "),"&amp;"," "),"/"," "),"%"," "))&amp;" "</f>
        <v> i am unable to access my account to see my balance i do not think it was explained properly when i bought it </v>
      </c>
      <c r="E275" s="0" t="n">
        <f aca="false">SUMPRODUCT((Rules!$A$2:$A$60=E$1)*Rules!$C$2:$C$60*ISNUMBER(SEARCH(Rules!$D$2:$D$60,$D275)))</f>
        <v>0</v>
      </c>
      <c r="F275" s="0" t="n">
        <f aca="false">SUMPRODUCT((Rules!$A$2:$A$60=F$1)*Rules!$C$2:$C$60*ISNUMBER(SEARCH(Rules!$D$2:$D$60,$D275)))</f>
        <v>0</v>
      </c>
      <c r="G275" s="0" t="n">
        <f aca="false">SUMPRODUCT((Rules!$A$2:$A$60=G$1)*Rules!$C$2:$C$60*ISNUMBER(SEARCH(Rules!$D$2:$D$60,$D275)))</f>
        <v>1</v>
      </c>
      <c r="H275" s="0" t="n">
        <f aca="false">SUMPRODUCT((Rules!$A$2:$A$60=H$1)*Rules!$C$2:$C$60*ISNUMBER(SEARCH(Rules!$D$2:$D$60,$D275)))</f>
        <v>0</v>
      </c>
      <c r="I275" s="0" t="n">
        <f aca="false">SUMPRODUCT((Rules!$A$2:$A$60=I$1)*Rules!$C$2:$C$60*ISNUMBER(SEARCH(Rules!$D$2:$D$60,$D275)))</f>
        <v>0</v>
      </c>
      <c r="J275" s="0" t="n">
        <f aca="false">SUMPRODUCT((Rules!$A$2:$A$60=J$1)*Rules!$C$2:$C$60*ISNUMBER(SEARCH(Rules!$D$2:$D$60,$D275)))</f>
        <v>0</v>
      </c>
      <c r="K275" s="0" t="str">
        <f aca="false">IF(OR(MAX(E275:J275)&lt;Rules!$H$1,MAX(E275:J275)-LARGE(E275:J275,2)&lt;Rules!$H$2),"No label",INDEX($E$1:$J$1,MATCH(MAX(E275:J275),E275:J275,0)))</f>
        <v>No label</v>
      </c>
      <c r="L275" s="0" t="n">
        <f aca="false">SUMPRODUCT((Rules!$A$2:$A$60=L$1)*Rules!$C$2:$C$60*ISNUMBER(SEARCH(Rules!$E$2:$E$60,$D275)))</f>
        <v>0</v>
      </c>
      <c r="M275" s="0" t="n">
        <f aca="false">SUMPRODUCT((Rules!$A$2:$A$60=M$1)*Rules!$C$2:$C$60*ISNUMBER(SEARCH(Rules!$E$2:$E$60,$D275)))</f>
        <v>0</v>
      </c>
      <c r="N275" s="0" t="n">
        <f aca="false">SUMPRODUCT((Rules!$A$2:$A$60=N$1)*Rules!$C$2:$C$60*ISNUMBER(SEARCH(Rules!$E$2:$E$60,$D275)))</f>
        <v>1</v>
      </c>
      <c r="O275" s="0" t="n">
        <f aca="false">SUMPRODUCT((Rules!$A$2:$A$60=O$1)*Rules!$C$2:$C$60*ISNUMBER(SEARCH(Rules!$E$2:$E$60,$D275)))</f>
        <v>0</v>
      </c>
      <c r="P275" s="0" t="n">
        <f aca="false">SUMPRODUCT((Rules!$A$2:$A$60=P$1)*Rules!$C$2:$C$60*ISNUMBER(SEARCH(Rules!$E$2:$E$60,$D275)))</f>
        <v>0</v>
      </c>
      <c r="Q275" s="0" t="n">
        <f aca="false">SUMPRODUCT((Rules!$A$2:$A$60=Q$1)*Rules!$C$2:$C$60*ISNUMBER(SEARCH(Rules!$E$2:$E$60,$D275)))</f>
        <v>0</v>
      </c>
      <c r="R275" s="0" t="str">
        <f aca="false">IF(OR(MAX(L275:Q275)&lt;Rules!$H$1,MAX(L275:Q275)-LARGE(L275:Q275,2)&lt;Rules!$H$2),"No label",INDEX($L$1:$Q$1,MATCH(MAX(L275:Q275),L275:Q275,0)))</f>
        <v>No label</v>
      </c>
      <c r="S275" s="0" t="n">
        <f aca="false">SUMPRODUCT(ISNUMBER(SEARCH(" "&amp;Terms!$A$3:$A$821&amp;" ",$D275))*Terms!B$3:B$821)+Terms!B$2</f>
        <v>6.8459470004766</v>
      </c>
      <c r="T275" s="0" t="n">
        <f aca="false">SUMPRODUCT(ISNUMBER(SEARCH(" "&amp;Terms!$A$3:$A$821&amp;" ",$D275))*Terms!C$3:C$821)+Terms!C$2</f>
        <v>-3.99571755445432</v>
      </c>
      <c r="U275" s="0" t="n">
        <f aca="false">SUMPRODUCT(ISNUMBER(SEARCH(" "&amp;Terms!$A$3:$A$821&amp;" ",$D275))*Terms!D$3:D$821)+Terms!D$2</f>
        <v>0.629275907617345</v>
      </c>
      <c r="V275" s="0" t="n">
        <f aca="false">SUMPRODUCT(ISNUMBER(SEARCH(" "&amp;Terms!$A$3:$A$821&amp;" ",$D275))*Terms!E$3:E$821)+Terms!E$2</f>
        <v>1.00865158319866</v>
      </c>
      <c r="W275" s="0" t="n">
        <f aca="false">SUMPRODUCT(ISNUMBER(SEARCH(" "&amp;Terms!$A$3:$A$821&amp;" ",$D275))*Terms!F$3:F$821)+Terms!F$2</f>
        <v>0.86807087887109</v>
      </c>
      <c r="X275" s="0" t="n">
        <f aca="false">SUMPRODUCT(ISNUMBER(SEARCH(" "&amp;Terms!$A$3:$A$821&amp;" ",$D275))*Terms!G$3:G$821)+Terms!G$2</f>
        <v>-5.35622781570929</v>
      </c>
      <c r="Y275" s="0" t="str">
        <f aca="false">INDEX($S$1:$X$1,MATCH(MAX(S275:X275),S275:X275,0))</f>
        <v>Account Access</v>
      </c>
      <c r="Z275" s="0" t="s">
        <v>2607</v>
      </c>
    </row>
    <row r="276" customFormat="false" ht="15" hidden="false" customHeight="false" outlineLevel="0" collapsed="false">
      <c r="A276" s="0" t="str">
        <f aca="false">Complaints!A276</f>
        <v>C0275</v>
      </c>
      <c r="B276" s="0" t="str">
        <f aca="false">Complaints!B276</f>
        <v>I have had enough of the way this has gone.</v>
      </c>
      <c r="C276" s="0" t="str">
        <f aca="false">Complaints!C276</f>
        <v>Account Access</v>
      </c>
      <c r="D276" s="0" t="str">
        <f aca="false">" "&amp;TRIM(SUBSTITUTE(SUBSTITUTE(SUBSTITUTE(SUBSTITUTE(SUBSTITUTE(SUBSTITUTE(SUBSTITUTE(SUBSTITUTE(SUBSTITUTE(SUBSTITUTE(SUBSTITUTE(SUBSTITUTE(SUBSTITUTE(SUBSTITUTE(SUBSTITUTE(SUBSTITUTE(LOWER(B276),"."," "),","," "),"'"," "),"’"," "),"!"," "),"?"," "),";"," "),":"," "),"-"," "),"("," "),")"," "),"""", " "),"£"," "),"&amp;"," "),"/"," "),"%"," "))&amp;" "</f>
        <v> i have had enough of the way this has gone </v>
      </c>
      <c r="E276" s="0" t="n">
        <f aca="false">SUMPRODUCT((Rules!$A$2:$A$60=E$1)*Rules!$C$2:$C$60*ISNUMBER(SEARCH(Rules!$D$2:$D$60,$D276)))</f>
        <v>0</v>
      </c>
      <c r="F276" s="0" t="n">
        <f aca="false">SUMPRODUCT((Rules!$A$2:$A$60=F$1)*Rules!$C$2:$C$60*ISNUMBER(SEARCH(Rules!$D$2:$D$60,$D276)))</f>
        <v>0</v>
      </c>
      <c r="G276" s="0" t="n">
        <f aca="false">SUMPRODUCT((Rules!$A$2:$A$60=G$1)*Rules!$C$2:$C$60*ISNUMBER(SEARCH(Rules!$D$2:$D$60,$D276)))</f>
        <v>0</v>
      </c>
      <c r="H276" s="0" t="n">
        <f aca="false">SUMPRODUCT((Rules!$A$2:$A$60=H$1)*Rules!$C$2:$C$60*ISNUMBER(SEARCH(Rules!$D$2:$D$60,$D276)))</f>
        <v>0</v>
      </c>
      <c r="I276" s="0" t="n">
        <f aca="false">SUMPRODUCT((Rules!$A$2:$A$60=I$1)*Rules!$C$2:$C$60*ISNUMBER(SEARCH(Rules!$D$2:$D$60,$D276)))</f>
        <v>0</v>
      </c>
      <c r="J276" s="0" t="n">
        <f aca="false">SUMPRODUCT((Rules!$A$2:$A$60=J$1)*Rules!$C$2:$C$60*ISNUMBER(SEARCH(Rules!$D$2:$D$60,$D276)))</f>
        <v>0</v>
      </c>
      <c r="K276" s="0" t="str">
        <f aca="false">IF(OR(MAX(E276:J276)&lt;Rules!$H$1,MAX(E276:J276)-LARGE(E276:J276,2)&lt;Rules!$H$2),"No label",INDEX($E$1:$J$1,MATCH(MAX(E276:J276),E276:J276,0)))</f>
        <v>No label</v>
      </c>
      <c r="L276" s="0" t="n">
        <f aca="false">SUMPRODUCT((Rules!$A$2:$A$60=L$1)*Rules!$C$2:$C$60*ISNUMBER(SEARCH(Rules!$E$2:$E$60,$D276)))</f>
        <v>0</v>
      </c>
      <c r="M276" s="0" t="n">
        <f aca="false">SUMPRODUCT((Rules!$A$2:$A$60=M$1)*Rules!$C$2:$C$60*ISNUMBER(SEARCH(Rules!$E$2:$E$60,$D276)))</f>
        <v>0</v>
      </c>
      <c r="N276" s="0" t="n">
        <f aca="false">SUMPRODUCT((Rules!$A$2:$A$60=N$1)*Rules!$C$2:$C$60*ISNUMBER(SEARCH(Rules!$E$2:$E$60,$D276)))</f>
        <v>0</v>
      </c>
      <c r="O276" s="0" t="n">
        <f aca="false">SUMPRODUCT((Rules!$A$2:$A$60=O$1)*Rules!$C$2:$C$60*ISNUMBER(SEARCH(Rules!$E$2:$E$60,$D276)))</f>
        <v>0</v>
      </c>
      <c r="P276" s="0" t="n">
        <f aca="false">SUMPRODUCT((Rules!$A$2:$A$60=P$1)*Rules!$C$2:$C$60*ISNUMBER(SEARCH(Rules!$E$2:$E$60,$D276)))</f>
        <v>0</v>
      </c>
      <c r="Q276" s="0" t="n">
        <f aca="false">SUMPRODUCT((Rules!$A$2:$A$60=Q$1)*Rules!$C$2:$C$60*ISNUMBER(SEARCH(Rules!$E$2:$E$60,$D276)))</f>
        <v>0</v>
      </c>
      <c r="R276" s="0" t="str">
        <f aca="false">IF(OR(MAX(L276:Q276)&lt;Rules!$H$1,MAX(L276:Q276)-LARGE(L276:Q276,2)&lt;Rules!$H$2),"No label",INDEX($L$1:$Q$1,MATCH(MAX(L276:Q276),L276:Q276,0)))</f>
        <v>No label</v>
      </c>
      <c r="S276" s="0" t="n">
        <f aca="false">SUMPRODUCT(ISNUMBER(SEARCH(" "&amp;Terms!$A$3:$A$821&amp;" ",$D276))*Terms!B$3:B$821)+Terms!B$2</f>
        <v>0.740162088012994</v>
      </c>
      <c r="T276" s="0" t="n">
        <f aca="false">SUMPRODUCT(ISNUMBER(SEARCH(" "&amp;Terms!$A$3:$A$821&amp;" ",$D276))*Terms!C$3:C$821)+Terms!C$2</f>
        <v>-0.0474621897017864</v>
      </c>
      <c r="U276" s="0" t="n">
        <f aca="false">SUMPRODUCT(ISNUMBER(SEARCH(" "&amp;Terms!$A$3:$A$821&amp;" ",$D276))*Terms!D$3:D$821)+Terms!D$2</f>
        <v>0.0542463246819629</v>
      </c>
      <c r="V276" s="0" t="n">
        <f aca="false">SUMPRODUCT(ISNUMBER(SEARCH(" "&amp;Terms!$A$3:$A$821&amp;" ",$D276))*Terms!E$3:E$821)+Terms!E$2</f>
        <v>1.70751695055371</v>
      </c>
      <c r="W276" s="0" t="n">
        <f aca="false">SUMPRODUCT(ISNUMBER(SEARCH(" "&amp;Terms!$A$3:$A$821&amp;" ",$D276))*Terms!F$3:F$821)+Terms!F$2</f>
        <v>-1.95579033890654</v>
      </c>
      <c r="X276" s="0" t="n">
        <f aca="false">SUMPRODUCT(ISNUMBER(SEARCH(" "&amp;Terms!$A$3:$A$821&amp;" ",$D276))*Terms!G$3:G$821)+Terms!G$2</f>
        <v>-0.498672834640244</v>
      </c>
      <c r="Y276" s="0" t="str">
        <f aca="false">INDEX($S$1:$X$1,MATCH(MAX(S276:X276),S276:X276,0))</f>
        <v>Fees &amp; Charges</v>
      </c>
      <c r="Z276" s="0" t="s">
        <v>2607</v>
      </c>
    </row>
    <row r="277" customFormat="false" ht="15" hidden="false" customHeight="false" outlineLevel="0" collapsed="false">
      <c r="A277" s="0" t="str">
        <f aca="false">Complaints!A277</f>
        <v>C0276</v>
      </c>
      <c r="B277" s="0" t="str">
        <f aca="false">Complaints!B277</f>
        <v>I am unable to access my account to see my balance.</v>
      </c>
      <c r="C277" s="0" t="str">
        <f aca="false">Complaints!C277</f>
        <v>Account Access</v>
      </c>
      <c r="D277" s="0" t="str">
        <f aca="false">" "&amp;TRIM(SUBSTITUTE(SUBSTITUTE(SUBSTITUTE(SUBSTITUTE(SUBSTITUTE(SUBSTITUTE(SUBSTITUTE(SUBSTITUTE(SUBSTITUTE(SUBSTITUTE(SUBSTITUTE(SUBSTITUTE(SUBSTITUTE(SUBSTITUTE(SUBSTITUTE(SUBSTITUTE(LOWER(B277),"."," "),","," "),"'"," "),"’"," "),"!"," "),"?"," "),";"," "),":"," "),"-"," "),"("," "),")"," "),"""", " "),"£"," "),"&amp;"," "),"/"," "),"%"," "))&amp;" "</f>
        <v> i am unable to access my account to see my balance </v>
      </c>
      <c r="E277" s="0" t="n">
        <f aca="false">SUMPRODUCT((Rules!$A$2:$A$60=E$1)*Rules!$C$2:$C$60*ISNUMBER(SEARCH(Rules!$D$2:$D$60,$D277)))</f>
        <v>0</v>
      </c>
      <c r="F277" s="0" t="n">
        <f aca="false">SUMPRODUCT((Rules!$A$2:$A$60=F$1)*Rules!$C$2:$C$60*ISNUMBER(SEARCH(Rules!$D$2:$D$60,$D277)))</f>
        <v>0</v>
      </c>
      <c r="G277" s="0" t="n">
        <f aca="false">SUMPRODUCT((Rules!$A$2:$A$60=G$1)*Rules!$C$2:$C$60*ISNUMBER(SEARCH(Rules!$D$2:$D$60,$D277)))</f>
        <v>1</v>
      </c>
      <c r="H277" s="0" t="n">
        <f aca="false">SUMPRODUCT((Rules!$A$2:$A$60=H$1)*Rules!$C$2:$C$60*ISNUMBER(SEARCH(Rules!$D$2:$D$60,$D277)))</f>
        <v>0</v>
      </c>
      <c r="I277" s="0" t="n">
        <f aca="false">SUMPRODUCT((Rules!$A$2:$A$60=I$1)*Rules!$C$2:$C$60*ISNUMBER(SEARCH(Rules!$D$2:$D$60,$D277)))</f>
        <v>0</v>
      </c>
      <c r="J277" s="0" t="n">
        <f aca="false">SUMPRODUCT((Rules!$A$2:$A$60=J$1)*Rules!$C$2:$C$60*ISNUMBER(SEARCH(Rules!$D$2:$D$60,$D277)))</f>
        <v>0</v>
      </c>
      <c r="K277" s="0" t="str">
        <f aca="false">IF(OR(MAX(E277:J277)&lt;Rules!$H$1,MAX(E277:J277)-LARGE(E277:J277,2)&lt;Rules!$H$2),"No label",INDEX($E$1:$J$1,MATCH(MAX(E277:J277),E277:J277,0)))</f>
        <v>No label</v>
      </c>
      <c r="L277" s="0" t="n">
        <f aca="false">SUMPRODUCT((Rules!$A$2:$A$60=L$1)*Rules!$C$2:$C$60*ISNUMBER(SEARCH(Rules!$E$2:$E$60,$D277)))</f>
        <v>0</v>
      </c>
      <c r="M277" s="0" t="n">
        <f aca="false">SUMPRODUCT((Rules!$A$2:$A$60=M$1)*Rules!$C$2:$C$60*ISNUMBER(SEARCH(Rules!$E$2:$E$60,$D277)))</f>
        <v>0</v>
      </c>
      <c r="N277" s="0" t="n">
        <f aca="false">SUMPRODUCT((Rules!$A$2:$A$60=N$1)*Rules!$C$2:$C$60*ISNUMBER(SEARCH(Rules!$E$2:$E$60,$D277)))</f>
        <v>1</v>
      </c>
      <c r="O277" s="0" t="n">
        <f aca="false">SUMPRODUCT((Rules!$A$2:$A$60=O$1)*Rules!$C$2:$C$60*ISNUMBER(SEARCH(Rules!$E$2:$E$60,$D277)))</f>
        <v>0</v>
      </c>
      <c r="P277" s="0" t="n">
        <f aca="false">SUMPRODUCT((Rules!$A$2:$A$60=P$1)*Rules!$C$2:$C$60*ISNUMBER(SEARCH(Rules!$E$2:$E$60,$D277)))</f>
        <v>0</v>
      </c>
      <c r="Q277" s="0" t="n">
        <f aca="false">SUMPRODUCT((Rules!$A$2:$A$60=Q$1)*Rules!$C$2:$C$60*ISNUMBER(SEARCH(Rules!$E$2:$E$60,$D277)))</f>
        <v>0</v>
      </c>
      <c r="R277" s="0" t="str">
        <f aca="false">IF(OR(MAX(L277:Q277)&lt;Rules!$H$1,MAX(L277:Q277)-LARGE(L277:Q277,2)&lt;Rules!$H$2),"No label",INDEX($L$1:$Q$1,MATCH(MAX(L277:Q277),L277:Q277,0)))</f>
        <v>No label</v>
      </c>
      <c r="S277" s="0" t="n">
        <f aca="false">SUMPRODUCT(ISNUMBER(SEARCH(" "&amp;Terms!$A$3:$A$821&amp;" ",$D277))*Terms!B$3:B$821)+Terms!B$2</f>
        <v>7.03463558192985</v>
      </c>
      <c r="T277" s="0" t="n">
        <f aca="false">SUMPRODUCT(ISNUMBER(SEARCH(" "&amp;Terms!$A$3:$A$821&amp;" ",$D277))*Terms!C$3:C$821)+Terms!C$2</f>
        <v>-3.78103414457839</v>
      </c>
      <c r="U277" s="0" t="n">
        <f aca="false">SUMPRODUCT(ISNUMBER(SEARCH(" "&amp;Terms!$A$3:$A$821&amp;" ",$D277))*Terms!D$3:D$821)+Terms!D$2</f>
        <v>1.59283100945977</v>
      </c>
      <c r="V277" s="0" t="n">
        <f aca="false">SUMPRODUCT(ISNUMBER(SEARCH(" "&amp;Terms!$A$3:$A$821&amp;" ",$D277))*Terms!E$3:E$821)+Terms!E$2</f>
        <v>-1.18272261198389</v>
      </c>
      <c r="W277" s="0" t="n">
        <f aca="false">SUMPRODUCT(ISNUMBER(SEARCH(" "&amp;Terms!$A$3:$A$821&amp;" ",$D277))*Terms!F$3:F$821)+Terms!F$2</f>
        <v>-0.95529483538079</v>
      </c>
      <c r="X277" s="0" t="n">
        <f aca="false">SUMPRODUCT(ISNUMBER(SEARCH(" "&amp;Terms!$A$3:$A$821&amp;" ",$D277))*Terms!G$3:G$821)+Terms!G$2</f>
        <v>-2.70841499944647</v>
      </c>
      <c r="Y277" s="0" t="str">
        <f aca="false">INDEX($S$1:$X$1,MATCH(MAX(S277:X277),S277:X277,0))</f>
        <v>Account Access</v>
      </c>
      <c r="Z277" s="0" t="s">
        <v>2607</v>
      </c>
    </row>
    <row r="278" customFormat="false" ht="15" hidden="false" customHeight="false" outlineLevel="0" collapsed="false">
      <c r="A278" s="0" t="str">
        <f aca="false">Complaints!A278</f>
        <v>C0277</v>
      </c>
      <c r="B278" s="0" t="str">
        <f aca="false">Complaints!B278</f>
        <v>I am extremely disappointed and want this resolved. I want this put right.</v>
      </c>
      <c r="C278" s="0" t="str">
        <f aca="false">Complaints!C278</f>
        <v>Mis-selling</v>
      </c>
      <c r="D278" s="0" t="str">
        <f aca="false">" "&amp;TRIM(SUBSTITUTE(SUBSTITUTE(SUBSTITUTE(SUBSTITUTE(SUBSTITUTE(SUBSTITUTE(SUBSTITUTE(SUBSTITUTE(SUBSTITUTE(SUBSTITUTE(SUBSTITUTE(SUBSTITUTE(SUBSTITUTE(SUBSTITUTE(SUBSTITUTE(SUBSTITUTE(LOWER(B278),"."," "),","," "),"'"," "),"’"," "),"!"," "),"?"," "),";"," "),":"," "),"-"," "),"("," "),")"," "),"""", " "),"£"," "),"&amp;"," "),"/"," "),"%"," "))&amp;" "</f>
        <v> i am extremely disappointed and want this resolved i want this put right </v>
      </c>
      <c r="E278" s="0" t="n">
        <f aca="false">SUMPRODUCT((Rules!$A$2:$A$60=E$1)*Rules!$C$2:$C$60*ISNUMBER(SEARCH(Rules!$D$2:$D$60,$D278)))</f>
        <v>0</v>
      </c>
      <c r="F278" s="0" t="n">
        <f aca="false">SUMPRODUCT((Rules!$A$2:$A$60=F$1)*Rules!$C$2:$C$60*ISNUMBER(SEARCH(Rules!$D$2:$D$60,$D278)))</f>
        <v>0</v>
      </c>
      <c r="G278" s="0" t="n">
        <f aca="false">SUMPRODUCT((Rules!$A$2:$A$60=G$1)*Rules!$C$2:$C$60*ISNUMBER(SEARCH(Rules!$D$2:$D$60,$D278)))</f>
        <v>0</v>
      </c>
      <c r="H278" s="0" t="n">
        <f aca="false">SUMPRODUCT((Rules!$A$2:$A$60=H$1)*Rules!$C$2:$C$60*ISNUMBER(SEARCH(Rules!$D$2:$D$60,$D278)))</f>
        <v>0</v>
      </c>
      <c r="I278" s="0" t="n">
        <f aca="false">SUMPRODUCT((Rules!$A$2:$A$60=I$1)*Rules!$C$2:$C$60*ISNUMBER(SEARCH(Rules!$D$2:$D$60,$D278)))</f>
        <v>0</v>
      </c>
      <c r="J278" s="0" t="n">
        <f aca="false">SUMPRODUCT((Rules!$A$2:$A$60=J$1)*Rules!$C$2:$C$60*ISNUMBER(SEARCH(Rules!$D$2:$D$60,$D278)))</f>
        <v>0</v>
      </c>
      <c r="K278" s="0" t="str">
        <f aca="false">IF(OR(MAX(E278:J278)&lt;Rules!$H$1,MAX(E278:J278)-LARGE(E278:J278,2)&lt;Rules!$H$2),"No label",INDEX($E$1:$J$1,MATCH(MAX(E278:J278),E278:J278,0)))</f>
        <v>No label</v>
      </c>
      <c r="L278" s="0" t="n">
        <f aca="false">SUMPRODUCT((Rules!$A$2:$A$60=L$1)*Rules!$C$2:$C$60*ISNUMBER(SEARCH(Rules!$E$2:$E$60,$D278)))</f>
        <v>0</v>
      </c>
      <c r="M278" s="0" t="n">
        <f aca="false">SUMPRODUCT((Rules!$A$2:$A$60=M$1)*Rules!$C$2:$C$60*ISNUMBER(SEARCH(Rules!$E$2:$E$60,$D278)))</f>
        <v>0</v>
      </c>
      <c r="N278" s="0" t="n">
        <f aca="false">SUMPRODUCT((Rules!$A$2:$A$60=N$1)*Rules!$C$2:$C$60*ISNUMBER(SEARCH(Rules!$E$2:$E$60,$D278)))</f>
        <v>0</v>
      </c>
      <c r="O278" s="0" t="n">
        <f aca="false">SUMPRODUCT((Rules!$A$2:$A$60=O$1)*Rules!$C$2:$C$60*ISNUMBER(SEARCH(Rules!$E$2:$E$60,$D278)))</f>
        <v>0</v>
      </c>
      <c r="P278" s="0" t="n">
        <f aca="false">SUMPRODUCT((Rules!$A$2:$A$60=P$1)*Rules!$C$2:$C$60*ISNUMBER(SEARCH(Rules!$E$2:$E$60,$D278)))</f>
        <v>0</v>
      </c>
      <c r="Q278" s="0" t="n">
        <f aca="false">SUMPRODUCT((Rules!$A$2:$A$60=Q$1)*Rules!$C$2:$C$60*ISNUMBER(SEARCH(Rules!$E$2:$E$60,$D278)))</f>
        <v>0</v>
      </c>
      <c r="R278" s="0" t="str">
        <f aca="false">IF(OR(MAX(L278:Q278)&lt;Rules!$H$1,MAX(L278:Q278)-LARGE(L278:Q278,2)&lt;Rules!$H$2),"No label",INDEX($L$1:$Q$1,MATCH(MAX(L278:Q278),L278:Q278,0)))</f>
        <v>No label</v>
      </c>
      <c r="S278" s="0" t="n">
        <f aca="false">SUMPRODUCT(ISNUMBER(SEARCH(" "&amp;Terms!$A$3:$A$821&amp;" ",$D278))*Terms!B$3:B$821)+Terms!B$2</f>
        <v>-0.466111825501783</v>
      </c>
      <c r="T278" s="0" t="n">
        <f aca="false">SUMPRODUCT(ISNUMBER(SEARCH(" "&amp;Terms!$A$3:$A$821&amp;" ",$D278))*Terms!C$3:C$821)+Terms!C$2</f>
        <v>-0.531336418861151</v>
      </c>
      <c r="U278" s="0" t="n">
        <f aca="false">SUMPRODUCT(ISNUMBER(SEARCH(" "&amp;Terms!$A$3:$A$821&amp;" ",$D278))*Terms!D$3:D$821)+Terms!D$2</f>
        <v>-2.59963063426894</v>
      </c>
      <c r="V278" s="0" t="n">
        <f aca="false">SUMPRODUCT(ISNUMBER(SEARCH(" "&amp;Terms!$A$3:$A$821&amp;" ",$D278))*Terms!E$3:E$821)+Terms!E$2</f>
        <v>-0.983328408000375</v>
      </c>
      <c r="W278" s="0" t="n">
        <f aca="false">SUMPRODUCT(ISNUMBER(SEARCH(" "&amp;Terms!$A$3:$A$821&amp;" ",$D278))*Terms!F$3:F$821)+Terms!F$2</f>
        <v>3.23794084647526</v>
      </c>
      <c r="X278" s="0" t="n">
        <f aca="false">SUMPRODUCT(ISNUMBER(SEARCH(" "&amp;Terms!$A$3:$A$821&amp;" ",$D278))*Terms!G$3:G$821)+Terms!G$2</f>
        <v>1.34246644015709</v>
      </c>
      <c r="Y278" s="0" t="str">
        <f aca="false">INDEX($S$1:$X$1,MATCH(MAX(S278:X278),S278:X278,0))</f>
        <v>Fraud &amp; Scams</v>
      </c>
      <c r="Z278" s="0" t="s">
        <v>2607</v>
      </c>
    </row>
    <row r="279" customFormat="false" ht="15" hidden="false" customHeight="false" outlineLevel="0" collapsed="false">
      <c r="A279" s="0" t="str">
        <f aca="false">Complaints!A279</f>
        <v>C0278</v>
      </c>
      <c r="B279" s="0" t="str">
        <f aca="false">Complaints!B279</f>
        <v>Frankly, I reported the unauthorised payment but you refused to reimburse me.</v>
      </c>
      <c r="C279" s="0" t="str">
        <f aca="false">Complaints!C279</f>
        <v>Fraud &amp; Scams</v>
      </c>
      <c r="D279" s="0" t="str">
        <f aca="false">" "&amp;TRIM(SUBSTITUTE(SUBSTITUTE(SUBSTITUTE(SUBSTITUTE(SUBSTITUTE(SUBSTITUTE(SUBSTITUTE(SUBSTITUTE(SUBSTITUTE(SUBSTITUTE(SUBSTITUTE(SUBSTITUTE(SUBSTITUTE(SUBSTITUTE(SUBSTITUTE(SUBSTITUTE(LOWER(B279),"."," "),","," "),"'"," "),"’"," "),"!"," "),"?"," "),";"," "),":"," "),"-"," "),"("," "),")"," "),"""", " "),"£"," "),"&amp;"," "),"/"," "),"%"," "))&amp;" "</f>
        <v> frankly i reported the unauthorised payment but you refused to reimburse me </v>
      </c>
      <c r="E279" s="0" t="n">
        <f aca="false">SUMPRODUCT((Rules!$A$2:$A$60=E$1)*Rules!$C$2:$C$60*ISNUMBER(SEARCH(Rules!$D$2:$D$60,$D279)))</f>
        <v>3</v>
      </c>
      <c r="F279" s="0" t="n">
        <f aca="false">SUMPRODUCT((Rules!$A$2:$A$60=F$1)*Rules!$C$2:$C$60*ISNUMBER(SEARCH(Rules!$D$2:$D$60,$D279)))</f>
        <v>0</v>
      </c>
      <c r="G279" s="0" t="n">
        <f aca="false">SUMPRODUCT((Rules!$A$2:$A$60=G$1)*Rules!$C$2:$C$60*ISNUMBER(SEARCH(Rules!$D$2:$D$60,$D279)))</f>
        <v>0</v>
      </c>
      <c r="H279" s="0" t="n">
        <f aca="false">SUMPRODUCT((Rules!$A$2:$A$60=H$1)*Rules!$C$2:$C$60*ISNUMBER(SEARCH(Rules!$D$2:$D$60,$D279)))</f>
        <v>0</v>
      </c>
      <c r="I279" s="0" t="n">
        <f aca="false">SUMPRODUCT((Rules!$A$2:$A$60=I$1)*Rules!$C$2:$C$60*ISNUMBER(SEARCH(Rules!$D$2:$D$60,$D279)))</f>
        <v>0</v>
      </c>
      <c r="J279" s="0" t="n">
        <f aca="false">SUMPRODUCT((Rules!$A$2:$A$60=J$1)*Rules!$C$2:$C$60*ISNUMBER(SEARCH(Rules!$D$2:$D$60,$D279)))</f>
        <v>0</v>
      </c>
      <c r="K279" s="0" t="str">
        <f aca="false">IF(OR(MAX(E279:J279)&lt;Rules!$H$1,MAX(E279:J279)-LARGE(E279:J279,2)&lt;Rules!$H$2),"No label",INDEX($E$1:$J$1,MATCH(MAX(E279:J279),E279:J279,0)))</f>
        <v>Fraud &amp; Scams</v>
      </c>
      <c r="L279" s="0" t="n">
        <f aca="false">SUMPRODUCT((Rules!$A$2:$A$60=L$1)*Rules!$C$2:$C$60*ISNUMBER(SEARCH(Rules!$E$2:$E$60,$D279)))</f>
        <v>3</v>
      </c>
      <c r="M279" s="0" t="n">
        <f aca="false">SUMPRODUCT((Rules!$A$2:$A$60=M$1)*Rules!$C$2:$C$60*ISNUMBER(SEARCH(Rules!$E$2:$E$60,$D279)))</f>
        <v>0</v>
      </c>
      <c r="N279" s="0" t="n">
        <f aca="false">SUMPRODUCT((Rules!$A$2:$A$60=N$1)*Rules!$C$2:$C$60*ISNUMBER(SEARCH(Rules!$E$2:$E$60,$D279)))</f>
        <v>0</v>
      </c>
      <c r="O279" s="0" t="n">
        <f aca="false">SUMPRODUCT((Rules!$A$2:$A$60=O$1)*Rules!$C$2:$C$60*ISNUMBER(SEARCH(Rules!$E$2:$E$60,$D279)))</f>
        <v>0</v>
      </c>
      <c r="P279" s="0" t="n">
        <f aca="false">SUMPRODUCT((Rules!$A$2:$A$60=P$1)*Rules!$C$2:$C$60*ISNUMBER(SEARCH(Rules!$E$2:$E$60,$D279)))</f>
        <v>0</v>
      </c>
      <c r="Q279" s="0" t="n">
        <f aca="false">SUMPRODUCT((Rules!$A$2:$A$60=Q$1)*Rules!$C$2:$C$60*ISNUMBER(SEARCH(Rules!$E$2:$E$60,$D279)))</f>
        <v>0</v>
      </c>
      <c r="R279" s="0" t="str">
        <f aca="false">IF(OR(MAX(L279:Q279)&lt;Rules!$H$1,MAX(L279:Q279)-LARGE(L279:Q279,2)&lt;Rules!$H$2),"No label",INDEX($L$1:$Q$1,MATCH(MAX(L279:Q279),L279:Q279,0)))</f>
        <v>Fraud &amp; Scams</v>
      </c>
      <c r="S279" s="0" t="n">
        <f aca="false">SUMPRODUCT(ISNUMBER(SEARCH(" "&amp;Terms!$A$3:$A$821&amp;" ",$D279))*Terms!B$3:B$821)+Terms!B$2</f>
        <v>-0.637218470184952</v>
      </c>
      <c r="T279" s="0" t="n">
        <f aca="false">SUMPRODUCT(ISNUMBER(SEARCH(" "&amp;Terms!$A$3:$A$821&amp;" ",$D279))*Terms!C$3:C$821)+Terms!C$2</f>
        <v>-4.08601761681456</v>
      </c>
      <c r="U279" s="0" t="n">
        <f aca="false">SUMPRODUCT(ISNUMBER(SEARCH(" "&amp;Terms!$A$3:$A$821&amp;" ",$D279))*Terms!D$3:D$821)+Terms!D$2</f>
        <v>-0.99533887925901</v>
      </c>
      <c r="V279" s="0" t="n">
        <f aca="false">SUMPRODUCT(ISNUMBER(SEARCH(" "&amp;Terms!$A$3:$A$821&amp;" ",$D279))*Terms!E$3:E$821)+Terms!E$2</f>
        <v>-1.22019605694671</v>
      </c>
      <c r="W279" s="0" t="n">
        <f aca="false">SUMPRODUCT(ISNUMBER(SEARCH(" "&amp;Terms!$A$3:$A$821&amp;" ",$D279))*Terms!F$3:F$821)+Terms!F$2</f>
        <v>9.34238781772732</v>
      </c>
      <c r="X279" s="0" t="n">
        <f aca="false">SUMPRODUCT(ISNUMBER(SEARCH(" "&amp;Terms!$A$3:$A$821&amp;" ",$D279))*Terms!G$3:G$821)+Terms!G$2</f>
        <v>-2.40361679452201</v>
      </c>
      <c r="Y279" s="0" t="str">
        <f aca="false">INDEX($S$1:$X$1,MATCH(MAX(S279:X279),S279:X279,0))</f>
        <v>Fraud &amp; Scams</v>
      </c>
      <c r="Z279" s="0" t="s">
        <v>2607</v>
      </c>
    </row>
    <row r="280" customFormat="false" ht="15" hidden="false" customHeight="false" outlineLevel="0" collapsed="false">
      <c r="A280" s="0" t="str">
        <f aca="false">Complaints!A280</f>
        <v>C0279</v>
      </c>
      <c r="B280" s="0" t="str">
        <f aca="false">Complaints!B280</f>
        <v>This is the second time I have raised this. I think I was the victim of a scam and sent money to a fraudster.</v>
      </c>
      <c r="C280" s="0" t="str">
        <f aca="false">Complaints!C280</f>
        <v>Fraud &amp; Scams</v>
      </c>
      <c r="D280" s="0" t="str">
        <f aca="false">" "&amp;TRIM(SUBSTITUTE(SUBSTITUTE(SUBSTITUTE(SUBSTITUTE(SUBSTITUTE(SUBSTITUTE(SUBSTITUTE(SUBSTITUTE(SUBSTITUTE(SUBSTITUTE(SUBSTITUTE(SUBSTITUTE(SUBSTITUTE(SUBSTITUTE(SUBSTITUTE(SUBSTITUTE(LOWER(B280),"."," "),","," "),"'"," "),"’"," "),"!"," "),"?"," "),";"," "),":"," "),"-"," "),"("," "),")"," "),"""", " "),"£"," "),"&amp;"," "),"/"," "),"%"," "))&amp;" "</f>
        <v> this is the second time i have raised this i think i was the victim of a scam and sent money to a fraudster </v>
      </c>
      <c r="E280" s="0" t="n">
        <f aca="false">SUMPRODUCT((Rules!$A$2:$A$60=E$1)*Rules!$C$2:$C$60*ISNUMBER(SEARCH(Rules!$D$2:$D$60,$D280)))</f>
        <v>6</v>
      </c>
      <c r="F280" s="0" t="n">
        <f aca="false">SUMPRODUCT((Rules!$A$2:$A$60=F$1)*Rules!$C$2:$C$60*ISNUMBER(SEARCH(Rules!$D$2:$D$60,$D280)))</f>
        <v>0</v>
      </c>
      <c r="G280" s="0" t="n">
        <f aca="false">SUMPRODUCT((Rules!$A$2:$A$60=G$1)*Rules!$C$2:$C$60*ISNUMBER(SEARCH(Rules!$D$2:$D$60,$D280)))</f>
        <v>0</v>
      </c>
      <c r="H280" s="0" t="n">
        <f aca="false">SUMPRODUCT((Rules!$A$2:$A$60=H$1)*Rules!$C$2:$C$60*ISNUMBER(SEARCH(Rules!$D$2:$D$60,$D280)))</f>
        <v>0</v>
      </c>
      <c r="I280" s="0" t="n">
        <f aca="false">SUMPRODUCT((Rules!$A$2:$A$60=I$1)*Rules!$C$2:$C$60*ISNUMBER(SEARCH(Rules!$D$2:$D$60,$D280)))</f>
        <v>0</v>
      </c>
      <c r="J280" s="0" t="n">
        <f aca="false">SUMPRODUCT((Rules!$A$2:$A$60=J$1)*Rules!$C$2:$C$60*ISNUMBER(SEARCH(Rules!$D$2:$D$60,$D280)))</f>
        <v>0</v>
      </c>
      <c r="K280" s="0" t="str">
        <f aca="false">IF(OR(MAX(E280:J280)&lt;Rules!$H$1,MAX(E280:J280)-LARGE(E280:J280,2)&lt;Rules!$H$2),"No label",INDEX($E$1:$J$1,MATCH(MAX(E280:J280),E280:J280,0)))</f>
        <v>Fraud &amp; Scams</v>
      </c>
      <c r="L280" s="0" t="n">
        <f aca="false">SUMPRODUCT((Rules!$A$2:$A$60=L$1)*Rules!$C$2:$C$60*ISNUMBER(SEARCH(Rules!$E$2:$E$60,$D280)))</f>
        <v>6</v>
      </c>
      <c r="M280" s="0" t="n">
        <f aca="false">SUMPRODUCT((Rules!$A$2:$A$60=M$1)*Rules!$C$2:$C$60*ISNUMBER(SEARCH(Rules!$E$2:$E$60,$D280)))</f>
        <v>0</v>
      </c>
      <c r="N280" s="0" t="n">
        <f aca="false">SUMPRODUCT((Rules!$A$2:$A$60=N$1)*Rules!$C$2:$C$60*ISNUMBER(SEARCH(Rules!$E$2:$E$60,$D280)))</f>
        <v>0</v>
      </c>
      <c r="O280" s="0" t="n">
        <f aca="false">SUMPRODUCT((Rules!$A$2:$A$60=O$1)*Rules!$C$2:$C$60*ISNUMBER(SEARCH(Rules!$E$2:$E$60,$D280)))</f>
        <v>0</v>
      </c>
      <c r="P280" s="0" t="n">
        <f aca="false">SUMPRODUCT((Rules!$A$2:$A$60=P$1)*Rules!$C$2:$C$60*ISNUMBER(SEARCH(Rules!$E$2:$E$60,$D280)))</f>
        <v>0</v>
      </c>
      <c r="Q280" s="0" t="n">
        <f aca="false">SUMPRODUCT((Rules!$A$2:$A$60=Q$1)*Rules!$C$2:$C$60*ISNUMBER(SEARCH(Rules!$E$2:$E$60,$D280)))</f>
        <v>0</v>
      </c>
      <c r="R280" s="0" t="str">
        <f aca="false">IF(OR(MAX(L280:Q280)&lt;Rules!$H$1,MAX(L280:Q280)-LARGE(L280:Q280,2)&lt;Rules!$H$2),"No label",INDEX($L$1:$Q$1,MATCH(MAX(L280:Q280),L280:Q280,0)))</f>
        <v>Fraud &amp; Scams</v>
      </c>
      <c r="S280" s="0" t="n">
        <f aca="false">SUMPRODUCT(ISNUMBER(SEARCH(" "&amp;Terms!$A$3:$A$821&amp;" ",$D280))*Terms!B$3:B$821)+Terms!B$2</f>
        <v>-1.88754702833619</v>
      </c>
      <c r="T280" s="0" t="n">
        <f aca="false">SUMPRODUCT(ISNUMBER(SEARCH(" "&amp;Terms!$A$3:$A$821&amp;" ",$D280))*Terms!C$3:C$821)+Terms!C$2</f>
        <v>-2.16574828264332</v>
      </c>
      <c r="U280" s="0" t="n">
        <f aca="false">SUMPRODUCT(ISNUMBER(SEARCH(" "&amp;Terms!$A$3:$A$821&amp;" ",$D280))*Terms!D$3:D$821)+Terms!D$2</f>
        <v>-1.12447110571133</v>
      </c>
      <c r="V280" s="0" t="n">
        <f aca="false">SUMPRODUCT(ISNUMBER(SEARCH(" "&amp;Terms!$A$3:$A$821&amp;" ",$D280))*Terms!E$3:E$821)+Terms!E$2</f>
        <v>-1.96759539776148</v>
      </c>
      <c r="W280" s="0" t="n">
        <f aca="false">SUMPRODUCT(ISNUMBER(SEARCH(" "&amp;Terms!$A$3:$A$821&amp;" ",$D280))*Terms!F$3:F$821)+Terms!F$2</f>
        <v>10.0275583101671</v>
      </c>
      <c r="X280" s="0" t="n">
        <f aca="false">SUMPRODUCT(ISNUMBER(SEARCH(" "&amp;Terms!$A$3:$A$821&amp;" ",$D280))*Terms!G$3:G$821)+Terms!G$2</f>
        <v>-2.88219649571469</v>
      </c>
      <c r="Y280" s="0" t="str">
        <f aca="false">INDEX($S$1:$X$1,MATCH(MAX(S280:X280),S280:X280,0))</f>
        <v>Fraud &amp; Scams</v>
      </c>
      <c r="Z280" s="0" t="s">
        <v>2607</v>
      </c>
    </row>
    <row r="281" customFormat="false" ht="15" hidden="false" customHeight="false" outlineLevel="0" collapsed="false">
      <c r="A281" s="0" t="str">
        <f aca="false">Complaints!A281</f>
        <v>C0280</v>
      </c>
      <c r="B281" s="0" t="str">
        <f aca="false">Complaints!B281</f>
        <v>I was told this policy covered me but my claim was rejected. This is not acceptable.</v>
      </c>
      <c r="C281" s="0" t="str">
        <f aca="false">Complaints!C281</f>
        <v>Mis-selling</v>
      </c>
      <c r="D281" s="0" t="str">
        <f aca="false">" "&amp;TRIM(SUBSTITUTE(SUBSTITUTE(SUBSTITUTE(SUBSTITUTE(SUBSTITUTE(SUBSTITUTE(SUBSTITUTE(SUBSTITUTE(SUBSTITUTE(SUBSTITUTE(SUBSTITUTE(SUBSTITUTE(SUBSTITUTE(SUBSTITUTE(SUBSTITUTE(SUBSTITUTE(LOWER(B281),"."," "),","," "),"'"," "),"’"," "),"!"," "),"?"," "),";"," "),":"," "),"-"," "),"("," "),")"," "),"""", " "),"£"," "),"&amp;"," "),"/"," "),"%"," "))&amp;" "</f>
        <v> i was told this policy covered me but my claim was rejected this is not acceptable </v>
      </c>
      <c r="E281" s="0" t="n">
        <f aca="false">SUMPRODUCT((Rules!$A$2:$A$60=E$1)*Rules!$C$2:$C$60*ISNUMBER(SEARCH(Rules!$D$2:$D$60,$D281)))</f>
        <v>0</v>
      </c>
      <c r="F281" s="0" t="n">
        <f aca="false">SUMPRODUCT((Rules!$A$2:$A$60=F$1)*Rules!$C$2:$C$60*ISNUMBER(SEARCH(Rules!$D$2:$D$60,$D281)))</f>
        <v>1</v>
      </c>
      <c r="G281" s="0" t="n">
        <f aca="false">SUMPRODUCT((Rules!$A$2:$A$60=G$1)*Rules!$C$2:$C$60*ISNUMBER(SEARCH(Rules!$D$2:$D$60,$D281)))</f>
        <v>0</v>
      </c>
      <c r="H281" s="0" t="n">
        <f aca="false">SUMPRODUCT((Rules!$A$2:$A$60=H$1)*Rules!$C$2:$C$60*ISNUMBER(SEARCH(Rules!$D$2:$D$60,$D281)))</f>
        <v>0</v>
      </c>
      <c r="I281" s="0" t="n">
        <f aca="false">SUMPRODUCT((Rules!$A$2:$A$60=I$1)*Rules!$C$2:$C$60*ISNUMBER(SEARCH(Rules!$D$2:$D$60,$D281)))</f>
        <v>0</v>
      </c>
      <c r="J281" s="0" t="n">
        <f aca="false">SUMPRODUCT((Rules!$A$2:$A$60=J$1)*Rules!$C$2:$C$60*ISNUMBER(SEARCH(Rules!$D$2:$D$60,$D281)))</f>
        <v>0</v>
      </c>
      <c r="K281" s="0" t="str">
        <f aca="false">IF(OR(MAX(E281:J281)&lt;Rules!$H$1,MAX(E281:J281)-LARGE(E281:J281,2)&lt;Rules!$H$2),"No label",INDEX($E$1:$J$1,MATCH(MAX(E281:J281),E281:J281,0)))</f>
        <v>No label</v>
      </c>
      <c r="L281" s="0" t="n">
        <f aca="false">SUMPRODUCT((Rules!$A$2:$A$60=L$1)*Rules!$C$2:$C$60*ISNUMBER(SEARCH(Rules!$E$2:$E$60,$D281)))</f>
        <v>0</v>
      </c>
      <c r="M281" s="0" t="n">
        <f aca="false">SUMPRODUCT((Rules!$A$2:$A$60=M$1)*Rules!$C$2:$C$60*ISNUMBER(SEARCH(Rules!$E$2:$E$60,$D281)))</f>
        <v>1</v>
      </c>
      <c r="N281" s="0" t="n">
        <f aca="false">SUMPRODUCT((Rules!$A$2:$A$60=N$1)*Rules!$C$2:$C$60*ISNUMBER(SEARCH(Rules!$E$2:$E$60,$D281)))</f>
        <v>1</v>
      </c>
      <c r="O281" s="0" t="n">
        <f aca="false">SUMPRODUCT((Rules!$A$2:$A$60=O$1)*Rules!$C$2:$C$60*ISNUMBER(SEARCH(Rules!$E$2:$E$60,$D281)))</f>
        <v>0</v>
      </c>
      <c r="P281" s="0" t="n">
        <f aca="false">SUMPRODUCT((Rules!$A$2:$A$60=P$1)*Rules!$C$2:$C$60*ISNUMBER(SEARCH(Rules!$E$2:$E$60,$D281)))</f>
        <v>0</v>
      </c>
      <c r="Q281" s="0" t="n">
        <f aca="false">SUMPRODUCT((Rules!$A$2:$A$60=Q$1)*Rules!$C$2:$C$60*ISNUMBER(SEARCH(Rules!$E$2:$E$60,$D281)))</f>
        <v>0</v>
      </c>
      <c r="R281" s="0" t="str">
        <f aca="false">IF(OR(MAX(L281:Q281)&lt;Rules!$H$1,MAX(L281:Q281)-LARGE(L281:Q281,2)&lt;Rules!$H$2),"No label",INDEX($L$1:$Q$1,MATCH(MAX(L281:Q281),L281:Q281,0)))</f>
        <v>No label</v>
      </c>
      <c r="S281" s="0" t="n">
        <f aca="false">SUMPRODUCT(ISNUMBER(SEARCH(" "&amp;Terms!$A$3:$A$821&amp;" ",$D281))*Terms!B$3:B$821)+Terms!B$2</f>
        <v>-1.24939420032242</v>
      </c>
      <c r="T281" s="0" t="n">
        <f aca="false">SUMPRODUCT(ISNUMBER(SEARCH(" "&amp;Terms!$A$3:$A$821&amp;" ",$D281))*Terms!C$3:C$821)+Terms!C$2</f>
        <v>-5.26294913169415</v>
      </c>
      <c r="U281" s="0" t="n">
        <f aca="false">SUMPRODUCT(ISNUMBER(SEARCH(" "&amp;Terms!$A$3:$A$821&amp;" ",$D281))*Terms!D$3:D$821)+Terms!D$2</f>
        <v>1.05861089027222</v>
      </c>
      <c r="V281" s="0" t="n">
        <f aca="false">SUMPRODUCT(ISNUMBER(SEARCH(" "&amp;Terms!$A$3:$A$821&amp;" ",$D281))*Terms!E$3:E$821)+Terms!E$2</f>
        <v>-1.67603851268556</v>
      </c>
      <c r="W281" s="0" t="n">
        <f aca="false">SUMPRODUCT(ISNUMBER(SEARCH(" "&amp;Terms!$A$3:$A$821&amp;" ",$D281))*Terms!F$3:F$821)+Terms!F$2</f>
        <v>-1.94209487551202</v>
      </c>
      <c r="X281" s="0" t="n">
        <f aca="false">SUMPRODUCT(ISNUMBER(SEARCH(" "&amp;Terms!$A$3:$A$821&amp;" ",$D281))*Terms!G$3:G$821)+Terms!G$2</f>
        <v>9.07186582994203</v>
      </c>
      <c r="Y281" s="0" t="str">
        <f aca="false">INDEX($S$1:$X$1,MATCH(MAX(S281:X281),S281:X281,0))</f>
        <v>Mis-selling</v>
      </c>
      <c r="Z281" s="0" t="s">
        <v>2607</v>
      </c>
    </row>
    <row r="282" customFormat="false" ht="15" hidden="false" customHeight="false" outlineLevel="0" collapsed="false">
      <c r="A282" s="0" t="str">
        <f aca="false">Complaints!A282</f>
        <v>C0281</v>
      </c>
      <c r="B282" s="0" t="str">
        <f aca="false">Complaints!B282</f>
        <v>Frankly, The brochure said guaranteed returns and my money has lost value. Also, the app crashes every time I try to open my statements. Please sort this out.</v>
      </c>
      <c r="C282" s="0" t="str">
        <f aca="false">Complaints!C282</f>
        <v>Mis-selling</v>
      </c>
      <c r="D282" s="0" t="str">
        <f aca="false">" "&amp;TRIM(SUBSTITUTE(SUBSTITUTE(SUBSTITUTE(SUBSTITUTE(SUBSTITUTE(SUBSTITUTE(SUBSTITUTE(SUBSTITUTE(SUBSTITUTE(SUBSTITUTE(SUBSTITUTE(SUBSTITUTE(SUBSTITUTE(SUBSTITUTE(SUBSTITUTE(SUBSTITUTE(LOWER(B282),"."," "),","," "),"'"," "),"’"," "),"!"," "),"?"," "),";"," "),":"," "),"-"," "),"("," "),")"," "),"""", " "),"£"," "),"&amp;"," "),"/"," "),"%"," "))&amp;" "</f>
        <v> frankly the brochure said guaranteed returns and my money has lost value also the app crashes every time i try to open my statements please sort this out </v>
      </c>
      <c r="E282" s="0" t="n">
        <f aca="false">SUMPRODUCT((Rules!$A$2:$A$60=E$1)*Rules!$C$2:$C$60*ISNUMBER(SEARCH(Rules!$D$2:$D$60,$D282)))</f>
        <v>0</v>
      </c>
      <c r="F282" s="0" t="n">
        <f aca="false">SUMPRODUCT((Rules!$A$2:$A$60=F$1)*Rules!$C$2:$C$60*ISNUMBER(SEARCH(Rules!$D$2:$D$60,$D282)))</f>
        <v>2</v>
      </c>
      <c r="G282" s="0" t="n">
        <f aca="false">SUMPRODUCT((Rules!$A$2:$A$60=G$1)*Rules!$C$2:$C$60*ISNUMBER(SEARCH(Rules!$D$2:$D$60,$D282)))</f>
        <v>3</v>
      </c>
      <c r="H282" s="0" t="n">
        <f aca="false">SUMPRODUCT((Rules!$A$2:$A$60=H$1)*Rules!$C$2:$C$60*ISNUMBER(SEARCH(Rules!$D$2:$D$60,$D282)))</f>
        <v>0</v>
      </c>
      <c r="I282" s="0" t="n">
        <f aca="false">SUMPRODUCT((Rules!$A$2:$A$60=I$1)*Rules!$C$2:$C$60*ISNUMBER(SEARCH(Rules!$D$2:$D$60,$D282)))</f>
        <v>0</v>
      </c>
      <c r="J282" s="0" t="n">
        <f aca="false">SUMPRODUCT((Rules!$A$2:$A$60=J$1)*Rules!$C$2:$C$60*ISNUMBER(SEARCH(Rules!$D$2:$D$60,$D282)))</f>
        <v>0</v>
      </c>
      <c r="K282" s="0" t="str">
        <f aca="false">IF(OR(MAX(E282:J282)&lt;Rules!$H$1,MAX(E282:J282)-LARGE(E282:J282,2)&lt;Rules!$H$2),"No label",INDEX($E$1:$J$1,MATCH(MAX(E282:J282),E282:J282,0)))</f>
        <v>No label</v>
      </c>
      <c r="L282" s="0" t="n">
        <f aca="false">SUMPRODUCT((Rules!$A$2:$A$60=L$1)*Rules!$C$2:$C$60*ISNUMBER(SEARCH(Rules!$E$2:$E$60,$D282)))</f>
        <v>0</v>
      </c>
      <c r="M282" s="0" t="n">
        <f aca="false">SUMPRODUCT((Rules!$A$2:$A$60=M$1)*Rules!$C$2:$C$60*ISNUMBER(SEARCH(Rules!$E$2:$E$60,$D282)))</f>
        <v>2</v>
      </c>
      <c r="N282" s="0" t="n">
        <f aca="false">SUMPRODUCT((Rules!$A$2:$A$60=N$1)*Rules!$C$2:$C$60*ISNUMBER(SEARCH(Rules!$E$2:$E$60,$D282)))</f>
        <v>3</v>
      </c>
      <c r="O282" s="0" t="n">
        <f aca="false">SUMPRODUCT((Rules!$A$2:$A$60=O$1)*Rules!$C$2:$C$60*ISNUMBER(SEARCH(Rules!$E$2:$E$60,$D282)))</f>
        <v>1</v>
      </c>
      <c r="P282" s="0" t="n">
        <f aca="false">SUMPRODUCT((Rules!$A$2:$A$60=P$1)*Rules!$C$2:$C$60*ISNUMBER(SEARCH(Rules!$E$2:$E$60,$D282)))</f>
        <v>0</v>
      </c>
      <c r="Q282" s="0" t="n">
        <f aca="false">SUMPRODUCT((Rules!$A$2:$A$60=Q$1)*Rules!$C$2:$C$60*ISNUMBER(SEARCH(Rules!$E$2:$E$60,$D282)))</f>
        <v>0</v>
      </c>
      <c r="R282" s="0" t="str">
        <f aca="false">IF(OR(MAX(L282:Q282)&lt;Rules!$H$1,MAX(L282:Q282)-LARGE(L282:Q282,2)&lt;Rules!$H$2),"No label",INDEX($L$1:$Q$1,MATCH(MAX(L282:Q282),L282:Q282,0)))</f>
        <v>No label</v>
      </c>
      <c r="S282" s="0" t="n">
        <f aca="false">SUMPRODUCT(ISNUMBER(SEARCH(" "&amp;Terms!$A$3:$A$821&amp;" ",$D282))*Terms!B$3:B$821)+Terms!B$2</f>
        <v>1.90463852763874</v>
      </c>
      <c r="T282" s="0" t="n">
        <f aca="false">SUMPRODUCT(ISNUMBER(SEARCH(" "&amp;Terms!$A$3:$A$821&amp;" ",$D282))*Terms!C$3:C$821)+Terms!C$2</f>
        <v>-3.84277222623156</v>
      </c>
      <c r="U282" s="0" t="n">
        <f aca="false">SUMPRODUCT(ISNUMBER(SEARCH(" "&amp;Terms!$A$3:$A$821&amp;" ",$D282))*Terms!D$3:D$821)+Terms!D$2</f>
        <v>-3.26297317153553</v>
      </c>
      <c r="V282" s="0" t="n">
        <f aca="false">SUMPRODUCT(ISNUMBER(SEARCH(" "&amp;Terms!$A$3:$A$821&amp;" ",$D282))*Terms!E$3:E$821)+Terms!E$2</f>
        <v>-2.85202762394387</v>
      </c>
      <c r="W282" s="0" t="n">
        <f aca="false">SUMPRODUCT(ISNUMBER(SEARCH(" "&amp;Terms!$A$3:$A$821&amp;" ",$D282))*Terms!F$3:F$821)+Terms!F$2</f>
        <v>-1.81062632199557</v>
      </c>
      <c r="X282" s="0" t="n">
        <f aca="false">SUMPRODUCT(ISNUMBER(SEARCH(" "&amp;Terms!$A$3:$A$821&amp;" ",$D282))*Terms!G$3:G$821)+Terms!G$2</f>
        <v>9.86376081606791</v>
      </c>
      <c r="Y282" s="0" t="str">
        <f aca="false">INDEX($S$1:$X$1,MATCH(MAX(S282:X282),S282:X282,0))</f>
        <v>Mis-selling</v>
      </c>
      <c r="Z282" s="0" t="s">
        <v>2607</v>
      </c>
    </row>
    <row r="283" customFormat="false" ht="15" hidden="false" customHeight="false" outlineLevel="0" collapsed="false">
      <c r="A283" s="0" t="str">
        <f aca="false">Complaints!A283</f>
        <v>C0282</v>
      </c>
      <c r="B283" s="0" t="str">
        <f aca="false">Complaints!B283</f>
        <v>I am writing to complain. I am unable to access my account to see my balance.</v>
      </c>
      <c r="C283" s="0" t="str">
        <f aca="false">Complaints!C283</f>
        <v>Account Access</v>
      </c>
      <c r="D283" s="0" t="str">
        <f aca="false">" "&amp;TRIM(SUBSTITUTE(SUBSTITUTE(SUBSTITUTE(SUBSTITUTE(SUBSTITUTE(SUBSTITUTE(SUBSTITUTE(SUBSTITUTE(SUBSTITUTE(SUBSTITUTE(SUBSTITUTE(SUBSTITUTE(SUBSTITUTE(SUBSTITUTE(SUBSTITUTE(SUBSTITUTE(LOWER(B283),"."," "),","," "),"'"," "),"’"," "),"!"," "),"?"," "),";"," "),":"," "),"-"," "),"("," "),")"," "),"""", " "),"£"," "),"&amp;"," "),"/"," "),"%"," "))&amp;" "</f>
        <v> i am writing to complain i am unable to access my account to see my balance </v>
      </c>
      <c r="E283" s="0" t="n">
        <f aca="false">SUMPRODUCT((Rules!$A$2:$A$60=E$1)*Rules!$C$2:$C$60*ISNUMBER(SEARCH(Rules!$D$2:$D$60,$D283)))</f>
        <v>0</v>
      </c>
      <c r="F283" s="0" t="n">
        <f aca="false">SUMPRODUCT((Rules!$A$2:$A$60=F$1)*Rules!$C$2:$C$60*ISNUMBER(SEARCH(Rules!$D$2:$D$60,$D283)))</f>
        <v>0</v>
      </c>
      <c r="G283" s="0" t="n">
        <f aca="false">SUMPRODUCT((Rules!$A$2:$A$60=G$1)*Rules!$C$2:$C$60*ISNUMBER(SEARCH(Rules!$D$2:$D$60,$D283)))</f>
        <v>1</v>
      </c>
      <c r="H283" s="0" t="n">
        <f aca="false">SUMPRODUCT((Rules!$A$2:$A$60=H$1)*Rules!$C$2:$C$60*ISNUMBER(SEARCH(Rules!$D$2:$D$60,$D283)))</f>
        <v>0</v>
      </c>
      <c r="I283" s="0" t="n">
        <f aca="false">SUMPRODUCT((Rules!$A$2:$A$60=I$1)*Rules!$C$2:$C$60*ISNUMBER(SEARCH(Rules!$D$2:$D$60,$D283)))</f>
        <v>0</v>
      </c>
      <c r="J283" s="0" t="n">
        <f aca="false">SUMPRODUCT((Rules!$A$2:$A$60=J$1)*Rules!$C$2:$C$60*ISNUMBER(SEARCH(Rules!$D$2:$D$60,$D283)))</f>
        <v>0</v>
      </c>
      <c r="K283" s="0" t="str">
        <f aca="false">IF(OR(MAX(E283:J283)&lt;Rules!$H$1,MAX(E283:J283)-LARGE(E283:J283,2)&lt;Rules!$H$2),"No label",INDEX($E$1:$J$1,MATCH(MAX(E283:J283),E283:J283,0)))</f>
        <v>No label</v>
      </c>
      <c r="L283" s="0" t="n">
        <f aca="false">SUMPRODUCT((Rules!$A$2:$A$60=L$1)*Rules!$C$2:$C$60*ISNUMBER(SEARCH(Rules!$E$2:$E$60,$D283)))</f>
        <v>0</v>
      </c>
      <c r="M283" s="0" t="n">
        <f aca="false">SUMPRODUCT((Rules!$A$2:$A$60=M$1)*Rules!$C$2:$C$60*ISNUMBER(SEARCH(Rules!$E$2:$E$60,$D283)))</f>
        <v>0</v>
      </c>
      <c r="N283" s="0" t="n">
        <f aca="false">SUMPRODUCT((Rules!$A$2:$A$60=N$1)*Rules!$C$2:$C$60*ISNUMBER(SEARCH(Rules!$E$2:$E$60,$D283)))</f>
        <v>1</v>
      </c>
      <c r="O283" s="0" t="n">
        <f aca="false">SUMPRODUCT((Rules!$A$2:$A$60=O$1)*Rules!$C$2:$C$60*ISNUMBER(SEARCH(Rules!$E$2:$E$60,$D283)))</f>
        <v>0</v>
      </c>
      <c r="P283" s="0" t="n">
        <f aca="false">SUMPRODUCT((Rules!$A$2:$A$60=P$1)*Rules!$C$2:$C$60*ISNUMBER(SEARCH(Rules!$E$2:$E$60,$D283)))</f>
        <v>0</v>
      </c>
      <c r="Q283" s="0" t="n">
        <f aca="false">SUMPRODUCT((Rules!$A$2:$A$60=Q$1)*Rules!$C$2:$C$60*ISNUMBER(SEARCH(Rules!$E$2:$E$60,$D283)))</f>
        <v>0</v>
      </c>
      <c r="R283" s="0" t="str">
        <f aca="false">IF(OR(MAX(L283:Q283)&lt;Rules!$H$1,MAX(L283:Q283)-LARGE(L283:Q283,2)&lt;Rules!$H$2),"No label",INDEX($L$1:$Q$1,MATCH(MAX(L283:Q283),L283:Q283,0)))</f>
        <v>No label</v>
      </c>
      <c r="S283" s="0" t="n">
        <f aca="false">SUMPRODUCT(ISNUMBER(SEARCH(" "&amp;Terms!$A$3:$A$821&amp;" ",$D283))*Terms!B$3:B$821)+Terms!B$2</f>
        <v>6.87863494439826</v>
      </c>
      <c r="T283" s="0" t="n">
        <f aca="false">SUMPRODUCT(ISNUMBER(SEARCH(" "&amp;Terms!$A$3:$A$821&amp;" ",$D283))*Terms!C$3:C$821)+Terms!C$2</f>
        <v>-3.09218324680455</v>
      </c>
      <c r="U283" s="0" t="n">
        <f aca="false">SUMPRODUCT(ISNUMBER(SEARCH(" "&amp;Terms!$A$3:$A$821&amp;" ",$D283))*Terms!D$3:D$821)+Terms!D$2</f>
        <v>3.18336534381902</v>
      </c>
      <c r="V283" s="0" t="n">
        <f aca="false">SUMPRODUCT(ISNUMBER(SEARCH(" "&amp;Terms!$A$3:$A$821&amp;" ",$D283))*Terms!E$3:E$821)+Terms!E$2</f>
        <v>-2.35427490208404</v>
      </c>
      <c r="W283" s="0" t="n">
        <f aca="false">SUMPRODUCT(ISNUMBER(SEARCH(" "&amp;Terms!$A$3:$A$821&amp;" ",$D283))*Terms!F$3:F$821)+Terms!F$2</f>
        <v>-1.5992362521959</v>
      </c>
      <c r="X283" s="0" t="n">
        <f aca="false">SUMPRODUCT(ISNUMBER(SEARCH(" "&amp;Terms!$A$3:$A$821&amp;" ",$D283))*Terms!G$3:G$821)+Terms!G$2</f>
        <v>-3.0163058871327</v>
      </c>
      <c r="Y283" s="0" t="str">
        <f aca="false">INDEX($S$1:$X$1,MATCH(MAX(S283:X283),S283:X283,0))</f>
        <v>Account Access</v>
      </c>
      <c r="Z283" s="0" t="s">
        <v>2607</v>
      </c>
    </row>
    <row r="284" customFormat="false" ht="15" hidden="false" customHeight="false" outlineLevel="0" collapsed="false">
      <c r="A284" s="0" t="str">
        <f aca="false">Complaints!A284</f>
        <v>C0283</v>
      </c>
      <c r="B284" s="0" t="str">
        <f aca="false">Complaints!B284</f>
        <v>I am writing to complain. You promised the money within three working days and it is still outstanding. Also, the terms were very different from what I was promised at the time of sale. I would like a response in writing.</v>
      </c>
      <c r="C284" s="0" t="str">
        <f aca="false">Complaints!C284</f>
        <v>Delays &amp; Processing</v>
      </c>
      <c r="D284" s="0" t="str">
        <f aca="false">" "&amp;TRIM(SUBSTITUTE(SUBSTITUTE(SUBSTITUTE(SUBSTITUTE(SUBSTITUTE(SUBSTITUTE(SUBSTITUTE(SUBSTITUTE(SUBSTITUTE(SUBSTITUTE(SUBSTITUTE(SUBSTITUTE(SUBSTITUTE(SUBSTITUTE(SUBSTITUTE(SUBSTITUTE(LOWER(B284),"."," "),","," "),"'"," "),"’"," "),"!"," "),"?"," "),";"," "),":"," "),"-"," "),"("," "),")"," "),"""", " "),"£"," "),"&amp;"," "),"/"," "),"%"," "))&amp;" "</f>
        <v> i am writing to complain you promised the money within three working days and it is still outstanding also the terms were very different from what i was promised at the time of sale i would like a response in writing </v>
      </c>
      <c r="E284" s="0" t="n">
        <f aca="false">SUMPRODUCT((Rules!$A$2:$A$60=E$1)*Rules!$C$2:$C$60*ISNUMBER(SEARCH(Rules!$D$2:$D$60,$D284)))</f>
        <v>0</v>
      </c>
      <c r="F284" s="0" t="n">
        <f aca="false">SUMPRODUCT((Rules!$A$2:$A$60=F$1)*Rules!$C$2:$C$60*ISNUMBER(SEARCH(Rules!$D$2:$D$60,$D284)))</f>
        <v>1</v>
      </c>
      <c r="G284" s="0" t="n">
        <f aca="false">SUMPRODUCT((Rules!$A$2:$A$60=G$1)*Rules!$C$2:$C$60*ISNUMBER(SEARCH(Rules!$D$2:$D$60,$D284)))</f>
        <v>0</v>
      </c>
      <c r="H284" s="0" t="n">
        <f aca="false">SUMPRODUCT((Rules!$A$2:$A$60=H$1)*Rules!$C$2:$C$60*ISNUMBER(SEARCH(Rules!$D$2:$D$60,$D284)))</f>
        <v>0</v>
      </c>
      <c r="I284" s="0" t="n">
        <f aca="false">SUMPRODUCT((Rules!$A$2:$A$60=I$1)*Rules!$C$2:$C$60*ISNUMBER(SEARCH(Rules!$D$2:$D$60,$D284)))</f>
        <v>2</v>
      </c>
      <c r="J284" s="0" t="n">
        <f aca="false">SUMPRODUCT((Rules!$A$2:$A$60=J$1)*Rules!$C$2:$C$60*ISNUMBER(SEARCH(Rules!$D$2:$D$60,$D284)))</f>
        <v>0</v>
      </c>
      <c r="K284" s="0" t="str">
        <f aca="false">IF(OR(MAX(E284:J284)&lt;Rules!$H$1,MAX(E284:J284)-LARGE(E284:J284,2)&lt;Rules!$H$2),"No label",INDEX($E$1:$J$1,MATCH(MAX(E284:J284),E284:J284,0)))</f>
        <v>No label</v>
      </c>
      <c r="L284" s="0" t="n">
        <f aca="false">SUMPRODUCT((Rules!$A$2:$A$60=L$1)*Rules!$C$2:$C$60*ISNUMBER(SEARCH(Rules!$E$2:$E$60,$D284)))</f>
        <v>0</v>
      </c>
      <c r="M284" s="0" t="n">
        <f aca="false">SUMPRODUCT((Rules!$A$2:$A$60=M$1)*Rules!$C$2:$C$60*ISNUMBER(SEARCH(Rules!$E$2:$E$60,$D284)))</f>
        <v>1</v>
      </c>
      <c r="N284" s="0" t="n">
        <f aca="false">SUMPRODUCT((Rules!$A$2:$A$60=N$1)*Rules!$C$2:$C$60*ISNUMBER(SEARCH(Rules!$E$2:$E$60,$D284)))</f>
        <v>0</v>
      </c>
      <c r="O284" s="0" t="n">
        <f aca="false">SUMPRODUCT((Rules!$A$2:$A$60=O$1)*Rules!$C$2:$C$60*ISNUMBER(SEARCH(Rules!$E$2:$E$60,$D284)))</f>
        <v>0</v>
      </c>
      <c r="P284" s="0" t="n">
        <f aca="false">SUMPRODUCT((Rules!$A$2:$A$60=P$1)*Rules!$C$2:$C$60*ISNUMBER(SEARCH(Rules!$E$2:$E$60,$D284)))</f>
        <v>2</v>
      </c>
      <c r="Q284" s="0" t="n">
        <f aca="false">SUMPRODUCT((Rules!$A$2:$A$60=Q$1)*Rules!$C$2:$C$60*ISNUMBER(SEARCH(Rules!$E$2:$E$60,$D284)))</f>
        <v>0</v>
      </c>
      <c r="R284" s="0" t="str">
        <f aca="false">IF(OR(MAX(L284:Q284)&lt;Rules!$H$1,MAX(L284:Q284)-LARGE(L284:Q284,2)&lt;Rules!$H$2),"No label",INDEX($L$1:$Q$1,MATCH(MAX(L284:Q284),L284:Q284,0)))</f>
        <v>No label</v>
      </c>
      <c r="S284" s="0" t="n">
        <f aca="false">SUMPRODUCT(ISNUMBER(SEARCH(" "&amp;Terms!$A$3:$A$821&amp;" ",$D284))*Terms!B$3:B$821)+Terms!B$2</f>
        <v>0.387672462325999</v>
      </c>
      <c r="T284" s="0" t="n">
        <f aca="false">SUMPRODUCT(ISNUMBER(SEARCH(" "&amp;Terms!$A$3:$A$821&amp;" ",$D284))*Terms!C$3:C$821)+Terms!C$2</f>
        <v>-4.64918769189543</v>
      </c>
      <c r="U284" s="0" t="n">
        <f aca="false">SUMPRODUCT(ISNUMBER(SEARCH(" "&amp;Terms!$A$3:$A$821&amp;" ",$D284))*Terms!D$3:D$821)+Terms!D$2</f>
        <v>8.16553472569903</v>
      </c>
      <c r="V284" s="0" t="n">
        <f aca="false">SUMPRODUCT(ISNUMBER(SEARCH(" "&amp;Terms!$A$3:$A$821&amp;" ",$D284))*Terms!E$3:E$821)+Terms!E$2</f>
        <v>-4.91387010826089</v>
      </c>
      <c r="W284" s="0" t="n">
        <f aca="false">SUMPRODUCT(ISNUMBER(SEARCH(" "&amp;Terms!$A$3:$A$821&amp;" ",$D284))*Terms!F$3:F$821)+Terms!F$2</f>
        <v>-5.4959094972892</v>
      </c>
      <c r="X284" s="0" t="n">
        <f aca="false">SUMPRODUCT(ISNUMBER(SEARCH(" "&amp;Terms!$A$3:$A$821&amp;" ",$D284))*Terms!G$3:G$821)+Terms!G$2</f>
        <v>6.50576010942057</v>
      </c>
      <c r="Y284" s="0" t="str">
        <f aca="false">INDEX($S$1:$X$1,MATCH(MAX(S284:X284),S284:X284,0))</f>
        <v>Delays &amp; Processing</v>
      </c>
      <c r="Z284" s="0" t="s">
        <v>2607</v>
      </c>
    </row>
    <row r="285" customFormat="false" ht="15" hidden="false" customHeight="false" outlineLevel="0" collapsed="false">
      <c r="A285" s="0" t="str">
        <f aca="false">Complaints!A285</f>
        <v>C0284</v>
      </c>
      <c r="B285" s="0" t="str">
        <f aca="false">Complaints!B285</f>
        <v>Hello, There is an unexpected charge on my statement of £48.</v>
      </c>
      <c r="C285" s="0" t="str">
        <f aca="false">Complaints!C285</f>
        <v>Fees &amp; Charges</v>
      </c>
      <c r="D285" s="0" t="str">
        <f aca="false">" "&amp;TRIM(SUBSTITUTE(SUBSTITUTE(SUBSTITUTE(SUBSTITUTE(SUBSTITUTE(SUBSTITUTE(SUBSTITUTE(SUBSTITUTE(SUBSTITUTE(SUBSTITUTE(SUBSTITUTE(SUBSTITUTE(SUBSTITUTE(SUBSTITUTE(SUBSTITUTE(SUBSTITUTE(LOWER(B285),"."," "),","," "),"'"," "),"’"," "),"!"," "),"?"," "),";"," "),":"," "),"-"," "),"("," "),")"," "),"""", " "),"£"," "),"&amp;"," "),"/"," "),"%"," "))&amp;" "</f>
        <v> hello there is an unexpected charge on my statement of 48 </v>
      </c>
      <c r="E285" s="0" t="n">
        <f aca="false">SUMPRODUCT((Rules!$A$2:$A$60=E$1)*Rules!$C$2:$C$60*ISNUMBER(SEARCH(Rules!$D$2:$D$60,$D285)))</f>
        <v>0</v>
      </c>
      <c r="F285" s="0" t="n">
        <f aca="false">SUMPRODUCT((Rules!$A$2:$A$60=F$1)*Rules!$C$2:$C$60*ISNUMBER(SEARCH(Rules!$D$2:$D$60,$D285)))</f>
        <v>0</v>
      </c>
      <c r="G285" s="0" t="n">
        <f aca="false">SUMPRODUCT((Rules!$A$2:$A$60=G$1)*Rules!$C$2:$C$60*ISNUMBER(SEARCH(Rules!$D$2:$D$60,$D285)))</f>
        <v>0</v>
      </c>
      <c r="H285" s="0" t="n">
        <f aca="false">SUMPRODUCT((Rules!$A$2:$A$60=H$1)*Rules!$C$2:$C$60*ISNUMBER(SEARCH(Rules!$D$2:$D$60,$D285)))</f>
        <v>3</v>
      </c>
      <c r="I285" s="0" t="n">
        <f aca="false">SUMPRODUCT((Rules!$A$2:$A$60=I$1)*Rules!$C$2:$C$60*ISNUMBER(SEARCH(Rules!$D$2:$D$60,$D285)))</f>
        <v>0</v>
      </c>
      <c r="J285" s="0" t="n">
        <f aca="false">SUMPRODUCT((Rules!$A$2:$A$60=J$1)*Rules!$C$2:$C$60*ISNUMBER(SEARCH(Rules!$D$2:$D$60,$D285)))</f>
        <v>0</v>
      </c>
      <c r="K285" s="0" t="str">
        <f aca="false">IF(OR(MAX(E285:J285)&lt;Rules!$H$1,MAX(E285:J285)-LARGE(E285:J285,2)&lt;Rules!$H$2),"No label",INDEX($E$1:$J$1,MATCH(MAX(E285:J285),E285:J285,0)))</f>
        <v>Fees &amp; Charges</v>
      </c>
      <c r="L285" s="0" t="n">
        <f aca="false">SUMPRODUCT((Rules!$A$2:$A$60=L$1)*Rules!$C$2:$C$60*ISNUMBER(SEARCH(Rules!$E$2:$E$60,$D285)))</f>
        <v>0</v>
      </c>
      <c r="M285" s="0" t="n">
        <f aca="false">SUMPRODUCT((Rules!$A$2:$A$60=M$1)*Rules!$C$2:$C$60*ISNUMBER(SEARCH(Rules!$E$2:$E$60,$D285)))</f>
        <v>0</v>
      </c>
      <c r="N285" s="0" t="n">
        <f aca="false">SUMPRODUCT((Rules!$A$2:$A$60=N$1)*Rules!$C$2:$C$60*ISNUMBER(SEARCH(Rules!$E$2:$E$60,$D285)))</f>
        <v>0</v>
      </c>
      <c r="O285" s="0" t="n">
        <f aca="false">SUMPRODUCT((Rules!$A$2:$A$60=O$1)*Rules!$C$2:$C$60*ISNUMBER(SEARCH(Rules!$E$2:$E$60,$D285)))</f>
        <v>5</v>
      </c>
      <c r="P285" s="0" t="n">
        <f aca="false">SUMPRODUCT((Rules!$A$2:$A$60=P$1)*Rules!$C$2:$C$60*ISNUMBER(SEARCH(Rules!$E$2:$E$60,$D285)))</f>
        <v>0</v>
      </c>
      <c r="Q285" s="0" t="n">
        <f aca="false">SUMPRODUCT((Rules!$A$2:$A$60=Q$1)*Rules!$C$2:$C$60*ISNUMBER(SEARCH(Rules!$E$2:$E$60,$D285)))</f>
        <v>0</v>
      </c>
      <c r="R285" s="0" t="str">
        <f aca="false">IF(OR(MAX(L285:Q285)&lt;Rules!$H$1,MAX(L285:Q285)-LARGE(L285:Q285,2)&lt;Rules!$H$2),"No label",INDEX($L$1:$Q$1,MATCH(MAX(L285:Q285),L285:Q285,0)))</f>
        <v>Fees &amp; Charges</v>
      </c>
      <c r="S285" s="0" t="n">
        <f aca="false">SUMPRODUCT(ISNUMBER(SEARCH(" "&amp;Terms!$A$3:$A$821&amp;" ",$D285))*Terms!B$3:B$821)+Terms!B$2</f>
        <v>-2.52183424912491</v>
      </c>
      <c r="T285" s="0" t="n">
        <f aca="false">SUMPRODUCT(ISNUMBER(SEARCH(" "&amp;Terms!$A$3:$A$821&amp;" ",$D285))*Terms!C$3:C$821)+Terms!C$2</f>
        <v>-1.29256554445347</v>
      </c>
      <c r="U285" s="0" t="n">
        <f aca="false">SUMPRODUCT(ISNUMBER(SEARCH(" "&amp;Terms!$A$3:$A$821&amp;" ",$D285))*Terms!D$3:D$821)+Terms!D$2</f>
        <v>-3.42858688177422</v>
      </c>
      <c r="V285" s="0" t="n">
        <f aca="false">SUMPRODUCT(ISNUMBER(SEARCH(" "&amp;Terms!$A$3:$A$821&amp;" ",$D285))*Terms!E$3:E$821)+Terms!E$2</f>
        <v>10.4861881346394</v>
      </c>
      <c r="W285" s="0" t="n">
        <f aca="false">SUMPRODUCT(ISNUMBER(SEARCH(" "&amp;Terms!$A$3:$A$821&amp;" ",$D285))*Terms!F$3:F$821)+Terms!F$2</f>
        <v>-0.822350277669981</v>
      </c>
      <c r="X285" s="0" t="n">
        <f aca="false">SUMPRODUCT(ISNUMBER(SEARCH(" "&amp;Terms!$A$3:$A$821&amp;" ",$D285))*Terms!G$3:G$821)+Terms!G$2</f>
        <v>-2.42085118161671</v>
      </c>
      <c r="Y285" s="0" t="str">
        <f aca="false">INDEX($S$1:$X$1,MATCH(MAX(S285:X285),S285:X285,0))</f>
        <v>Fees &amp; Charges</v>
      </c>
      <c r="Z285" s="0" t="s">
        <v>2607</v>
      </c>
    </row>
    <row r="286" customFormat="false" ht="15" hidden="false" customHeight="false" outlineLevel="0" collapsed="false">
      <c r="A286" s="0" t="str">
        <f aca="false">Complaints!A286</f>
        <v>C0285</v>
      </c>
      <c r="B286" s="0" t="str">
        <f aca="false">Complaints!B286</f>
        <v>I was tricked into moving savings to a safe account that was not safe. Please sort this out.</v>
      </c>
      <c r="C286" s="0" t="str">
        <f aca="false">Complaints!C286</f>
        <v>Fraud &amp; Scams</v>
      </c>
      <c r="D286" s="0" t="str">
        <f aca="false">" "&amp;TRIM(SUBSTITUTE(SUBSTITUTE(SUBSTITUTE(SUBSTITUTE(SUBSTITUTE(SUBSTITUTE(SUBSTITUTE(SUBSTITUTE(SUBSTITUTE(SUBSTITUTE(SUBSTITUTE(SUBSTITUTE(SUBSTITUTE(SUBSTITUTE(SUBSTITUTE(SUBSTITUTE(LOWER(B286),"."," "),","," "),"'"," "),"’"," "),"!"," "),"?"," "),";"," "),":"," "),"-"," "),"("," "),")"," "),"""", " "),"£"," "),"&amp;"," "),"/"," "),"%"," "))&amp;" "</f>
        <v> i was tricked into moving savings to a safe account that was not safe please sort this out </v>
      </c>
      <c r="E286" s="0" t="n">
        <f aca="false">SUMPRODUCT((Rules!$A$2:$A$60=E$1)*Rules!$C$2:$C$60*ISNUMBER(SEARCH(Rules!$D$2:$D$60,$D286)))</f>
        <v>2</v>
      </c>
      <c r="F286" s="0" t="n">
        <f aca="false">SUMPRODUCT((Rules!$A$2:$A$60=F$1)*Rules!$C$2:$C$60*ISNUMBER(SEARCH(Rules!$D$2:$D$60,$D286)))</f>
        <v>0</v>
      </c>
      <c r="G286" s="0" t="n">
        <f aca="false">SUMPRODUCT((Rules!$A$2:$A$60=G$1)*Rules!$C$2:$C$60*ISNUMBER(SEARCH(Rules!$D$2:$D$60,$D286)))</f>
        <v>0</v>
      </c>
      <c r="H286" s="0" t="n">
        <f aca="false">SUMPRODUCT((Rules!$A$2:$A$60=H$1)*Rules!$C$2:$C$60*ISNUMBER(SEARCH(Rules!$D$2:$D$60,$D286)))</f>
        <v>0</v>
      </c>
      <c r="I286" s="0" t="n">
        <f aca="false">SUMPRODUCT((Rules!$A$2:$A$60=I$1)*Rules!$C$2:$C$60*ISNUMBER(SEARCH(Rules!$D$2:$D$60,$D286)))</f>
        <v>0</v>
      </c>
      <c r="J286" s="0" t="n">
        <f aca="false">SUMPRODUCT((Rules!$A$2:$A$60=J$1)*Rules!$C$2:$C$60*ISNUMBER(SEARCH(Rules!$D$2:$D$60,$D286)))</f>
        <v>0</v>
      </c>
      <c r="K286" s="0" t="str">
        <f aca="false">IF(OR(MAX(E286:J286)&lt;Rules!$H$1,MAX(E286:J286)-LARGE(E286:J286,2)&lt;Rules!$H$2),"No label",INDEX($E$1:$J$1,MATCH(MAX(E286:J286),E286:J286,0)))</f>
        <v>No label</v>
      </c>
      <c r="L286" s="0" t="n">
        <f aca="false">SUMPRODUCT((Rules!$A$2:$A$60=L$1)*Rules!$C$2:$C$60*ISNUMBER(SEARCH(Rules!$E$2:$E$60,$D286)))</f>
        <v>2</v>
      </c>
      <c r="M286" s="0" t="n">
        <f aca="false">SUMPRODUCT((Rules!$A$2:$A$60=M$1)*Rules!$C$2:$C$60*ISNUMBER(SEARCH(Rules!$E$2:$E$60,$D286)))</f>
        <v>0</v>
      </c>
      <c r="N286" s="0" t="n">
        <f aca="false">SUMPRODUCT((Rules!$A$2:$A$60=N$1)*Rules!$C$2:$C$60*ISNUMBER(SEARCH(Rules!$E$2:$E$60,$D286)))</f>
        <v>0</v>
      </c>
      <c r="O286" s="0" t="n">
        <f aca="false">SUMPRODUCT((Rules!$A$2:$A$60=O$1)*Rules!$C$2:$C$60*ISNUMBER(SEARCH(Rules!$E$2:$E$60,$D286)))</f>
        <v>0</v>
      </c>
      <c r="P286" s="0" t="n">
        <f aca="false">SUMPRODUCT((Rules!$A$2:$A$60=P$1)*Rules!$C$2:$C$60*ISNUMBER(SEARCH(Rules!$E$2:$E$60,$D286)))</f>
        <v>0</v>
      </c>
      <c r="Q286" s="0" t="n">
        <f aca="false">SUMPRODUCT((Rules!$A$2:$A$60=Q$1)*Rules!$C$2:$C$60*ISNUMBER(SEARCH(Rules!$E$2:$E$60,$D286)))</f>
        <v>0</v>
      </c>
      <c r="R286" s="0" t="str">
        <f aca="false">IF(OR(MAX(L286:Q286)&lt;Rules!$H$1,MAX(L286:Q286)-LARGE(L286:Q286,2)&lt;Rules!$H$2),"No label",INDEX($L$1:$Q$1,MATCH(MAX(L286:Q286),L286:Q286,0)))</f>
        <v>No label</v>
      </c>
      <c r="S286" s="0" t="n">
        <f aca="false">SUMPRODUCT(ISNUMBER(SEARCH(" "&amp;Terms!$A$3:$A$821&amp;" ",$D286))*Terms!B$3:B$821)+Terms!B$2</f>
        <v>-3.4723730374745</v>
      </c>
      <c r="T286" s="0" t="n">
        <f aca="false">SUMPRODUCT(ISNUMBER(SEARCH(" "&amp;Terms!$A$3:$A$821&amp;" ",$D286))*Terms!C$3:C$821)+Terms!C$2</f>
        <v>-4.83389068228897</v>
      </c>
      <c r="U286" s="0" t="n">
        <f aca="false">SUMPRODUCT(ISNUMBER(SEARCH(" "&amp;Terms!$A$3:$A$821&amp;" ",$D286))*Terms!D$3:D$821)+Terms!D$2</f>
        <v>2.55234517016591</v>
      </c>
      <c r="V286" s="0" t="n">
        <f aca="false">SUMPRODUCT(ISNUMBER(SEARCH(" "&amp;Terms!$A$3:$A$821&amp;" ",$D286))*Terms!E$3:E$821)+Terms!E$2</f>
        <v>0.383384901432797</v>
      </c>
      <c r="W286" s="0" t="n">
        <f aca="false">SUMPRODUCT(ISNUMBER(SEARCH(" "&amp;Terms!$A$3:$A$821&amp;" ",$D286))*Terms!F$3:F$821)+Terms!F$2</f>
        <v>9.83992510564454</v>
      </c>
      <c r="X286" s="0" t="n">
        <f aca="false">SUMPRODUCT(ISNUMBER(SEARCH(" "&amp;Terms!$A$3:$A$821&amp;" ",$D286))*Terms!G$3:G$821)+Terms!G$2</f>
        <v>-4.4693914574797</v>
      </c>
      <c r="Y286" s="0" t="str">
        <f aca="false">INDEX($S$1:$X$1,MATCH(MAX(S286:X286),S286:X286,0))</f>
        <v>Fraud &amp; Scams</v>
      </c>
      <c r="Z286" s="0" t="s">
        <v>2607</v>
      </c>
    </row>
    <row r="287" customFormat="false" ht="15" hidden="false" customHeight="false" outlineLevel="0" collapsed="false">
      <c r="A287" s="0" t="str">
        <f aca="false">Complaints!A287</f>
        <v>C0286</v>
      </c>
      <c r="B287" s="0" t="str">
        <f aca="false">Complaints!B287</f>
        <v>This is the second time I have raised this. The adviser did not explain the risks of the investment. Please sort this out.</v>
      </c>
      <c r="C287" s="0" t="str">
        <f aca="false">Complaints!C287</f>
        <v>Mis-selling</v>
      </c>
      <c r="D287" s="0" t="str">
        <f aca="false">" "&amp;TRIM(SUBSTITUTE(SUBSTITUTE(SUBSTITUTE(SUBSTITUTE(SUBSTITUTE(SUBSTITUTE(SUBSTITUTE(SUBSTITUTE(SUBSTITUTE(SUBSTITUTE(SUBSTITUTE(SUBSTITUTE(SUBSTITUTE(SUBSTITUTE(SUBSTITUTE(SUBSTITUTE(LOWER(B287),"."," "),","," "),"'"," "),"’"," "),"!"," "),"?"," "),";"," "),":"," "),"-"," "),"("," "),")"," "),"""", " "),"£"," "),"&amp;"," "),"/"," "),"%"," "))&amp;" "</f>
        <v> this is the second time i have raised this the adviser did not explain the risks of the investment please sort this out </v>
      </c>
      <c r="E287" s="0" t="n">
        <f aca="false">SUMPRODUCT((Rules!$A$2:$A$60=E$1)*Rules!$C$2:$C$60*ISNUMBER(SEARCH(Rules!$D$2:$D$60,$D287)))</f>
        <v>0</v>
      </c>
      <c r="F287" s="0" t="n">
        <f aca="false">SUMPRODUCT((Rules!$A$2:$A$60=F$1)*Rules!$C$2:$C$60*ISNUMBER(SEARCH(Rules!$D$2:$D$60,$D287)))</f>
        <v>4</v>
      </c>
      <c r="G287" s="0" t="n">
        <f aca="false">SUMPRODUCT((Rules!$A$2:$A$60=G$1)*Rules!$C$2:$C$60*ISNUMBER(SEARCH(Rules!$D$2:$D$60,$D287)))</f>
        <v>0</v>
      </c>
      <c r="H287" s="0" t="n">
        <f aca="false">SUMPRODUCT((Rules!$A$2:$A$60=H$1)*Rules!$C$2:$C$60*ISNUMBER(SEARCH(Rules!$D$2:$D$60,$D287)))</f>
        <v>0</v>
      </c>
      <c r="I287" s="0" t="n">
        <f aca="false">SUMPRODUCT((Rules!$A$2:$A$60=I$1)*Rules!$C$2:$C$60*ISNUMBER(SEARCH(Rules!$D$2:$D$60,$D287)))</f>
        <v>0</v>
      </c>
      <c r="J287" s="0" t="n">
        <f aca="false">SUMPRODUCT((Rules!$A$2:$A$60=J$1)*Rules!$C$2:$C$60*ISNUMBER(SEARCH(Rules!$D$2:$D$60,$D287)))</f>
        <v>0</v>
      </c>
      <c r="K287" s="0" t="str">
        <f aca="false">IF(OR(MAX(E287:J287)&lt;Rules!$H$1,MAX(E287:J287)-LARGE(E287:J287,2)&lt;Rules!$H$2),"No label",INDEX($E$1:$J$1,MATCH(MAX(E287:J287),E287:J287,0)))</f>
        <v>Mis-selling</v>
      </c>
      <c r="L287" s="0" t="n">
        <f aca="false">SUMPRODUCT((Rules!$A$2:$A$60=L$1)*Rules!$C$2:$C$60*ISNUMBER(SEARCH(Rules!$E$2:$E$60,$D287)))</f>
        <v>0</v>
      </c>
      <c r="M287" s="0" t="n">
        <f aca="false">SUMPRODUCT((Rules!$A$2:$A$60=M$1)*Rules!$C$2:$C$60*ISNUMBER(SEARCH(Rules!$E$2:$E$60,$D287)))</f>
        <v>6</v>
      </c>
      <c r="N287" s="0" t="n">
        <f aca="false">SUMPRODUCT((Rules!$A$2:$A$60=N$1)*Rules!$C$2:$C$60*ISNUMBER(SEARCH(Rules!$E$2:$E$60,$D287)))</f>
        <v>0</v>
      </c>
      <c r="O287" s="0" t="n">
        <f aca="false">SUMPRODUCT((Rules!$A$2:$A$60=O$1)*Rules!$C$2:$C$60*ISNUMBER(SEARCH(Rules!$E$2:$E$60,$D287)))</f>
        <v>0</v>
      </c>
      <c r="P287" s="0" t="n">
        <f aca="false">SUMPRODUCT((Rules!$A$2:$A$60=P$1)*Rules!$C$2:$C$60*ISNUMBER(SEARCH(Rules!$E$2:$E$60,$D287)))</f>
        <v>0</v>
      </c>
      <c r="Q287" s="0" t="n">
        <f aca="false">SUMPRODUCT((Rules!$A$2:$A$60=Q$1)*Rules!$C$2:$C$60*ISNUMBER(SEARCH(Rules!$E$2:$E$60,$D287)))</f>
        <v>1</v>
      </c>
      <c r="R287" s="0" t="str">
        <f aca="false">IF(OR(MAX(L287:Q287)&lt;Rules!$H$1,MAX(L287:Q287)-LARGE(L287:Q287,2)&lt;Rules!$H$2),"No label",INDEX($L$1:$Q$1,MATCH(MAX(L287:Q287),L287:Q287,0)))</f>
        <v>Mis-selling</v>
      </c>
      <c r="S287" s="0" t="n">
        <f aca="false">SUMPRODUCT(ISNUMBER(SEARCH(" "&amp;Terms!$A$3:$A$821&amp;" ",$D287))*Terms!B$3:B$821)+Terms!B$2</f>
        <v>-7.01151872166015</v>
      </c>
      <c r="T287" s="0" t="n">
        <f aca="false">SUMPRODUCT(ISNUMBER(SEARCH(" "&amp;Terms!$A$3:$A$821&amp;" ",$D287))*Terms!C$3:C$821)+Terms!C$2</f>
        <v>2.12210967767429</v>
      </c>
      <c r="U287" s="0" t="n">
        <f aca="false">SUMPRODUCT(ISNUMBER(SEARCH(" "&amp;Terms!$A$3:$A$821&amp;" ",$D287))*Terms!D$3:D$821)+Terms!D$2</f>
        <v>-4.4958276392782</v>
      </c>
      <c r="V287" s="0" t="n">
        <f aca="false">SUMPRODUCT(ISNUMBER(SEARCH(" "&amp;Terms!$A$3:$A$821&amp;" ",$D287))*Terms!E$3:E$821)+Terms!E$2</f>
        <v>1.89659635009045</v>
      </c>
      <c r="W287" s="0" t="n">
        <f aca="false">SUMPRODUCT(ISNUMBER(SEARCH(" "&amp;Terms!$A$3:$A$821&amp;" ",$D287))*Terms!F$3:F$821)+Terms!F$2</f>
        <v>-0.166795996145551</v>
      </c>
      <c r="X287" s="0" t="n">
        <f aca="false">SUMPRODUCT(ISNUMBER(SEARCH(" "&amp;Terms!$A$3:$A$821&amp;" ",$D287))*Terms!G$3:G$821)+Terms!G$2</f>
        <v>7.65543632931925</v>
      </c>
      <c r="Y287" s="0" t="str">
        <f aca="false">INDEX($S$1:$X$1,MATCH(MAX(S287:X287),S287:X287,0))</f>
        <v>Mis-selling</v>
      </c>
      <c r="Z287" s="0" t="s">
        <v>2608</v>
      </c>
    </row>
    <row r="288" customFormat="false" ht="15" hidden="false" customHeight="false" outlineLevel="0" collapsed="false">
      <c r="A288" s="0" t="str">
        <f aca="false">Complaints!A288</f>
        <v>C0287</v>
      </c>
      <c r="B288" s="0" t="str">
        <f aca="false">Complaints!B288</f>
        <v>I have been a customer for years. My online banking is locked and the reset link never arrives. Also, the costs keep creeping up and my balance is lower than it should be. This is not acceptable.</v>
      </c>
      <c r="C288" s="0" t="str">
        <f aca="false">Complaints!C288</f>
        <v>Account Access</v>
      </c>
      <c r="D288" s="0" t="str">
        <f aca="false">" "&amp;TRIM(SUBSTITUTE(SUBSTITUTE(SUBSTITUTE(SUBSTITUTE(SUBSTITUTE(SUBSTITUTE(SUBSTITUTE(SUBSTITUTE(SUBSTITUTE(SUBSTITUTE(SUBSTITUTE(SUBSTITUTE(SUBSTITUTE(SUBSTITUTE(SUBSTITUTE(SUBSTITUTE(LOWER(B288),"."," "),","," "),"'"," "),"’"," "),"!"," "),"?"," "),";"," "),":"," "),"-"," "),"("," "),")"," "),"""", " "),"£"," "),"&amp;"," "),"/"," "),"%"," "))&amp;" "</f>
        <v> i have been a customer for years my online banking is locked and the reset link never arrives also the costs keep creeping up and my balance is lower than it should be this is not acceptable </v>
      </c>
      <c r="E288" s="0" t="n">
        <f aca="false">SUMPRODUCT((Rules!$A$2:$A$60=E$1)*Rules!$C$2:$C$60*ISNUMBER(SEARCH(Rules!$D$2:$D$60,$D288)))</f>
        <v>0</v>
      </c>
      <c r="F288" s="0" t="n">
        <f aca="false">SUMPRODUCT((Rules!$A$2:$A$60=F$1)*Rules!$C$2:$C$60*ISNUMBER(SEARCH(Rules!$D$2:$D$60,$D288)))</f>
        <v>0</v>
      </c>
      <c r="G288" s="0" t="n">
        <f aca="false">SUMPRODUCT((Rules!$A$2:$A$60=G$1)*Rules!$C$2:$C$60*ISNUMBER(SEARCH(Rules!$D$2:$D$60,$D288)))</f>
        <v>5</v>
      </c>
      <c r="H288" s="0" t="n">
        <f aca="false">SUMPRODUCT((Rules!$A$2:$A$60=H$1)*Rules!$C$2:$C$60*ISNUMBER(SEARCH(Rules!$D$2:$D$60,$D288)))</f>
        <v>1</v>
      </c>
      <c r="I288" s="0" t="n">
        <f aca="false">SUMPRODUCT((Rules!$A$2:$A$60=I$1)*Rules!$C$2:$C$60*ISNUMBER(SEARCH(Rules!$D$2:$D$60,$D288)))</f>
        <v>0</v>
      </c>
      <c r="J288" s="0" t="n">
        <f aca="false">SUMPRODUCT((Rules!$A$2:$A$60=J$1)*Rules!$C$2:$C$60*ISNUMBER(SEARCH(Rules!$D$2:$D$60,$D288)))</f>
        <v>0</v>
      </c>
      <c r="K288" s="0" t="str">
        <f aca="false">IF(OR(MAX(E288:J288)&lt;Rules!$H$1,MAX(E288:J288)-LARGE(E288:J288,2)&lt;Rules!$H$2),"No label",INDEX($E$1:$J$1,MATCH(MAX(E288:J288),E288:J288,0)))</f>
        <v>Account Access</v>
      </c>
      <c r="L288" s="0" t="n">
        <f aca="false">SUMPRODUCT((Rules!$A$2:$A$60=L$1)*Rules!$C$2:$C$60*ISNUMBER(SEARCH(Rules!$E$2:$E$60,$D288)))</f>
        <v>0</v>
      </c>
      <c r="M288" s="0" t="n">
        <f aca="false">SUMPRODUCT((Rules!$A$2:$A$60=M$1)*Rules!$C$2:$C$60*ISNUMBER(SEARCH(Rules!$E$2:$E$60,$D288)))</f>
        <v>0</v>
      </c>
      <c r="N288" s="0" t="n">
        <f aca="false">SUMPRODUCT((Rules!$A$2:$A$60=N$1)*Rules!$C$2:$C$60*ISNUMBER(SEARCH(Rules!$E$2:$E$60,$D288)))</f>
        <v>6</v>
      </c>
      <c r="O288" s="0" t="n">
        <f aca="false">SUMPRODUCT((Rules!$A$2:$A$60=O$1)*Rules!$C$2:$C$60*ISNUMBER(SEARCH(Rules!$E$2:$E$60,$D288)))</f>
        <v>1</v>
      </c>
      <c r="P288" s="0" t="n">
        <f aca="false">SUMPRODUCT((Rules!$A$2:$A$60=P$1)*Rules!$C$2:$C$60*ISNUMBER(SEARCH(Rules!$E$2:$E$60,$D288)))</f>
        <v>0</v>
      </c>
      <c r="Q288" s="0" t="n">
        <f aca="false">SUMPRODUCT((Rules!$A$2:$A$60=Q$1)*Rules!$C$2:$C$60*ISNUMBER(SEARCH(Rules!$E$2:$E$60,$D288)))</f>
        <v>0</v>
      </c>
      <c r="R288" s="0" t="str">
        <f aca="false">IF(OR(MAX(L288:Q288)&lt;Rules!$H$1,MAX(L288:Q288)-LARGE(L288:Q288,2)&lt;Rules!$H$2),"No label",INDEX($L$1:$Q$1,MATCH(MAX(L288:Q288),L288:Q288,0)))</f>
        <v>Account Access</v>
      </c>
      <c r="S288" s="0" t="n">
        <f aca="false">SUMPRODUCT(ISNUMBER(SEARCH(" "&amp;Terms!$A$3:$A$821&amp;" ",$D288))*Terms!B$3:B$821)+Terms!B$2</f>
        <v>11.7110790004151</v>
      </c>
      <c r="T288" s="0" t="n">
        <f aca="false">SUMPRODUCT(ISNUMBER(SEARCH(" "&amp;Terms!$A$3:$A$821&amp;" ",$D288))*Terms!C$3:C$821)+Terms!C$2</f>
        <v>-7.14981730423722</v>
      </c>
      <c r="U288" s="0" t="n">
        <f aca="false">SUMPRODUCT(ISNUMBER(SEARCH(" "&amp;Terms!$A$3:$A$821&amp;" ",$D288))*Terms!D$3:D$821)+Terms!D$2</f>
        <v>-2.53953473117927</v>
      </c>
      <c r="V288" s="0" t="n">
        <f aca="false">SUMPRODUCT(ISNUMBER(SEARCH(" "&amp;Terms!$A$3:$A$821&amp;" ",$D288))*Terms!E$3:E$821)+Terms!E$2</f>
        <v>4.04197200498445</v>
      </c>
      <c r="W288" s="0" t="n">
        <f aca="false">SUMPRODUCT(ISNUMBER(SEARCH(" "&amp;Terms!$A$3:$A$821&amp;" ",$D288))*Terms!F$3:F$821)+Terms!F$2</f>
        <v>-3.03277534782411</v>
      </c>
      <c r="X288" s="0" t="n">
        <f aca="false">SUMPRODUCT(ISNUMBER(SEARCH(" "&amp;Terms!$A$3:$A$821&amp;" ",$D288))*Terms!G$3:G$821)+Terms!G$2</f>
        <v>-3.03092362215885</v>
      </c>
      <c r="Y288" s="0" t="str">
        <f aca="false">INDEX($S$1:$X$1,MATCH(MAX(S288:X288),S288:X288,0))</f>
        <v>Account Access</v>
      </c>
      <c r="Z288" s="0" t="s">
        <v>2608</v>
      </c>
    </row>
    <row r="289" customFormat="false" ht="15" hidden="false" customHeight="false" outlineLevel="0" collapsed="false">
      <c r="A289" s="0" t="str">
        <f aca="false">Complaints!A289</f>
        <v>C0288</v>
      </c>
      <c r="B289" s="0" t="str">
        <f aca="false">Complaints!B289</f>
        <v>To whom it may concern, Nobody has responded to my emails despite three reminders. Also, my card was cloned and used abroad. I would like a response in writing.</v>
      </c>
      <c r="C289" s="0" t="str">
        <f aca="false">Complaints!C289</f>
        <v>Customer Service</v>
      </c>
      <c r="D289" s="0" t="str">
        <f aca="false">" "&amp;TRIM(SUBSTITUTE(SUBSTITUTE(SUBSTITUTE(SUBSTITUTE(SUBSTITUTE(SUBSTITUTE(SUBSTITUTE(SUBSTITUTE(SUBSTITUTE(SUBSTITUTE(SUBSTITUTE(SUBSTITUTE(SUBSTITUTE(SUBSTITUTE(SUBSTITUTE(SUBSTITUTE(LOWER(B289),"."," "),","," "),"'"," "),"’"," "),"!"," "),"?"," "),";"," "),":"," "),"-"," "),"("," "),")"," "),"""", " "),"£"," "),"&amp;"," "),"/"," "),"%"," "))&amp;" "</f>
        <v> to whom it may concern nobody has responded to my emails despite three reminders also my card was cloned and used abroad i would like a response in writing </v>
      </c>
      <c r="E289" s="0" t="n">
        <f aca="false">SUMPRODUCT((Rules!$A$2:$A$60=E$1)*Rules!$C$2:$C$60*ISNUMBER(SEARCH(Rules!$D$2:$D$60,$D289)))</f>
        <v>3</v>
      </c>
      <c r="F289" s="0" t="n">
        <f aca="false">SUMPRODUCT((Rules!$A$2:$A$60=F$1)*Rules!$C$2:$C$60*ISNUMBER(SEARCH(Rules!$D$2:$D$60,$D289)))</f>
        <v>0</v>
      </c>
      <c r="G289" s="0" t="n">
        <f aca="false">SUMPRODUCT((Rules!$A$2:$A$60=G$1)*Rules!$C$2:$C$60*ISNUMBER(SEARCH(Rules!$D$2:$D$60,$D289)))</f>
        <v>0</v>
      </c>
      <c r="H289" s="0" t="n">
        <f aca="false">SUMPRODUCT((Rules!$A$2:$A$60=H$1)*Rules!$C$2:$C$60*ISNUMBER(SEARCH(Rules!$D$2:$D$60,$D289)))</f>
        <v>0</v>
      </c>
      <c r="I289" s="0" t="n">
        <f aca="false">SUMPRODUCT((Rules!$A$2:$A$60=I$1)*Rules!$C$2:$C$60*ISNUMBER(SEARCH(Rules!$D$2:$D$60,$D289)))</f>
        <v>0</v>
      </c>
      <c r="J289" s="0" t="n">
        <f aca="false">SUMPRODUCT((Rules!$A$2:$A$60=J$1)*Rules!$C$2:$C$60*ISNUMBER(SEARCH(Rules!$D$2:$D$60,$D289)))</f>
        <v>2</v>
      </c>
      <c r="K289" s="0" t="str">
        <f aca="false">IF(OR(MAX(E289:J289)&lt;Rules!$H$1,MAX(E289:J289)-LARGE(E289:J289,2)&lt;Rules!$H$2),"No label",INDEX($E$1:$J$1,MATCH(MAX(E289:J289),E289:J289,0)))</f>
        <v>No label</v>
      </c>
      <c r="L289" s="0" t="n">
        <f aca="false">SUMPRODUCT((Rules!$A$2:$A$60=L$1)*Rules!$C$2:$C$60*ISNUMBER(SEARCH(Rules!$E$2:$E$60,$D289)))</f>
        <v>3</v>
      </c>
      <c r="M289" s="0" t="n">
        <f aca="false">SUMPRODUCT((Rules!$A$2:$A$60=M$1)*Rules!$C$2:$C$60*ISNUMBER(SEARCH(Rules!$E$2:$E$60,$D289)))</f>
        <v>0</v>
      </c>
      <c r="N289" s="0" t="n">
        <f aca="false">SUMPRODUCT((Rules!$A$2:$A$60=N$1)*Rules!$C$2:$C$60*ISNUMBER(SEARCH(Rules!$E$2:$E$60,$D289)))</f>
        <v>0</v>
      </c>
      <c r="O289" s="0" t="n">
        <f aca="false">SUMPRODUCT((Rules!$A$2:$A$60=O$1)*Rules!$C$2:$C$60*ISNUMBER(SEARCH(Rules!$E$2:$E$60,$D289)))</f>
        <v>0</v>
      </c>
      <c r="P289" s="0" t="n">
        <f aca="false">SUMPRODUCT((Rules!$A$2:$A$60=P$1)*Rules!$C$2:$C$60*ISNUMBER(SEARCH(Rules!$E$2:$E$60,$D289)))</f>
        <v>0</v>
      </c>
      <c r="Q289" s="0" t="n">
        <f aca="false">SUMPRODUCT((Rules!$A$2:$A$60=Q$1)*Rules!$C$2:$C$60*ISNUMBER(SEARCH(Rules!$E$2:$E$60,$D289)))</f>
        <v>2</v>
      </c>
      <c r="R289" s="0" t="str">
        <f aca="false">IF(OR(MAX(L289:Q289)&lt;Rules!$H$1,MAX(L289:Q289)-LARGE(L289:Q289,2)&lt;Rules!$H$2),"No label",INDEX($L$1:$Q$1,MATCH(MAX(L289:Q289),L289:Q289,0)))</f>
        <v>No label</v>
      </c>
      <c r="S289" s="0" t="n">
        <f aca="false">SUMPRODUCT(ISNUMBER(SEARCH(" "&amp;Terms!$A$3:$A$821&amp;" ",$D289))*Terms!B$3:B$821)+Terms!B$2</f>
        <v>-3.64414776934081</v>
      </c>
      <c r="T289" s="0" t="n">
        <f aca="false">SUMPRODUCT(ISNUMBER(SEARCH(" "&amp;Terms!$A$3:$A$821&amp;" ",$D289))*Terms!C$3:C$821)+Terms!C$2</f>
        <v>7.78380612701904</v>
      </c>
      <c r="U289" s="0" t="n">
        <f aca="false">SUMPRODUCT(ISNUMBER(SEARCH(" "&amp;Terms!$A$3:$A$821&amp;" ",$D289))*Terms!D$3:D$821)+Terms!D$2</f>
        <v>-6.03747056684845</v>
      </c>
      <c r="V289" s="0" t="n">
        <f aca="false">SUMPRODUCT(ISNUMBER(SEARCH(" "&amp;Terms!$A$3:$A$821&amp;" ",$D289))*Terms!E$3:E$821)+Terms!E$2</f>
        <v>-2.71759441565033</v>
      </c>
      <c r="W289" s="0" t="n">
        <f aca="false">SUMPRODUCT(ISNUMBER(SEARCH(" "&amp;Terms!$A$3:$A$821&amp;" ",$D289))*Terms!F$3:F$821)+Terms!F$2</f>
        <v>6.45385946131135</v>
      </c>
      <c r="X289" s="0" t="n">
        <f aca="false">SUMPRODUCT(ISNUMBER(SEARCH(" "&amp;Terms!$A$3:$A$821&amp;" ",$D289))*Terms!G$3:G$821)+Terms!G$2</f>
        <v>-1.83845283649069</v>
      </c>
      <c r="Y289" s="0" t="str">
        <f aca="false">INDEX($S$1:$X$1,MATCH(MAX(S289:X289),S289:X289,0))</f>
        <v>Customer Service</v>
      </c>
      <c r="Z289" s="0" t="s">
        <v>2608</v>
      </c>
    </row>
    <row r="290" customFormat="false" ht="15" hidden="false" customHeight="false" outlineLevel="0" collapsed="false">
      <c r="A290" s="0" t="str">
        <f aca="false">Complaints!A290</f>
        <v>C0289</v>
      </c>
      <c r="B290" s="0" t="str">
        <f aca="false">Complaints!B290</f>
        <v>This is the secnd time I have raised this. It has taken six weeks to process my claim and nobody has updated me. I expect compensation.</v>
      </c>
      <c r="C290" s="0" t="str">
        <f aca="false">Complaints!C290</f>
        <v>Delays &amp; Processing</v>
      </c>
      <c r="D290" s="0" t="str">
        <f aca="false">" "&amp;TRIM(SUBSTITUTE(SUBSTITUTE(SUBSTITUTE(SUBSTITUTE(SUBSTITUTE(SUBSTITUTE(SUBSTITUTE(SUBSTITUTE(SUBSTITUTE(SUBSTITUTE(SUBSTITUTE(SUBSTITUTE(SUBSTITUTE(SUBSTITUTE(SUBSTITUTE(SUBSTITUTE(LOWER(B290),"."," "),","," "),"'"," "),"’"," "),"!"," "),"?"," "),";"," "),":"," "),"-"," "),"("," "),")"," "),"""", " "),"£"," "),"&amp;"," "),"/"," "),"%"," "))&amp;" "</f>
        <v> this is the secnd time i have raised this it has taken six weeks to process my claim and nobody has updated me i expect compensation </v>
      </c>
      <c r="E290" s="0" t="n">
        <f aca="false">SUMPRODUCT((Rules!$A$2:$A$60=E$1)*Rules!$C$2:$C$60*ISNUMBER(SEARCH(Rules!$D$2:$D$60,$D290)))</f>
        <v>0</v>
      </c>
      <c r="F290" s="0" t="n">
        <f aca="false">SUMPRODUCT((Rules!$A$2:$A$60=F$1)*Rules!$C$2:$C$60*ISNUMBER(SEARCH(Rules!$D$2:$D$60,$D290)))</f>
        <v>0</v>
      </c>
      <c r="G290" s="0" t="n">
        <f aca="false">SUMPRODUCT((Rules!$A$2:$A$60=G$1)*Rules!$C$2:$C$60*ISNUMBER(SEARCH(Rules!$D$2:$D$60,$D290)))</f>
        <v>0</v>
      </c>
      <c r="H290" s="0" t="n">
        <f aca="false">SUMPRODUCT((Rules!$A$2:$A$60=H$1)*Rules!$C$2:$C$60*ISNUMBER(SEARCH(Rules!$D$2:$D$60,$D290)))</f>
        <v>0</v>
      </c>
      <c r="I290" s="0" t="n">
        <f aca="false">SUMPRODUCT((Rules!$A$2:$A$60=I$1)*Rules!$C$2:$C$60*ISNUMBER(SEARCH(Rules!$D$2:$D$60,$D290)))</f>
        <v>2</v>
      </c>
      <c r="J290" s="0" t="n">
        <f aca="false">SUMPRODUCT((Rules!$A$2:$A$60=J$1)*Rules!$C$2:$C$60*ISNUMBER(SEARCH(Rules!$D$2:$D$60,$D290)))</f>
        <v>0</v>
      </c>
      <c r="K290" s="0" t="str">
        <f aca="false">IF(OR(MAX(E290:J290)&lt;Rules!$H$1,MAX(E290:J290)-LARGE(E290:J290,2)&lt;Rules!$H$2),"No label",INDEX($E$1:$J$1,MATCH(MAX(E290:J290),E290:J290,0)))</f>
        <v>No label</v>
      </c>
      <c r="L290" s="0" t="n">
        <f aca="false">SUMPRODUCT((Rules!$A$2:$A$60=L$1)*Rules!$C$2:$C$60*ISNUMBER(SEARCH(Rules!$E$2:$E$60,$D290)))</f>
        <v>0</v>
      </c>
      <c r="M290" s="0" t="n">
        <f aca="false">SUMPRODUCT((Rules!$A$2:$A$60=M$1)*Rules!$C$2:$C$60*ISNUMBER(SEARCH(Rules!$E$2:$E$60,$D290)))</f>
        <v>0</v>
      </c>
      <c r="N290" s="0" t="n">
        <f aca="false">SUMPRODUCT((Rules!$A$2:$A$60=N$1)*Rules!$C$2:$C$60*ISNUMBER(SEARCH(Rules!$E$2:$E$60,$D290)))</f>
        <v>0</v>
      </c>
      <c r="O290" s="0" t="n">
        <f aca="false">SUMPRODUCT((Rules!$A$2:$A$60=O$1)*Rules!$C$2:$C$60*ISNUMBER(SEARCH(Rules!$E$2:$E$60,$D290)))</f>
        <v>0</v>
      </c>
      <c r="P290" s="0" t="n">
        <f aca="false">SUMPRODUCT((Rules!$A$2:$A$60=P$1)*Rules!$C$2:$C$60*ISNUMBER(SEARCH(Rules!$E$2:$E$60,$D290)))</f>
        <v>2</v>
      </c>
      <c r="Q290" s="0" t="n">
        <f aca="false">SUMPRODUCT((Rules!$A$2:$A$60=Q$1)*Rules!$C$2:$C$60*ISNUMBER(SEARCH(Rules!$E$2:$E$60,$D290)))</f>
        <v>0</v>
      </c>
      <c r="R290" s="0" t="str">
        <f aca="false">IF(OR(MAX(L290:Q290)&lt;Rules!$H$1,MAX(L290:Q290)-LARGE(L290:Q290,2)&lt;Rules!$H$2),"No label",INDEX($L$1:$Q$1,MATCH(MAX(L290:Q290),L290:Q290,0)))</f>
        <v>No label</v>
      </c>
      <c r="S290" s="0" t="n">
        <f aca="false">SUMPRODUCT(ISNUMBER(SEARCH(" "&amp;Terms!$A$3:$A$821&amp;" ",$D290))*Terms!B$3:B$821)+Terms!B$2</f>
        <v>-0.538667765649278</v>
      </c>
      <c r="T290" s="0" t="n">
        <f aca="false">SUMPRODUCT(ISNUMBER(SEARCH(" "&amp;Terms!$A$3:$A$821&amp;" ",$D290))*Terms!C$3:C$821)+Terms!C$2</f>
        <v>-2.92667608066717</v>
      </c>
      <c r="U290" s="0" t="n">
        <f aca="false">SUMPRODUCT(ISNUMBER(SEARCH(" "&amp;Terms!$A$3:$A$821&amp;" ",$D290))*Terms!D$3:D$821)+Terms!D$2</f>
        <v>6.1683258626652</v>
      </c>
      <c r="V290" s="0" t="n">
        <f aca="false">SUMPRODUCT(ISNUMBER(SEARCH(" "&amp;Terms!$A$3:$A$821&amp;" ",$D290))*Terms!E$3:E$821)+Terms!E$2</f>
        <v>-1.16828104061806</v>
      </c>
      <c r="W290" s="0" t="n">
        <f aca="false">SUMPRODUCT(ISNUMBER(SEARCH(" "&amp;Terms!$A$3:$A$821&amp;" ",$D290))*Terms!F$3:F$821)+Terms!F$2</f>
        <v>0.650363239391466</v>
      </c>
      <c r="X290" s="0" t="n">
        <f aca="false">SUMPRODUCT(ISNUMBER(SEARCH(" "&amp;Terms!$A$3:$A$821&amp;" ",$D290))*Terms!G$3:G$821)+Terms!G$2</f>
        <v>-2.18506421512207</v>
      </c>
      <c r="Y290" s="0" t="str">
        <f aca="false">INDEX($S$1:$X$1,MATCH(MAX(S290:X290),S290:X290,0))</f>
        <v>Delays &amp; Processing</v>
      </c>
      <c r="Z290" s="0" t="s">
        <v>2607</v>
      </c>
    </row>
    <row r="291" customFormat="false" ht="15" hidden="false" customHeight="false" outlineLevel="0" collapsed="false">
      <c r="A291" s="0" t="str">
        <f aca="false">Complaints!A291</f>
        <v>C0290</v>
      </c>
      <c r="B291" s="0" t="str">
        <f aca="false">Complaints!B291</f>
        <v>The direct debit setup was delayed and I missed a bill because of it. This is not acceptable.</v>
      </c>
      <c r="C291" s="0" t="str">
        <f aca="false">Complaints!C291</f>
        <v>Delays &amp; Processing</v>
      </c>
      <c r="D291" s="0" t="str">
        <f aca="false">" "&amp;TRIM(SUBSTITUTE(SUBSTITUTE(SUBSTITUTE(SUBSTITUTE(SUBSTITUTE(SUBSTITUTE(SUBSTITUTE(SUBSTITUTE(SUBSTITUTE(SUBSTITUTE(SUBSTITUTE(SUBSTITUTE(SUBSTITUTE(SUBSTITUTE(SUBSTITUTE(SUBSTITUTE(LOWER(B291),"."," "),","," "),"'"," "),"’"," "),"!"," "),"?"," "),";"," "),":"," "),"-"," "),"("," "),")"," "),"""", " "),"£"," "),"&amp;"," "),"/"," "),"%"," "))&amp;" "</f>
        <v> the direct debit setup was delayed and i missed a bill because of it this is not acceptable </v>
      </c>
      <c r="E291" s="0" t="n">
        <f aca="false">SUMPRODUCT((Rules!$A$2:$A$60=E$1)*Rules!$C$2:$C$60*ISNUMBER(SEARCH(Rules!$D$2:$D$60,$D291)))</f>
        <v>0</v>
      </c>
      <c r="F291" s="0" t="n">
        <f aca="false">SUMPRODUCT((Rules!$A$2:$A$60=F$1)*Rules!$C$2:$C$60*ISNUMBER(SEARCH(Rules!$D$2:$D$60,$D291)))</f>
        <v>0</v>
      </c>
      <c r="G291" s="0" t="n">
        <f aca="false">SUMPRODUCT((Rules!$A$2:$A$60=G$1)*Rules!$C$2:$C$60*ISNUMBER(SEARCH(Rules!$D$2:$D$60,$D291)))</f>
        <v>0</v>
      </c>
      <c r="H291" s="0" t="n">
        <f aca="false">SUMPRODUCT((Rules!$A$2:$A$60=H$1)*Rules!$C$2:$C$60*ISNUMBER(SEARCH(Rules!$D$2:$D$60,$D291)))</f>
        <v>0</v>
      </c>
      <c r="I291" s="0" t="n">
        <f aca="false">SUMPRODUCT((Rules!$A$2:$A$60=I$1)*Rules!$C$2:$C$60*ISNUMBER(SEARCH(Rules!$D$2:$D$60,$D291)))</f>
        <v>2</v>
      </c>
      <c r="J291" s="0" t="n">
        <f aca="false">SUMPRODUCT((Rules!$A$2:$A$60=J$1)*Rules!$C$2:$C$60*ISNUMBER(SEARCH(Rules!$D$2:$D$60,$D291)))</f>
        <v>0</v>
      </c>
      <c r="K291" s="0" t="str">
        <f aca="false">IF(OR(MAX(E291:J291)&lt;Rules!$H$1,MAX(E291:J291)-LARGE(E291:J291,2)&lt;Rules!$H$2),"No label",INDEX($E$1:$J$1,MATCH(MAX(E291:J291),E291:J291,0)))</f>
        <v>No label</v>
      </c>
      <c r="L291" s="0" t="n">
        <f aca="false">SUMPRODUCT((Rules!$A$2:$A$60=L$1)*Rules!$C$2:$C$60*ISNUMBER(SEARCH(Rules!$E$2:$E$60,$D291)))</f>
        <v>0</v>
      </c>
      <c r="M291" s="0" t="n">
        <f aca="false">SUMPRODUCT((Rules!$A$2:$A$60=M$1)*Rules!$C$2:$C$60*ISNUMBER(SEARCH(Rules!$E$2:$E$60,$D291)))</f>
        <v>0</v>
      </c>
      <c r="N291" s="0" t="n">
        <f aca="false">SUMPRODUCT((Rules!$A$2:$A$60=N$1)*Rules!$C$2:$C$60*ISNUMBER(SEARCH(Rules!$E$2:$E$60,$D291)))</f>
        <v>1</v>
      </c>
      <c r="O291" s="0" t="n">
        <f aca="false">SUMPRODUCT((Rules!$A$2:$A$60=O$1)*Rules!$C$2:$C$60*ISNUMBER(SEARCH(Rules!$E$2:$E$60,$D291)))</f>
        <v>2</v>
      </c>
      <c r="P291" s="0" t="n">
        <f aca="false">SUMPRODUCT((Rules!$A$2:$A$60=P$1)*Rules!$C$2:$C$60*ISNUMBER(SEARCH(Rules!$E$2:$E$60,$D291)))</f>
        <v>2</v>
      </c>
      <c r="Q291" s="0" t="n">
        <f aca="false">SUMPRODUCT((Rules!$A$2:$A$60=Q$1)*Rules!$C$2:$C$60*ISNUMBER(SEARCH(Rules!$E$2:$E$60,$D291)))</f>
        <v>0</v>
      </c>
      <c r="R291" s="0" t="str">
        <f aca="false">IF(OR(MAX(L291:Q291)&lt;Rules!$H$1,MAX(L291:Q291)-LARGE(L291:Q291,2)&lt;Rules!$H$2),"No label",INDEX($L$1:$Q$1,MATCH(MAX(L291:Q291),L291:Q291,0)))</f>
        <v>No label</v>
      </c>
      <c r="S291" s="0" t="n">
        <f aca="false">SUMPRODUCT(ISNUMBER(SEARCH(" "&amp;Terms!$A$3:$A$821&amp;" ",$D291))*Terms!B$3:B$821)+Terms!B$2</f>
        <v>-2.33600182242197</v>
      </c>
      <c r="T291" s="0" t="n">
        <f aca="false">SUMPRODUCT(ISNUMBER(SEARCH(" "&amp;Terms!$A$3:$A$821&amp;" ",$D291))*Terms!C$3:C$821)+Terms!C$2</f>
        <v>-3.54802485026087</v>
      </c>
      <c r="U291" s="0" t="n">
        <f aca="false">SUMPRODUCT(ISNUMBER(SEARCH(" "&amp;Terms!$A$3:$A$821&amp;" ",$D291))*Terms!D$3:D$821)+Terms!D$2</f>
        <v>11.7752038729854</v>
      </c>
      <c r="V291" s="0" t="n">
        <f aca="false">SUMPRODUCT(ISNUMBER(SEARCH(" "&amp;Terms!$A$3:$A$821&amp;" ",$D291))*Terms!E$3:E$821)+Terms!E$2</f>
        <v>-4.04696104222767</v>
      </c>
      <c r="W291" s="0" t="n">
        <f aca="false">SUMPRODUCT(ISNUMBER(SEARCH(" "&amp;Terms!$A$3:$A$821&amp;" ",$D291))*Terms!F$3:F$821)+Terms!F$2</f>
        <v>0.0507111530228932</v>
      </c>
      <c r="X291" s="0" t="n">
        <f aca="false">SUMPRODUCT(ISNUMBER(SEARCH(" "&amp;Terms!$A$3:$A$821&amp;" ",$D291))*Terms!G$3:G$821)+Terms!G$2</f>
        <v>-1.89492731109768</v>
      </c>
      <c r="Y291" s="0" t="str">
        <f aca="false">INDEX($S$1:$X$1,MATCH(MAX(S291:X291),S291:X291,0))</f>
        <v>Delays &amp; Processing</v>
      </c>
      <c r="Z291" s="0" t="s">
        <v>2607</v>
      </c>
    </row>
    <row r="292" customFormat="false" ht="15" hidden="false" customHeight="false" outlineLevel="0" collapsed="false">
      <c r="A292" s="0" t="str">
        <f aca="false">Complaints!A292</f>
        <v>C0291</v>
      </c>
      <c r="B292" s="0" t="str">
        <f aca="false">Complaints!B292</f>
        <v>I am writing to complain. I was advised to take out cover that duplicates what I already had. I would like a response in writing.</v>
      </c>
      <c r="C292" s="0" t="str">
        <f aca="false">Complaints!C292</f>
        <v>Mis-selling</v>
      </c>
      <c r="D292" s="0" t="str">
        <f aca="false">" "&amp;TRIM(SUBSTITUTE(SUBSTITUTE(SUBSTITUTE(SUBSTITUTE(SUBSTITUTE(SUBSTITUTE(SUBSTITUTE(SUBSTITUTE(SUBSTITUTE(SUBSTITUTE(SUBSTITUTE(SUBSTITUTE(SUBSTITUTE(SUBSTITUTE(SUBSTITUTE(SUBSTITUTE(LOWER(B292),"."," "),","," "),"'"," "),"’"," "),"!"," "),"?"," "),";"," "),":"," "),"-"," "),"("," "),")"," "),"""", " "),"£"," "),"&amp;"," "),"/"," "),"%"," "))&amp;" "</f>
        <v> i am writing to complain i was advised to take out cover that duplicates what i already had i would like a response in writing </v>
      </c>
      <c r="E292" s="0" t="n">
        <f aca="false">SUMPRODUCT((Rules!$A$2:$A$60=E$1)*Rules!$C$2:$C$60*ISNUMBER(SEARCH(Rules!$D$2:$D$60,$D292)))</f>
        <v>0</v>
      </c>
      <c r="F292" s="0" t="n">
        <f aca="false">SUMPRODUCT((Rules!$A$2:$A$60=F$1)*Rules!$C$2:$C$60*ISNUMBER(SEARCH(Rules!$D$2:$D$60,$D292)))</f>
        <v>0</v>
      </c>
      <c r="G292" s="0" t="n">
        <f aca="false">SUMPRODUCT((Rules!$A$2:$A$60=G$1)*Rules!$C$2:$C$60*ISNUMBER(SEARCH(Rules!$D$2:$D$60,$D292)))</f>
        <v>0</v>
      </c>
      <c r="H292" s="0" t="n">
        <f aca="false">SUMPRODUCT((Rules!$A$2:$A$60=H$1)*Rules!$C$2:$C$60*ISNUMBER(SEARCH(Rules!$D$2:$D$60,$D292)))</f>
        <v>0</v>
      </c>
      <c r="I292" s="0" t="n">
        <f aca="false">SUMPRODUCT((Rules!$A$2:$A$60=I$1)*Rules!$C$2:$C$60*ISNUMBER(SEARCH(Rules!$D$2:$D$60,$D292)))</f>
        <v>0</v>
      </c>
      <c r="J292" s="0" t="n">
        <f aca="false">SUMPRODUCT((Rules!$A$2:$A$60=J$1)*Rules!$C$2:$C$60*ISNUMBER(SEARCH(Rules!$D$2:$D$60,$D292)))</f>
        <v>0</v>
      </c>
      <c r="K292" s="0" t="str">
        <f aca="false">IF(OR(MAX(E292:J292)&lt;Rules!$H$1,MAX(E292:J292)-LARGE(E292:J292,2)&lt;Rules!$H$2),"No label",INDEX($E$1:$J$1,MATCH(MAX(E292:J292),E292:J292,0)))</f>
        <v>No label</v>
      </c>
      <c r="L292" s="0" t="n">
        <f aca="false">SUMPRODUCT((Rules!$A$2:$A$60=L$1)*Rules!$C$2:$C$60*ISNUMBER(SEARCH(Rules!$E$2:$E$60,$D292)))</f>
        <v>0</v>
      </c>
      <c r="M292" s="0" t="n">
        <f aca="false">SUMPRODUCT((Rules!$A$2:$A$60=M$1)*Rules!$C$2:$C$60*ISNUMBER(SEARCH(Rules!$E$2:$E$60,$D292)))</f>
        <v>4</v>
      </c>
      <c r="N292" s="0" t="n">
        <f aca="false">SUMPRODUCT((Rules!$A$2:$A$60=N$1)*Rules!$C$2:$C$60*ISNUMBER(SEARCH(Rules!$E$2:$E$60,$D292)))</f>
        <v>0</v>
      </c>
      <c r="O292" s="0" t="n">
        <f aca="false">SUMPRODUCT((Rules!$A$2:$A$60=O$1)*Rules!$C$2:$C$60*ISNUMBER(SEARCH(Rules!$E$2:$E$60,$D292)))</f>
        <v>0</v>
      </c>
      <c r="P292" s="0" t="n">
        <f aca="false">SUMPRODUCT((Rules!$A$2:$A$60=P$1)*Rules!$C$2:$C$60*ISNUMBER(SEARCH(Rules!$E$2:$E$60,$D292)))</f>
        <v>0</v>
      </c>
      <c r="Q292" s="0" t="n">
        <f aca="false">SUMPRODUCT((Rules!$A$2:$A$60=Q$1)*Rules!$C$2:$C$60*ISNUMBER(SEARCH(Rules!$E$2:$E$60,$D292)))</f>
        <v>1</v>
      </c>
      <c r="R292" s="0" t="str">
        <f aca="false">IF(OR(MAX(L292:Q292)&lt;Rules!$H$1,MAX(L292:Q292)-LARGE(L292:Q292,2)&lt;Rules!$H$2),"No label",INDEX($L$1:$Q$1,MATCH(MAX(L292:Q292),L292:Q292,0)))</f>
        <v>Mis-selling</v>
      </c>
      <c r="S292" s="0" t="n">
        <f aca="false">SUMPRODUCT(ISNUMBER(SEARCH(" "&amp;Terms!$A$3:$A$821&amp;" ",$D292))*Terms!B$3:B$821)+Terms!B$2</f>
        <v>-0.879677204496893</v>
      </c>
      <c r="T292" s="0" t="n">
        <f aca="false">SUMPRODUCT(ISNUMBER(SEARCH(" "&amp;Terms!$A$3:$A$821&amp;" ",$D292))*Terms!C$3:C$821)+Terms!C$2</f>
        <v>-0.422366393200341</v>
      </c>
      <c r="U292" s="0" t="n">
        <f aca="false">SUMPRODUCT(ISNUMBER(SEARCH(" "&amp;Terms!$A$3:$A$821&amp;" ",$D292))*Terms!D$3:D$821)+Terms!D$2</f>
        <v>-0.671772014245698</v>
      </c>
      <c r="V292" s="0" t="n">
        <f aca="false">SUMPRODUCT(ISNUMBER(SEARCH(" "&amp;Terms!$A$3:$A$821&amp;" ",$D292))*Terms!E$3:E$821)+Terms!E$2</f>
        <v>-2.67460184289005</v>
      </c>
      <c r="W292" s="0" t="n">
        <f aca="false">SUMPRODUCT(ISNUMBER(SEARCH(" "&amp;Terms!$A$3:$A$821&amp;" ",$D292))*Terms!F$3:F$821)+Terms!F$2</f>
        <v>-2.71897862187938</v>
      </c>
      <c r="X292" s="0" t="n">
        <f aca="false">SUMPRODUCT(ISNUMBER(SEARCH(" "&amp;Terms!$A$3:$A$821&amp;" ",$D292))*Terms!G$3:G$821)+Terms!G$2</f>
        <v>7.36739607671244</v>
      </c>
      <c r="Y292" s="0" t="str">
        <f aca="false">INDEX($S$1:$X$1,MATCH(MAX(S292:X292),S292:X292,0))</f>
        <v>Mis-selling</v>
      </c>
      <c r="Z292" s="0" t="s">
        <v>2607</v>
      </c>
    </row>
    <row r="293" customFormat="false" ht="15" hidden="false" customHeight="false" outlineLevel="0" collapsed="false">
      <c r="A293" s="0" t="str">
        <f aca="false">Complaints!A293</f>
        <v>C0292</v>
      </c>
      <c r="B293" s="0" t="str">
        <f aca="false">Complaints!B293</f>
        <v>This is the second time I have raised this. Your advisor gave me different answers on two separate calls. I could not log in to check either. Please sort this out.</v>
      </c>
      <c r="C293" s="0" t="str">
        <f aca="false">Complaints!C293</f>
        <v>Customer Service</v>
      </c>
      <c r="D293" s="0" t="str">
        <f aca="false">" "&amp;TRIM(SUBSTITUTE(SUBSTITUTE(SUBSTITUTE(SUBSTITUTE(SUBSTITUTE(SUBSTITUTE(SUBSTITUTE(SUBSTITUTE(SUBSTITUTE(SUBSTITUTE(SUBSTITUTE(SUBSTITUTE(SUBSTITUTE(SUBSTITUTE(SUBSTITUTE(SUBSTITUTE(LOWER(B293),"."," "),","," "),"'"," "),"’"," "),"!"," "),"?"," "),";"," "),":"," "),"-"," "),"("," "),")"," "),"""", " "),"£"," "),"&amp;"," "),"/"," "),"%"," "))&amp;" "</f>
        <v> this is the second time i have raised this your advisor gave me different answers on two separate calls i could not log in to check either please sort this out </v>
      </c>
      <c r="E293" s="0" t="n">
        <f aca="false">SUMPRODUCT((Rules!$A$2:$A$60=E$1)*Rules!$C$2:$C$60*ISNUMBER(SEARCH(Rules!$D$2:$D$60,$D293)))</f>
        <v>0</v>
      </c>
      <c r="F293" s="0" t="n">
        <f aca="false">SUMPRODUCT((Rules!$A$2:$A$60=F$1)*Rules!$C$2:$C$60*ISNUMBER(SEARCH(Rules!$D$2:$D$60,$D293)))</f>
        <v>0</v>
      </c>
      <c r="G293" s="0" t="n">
        <f aca="false">SUMPRODUCT((Rules!$A$2:$A$60=G$1)*Rules!$C$2:$C$60*ISNUMBER(SEARCH(Rules!$D$2:$D$60,$D293)))</f>
        <v>3</v>
      </c>
      <c r="H293" s="0" t="n">
        <f aca="false">SUMPRODUCT((Rules!$A$2:$A$60=H$1)*Rules!$C$2:$C$60*ISNUMBER(SEARCH(Rules!$D$2:$D$60,$D293)))</f>
        <v>0</v>
      </c>
      <c r="I293" s="0" t="n">
        <f aca="false">SUMPRODUCT((Rules!$A$2:$A$60=I$1)*Rules!$C$2:$C$60*ISNUMBER(SEARCH(Rules!$D$2:$D$60,$D293)))</f>
        <v>0</v>
      </c>
      <c r="J293" s="0" t="n">
        <f aca="false">SUMPRODUCT((Rules!$A$2:$A$60=J$1)*Rules!$C$2:$C$60*ISNUMBER(SEARCH(Rules!$D$2:$D$60,$D293)))</f>
        <v>1</v>
      </c>
      <c r="K293" s="0" t="str">
        <f aca="false">IF(OR(MAX(E293:J293)&lt;Rules!$H$1,MAX(E293:J293)-LARGE(E293:J293,2)&lt;Rules!$H$2),"No label",INDEX($E$1:$J$1,MATCH(MAX(E293:J293),E293:J293,0)))</f>
        <v>Account Access</v>
      </c>
      <c r="L293" s="0" t="n">
        <f aca="false">SUMPRODUCT((Rules!$A$2:$A$60=L$1)*Rules!$C$2:$C$60*ISNUMBER(SEARCH(Rules!$E$2:$E$60,$D293)))</f>
        <v>0</v>
      </c>
      <c r="M293" s="0" t="n">
        <f aca="false">SUMPRODUCT((Rules!$A$2:$A$60=M$1)*Rules!$C$2:$C$60*ISNUMBER(SEARCH(Rules!$E$2:$E$60,$D293)))</f>
        <v>4</v>
      </c>
      <c r="N293" s="0" t="n">
        <f aca="false">SUMPRODUCT((Rules!$A$2:$A$60=N$1)*Rules!$C$2:$C$60*ISNUMBER(SEARCH(Rules!$E$2:$E$60,$D293)))</f>
        <v>3</v>
      </c>
      <c r="O293" s="0" t="n">
        <f aca="false">SUMPRODUCT((Rules!$A$2:$A$60=O$1)*Rules!$C$2:$C$60*ISNUMBER(SEARCH(Rules!$E$2:$E$60,$D293)))</f>
        <v>0</v>
      </c>
      <c r="P293" s="0" t="n">
        <f aca="false">SUMPRODUCT((Rules!$A$2:$A$60=P$1)*Rules!$C$2:$C$60*ISNUMBER(SEARCH(Rules!$E$2:$E$60,$D293)))</f>
        <v>0</v>
      </c>
      <c r="Q293" s="0" t="n">
        <f aca="false">SUMPRODUCT((Rules!$A$2:$A$60=Q$1)*Rules!$C$2:$C$60*ISNUMBER(SEARCH(Rules!$E$2:$E$60,$D293)))</f>
        <v>1</v>
      </c>
      <c r="R293" s="0" t="str">
        <f aca="false">IF(OR(MAX(L293:Q293)&lt;Rules!$H$1,MAX(L293:Q293)-LARGE(L293:Q293,2)&lt;Rules!$H$2),"No label",INDEX($L$1:$Q$1,MATCH(MAX(L293:Q293),L293:Q293,0)))</f>
        <v>No label</v>
      </c>
      <c r="S293" s="0" t="n">
        <f aca="false">SUMPRODUCT(ISNUMBER(SEARCH(" "&amp;Terms!$A$3:$A$821&amp;" ",$D293))*Terms!B$3:B$821)+Terms!B$2</f>
        <v>-4.1711298205311</v>
      </c>
      <c r="T293" s="0" t="n">
        <f aca="false">SUMPRODUCT(ISNUMBER(SEARCH(" "&amp;Terms!$A$3:$A$821&amp;" ",$D293))*Terms!C$3:C$821)+Terms!C$2</f>
        <v>14.6470721701407</v>
      </c>
      <c r="U293" s="0" t="n">
        <f aca="false">SUMPRODUCT(ISNUMBER(SEARCH(" "&amp;Terms!$A$3:$A$821&amp;" ",$D293))*Terms!D$3:D$821)+Terms!D$2</f>
        <v>-2.82631630171243</v>
      </c>
      <c r="V293" s="0" t="n">
        <f aca="false">SUMPRODUCT(ISNUMBER(SEARCH(" "&amp;Terms!$A$3:$A$821&amp;" ",$D293))*Terms!E$3:E$821)+Terms!E$2</f>
        <v>-2.95886824997974</v>
      </c>
      <c r="W293" s="0" t="n">
        <f aca="false">SUMPRODUCT(ISNUMBER(SEARCH(" "&amp;Terms!$A$3:$A$821&amp;" ",$D293))*Terms!F$3:F$821)+Terms!F$2</f>
        <v>-1.28066683553906</v>
      </c>
      <c r="X293" s="0" t="n">
        <f aca="false">SUMPRODUCT(ISNUMBER(SEARCH(" "&amp;Terms!$A$3:$A$821&amp;" ",$D293))*Terms!G$3:G$821)+Terms!G$2</f>
        <v>-3.41009096237825</v>
      </c>
      <c r="Y293" s="0" t="str">
        <f aca="false">INDEX($S$1:$X$1,MATCH(MAX(S293:X293),S293:X293,0))</f>
        <v>Customer Service</v>
      </c>
      <c r="Z293" s="0" t="s">
        <v>2607</v>
      </c>
    </row>
    <row r="294" customFormat="false" ht="15" hidden="false" customHeight="false" outlineLevel="0" collapsed="false">
      <c r="A294" s="0" t="str">
        <f aca="false">Complaints!A294</f>
        <v>C0293</v>
      </c>
      <c r="B294" s="0" t="str">
        <f aca="false">Complaints!B294</f>
        <v>This is the second time I have raised this. I have been billed an annual fee I never agreed to. Please sort this out.</v>
      </c>
      <c r="C294" s="0" t="str">
        <f aca="false">Complaints!C294</f>
        <v>Fees &amp; Charges</v>
      </c>
      <c r="D294" s="0" t="str">
        <f aca="false">" "&amp;TRIM(SUBSTITUTE(SUBSTITUTE(SUBSTITUTE(SUBSTITUTE(SUBSTITUTE(SUBSTITUTE(SUBSTITUTE(SUBSTITUTE(SUBSTITUTE(SUBSTITUTE(SUBSTITUTE(SUBSTITUTE(SUBSTITUTE(SUBSTITUTE(SUBSTITUTE(SUBSTITUTE(LOWER(B294),"."," "),","," "),"'"," "),"’"," "),"!"," "),"?"," "),";"," "),":"," "),"-"," "),"("," "),")"," "),"""", " "),"£"," "),"&amp;"," "),"/"," "),"%"," "))&amp;" "</f>
        <v> this is the second time i have raised this i have been billed an annual fee i never agreed to please sort this out </v>
      </c>
      <c r="E294" s="0" t="n">
        <f aca="false">SUMPRODUCT((Rules!$A$2:$A$60=E$1)*Rules!$C$2:$C$60*ISNUMBER(SEARCH(Rules!$D$2:$D$60,$D294)))</f>
        <v>0</v>
      </c>
      <c r="F294" s="0" t="n">
        <f aca="false">SUMPRODUCT((Rules!$A$2:$A$60=F$1)*Rules!$C$2:$C$60*ISNUMBER(SEARCH(Rules!$D$2:$D$60,$D294)))</f>
        <v>0</v>
      </c>
      <c r="G294" s="0" t="n">
        <f aca="false">SUMPRODUCT((Rules!$A$2:$A$60=G$1)*Rules!$C$2:$C$60*ISNUMBER(SEARCH(Rules!$D$2:$D$60,$D294)))</f>
        <v>0</v>
      </c>
      <c r="H294" s="0" t="n">
        <f aca="false">SUMPRODUCT((Rules!$A$2:$A$60=H$1)*Rules!$C$2:$C$60*ISNUMBER(SEARCH(Rules!$D$2:$D$60,$D294)))</f>
        <v>4</v>
      </c>
      <c r="I294" s="0" t="n">
        <f aca="false">SUMPRODUCT((Rules!$A$2:$A$60=I$1)*Rules!$C$2:$C$60*ISNUMBER(SEARCH(Rules!$D$2:$D$60,$D294)))</f>
        <v>0</v>
      </c>
      <c r="J294" s="0" t="n">
        <f aca="false">SUMPRODUCT((Rules!$A$2:$A$60=J$1)*Rules!$C$2:$C$60*ISNUMBER(SEARCH(Rules!$D$2:$D$60,$D294)))</f>
        <v>0</v>
      </c>
      <c r="K294" s="0" t="str">
        <f aca="false">IF(OR(MAX(E294:J294)&lt;Rules!$H$1,MAX(E294:J294)-LARGE(E294:J294,2)&lt;Rules!$H$2),"No label",INDEX($E$1:$J$1,MATCH(MAX(E294:J294),E294:J294,0)))</f>
        <v>Fees &amp; Charges</v>
      </c>
      <c r="L294" s="0" t="n">
        <f aca="false">SUMPRODUCT((Rules!$A$2:$A$60=L$1)*Rules!$C$2:$C$60*ISNUMBER(SEARCH(Rules!$E$2:$E$60,$D294)))</f>
        <v>0</v>
      </c>
      <c r="M294" s="0" t="n">
        <f aca="false">SUMPRODUCT((Rules!$A$2:$A$60=M$1)*Rules!$C$2:$C$60*ISNUMBER(SEARCH(Rules!$E$2:$E$60,$D294)))</f>
        <v>0</v>
      </c>
      <c r="N294" s="0" t="n">
        <f aca="false">SUMPRODUCT((Rules!$A$2:$A$60=N$1)*Rules!$C$2:$C$60*ISNUMBER(SEARCH(Rules!$E$2:$E$60,$D294)))</f>
        <v>0</v>
      </c>
      <c r="O294" s="0" t="n">
        <f aca="false">SUMPRODUCT((Rules!$A$2:$A$60=O$1)*Rules!$C$2:$C$60*ISNUMBER(SEARCH(Rules!$E$2:$E$60,$D294)))</f>
        <v>4</v>
      </c>
      <c r="P294" s="0" t="n">
        <f aca="false">SUMPRODUCT((Rules!$A$2:$A$60=P$1)*Rules!$C$2:$C$60*ISNUMBER(SEARCH(Rules!$E$2:$E$60,$D294)))</f>
        <v>0</v>
      </c>
      <c r="Q294" s="0" t="n">
        <f aca="false">SUMPRODUCT((Rules!$A$2:$A$60=Q$1)*Rules!$C$2:$C$60*ISNUMBER(SEARCH(Rules!$E$2:$E$60,$D294)))</f>
        <v>0</v>
      </c>
      <c r="R294" s="0" t="str">
        <f aca="false">IF(OR(MAX(L294:Q294)&lt;Rules!$H$1,MAX(L294:Q294)-LARGE(L294:Q294,2)&lt;Rules!$H$2),"No label",INDEX($L$1:$Q$1,MATCH(MAX(L294:Q294),L294:Q294,0)))</f>
        <v>Fees &amp; Charges</v>
      </c>
      <c r="S294" s="0" t="n">
        <f aca="false">SUMPRODUCT(ISNUMBER(SEARCH(" "&amp;Terms!$A$3:$A$821&amp;" ",$D294))*Terms!B$3:B$821)+Terms!B$2</f>
        <v>-4.44763295905552</v>
      </c>
      <c r="T294" s="0" t="n">
        <f aca="false">SUMPRODUCT(ISNUMBER(SEARCH(" "&amp;Terms!$A$3:$A$821&amp;" ",$D294))*Terms!C$3:C$821)+Terms!C$2</f>
        <v>1.0599187287151</v>
      </c>
      <c r="U294" s="0" t="n">
        <f aca="false">SUMPRODUCT(ISNUMBER(SEARCH(" "&amp;Terms!$A$3:$A$821&amp;" ",$D294))*Terms!D$3:D$821)+Terms!D$2</f>
        <v>-2.41276652113514</v>
      </c>
      <c r="V294" s="0" t="n">
        <f aca="false">SUMPRODUCT(ISNUMBER(SEARCH(" "&amp;Terms!$A$3:$A$821&amp;" ",$D294))*Terms!E$3:E$821)+Terms!E$2</f>
        <v>13.0610010341805</v>
      </c>
      <c r="W294" s="0" t="n">
        <f aca="false">SUMPRODUCT(ISNUMBER(SEARCH(" "&amp;Terms!$A$3:$A$821&amp;" ",$D294))*Terms!F$3:F$821)+Terms!F$2</f>
        <v>-4.17036359906786</v>
      </c>
      <c r="X294" s="0" t="n">
        <f aca="false">SUMPRODUCT(ISNUMBER(SEARCH(" "&amp;Terms!$A$3:$A$821&amp;" ",$D294))*Terms!G$3:G$821)+Terms!G$2</f>
        <v>-3.09015668363701</v>
      </c>
      <c r="Y294" s="0" t="str">
        <f aca="false">INDEX($S$1:$X$1,MATCH(MAX(S294:X294),S294:X294,0))</f>
        <v>Fees &amp; Charges</v>
      </c>
      <c r="Z294" s="0" t="s">
        <v>2608</v>
      </c>
    </row>
    <row r="295" customFormat="false" ht="15" hidden="false" customHeight="false" outlineLevel="0" collapsed="false">
      <c r="A295" s="0" t="str">
        <f aca="false">Complaints!A295</f>
        <v>C0294</v>
      </c>
      <c r="B295" s="0" t="str">
        <f aca="false">Complaints!B295</f>
        <v>Frankly, I was told this policy covered me but my claim was rejected. It has also been taking far too long. I would like a response in writing.</v>
      </c>
      <c r="C295" s="0" t="str">
        <f aca="false">Complaints!C295</f>
        <v>Mis-selling</v>
      </c>
      <c r="D295" s="0" t="str">
        <f aca="false">" "&amp;TRIM(SUBSTITUTE(SUBSTITUTE(SUBSTITUTE(SUBSTITUTE(SUBSTITUTE(SUBSTITUTE(SUBSTITUTE(SUBSTITUTE(SUBSTITUTE(SUBSTITUTE(SUBSTITUTE(SUBSTITUTE(SUBSTITUTE(SUBSTITUTE(SUBSTITUTE(SUBSTITUTE(LOWER(B295),"."," "),","," "),"'"," "),"’"," "),"!"," "),"?"," "),";"," "),":"," "),"-"," "),"("," "),")"," "),"""", " "),"£"," "),"&amp;"," "),"/"," "),"%"," "))&amp;" "</f>
        <v> frankly i was told this policy covered me but my claim was rejected it has also been taking far too long i would like a response in writing </v>
      </c>
      <c r="E295" s="0" t="n">
        <f aca="false">SUMPRODUCT((Rules!$A$2:$A$60=E$1)*Rules!$C$2:$C$60*ISNUMBER(SEARCH(Rules!$D$2:$D$60,$D295)))</f>
        <v>0</v>
      </c>
      <c r="F295" s="0" t="n">
        <f aca="false">SUMPRODUCT((Rules!$A$2:$A$60=F$1)*Rules!$C$2:$C$60*ISNUMBER(SEARCH(Rules!$D$2:$D$60,$D295)))</f>
        <v>1</v>
      </c>
      <c r="G295" s="0" t="n">
        <f aca="false">SUMPRODUCT((Rules!$A$2:$A$60=G$1)*Rules!$C$2:$C$60*ISNUMBER(SEARCH(Rules!$D$2:$D$60,$D295)))</f>
        <v>0</v>
      </c>
      <c r="H295" s="0" t="n">
        <f aca="false">SUMPRODUCT((Rules!$A$2:$A$60=H$1)*Rules!$C$2:$C$60*ISNUMBER(SEARCH(Rules!$D$2:$D$60,$D295)))</f>
        <v>0</v>
      </c>
      <c r="I295" s="0" t="n">
        <f aca="false">SUMPRODUCT((Rules!$A$2:$A$60=I$1)*Rules!$C$2:$C$60*ISNUMBER(SEARCH(Rules!$D$2:$D$60,$D295)))</f>
        <v>0</v>
      </c>
      <c r="J295" s="0" t="n">
        <f aca="false">SUMPRODUCT((Rules!$A$2:$A$60=J$1)*Rules!$C$2:$C$60*ISNUMBER(SEARCH(Rules!$D$2:$D$60,$D295)))</f>
        <v>0</v>
      </c>
      <c r="K295" s="0" t="str">
        <f aca="false">IF(OR(MAX(E295:J295)&lt;Rules!$H$1,MAX(E295:J295)-LARGE(E295:J295,2)&lt;Rules!$H$2),"No label",INDEX($E$1:$J$1,MATCH(MAX(E295:J295),E295:J295,0)))</f>
        <v>No label</v>
      </c>
      <c r="L295" s="0" t="n">
        <f aca="false">SUMPRODUCT((Rules!$A$2:$A$60=L$1)*Rules!$C$2:$C$60*ISNUMBER(SEARCH(Rules!$E$2:$E$60,$D295)))</f>
        <v>0</v>
      </c>
      <c r="M295" s="0" t="n">
        <f aca="false">SUMPRODUCT((Rules!$A$2:$A$60=M$1)*Rules!$C$2:$C$60*ISNUMBER(SEARCH(Rules!$E$2:$E$60,$D295)))</f>
        <v>1</v>
      </c>
      <c r="N295" s="0" t="n">
        <f aca="false">SUMPRODUCT((Rules!$A$2:$A$60=N$1)*Rules!$C$2:$C$60*ISNUMBER(SEARCH(Rules!$E$2:$E$60,$D295)))</f>
        <v>0</v>
      </c>
      <c r="O295" s="0" t="n">
        <f aca="false">SUMPRODUCT((Rules!$A$2:$A$60=O$1)*Rules!$C$2:$C$60*ISNUMBER(SEARCH(Rules!$E$2:$E$60,$D295)))</f>
        <v>0</v>
      </c>
      <c r="P295" s="0" t="n">
        <f aca="false">SUMPRODUCT((Rules!$A$2:$A$60=P$1)*Rules!$C$2:$C$60*ISNUMBER(SEARCH(Rules!$E$2:$E$60,$D295)))</f>
        <v>0</v>
      </c>
      <c r="Q295" s="0" t="n">
        <f aca="false">SUMPRODUCT((Rules!$A$2:$A$60=Q$1)*Rules!$C$2:$C$60*ISNUMBER(SEARCH(Rules!$E$2:$E$60,$D295)))</f>
        <v>0</v>
      </c>
      <c r="R295" s="0" t="str">
        <f aca="false">IF(OR(MAX(L295:Q295)&lt;Rules!$H$1,MAX(L295:Q295)-LARGE(L295:Q295,2)&lt;Rules!$H$2),"No label",INDEX($L$1:$Q$1,MATCH(MAX(L295:Q295),L295:Q295,0)))</f>
        <v>No label</v>
      </c>
      <c r="S295" s="0" t="n">
        <f aca="false">SUMPRODUCT(ISNUMBER(SEARCH(" "&amp;Terms!$A$3:$A$821&amp;" ",$D295))*Terms!B$3:B$821)+Terms!B$2</f>
        <v>-3.1734790202946</v>
      </c>
      <c r="T295" s="0" t="n">
        <f aca="false">SUMPRODUCT(ISNUMBER(SEARCH(" "&amp;Terms!$A$3:$A$821&amp;" ",$D295))*Terms!C$3:C$821)+Terms!C$2</f>
        <v>-4.32324189289702</v>
      </c>
      <c r="U295" s="0" t="n">
        <f aca="false">SUMPRODUCT(ISNUMBER(SEARCH(" "&amp;Terms!$A$3:$A$821&amp;" ",$D295))*Terms!D$3:D$821)+Terms!D$2</f>
        <v>0.494720186274824</v>
      </c>
      <c r="V295" s="0" t="n">
        <f aca="false">SUMPRODUCT(ISNUMBER(SEARCH(" "&amp;Terms!$A$3:$A$821&amp;" ",$D295))*Terms!E$3:E$821)+Terms!E$2</f>
        <v>-0.280331641388553</v>
      </c>
      <c r="W295" s="0" t="n">
        <f aca="false">SUMPRODUCT(ISNUMBER(SEARCH(" "&amp;Terms!$A$3:$A$821&amp;" ",$D295))*Terms!F$3:F$821)+Terms!F$2</f>
        <v>-3.12333942827436</v>
      </c>
      <c r="X295" s="0" t="n">
        <f aca="false">SUMPRODUCT(ISNUMBER(SEARCH(" "&amp;Terms!$A$3:$A$821&amp;" ",$D295))*Terms!G$3:G$821)+Terms!G$2</f>
        <v>10.4056717965798</v>
      </c>
      <c r="Y295" s="0" t="str">
        <f aca="false">INDEX($S$1:$X$1,MATCH(MAX(S295:X295),S295:X295,0))</f>
        <v>Mis-selling</v>
      </c>
      <c r="Z295" s="0" t="s">
        <v>2607</v>
      </c>
    </row>
    <row r="296" customFormat="false" ht="15" hidden="false" customHeight="false" outlineLevel="0" collapsed="false">
      <c r="A296" s="0" t="str">
        <f aca="false">Complaints!A296</f>
        <v>C0295</v>
      </c>
      <c r="B296" s="0" t="str">
        <f aca="false">Complaints!B296</f>
        <v>Hello, I cannot log in to the mobile app since the update. I am worried it might be fraud. I expect compensation.</v>
      </c>
      <c r="C296" s="0" t="str">
        <f aca="false">Complaints!C296</f>
        <v>Account Access</v>
      </c>
      <c r="D296" s="0" t="str">
        <f aca="false">" "&amp;TRIM(SUBSTITUTE(SUBSTITUTE(SUBSTITUTE(SUBSTITUTE(SUBSTITUTE(SUBSTITUTE(SUBSTITUTE(SUBSTITUTE(SUBSTITUTE(SUBSTITUTE(SUBSTITUTE(SUBSTITUTE(SUBSTITUTE(SUBSTITUTE(SUBSTITUTE(SUBSTITUTE(LOWER(B296),"."," "),","," "),"'"," "),"’"," "),"!"," "),"?"," "),";"," "),":"," "),"-"," "),"("," "),")"," "),"""", " "),"£"," "),"&amp;"," "),"/"," "),"%"," "))&amp;" "</f>
        <v> hello i cannot log in to the mobile app since the update i am worried it might be fraud i expect compensation </v>
      </c>
      <c r="E296" s="0" t="n">
        <f aca="false">SUMPRODUCT((Rules!$A$2:$A$60=E$1)*Rules!$C$2:$C$60*ISNUMBER(SEARCH(Rules!$D$2:$D$60,$D296)))</f>
        <v>3</v>
      </c>
      <c r="F296" s="0" t="n">
        <f aca="false">SUMPRODUCT((Rules!$A$2:$A$60=F$1)*Rules!$C$2:$C$60*ISNUMBER(SEARCH(Rules!$D$2:$D$60,$D296)))</f>
        <v>0</v>
      </c>
      <c r="G296" s="0" t="n">
        <f aca="false">SUMPRODUCT((Rules!$A$2:$A$60=G$1)*Rules!$C$2:$C$60*ISNUMBER(SEARCH(Rules!$D$2:$D$60,$D296)))</f>
        <v>4</v>
      </c>
      <c r="H296" s="0" t="n">
        <f aca="false">SUMPRODUCT((Rules!$A$2:$A$60=H$1)*Rules!$C$2:$C$60*ISNUMBER(SEARCH(Rules!$D$2:$D$60,$D296)))</f>
        <v>0</v>
      </c>
      <c r="I296" s="0" t="n">
        <f aca="false">SUMPRODUCT((Rules!$A$2:$A$60=I$1)*Rules!$C$2:$C$60*ISNUMBER(SEARCH(Rules!$D$2:$D$60,$D296)))</f>
        <v>0</v>
      </c>
      <c r="J296" s="0" t="n">
        <f aca="false">SUMPRODUCT((Rules!$A$2:$A$60=J$1)*Rules!$C$2:$C$60*ISNUMBER(SEARCH(Rules!$D$2:$D$60,$D296)))</f>
        <v>0</v>
      </c>
      <c r="K296" s="0" t="str">
        <f aca="false">IF(OR(MAX(E296:J296)&lt;Rules!$H$1,MAX(E296:J296)-LARGE(E296:J296,2)&lt;Rules!$H$2),"No label",INDEX($E$1:$J$1,MATCH(MAX(E296:J296),E296:J296,0)))</f>
        <v>No label</v>
      </c>
      <c r="L296" s="0" t="n">
        <f aca="false">SUMPRODUCT((Rules!$A$2:$A$60=L$1)*Rules!$C$2:$C$60*ISNUMBER(SEARCH(Rules!$E$2:$E$60,$D296)))</f>
        <v>3</v>
      </c>
      <c r="M296" s="0" t="n">
        <f aca="false">SUMPRODUCT((Rules!$A$2:$A$60=M$1)*Rules!$C$2:$C$60*ISNUMBER(SEARCH(Rules!$E$2:$E$60,$D296)))</f>
        <v>0</v>
      </c>
      <c r="N296" s="0" t="n">
        <f aca="false">SUMPRODUCT((Rules!$A$2:$A$60=N$1)*Rules!$C$2:$C$60*ISNUMBER(SEARCH(Rules!$E$2:$E$60,$D296)))</f>
        <v>4</v>
      </c>
      <c r="O296" s="0" t="n">
        <f aca="false">SUMPRODUCT((Rules!$A$2:$A$60=O$1)*Rules!$C$2:$C$60*ISNUMBER(SEARCH(Rules!$E$2:$E$60,$D296)))</f>
        <v>0</v>
      </c>
      <c r="P296" s="0" t="n">
        <f aca="false">SUMPRODUCT((Rules!$A$2:$A$60=P$1)*Rules!$C$2:$C$60*ISNUMBER(SEARCH(Rules!$E$2:$E$60,$D296)))</f>
        <v>0</v>
      </c>
      <c r="Q296" s="0" t="n">
        <f aca="false">SUMPRODUCT((Rules!$A$2:$A$60=Q$1)*Rules!$C$2:$C$60*ISNUMBER(SEARCH(Rules!$E$2:$E$60,$D296)))</f>
        <v>0</v>
      </c>
      <c r="R296" s="0" t="str">
        <f aca="false">IF(OR(MAX(L296:Q296)&lt;Rules!$H$1,MAX(L296:Q296)-LARGE(L296:Q296,2)&lt;Rules!$H$2),"No label",INDEX($L$1:$Q$1,MATCH(MAX(L296:Q296),L296:Q296,0)))</f>
        <v>No label</v>
      </c>
      <c r="S296" s="0" t="n">
        <f aca="false">SUMPRODUCT(ISNUMBER(SEARCH(" "&amp;Terms!$A$3:$A$821&amp;" ",$D296))*Terms!B$3:B$821)+Terms!B$2</f>
        <v>12.0339743188265</v>
      </c>
      <c r="T296" s="0" t="n">
        <f aca="false">SUMPRODUCT(ISNUMBER(SEARCH(" "&amp;Terms!$A$3:$A$821&amp;" ",$D296))*Terms!C$3:C$821)+Terms!C$2</f>
        <v>-1.89357906714981</v>
      </c>
      <c r="U296" s="0" t="n">
        <f aca="false">SUMPRODUCT(ISNUMBER(SEARCH(" "&amp;Terms!$A$3:$A$821&amp;" ",$D296))*Terms!D$3:D$821)+Terms!D$2</f>
        <v>-3.6117918249057</v>
      </c>
      <c r="V296" s="0" t="n">
        <f aca="false">SUMPRODUCT(ISNUMBER(SEARCH(" "&amp;Terms!$A$3:$A$821&amp;" ",$D296))*Terms!E$3:E$821)+Terms!E$2</f>
        <v>-2.17369415098264</v>
      </c>
      <c r="W296" s="0" t="n">
        <f aca="false">SUMPRODUCT(ISNUMBER(SEARCH(" "&amp;Terms!$A$3:$A$821&amp;" ",$D296))*Terms!F$3:F$821)+Terms!F$2</f>
        <v>-2.87350058551775</v>
      </c>
      <c r="X296" s="0" t="n">
        <f aca="false">SUMPRODUCT(ISNUMBER(SEARCH(" "&amp;Terms!$A$3:$A$821&amp;" ",$D296))*Terms!G$3:G$821)+Terms!G$2</f>
        <v>-1.48140869027052</v>
      </c>
      <c r="Y296" s="0" t="str">
        <f aca="false">INDEX($S$1:$X$1,MATCH(MAX(S296:X296),S296:X296,0))</f>
        <v>Account Access</v>
      </c>
      <c r="Z296" s="0" t="s">
        <v>2608</v>
      </c>
    </row>
    <row r="297" customFormat="false" ht="15" hidden="false" customHeight="false" outlineLevel="0" collapsed="false">
      <c r="A297" s="0" t="str">
        <f aca="false">Complaints!A297</f>
        <v>C0296</v>
      </c>
      <c r="B297" s="0" t="str">
        <f aca="false">Complaints!B297</f>
        <v>I am writing to complain. A person pretending to be from your bank phoned me and I gave them details. This is not acceptable.</v>
      </c>
      <c r="C297" s="0" t="str">
        <f aca="false">Complaints!C297</f>
        <v>Fraud &amp; Scams</v>
      </c>
      <c r="D297" s="0" t="str">
        <f aca="false">" "&amp;TRIM(SUBSTITUTE(SUBSTITUTE(SUBSTITUTE(SUBSTITUTE(SUBSTITUTE(SUBSTITUTE(SUBSTITUTE(SUBSTITUTE(SUBSTITUTE(SUBSTITUTE(SUBSTITUTE(SUBSTITUTE(SUBSTITUTE(SUBSTITUTE(SUBSTITUTE(SUBSTITUTE(LOWER(B297),"."," "),","," "),"'"," "),"’"," "),"!"," "),"?"," "),";"," "),":"," "),"-"," "),"("," "),")"," "),"""", " "),"£"," "),"&amp;"," "),"/"," "),"%"," "))&amp;" "</f>
        <v> i am writing to complain a person pretending to be from your bank phoned me and i gave them details this is not acceptable </v>
      </c>
      <c r="E297" s="0" t="n">
        <f aca="false">SUMPRODUCT((Rules!$A$2:$A$60=E$1)*Rules!$C$2:$C$60*ISNUMBER(SEARCH(Rules!$D$2:$D$60,$D297)))</f>
        <v>0</v>
      </c>
      <c r="F297" s="0" t="n">
        <f aca="false">SUMPRODUCT((Rules!$A$2:$A$60=F$1)*Rules!$C$2:$C$60*ISNUMBER(SEARCH(Rules!$D$2:$D$60,$D297)))</f>
        <v>0</v>
      </c>
      <c r="G297" s="0" t="n">
        <f aca="false">SUMPRODUCT((Rules!$A$2:$A$60=G$1)*Rules!$C$2:$C$60*ISNUMBER(SEARCH(Rules!$D$2:$D$60,$D297)))</f>
        <v>0</v>
      </c>
      <c r="H297" s="0" t="n">
        <f aca="false">SUMPRODUCT((Rules!$A$2:$A$60=H$1)*Rules!$C$2:$C$60*ISNUMBER(SEARCH(Rules!$D$2:$D$60,$D297)))</f>
        <v>0</v>
      </c>
      <c r="I297" s="0" t="n">
        <f aca="false">SUMPRODUCT((Rules!$A$2:$A$60=I$1)*Rules!$C$2:$C$60*ISNUMBER(SEARCH(Rules!$D$2:$D$60,$D297)))</f>
        <v>0</v>
      </c>
      <c r="J297" s="0" t="n">
        <f aca="false">SUMPRODUCT((Rules!$A$2:$A$60=J$1)*Rules!$C$2:$C$60*ISNUMBER(SEARCH(Rules!$D$2:$D$60,$D297)))</f>
        <v>0</v>
      </c>
      <c r="K297" s="0" t="str">
        <f aca="false">IF(OR(MAX(E297:J297)&lt;Rules!$H$1,MAX(E297:J297)-LARGE(E297:J297,2)&lt;Rules!$H$2),"No label",INDEX($E$1:$J$1,MATCH(MAX(E297:J297),E297:J297,0)))</f>
        <v>No label</v>
      </c>
      <c r="L297" s="0" t="n">
        <f aca="false">SUMPRODUCT((Rules!$A$2:$A$60=L$1)*Rules!$C$2:$C$60*ISNUMBER(SEARCH(Rules!$E$2:$E$60,$D297)))</f>
        <v>0</v>
      </c>
      <c r="M297" s="0" t="n">
        <f aca="false">SUMPRODUCT((Rules!$A$2:$A$60=M$1)*Rules!$C$2:$C$60*ISNUMBER(SEARCH(Rules!$E$2:$E$60,$D297)))</f>
        <v>0</v>
      </c>
      <c r="N297" s="0" t="n">
        <f aca="false">SUMPRODUCT((Rules!$A$2:$A$60=N$1)*Rules!$C$2:$C$60*ISNUMBER(SEARCH(Rules!$E$2:$E$60,$D297)))</f>
        <v>1</v>
      </c>
      <c r="O297" s="0" t="n">
        <f aca="false">SUMPRODUCT((Rules!$A$2:$A$60=O$1)*Rules!$C$2:$C$60*ISNUMBER(SEARCH(Rules!$E$2:$E$60,$D297)))</f>
        <v>0</v>
      </c>
      <c r="P297" s="0" t="n">
        <f aca="false">SUMPRODUCT((Rules!$A$2:$A$60=P$1)*Rules!$C$2:$C$60*ISNUMBER(SEARCH(Rules!$E$2:$E$60,$D297)))</f>
        <v>0</v>
      </c>
      <c r="Q297" s="0" t="n">
        <f aca="false">SUMPRODUCT((Rules!$A$2:$A$60=Q$1)*Rules!$C$2:$C$60*ISNUMBER(SEARCH(Rules!$E$2:$E$60,$D297)))</f>
        <v>0</v>
      </c>
      <c r="R297" s="0" t="str">
        <f aca="false">IF(OR(MAX(L297:Q297)&lt;Rules!$H$1,MAX(L297:Q297)-LARGE(L297:Q297,2)&lt;Rules!$H$2),"No label",INDEX($L$1:$Q$1,MATCH(MAX(L297:Q297),L297:Q297,0)))</f>
        <v>No label</v>
      </c>
      <c r="S297" s="0" t="n">
        <f aca="false">SUMPRODUCT(ISNUMBER(SEARCH(" "&amp;Terms!$A$3:$A$821&amp;" ",$D297))*Terms!B$3:B$821)+Terms!B$2</f>
        <v>0.256333666904708</v>
      </c>
      <c r="T297" s="0" t="n">
        <f aca="false">SUMPRODUCT(ISNUMBER(SEARCH(" "&amp;Terms!$A$3:$A$821&amp;" ",$D297))*Terms!C$3:C$821)+Terms!C$2</f>
        <v>-3.09564319309114</v>
      </c>
      <c r="U297" s="0" t="n">
        <f aca="false">SUMPRODUCT(ISNUMBER(SEARCH(" "&amp;Terms!$A$3:$A$821&amp;" ",$D297))*Terms!D$3:D$821)+Terms!D$2</f>
        <v>-2.5254150552644</v>
      </c>
      <c r="V297" s="0" t="n">
        <f aca="false">SUMPRODUCT(ISNUMBER(SEARCH(" "&amp;Terms!$A$3:$A$821&amp;" ",$D297))*Terms!E$3:E$821)+Terms!E$2</f>
        <v>-4.43330300500136</v>
      </c>
      <c r="W297" s="0" t="n">
        <f aca="false">SUMPRODUCT(ISNUMBER(SEARCH(" "&amp;Terms!$A$3:$A$821&amp;" ",$D297))*Terms!F$3:F$821)+Terms!F$2</f>
        <v>9.79003978544236</v>
      </c>
      <c r="X297" s="0" t="n">
        <f aca="false">SUMPRODUCT(ISNUMBER(SEARCH(" "&amp;Terms!$A$3:$A$821&amp;" ",$D297))*Terms!G$3:G$821)+Terms!G$2</f>
        <v>0.00798780100990133</v>
      </c>
      <c r="Y297" s="0" t="str">
        <f aca="false">INDEX($S$1:$X$1,MATCH(MAX(S297:X297),S297:X297,0))</f>
        <v>Fraud &amp; Scams</v>
      </c>
      <c r="Z297" s="0" t="s">
        <v>2607</v>
      </c>
    </row>
    <row r="298" customFormat="false" ht="15" hidden="false" customHeight="false" outlineLevel="0" collapsed="false">
      <c r="A298" s="0" t="str">
        <f aca="false">Complaints!A298</f>
        <v>C0297</v>
      </c>
      <c r="B298" s="0" t="str">
        <f aca="false">Complaints!B298</f>
        <v>Frankly, My identity was stolen and a loan was taken out in my name. I do not think it was explained properly when I bought it.</v>
      </c>
      <c r="C298" s="0" t="str">
        <f aca="false">Complaints!C298</f>
        <v>Fraud &amp; Scams</v>
      </c>
      <c r="D298" s="0" t="str">
        <f aca="false">" "&amp;TRIM(SUBSTITUTE(SUBSTITUTE(SUBSTITUTE(SUBSTITUTE(SUBSTITUTE(SUBSTITUTE(SUBSTITUTE(SUBSTITUTE(SUBSTITUTE(SUBSTITUTE(SUBSTITUTE(SUBSTITUTE(SUBSTITUTE(SUBSTITUTE(SUBSTITUTE(SUBSTITUTE(LOWER(B298),"."," "),","," "),"'"," "),"’"," "),"!"," "),"?"," "),";"," "),":"," "),"-"," "),"("," "),")"," "),"""", " "),"£"," "),"&amp;"," "),"/"," "),"%"," "))&amp;" "</f>
        <v> frankly my identity was stolen and a loan was taken out in my name i do not think it was explained properly when i bought it </v>
      </c>
      <c r="E298" s="0" t="n">
        <f aca="false">SUMPRODUCT((Rules!$A$2:$A$60=E$1)*Rules!$C$2:$C$60*ISNUMBER(SEARCH(Rules!$D$2:$D$60,$D298)))</f>
        <v>2</v>
      </c>
      <c r="F298" s="0" t="n">
        <f aca="false">SUMPRODUCT((Rules!$A$2:$A$60=F$1)*Rules!$C$2:$C$60*ISNUMBER(SEARCH(Rules!$D$2:$D$60,$D298)))</f>
        <v>0</v>
      </c>
      <c r="G298" s="0" t="n">
        <f aca="false">SUMPRODUCT((Rules!$A$2:$A$60=G$1)*Rules!$C$2:$C$60*ISNUMBER(SEARCH(Rules!$D$2:$D$60,$D298)))</f>
        <v>0</v>
      </c>
      <c r="H298" s="0" t="n">
        <f aca="false">SUMPRODUCT((Rules!$A$2:$A$60=H$1)*Rules!$C$2:$C$60*ISNUMBER(SEARCH(Rules!$D$2:$D$60,$D298)))</f>
        <v>0</v>
      </c>
      <c r="I298" s="0" t="n">
        <f aca="false">SUMPRODUCT((Rules!$A$2:$A$60=I$1)*Rules!$C$2:$C$60*ISNUMBER(SEARCH(Rules!$D$2:$D$60,$D298)))</f>
        <v>0</v>
      </c>
      <c r="J298" s="0" t="n">
        <f aca="false">SUMPRODUCT((Rules!$A$2:$A$60=J$1)*Rules!$C$2:$C$60*ISNUMBER(SEARCH(Rules!$D$2:$D$60,$D298)))</f>
        <v>0</v>
      </c>
      <c r="K298" s="0" t="str">
        <f aca="false">IF(OR(MAX(E298:J298)&lt;Rules!$H$1,MAX(E298:J298)-LARGE(E298:J298,2)&lt;Rules!$H$2),"No label",INDEX($E$1:$J$1,MATCH(MAX(E298:J298),E298:J298,0)))</f>
        <v>No label</v>
      </c>
      <c r="L298" s="0" t="n">
        <f aca="false">SUMPRODUCT((Rules!$A$2:$A$60=L$1)*Rules!$C$2:$C$60*ISNUMBER(SEARCH(Rules!$E$2:$E$60,$D298)))</f>
        <v>2</v>
      </c>
      <c r="M298" s="0" t="n">
        <f aca="false">SUMPRODUCT((Rules!$A$2:$A$60=M$1)*Rules!$C$2:$C$60*ISNUMBER(SEARCH(Rules!$E$2:$E$60,$D298)))</f>
        <v>0</v>
      </c>
      <c r="N298" s="0" t="n">
        <f aca="false">SUMPRODUCT((Rules!$A$2:$A$60=N$1)*Rules!$C$2:$C$60*ISNUMBER(SEARCH(Rules!$E$2:$E$60,$D298)))</f>
        <v>0</v>
      </c>
      <c r="O298" s="0" t="n">
        <f aca="false">SUMPRODUCT((Rules!$A$2:$A$60=O$1)*Rules!$C$2:$C$60*ISNUMBER(SEARCH(Rules!$E$2:$E$60,$D298)))</f>
        <v>0</v>
      </c>
      <c r="P298" s="0" t="n">
        <f aca="false">SUMPRODUCT((Rules!$A$2:$A$60=P$1)*Rules!$C$2:$C$60*ISNUMBER(SEARCH(Rules!$E$2:$E$60,$D298)))</f>
        <v>0</v>
      </c>
      <c r="Q298" s="0" t="n">
        <f aca="false">SUMPRODUCT((Rules!$A$2:$A$60=Q$1)*Rules!$C$2:$C$60*ISNUMBER(SEARCH(Rules!$E$2:$E$60,$D298)))</f>
        <v>0</v>
      </c>
      <c r="R298" s="0" t="str">
        <f aca="false">IF(OR(MAX(L298:Q298)&lt;Rules!$H$1,MAX(L298:Q298)-LARGE(L298:Q298,2)&lt;Rules!$H$2),"No label",INDEX($L$1:$Q$1,MATCH(MAX(L298:Q298),L298:Q298,0)))</f>
        <v>No label</v>
      </c>
      <c r="S298" s="0" t="n">
        <f aca="false">SUMPRODUCT(ISNUMBER(SEARCH(" "&amp;Terms!$A$3:$A$821&amp;" ",$D298))*Terms!B$3:B$821)+Terms!B$2</f>
        <v>-1.64551215238195</v>
      </c>
      <c r="T298" s="0" t="n">
        <f aca="false">SUMPRODUCT(ISNUMBER(SEARCH(" "&amp;Terms!$A$3:$A$821&amp;" ",$D298))*Terms!C$3:C$821)+Terms!C$2</f>
        <v>-1.04454659769312</v>
      </c>
      <c r="U298" s="0" t="n">
        <f aca="false">SUMPRODUCT(ISNUMBER(SEARCH(" "&amp;Terms!$A$3:$A$821&amp;" ",$D298))*Terms!D$3:D$821)+Terms!D$2</f>
        <v>-3.70605245982787</v>
      </c>
      <c r="V298" s="0" t="n">
        <f aca="false">SUMPRODUCT(ISNUMBER(SEARCH(" "&amp;Terms!$A$3:$A$821&amp;" ",$D298))*Terms!E$3:E$821)+Terms!E$2</f>
        <v>2.38426791412911</v>
      </c>
      <c r="W298" s="0" t="n">
        <f aca="false">SUMPRODUCT(ISNUMBER(SEARCH(" "&amp;Terms!$A$3:$A$821&amp;" ",$D298))*Terms!F$3:F$821)+Terms!F$2</f>
        <v>8.60537301760184</v>
      </c>
      <c r="X298" s="0" t="n">
        <f aca="false">SUMPRODUCT(ISNUMBER(SEARCH(" "&amp;Terms!$A$3:$A$821&amp;" ",$D298))*Terms!G$3:G$821)+Terms!G$2</f>
        <v>-4.59352972182792</v>
      </c>
      <c r="Y298" s="0" t="str">
        <f aca="false">INDEX($S$1:$X$1,MATCH(MAX(S298:X298),S298:X298,0))</f>
        <v>Fraud &amp; Scams</v>
      </c>
      <c r="Z298" s="0" t="s">
        <v>2607</v>
      </c>
    </row>
    <row r="299" customFormat="false" ht="15" hidden="false" customHeight="false" outlineLevel="0" collapsed="false">
      <c r="A299" s="0" t="str">
        <f aca="false">Complaints!A299</f>
        <v>C0298</v>
      </c>
      <c r="B299" s="0" t="str">
        <f aca="false">Complaints!B299</f>
        <v>To whom it may concern, The complaints handler was unhelpful and talked over me. Please sort this out.</v>
      </c>
      <c r="C299" s="0" t="str">
        <f aca="false">Complaints!C299</f>
        <v>Customer Service</v>
      </c>
      <c r="D299" s="0" t="str">
        <f aca="false">" "&amp;TRIM(SUBSTITUTE(SUBSTITUTE(SUBSTITUTE(SUBSTITUTE(SUBSTITUTE(SUBSTITUTE(SUBSTITUTE(SUBSTITUTE(SUBSTITUTE(SUBSTITUTE(SUBSTITUTE(SUBSTITUTE(SUBSTITUTE(SUBSTITUTE(SUBSTITUTE(SUBSTITUTE(LOWER(B299),"."," "),","," "),"'"," "),"’"," "),"!"," "),"?"," "),";"," "),":"," "),"-"," "),"("," "),")"," "),"""", " "),"£"," "),"&amp;"," "),"/"," "),"%"," "))&amp;" "</f>
        <v> to whom it may concern the complaints handler was unhelpful and talked over me please sort this out </v>
      </c>
      <c r="E299" s="0" t="n">
        <f aca="false">SUMPRODUCT((Rules!$A$2:$A$60=E$1)*Rules!$C$2:$C$60*ISNUMBER(SEARCH(Rules!$D$2:$D$60,$D299)))</f>
        <v>0</v>
      </c>
      <c r="F299" s="0" t="n">
        <f aca="false">SUMPRODUCT((Rules!$A$2:$A$60=F$1)*Rules!$C$2:$C$60*ISNUMBER(SEARCH(Rules!$D$2:$D$60,$D299)))</f>
        <v>0</v>
      </c>
      <c r="G299" s="0" t="n">
        <f aca="false">SUMPRODUCT((Rules!$A$2:$A$60=G$1)*Rules!$C$2:$C$60*ISNUMBER(SEARCH(Rules!$D$2:$D$60,$D299)))</f>
        <v>0</v>
      </c>
      <c r="H299" s="0" t="n">
        <f aca="false">SUMPRODUCT((Rules!$A$2:$A$60=H$1)*Rules!$C$2:$C$60*ISNUMBER(SEARCH(Rules!$D$2:$D$60,$D299)))</f>
        <v>0</v>
      </c>
      <c r="I299" s="0" t="n">
        <f aca="false">SUMPRODUCT((Rules!$A$2:$A$60=I$1)*Rules!$C$2:$C$60*ISNUMBER(SEARCH(Rules!$D$2:$D$60,$D299)))</f>
        <v>0</v>
      </c>
      <c r="J299" s="0" t="n">
        <f aca="false">SUMPRODUCT((Rules!$A$2:$A$60=J$1)*Rules!$C$2:$C$60*ISNUMBER(SEARCH(Rules!$D$2:$D$60,$D299)))</f>
        <v>2</v>
      </c>
      <c r="K299" s="0" t="str">
        <f aca="false">IF(OR(MAX(E299:J299)&lt;Rules!$H$1,MAX(E299:J299)-LARGE(E299:J299,2)&lt;Rules!$H$2),"No label",INDEX($E$1:$J$1,MATCH(MAX(E299:J299),E299:J299,0)))</f>
        <v>No label</v>
      </c>
      <c r="L299" s="0" t="n">
        <f aca="false">SUMPRODUCT((Rules!$A$2:$A$60=L$1)*Rules!$C$2:$C$60*ISNUMBER(SEARCH(Rules!$E$2:$E$60,$D299)))</f>
        <v>0</v>
      </c>
      <c r="M299" s="0" t="n">
        <f aca="false">SUMPRODUCT((Rules!$A$2:$A$60=M$1)*Rules!$C$2:$C$60*ISNUMBER(SEARCH(Rules!$E$2:$E$60,$D299)))</f>
        <v>0</v>
      </c>
      <c r="N299" s="0" t="n">
        <f aca="false">SUMPRODUCT((Rules!$A$2:$A$60=N$1)*Rules!$C$2:$C$60*ISNUMBER(SEARCH(Rules!$E$2:$E$60,$D299)))</f>
        <v>0</v>
      </c>
      <c r="O299" s="0" t="n">
        <f aca="false">SUMPRODUCT((Rules!$A$2:$A$60=O$1)*Rules!$C$2:$C$60*ISNUMBER(SEARCH(Rules!$E$2:$E$60,$D299)))</f>
        <v>0</v>
      </c>
      <c r="P299" s="0" t="n">
        <f aca="false">SUMPRODUCT((Rules!$A$2:$A$60=P$1)*Rules!$C$2:$C$60*ISNUMBER(SEARCH(Rules!$E$2:$E$60,$D299)))</f>
        <v>0</v>
      </c>
      <c r="Q299" s="0" t="n">
        <f aca="false">SUMPRODUCT((Rules!$A$2:$A$60=Q$1)*Rules!$C$2:$C$60*ISNUMBER(SEARCH(Rules!$E$2:$E$60,$D299)))</f>
        <v>2</v>
      </c>
      <c r="R299" s="0" t="str">
        <f aca="false">IF(OR(MAX(L299:Q299)&lt;Rules!$H$1,MAX(L299:Q299)-LARGE(L299:Q299,2)&lt;Rules!$H$2),"No label",INDEX($L$1:$Q$1,MATCH(MAX(L299:Q299),L299:Q299,0)))</f>
        <v>No label</v>
      </c>
      <c r="S299" s="0" t="n">
        <f aca="false">SUMPRODUCT(ISNUMBER(SEARCH(" "&amp;Terms!$A$3:$A$821&amp;" ",$D299))*Terms!B$3:B$821)+Terms!B$2</f>
        <v>-3.14088380774612</v>
      </c>
      <c r="T299" s="0" t="n">
        <f aca="false">SUMPRODUCT(ISNUMBER(SEARCH(" "&amp;Terms!$A$3:$A$821&amp;" ",$D299))*Terms!C$3:C$821)+Terms!C$2</f>
        <v>9.1347641766857</v>
      </c>
      <c r="U299" s="0" t="n">
        <f aca="false">SUMPRODUCT(ISNUMBER(SEARCH(" "&amp;Terms!$A$3:$A$821&amp;" ",$D299))*Terms!D$3:D$821)+Terms!D$2</f>
        <v>-3.49526908729044</v>
      </c>
      <c r="V299" s="0" t="n">
        <f aca="false">SUMPRODUCT(ISNUMBER(SEARCH(" "&amp;Terms!$A$3:$A$821&amp;" ",$D299))*Terms!E$3:E$821)+Terms!E$2</f>
        <v>1.5896270718607</v>
      </c>
      <c r="W299" s="0" t="n">
        <f aca="false">SUMPRODUCT(ISNUMBER(SEARCH(" "&amp;Terms!$A$3:$A$821&amp;" ",$D299))*Terms!F$3:F$821)+Terms!F$2</f>
        <v>-2.73915183742855</v>
      </c>
      <c r="X299" s="0" t="n">
        <f aca="false">SUMPRODUCT(ISNUMBER(SEARCH(" "&amp;Terms!$A$3:$A$821&amp;" ",$D299))*Terms!G$3:G$821)+Terms!G$2</f>
        <v>-1.3490865160812</v>
      </c>
      <c r="Y299" s="0" t="str">
        <f aca="false">INDEX($S$1:$X$1,MATCH(MAX(S299:X299),S299:X299,0))</f>
        <v>Customer Service</v>
      </c>
      <c r="Z299" s="0" t="s">
        <v>2607</v>
      </c>
    </row>
    <row r="300" customFormat="false" ht="15" hidden="false" customHeight="false" outlineLevel="0" collapsed="false">
      <c r="A300" s="0" t="str">
        <f aca="false">Complaints!A300</f>
        <v>C0299</v>
      </c>
      <c r="B300" s="0" t="str">
        <f aca="false">Complaints!B300</f>
        <v>To whom it may concern, I was passed between four departments and no one took ownership. Please sort this out.</v>
      </c>
      <c r="C300" s="0" t="str">
        <f aca="false">Complaints!C300</f>
        <v>Customer Service</v>
      </c>
      <c r="D300" s="0" t="str">
        <f aca="false">" "&amp;TRIM(SUBSTITUTE(SUBSTITUTE(SUBSTITUTE(SUBSTITUTE(SUBSTITUTE(SUBSTITUTE(SUBSTITUTE(SUBSTITUTE(SUBSTITUTE(SUBSTITUTE(SUBSTITUTE(SUBSTITUTE(SUBSTITUTE(SUBSTITUTE(SUBSTITUTE(SUBSTITUTE(LOWER(B300),"."," "),","," "),"'"," "),"’"," "),"!"," "),"?"," "),";"," "),":"," "),"-"," "),"("," "),")"," "),"""", " "),"£"," "),"&amp;"," "),"/"," "),"%"," "))&amp;" "</f>
        <v> to whom it may concern i was passed between four departments and no one took ownership please sort this out </v>
      </c>
      <c r="E300" s="0" t="n">
        <f aca="false">SUMPRODUCT((Rules!$A$2:$A$60=E$1)*Rules!$C$2:$C$60*ISNUMBER(SEARCH(Rules!$D$2:$D$60,$D300)))</f>
        <v>0</v>
      </c>
      <c r="F300" s="0" t="n">
        <f aca="false">SUMPRODUCT((Rules!$A$2:$A$60=F$1)*Rules!$C$2:$C$60*ISNUMBER(SEARCH(Rules!$D$2:$D$60,$D300)))</f>
        <v>0</v>
      </c>
      <c r="G300" s="0" t="n">
        <f aca="false">SUMPRODUCT((Rules!$A$2:$A$60=G$1)*Rules!$C$2:$C$60*ISNUMBER(SEARCH(Rules!$D$2:$D$60,$D300)))</f>
        <v>0</v>
      </c>
      <c r="H300" s="0" t="n">
        <f aca="false">SUMPRODUCT((Rules!$A$2:$A$60=H$1)*Rules!$C$2:$C$60*ISNUMBER(SEARCH(Rules!$D$2:$D$60,$D300)))</f>
        <v>0</v>
      </c>
      <c r="I300" s="0" t="n">
        <f aca="false">SUMPRODUCT((Rules!$A$2:$A$60=I$1)*Rules!$C$2:$C$60*ISNUMBER(SEARCH(Rules!$D$2:$D$60,$D300)))</f>
        <v>0</v>
      </c>
      <c r="J300" s="0" t="n">
        <f aca="false">SUMPRODUCT((Rules!$A$2:$A$60=J$1)*Rules!$C$2:$C$60*ISNUMBER(SEARCH(Rules!$D$2:$D$60,$D300)))</f>
        <v>2</v>
      </c>
      <c r="K300" s="0" t="str">
        <f aca="false">IF(OR(MAX(E300:J300)&lt;Rules!$H$1,MAX(E300:J300)-LARGE(E300:J300,2)&lt;Rules!$H$2),"No label",INDEX($E$1:$J$1,MATCH(MAX(E300:J300),E300:J300,0)))</f>
        <v>No label</v>
      </c>
      <c r="L300" s="0" t="n">
        <f aca="false">SUMPRODUCT((Rules!$A$2:$A$60=L$1)*Rules!$C$2:$C$60*ISNUMBER(SEARCH(Rules!$E$2:$E$60,$D300)))</f>
        <v>0</v>
      </c>
      <c r="M300" s="0" t="n">
        <f aca="false">SUMPRODUCT((Rules!$A$2:$A$60=M$1)*Rules!$C$2:$C$60*ISNUMBER(SEARCH(Rules!$E$2:$E$60,$D300)))</f>
        <v>0</v>
      </c>
      <c r="N300" s="0" t="n">
        <f aca="false">SUMPRODUCT((Rules!$A$2:$A$60=N$1)*Rules!$C$2:$C$60*ISNUMBER(SEARCH(Rules!$E$2:$E$60,$D300)))</f>
        <v>0</v>
      </c>
      <c r="O300" s="0" t="n">
        <f aca="false">SUMPRODUCT((Rules!$A$2:$A$60=O$1)*Rules!$C$2:$C$60*ISNUMBER(SEARCH(Rules!$E$2:$E$60,$D300)))</f>
        <v>0</v>
      </c>
      <c r="P300" s="0" t="n">
        <f aca="false">SUMPRODUCT((Rules!$A$2:$A$60=P$1)*Rules!$C$2:$C$60*ISNUMBER(SEARCH(Rules!$E$2:$E$60,$D300)))</f>
        <v>0</v>
      </c>
      <c r="Q300" s="0" t="n">
        <f aca="false">SUMPRODUCT((Rules!$A$2:$A$60=Q$1)*Rules!$C$2:$C$60*ISNUMBER(SEARCH(Rules!$E$2:$E$60,$D300)))</f>
        <v>2</v>
      </c>
      <c r="R300" s="0" t="str">
        <f aca="false">IF(OR(MAX(L300:Q300)&lt;Rules!$H$1,MAX(L300:Q300)-LARGE(L300:Q300,2)&lt;Rules!$H$2),"No label",INDEX($L$1:$Q$1,MATCH(MAX(L300:Q300),L300:Q300,0)))</f>
        <v>No label</v>
      </c>
      <c r="S300" s="0" t="n">
        <f aca="false">SUMPRODUCT(ISNUMBER(SEARCH(" "&amp;Terms!$A$3:$A$821&amp;" ",$D300))*Terms!B$3:B$821)+Terms!B$2</f>
        <v>-3.72069925161896</v>
      </c>
      <c r="T300" s="0" t="n">
        <f aca="false">SUMPRODUCT(ISNUMBER(SEARCH(" "&amp;Terms!$A$3:$A$821&amp;" ",$D300))*Terms!C$3:C$821)+Terms!C$2</f>
        <v>9.35457144552966</v>
      </c>
      <c r="U300" s="0" t="n">
        <f aca="false">SUMPRODUCT(ISNUMBER(SEARCH(" "&amp;Terms!$A$3:$A$821&amp;" ",$D300))*Terms!D$3:D$821)+Terms!D$2</f>
        <v>-1.76721337645478</v>
      </c>
      <c r="V300" s="0" t="n">
        <f aca="false">SUMPRODUCT(ISNUMBER(SEARCH(" "&amp;Terms!$A$3:$A$821&amp;" ",$D300))*Terms!E$3:E$821)+Terms!E$2</f>
        <v>2.21497298512066</v>
      </c>
      <c r="W300" s="0" t="n">
        <f aca="false">SUMPRODUCT(ISNUMBER(SEARCH(" "&amp;Terms!$A$3:$A$821&amp;" ",$D300))*Terms!F$3:F$821)+Terms!F$2</f>
        <v>-2.74099999023791</v>
      </c>
      <c r="X300" s="0" t="n">
        <f aca="false">SUMPRODUCT(ISNUMBER(SEARCH(" "&amp;Terms!$A$3:$A$821&amp;" ",$D300))*Terms!G$3:G$821)+Terms!G$2</f>
        <v>-3.34063181233857</v>
      </c>
      <c r="Y300" s="0" t="str">
        <f aca="false">INDEX($S$1:$X$1,MATCH(MAX(S300:X300),S300:X300,0))</f>
        <v>Customer Service</v>
      </c>
      <c r="Z300" s="0" t="s">
        <v>2607</v>
      </c>
    </row>
    <row r="301" customFormat="false" ht="15" hidden="false" customHeight="false" outlineLevel="0" collapsed="false">
      <c r="A301" s="0" t="str">
        <f aca="false">Complaints!A301</f>
        <v>C0300</v>
      </c>
      <c r="B301" s="0" t="str">
        <f aca="false">Complaints!B301</f>
        <v>This is the second time I have raised this. A fake text message led me to a website and my money disappeared. I want this put right.</v>
      </c>
      <c r="C301" s="0" t="str">
        <f aca="false">Complaints!C301</f>
        <v>Fraud &amp; Scams</v>
      </c>
      <c r="D301" s="0" t="str">
        <f aca="false">" "&amp;TRIM(SUBSTITUTE(SUBSTITUTE(SUBSTITUTE(SUBSTITUTE(SUBSTITUTE(SUBSTITUTE(SUBSTITUTE(SUBSTITUTE(SUBSTITUTE(SUBSTITUTE(SUBSTITUTE(SUBSTITUTE(SUBSTITUTE(SUBSTITUTE(SUBSTITUTE(SUBSTITUTE(LOWER(B301),"."," "),","," "),"'"," "),"’"," "),"!"," "),"?"," "),";"," "),":"," "),"-"," "),"("," "),")"," "),"""", " "),"£"," "),"&amp;"," "),"/"," "),"%"," "))&amp;" "</f>
        <v> this is the second time i have raised this a fake text message led me to a website and my money disappeared i want this put right </v>
      </c>
      <c r="E301" s="0" t="n">
        <f aca="false">SUMPRODUCT((Rules!$A$2:$A$60=E$1)*Rules!$C$2:$C$60*ISNUMBER(SEARCH(Rules!$D$2:$D$60,$D301)))</f>
        <v>2</v>
      </c>
      <c r="F301" s="0" t="n">
        <f aca="false">SUMPRODUCT((Rules!$A$2:$A$60=F$1)*Rules!$C$2:$C$60*ISNUMBER(SEARCH(Rules!$D$2:$D$60,$D301)))</f>
        <v>0</v>
      </c>
      <c r="G301" s="0" t="n">
        <f aca="false">SUMPRODUCT((Rules!$A$2:$A$60=G$1)*Rules!$C$2:$C$60*ISNUMBER(SEARCH(Rules!$D$2:$D$60,$D301)))</f>
        <v>0</v>
      </c>
      <c r="H301" s="0" t="n">
        <f aca="false">SUMPRODUCT((Rules!$A$2:$A$60=H$1)*Rules!$C$2:$C$60*ISNUMBER(SEARCH(Rules!$D$2:$D$60,$D301)))</f>
        <v>0</v>
      </c>
      <c r="I301" s="0" t="n">
        <f aca="false">SUMPRODUCT((Rules!$A$2:$A$60=I$1)*Rules!$C$2:$C$60*ISNUMBER(SEARCH(Rules!$D$2:$D$60,$D301)))</f>
        <v>0</v>
      </c>
      <c r="J301" s="0" t="n">
        <f aca="false">SUMPRODUCT((Rules!$A$2:$A$60=J$1)*Rules!$C$2:$C$60*ISNUMBER(SEARCH(Rules!$D$2:$D$60,$D301)))</f>
        <v>0</v>
      </c>
      <c r="K301" s="0" t="str">
        <f aca="false">IF(OR(MAX(E301:J301)&lt;Rules!$H$1,MAX(E301:J301)-LARGE(E301:J301,2)&lt;Rules!$H$2),"No label",INDEX($E$1:$J$1,MATCH(MAX(E301:J301),E301:J301,0)))</f>
        <v>No label</v>
      </c>
      <c r="L301" s="0" t="n">
        <f aca="false">SUMPRODUCT((Rules!$A$2:$A$60=L$1)*Rules!$C$2:$C$60*ISNUMBER(SEARCH(Rules!$E$2:$E$60,$D301)))</f>
        <v>2</v>
      </c>
      <c r="M301" s="0" t="n">
        <f aca="false">SUMPRODUCT((Rules!$A$2:$A$60=M$1)*Rules!$C$2:$C$60*ISNUMBER(SEARCH(Rules!$E$2:$E$60,$D301)))</f>
        <v>0</v>
      </c>
      <c r="N301" s="0" t="n">
        <f aca="false">SUMPRODUCT((Rules!$A$2:$A$60=N$1)*Rules!$C$2:$C$60*ISNUMBER(SEARCH(Rules!$E$2:$E$60,$D301)))</f>
        <v>0</v>
      </c>
      <c r="O301" s="0" t="n">
        <f aca="false">SUMPRODUCT((Rules!$A$2:$A$60=O$1)*Rules!$C$2:$C$60*ISNUMBER(SEARCH(Rules!$E$2:$E$60,$D301)))</f>
        <v>0</v>
      </c>
      <c r="P301" s="0" t="n">
        <f aca="false">SUMPRODUCT((Rules!$A$2:$A$60=P$1)*Rules!$C$2:$C$60*ISNUMBER(SEARCH(Rules!$E$2:$E$60,$D301)))</f>
        <v>0</v>
      </c>
      <c r="Q301" s="0" t="n">
        <f aca="false">SUMPRODUCT((Rules!$A$2:$A$60=Q$1)*Rules!$C$2:$C$60*ISNUMBER(SEARCH(Rules!$E$2:$E$60,$D301)))</f>
        <v>0</v>
      </c>
      <c r="R301" s="0" t="str">
        <f aca="false">IF(OR(MAX(L301:Q301)&lt;Rules!$H$1,MAX(L301:Q301)-LARGE(L301:Q301,2)&lt;Rules!$H$2),"No label",INDEX($L$1:$Q$1,MATCH(MAX(L301:Q301),L301:Q301,0)))</f>
        <v>No label</v>
      </c>
      <c r="S301" s="0" t="n">
        <f aca="false">SUMPRODUCT(ISNUMBER(SEARCH(" "&amp;Terms!$A$3:$A$821&amp;" ",$D301))*Terms!B$3:B$821)+Terms!B$2</f>
        <v>-2.42135783088776</v>
      </c>
      <c r="T301" s="0" t="n">
        <f aca="false">SUMPRODUCT(ISNUMBER(SEARCH(" "&amp;Terms!$A$3:$A$821&amp;" ",$D301))*Terms!C$3:C$821)+Terms!C$2</f>
        <v>-2.73560765294032</v>
      </c>
      <c r="U301" s="0" t="n">
        <f aca="false">SUMPRODUCT(ISNUMBER(SEARCH(" "&amp;Terms!$A$3:$A$821&amp;" ",$D301))*Terms!D$3:D$821)+Terms!D$2</f>
        <v>-2.95955113287393</v>
      </c>
      <c r="V301" s="0" t="n">
        <f aca="false">SUMPRODUCT(ISNUMBER(SEARCH(" "&amp;Terms!$A$3:$A$821&amp;" ",$D301))*Terms!E$3:E$821)+Terms!E$2</f>
        <v>-4.63694125825426</v>
      </c>
      <c r="W301" s="0" t="n">
        <f aca="false">SUMPRODUCT(ISNUMBER(SEARCH(" "&amp;Terms!$A$3:$A$821&amp;" ",$D301))*Terms!F$3:F$821)+Terms!F$2</f>
        <v>13.6788010320771</v>
      </c>
      <c r="X301" s="0" t="n">
        <f aca="false">SUMPRODUCT(ISNUMBER(SEARCH(" "&amp;Terms!$A$3:$A$821&amp;" ",$D301))*Terms!G$3:G$821)+Terms!G$2</f>
        <v>-0.92534315712074</v>
      </c>
      <c r="Y301" s="0" t="str">
        <f aca="false">INDEX($S$1:$X$1,MATCH(MAX(S301:X301),S301:X301,0))</f>
        <v>Fraud &amp; Scams</v>
      </c>
      <c r="Z301" s="0" t="s">
        <v>2607</v>
      </c>
    </row>
    <row r="302" customFormat="false" ht="15" hidden="false" customHeight="false" outlineLevel="0" collapsed="false">
      <c r="A302" s="0" t="str">
        <f aca="false">Complaints!A302</f>
        <v>C0301</v>
      </c>
      <c r="B302" s="0" t="str">
        <f aca="false">Complaints!B302</f>
        <v>The paperwork was submitted a month ago and I am still waiting. I want this put right.</v>
      </c>
      <c r="C302" s="0" t="str">
        <f aca="false">Complaints!C302</f>
        <v>Delays &amp; Processing</v>
      </c>
      <c r="D302" s="0" t="str">
        <f aca="false">" "&amp;TRIM(SUBSTITUTE(SUBSTITUTE(SUBSTITUTE(SUBSTITUTE(SUBSTITUTE(SUBSTITUTE(SUBSTITUTE(SUBSTITUTE(SUBSTITUTE(SUBSTITUTE(SUBSTITUTE(SUBSTITUTE(SUBSTITUTE(SUBSTITUTE(SUBSTITUTE(SUBSTITUTE(LOWER(B302),"."," "),","," "),"'"," "),"’"," "),"!"," "),"?"," "),";"," "),":"," "),"-"," "),"("," "),")"," "),"""", " "),"£"," "),"&amp;"," "),"/"," "),"%"," "))&amp;" "</f>
        <v> the paperwork was submitted a month ago and i am still waiting i want this put right </v>
      </c>
      <c r="E302" s="0" t="n">
        <f aca="false">SUMPRODUCT((Rules!$A$2:$A$60=E$1)*Rules!$C$2:$C$60*ISNUMBER(SEARCH(Rules!$D$2:$D$60,$D302)))</f>
        <v>0</v>
      </c>
      <c r="F302" s="0" t="n">
        <f aca="false">SUMPRODUCT((Rules!$A$2:$A$60=F$1)*Rules!$C$2:$C$60*ISNUMBER(SEARCH(Rules!$D$2:$D$60,$D302)))</f>
        <v>0</v>
      </c>
      <c r="G302" s="0" t="n">
        <f aca="false">SUMPRODUCT((Rules!$A$2:$A$60=G$1)*Rules!$C$2:$C$60*ISNUMBER(SEARCH(Rules!$D$2:$D$60,$D302)))</f>
        <v>0</v>
      </c>
      <c r="H302" s="0" t="n">
        <f aca="false">SUMPRODUCT((Rules!$A$2:$A$60=H$1)*Rules!$C$2:$C$60*ISNUMBER(SEARCH(Rules!$D$2:$D$60,$D302)))</f>
        <v>0</v>
      </c>
      <c r="I302" s="0" t="n">
        <f aca="false">SUMPRODUCT((Rules!$A$2:$A$60=I$1)*Rules!$C$2:$C$60*ISNUMBER(SEARCH(Rules!$D$2:$D$60,$D302)))</f>
        <v>2</v>
      </c>
      <c r="J302" s="0" t="n">
        <f aca="false">SUMPRODUCT((Rules!$A$2:$A$60=J$1)*Rules!$C$2:$C$60*ISNUMBER(SEARCH(Rules!$D$2:$D$60,$D302)))</f>
        <v>0</v>
      </c>
      <c r="K302" s="0" t="str">
        <f aca="false">IF(OR(MAX(E302:J302)&lt;Rules!$H$1,MAX(E302:J302)-LARGE(E302:J302,2)&lt;Rules!$H$2),"No label",INDEX($E$1:$J$1,MATCH(MAX(E302:J302),E302:J302,0)))</f>
        <v>No label</v>
      </c>
      <c r="L302" s="0" t="n">
        <f aca="false">SUMPRODUCT((Rules!$A$2:$A$60=L$1)*Rules!$C$2:$C$60*ISNUMBER(SEARCH(Rules!$E$2:$E$60,$D302)))</f>
        <v>0</v>
      </c>
      <c r="M302" s="0" t="n">
        <f aca="false">SUMPRODUCT((Rules!$A$2:$A$60=M$1)*Rules!$C$2:$C$60*ISNUMBER(SEARCH(Rules!$E$2:$E$60,$D302)))</f>
        <v>0</v>
      </c>
      <c r="N302" s="0" t="n">
        <f aca="false">SUMPRODUCT((Rules!$A$2:$A$60=N$1)*Rules!$C$2:$C$60*ISNUMBER(SEARCH(Rules!$E$2:$E$60,$D302)))</f>
        <v>0</v>
      </c>
      <c r="O302" s="0" t="n">
        <f aca="false">SUMPRODUCT((Rules!$A$2:$A$60=O$1)*Rules!$C$2:$C$60*ISNUMBER(SEARCH(Rules!$E$2:$E$60,$D302)))</f>
        <v>0</v>
      </c>
      <c r="P302" s="0" t="n">
        <f aca="false">SUMPRODUCT((Rules!$A$2:$A$60=P$1)*Rules!$C$2:$C$60*ISNUMBER(SEARCH(Rules!$E$2:$E$60,$D302)))</f>
        <v>2</v>
      </c>
      <c r="Q302" s="0" t="n">
        <f aca="false">SUMPRODUCT((Rules!$A$2:$A$60=Q$1)*Rules!$C$2:$C$60*ISNUMBER(SEARCH(Rules!$E$2:$E$60,$D302)))</f>
        <v>0</v>
      </c>
      <c r="R302" s="0" t="str">
        <f aca="false">IF(OR(MAX(L302:Q302)&lt;Rules!$H$1,MAX(L302:Q302)-LARGE(L302:Q302,2)&lt;Rules!$H$2),"No label",INDEX($L$1:$Q$1,MATCH(MAX(L302:Q302),L302:Q302,0)))</f>
        <v>No label</v>
      </c>
      <c r="S302" s="0" t="n">
        <f aca="false">SUMPRODUCT(ISNUMBER(SEARCH(" "&amp;Terms!$A$3:$A$821&amp;" ",$D302))*Terms!B$3:B$821)+Terms!B$2</f>
        <v>-1.39047940381057</v>
      </c>
      <c r="T302" s="0" t="n">
        <f aca="false">SUMPRODUCT(ISNUMBER(SEARCH(" "&amp;Terms!$A$3:$A$821&amp;" ",$D302))*Terms!C$3:C$821)+Terms!C$2</f>
        <v>-2.69458776054715</v>
      </c>
      <c r="U302" s="0" t="n">
        <f aca="false">SUMPRODUCT(ISNUMBER(SEARCH(" "&amp;Terms!$A$3:$A$821&amp;" ",$D302))*Terms!D$3:D$821)+Terms!D$2</f>
        <v>5.93866193250401</v>
      </c>
      <c r="V302" s="0" t="n">
        <f aca="false">SUMPRODUCT(ISNUMBER(SEARCH(" "&amp;Terms!$A$3:$A$821&amp;" ",$D302))*Terms!E$3:E$821)+Terms!E$2</f>
        <v>0.711690777968527</v>
      </c>
      <c r="W302" s="0" t="n">
        <f aca="false">SUMPRODUCT(ISNUMBER(SEARCH(" "&amp;Terms!$A$3:$A$821&amp;" ",$D302))*Terms!F$3:F$821)+Terms!F$2</f>
        <v>-1.18436255507337</v>
      </c>
      <c r="X302" s="0" t="n">
        <f aca="false">SUMPRODUCT(ISNUMBER(SEARCH(" "&amp;Terms!$A$3:$A$821&amp;" ",$D302))*Terms!G$3:G$821)+Terms!G$2</f>
        <v>-1.38092299104136</v>
      </c>
      <c r="Y302" s="0" t="str">
        <f aca="false">INDEX($S$1:$X$1,MATCH(MAX(S302:X302),S302:X302,0))</f>
        <v>Delays &amp; Processing</v>
      </c>
      <c r="Z302" s="0" t="s">
        <v>2607</v>
      </c>
    </row>
    <row r="303" customFormat="false" ht="15" hidden="false" customHeight="false" outlineLevel="0" collapsed="false">
      <c r="A303" s="0" t="str">
        <f aca="false">Complaints!A303</f>
        <v>C0302</v>
      </c>
      <c r="B303" s="0" t="str">
        <f aca="false">Complaints!B303</f>
        <v>Your advisor gave me different answers on two separate calls. Please escalate this.</v>
      </c>
      <c r="C303" s="0" t="str">
        <f aca="false">Complaints!C303</f>
        <v>Customer Service</v>
      </c>
      <c r="D303" s="0" t="str">
        <f aca="false">" "&amp;TRIM(SUBSTITUTE(SUBSTITUTE(SUBSTITUTE(SUBSTITUTE(SUBSTITUTE(SUBSTITUTE(SUBSTITUTE(SUBSTITUTE(SUBSTITUTE(SUBSTITUTE(SUBSTITUTE(SUBSTITUTE(SUBSTITUTE(SUBSTITUTE(SUBSTITUTE(SUBSTITUTE(LOWER(B303),"."," "),","," "),"'"," "),"’"," "),"!"," "),"?"," "),";"," "),":"," "),"-"," "),"("," "),")"," "),"""", " "),"£"," "),"&amp;"," "),"/"," "),"%"," "))&amp;" "</f>
        <v> your advisor gave me different answers on two separate calls please escalate this </v>
      </c>
      <c r="E303" s="0" t="n">
        <f aca="false">SUMPRODUCT((Rules!$A$2:$A$60=E$1)*Rules!$C$2:$C$60*ISNUMBER(SEARCH(Rules!$D$2:$D$60,$D303)))</f>
        <v>0</v>
      </c>
      <c r="F303" s="0" t="n">
        <f aca="false">SUMPRODUCT((Rules!$A$2:$A$60=F$1)*Rules!$C$2:$C$60*ISNUMBER(SEARCH(Rules!$D$2:$D$60,$D303)))</f>
        <v>0</v>
      </c>
      <c r="G303" s="0" t="n">
        <f aca="false">SUMPRODUCT((Rules!$A$2:$A$60=G$1)*Rules!$C$2:$C$60*ISNUMBER(SEARCH(Rules!$D$2:$D$60,$D303)))</f>
        <v>0</v>
      </c>
      <c r="H303" s="0" t="n">
        <f aca="false">SUMPRODUCT((Rules!$A$2:$A$60=H$1)*Rules!$C$2:$C$60*ISNUMBER(SEARCH(Rules!$D$2:$D$60,$D303)))</f>
        <v>0</v>
      </c>
      <c r="I303" s="0" t="n">
        <f aca="false">SUMPRODUCT((Rules!$A$2:$A$60=I$1)*Rules!$C$2:$C$60*ISNUMBER(SEARCH(Rules!$D$2:$D$60,$D303)))</f>
        <v>0</v>
      </c>
      <c r="J303" s="0" t="n">
        <f aca="false">SUMPRODUCT((Rules!$A$2:$A$60=J$1)*Rules!$C$2:$C$60*ISNUMBER(SEARCH(Rules!$D$2:$D$60,$D303)))</f>
        <v>1</v>
      </c>
      <c r="K303" s="0" t="str">
        <f aca="false">IF(OR(MAX(E303:J303)&lt;Rules!$H$1,MAX(E303:J303)-LARGE(E303:J303,2)&lt;Rules!$H$2),"No label",INDEX($E$1:$J$1,MATCH(MAX(E303:J303),E303:J303,0)))</f>
        <v>No label</v>
      </c>
      <c r="L303" s="0" t="n">
        <f aca="false">SUMPRODUCT((Rules!$A$2:$A$60=L$1)*Rules!$C$2:$C$60*ISNUMBER(SEARCH(Rules!$E$2:$E$60,$D303)))</f>
        <v>0</v>
      </c>
      <c r="M303" s="0" t="n">
        <f aca="false">SUMPRODUCT((Rules!$A$2:$A$60=M$1)*Rules!$C$2:$C$60*ISNUMBER(SEARCH(Rules!$E$2:$E$60,$D303)))</f>
        <v>4</v>
      </c>
      <c r="N303" s="0" t="n">
        <f aca="false">SUMPRODUCT((Rules!$A$2:$A$60=N$1)*Rules!$C$2:$C$60*ISNUMBER(SEARCH(Rules!$E$2:$E$60,$D303)))</f>
        <v>0</v>
      </c>
      <c r="O303" s="0" t="n">
        <f aca="false">SUMPRODUCT((Rules!$A$2:$A$60=O$1)*Rules!$C$2:$C$60*ISNUMBER(SEARCH(Rules!$E$2:$E$60,$D303)))</f>
        <v>0</v>
      </c>
      <c r="P303" s="0" t="n">
        <f aca="false">SUMPRODUCT((Rules!$A$2:$A$60=P$1)*Rules!$C$2:$C$60*ISNUMBER(SEARCH(Rules!$E$2:$E$60,$D303)))</f>
        <v>0</v>
      </c>
      <c r="Q303" s="0" t="n">
        <f aca="false">SUMPRODUCT((Rules!$A$2:$A$60=Q$1)*Rules!$C$2:$C$60*ISNUMBER(SEARCH(Rules!$E$2:$E$60,$D303)))</f>
        <v>1</v>
      </c>
      <c r="R303" s="0" t="str">
        <f aca="false">IF(OR(MAX(L303:Q303)&lt;Rules!$H$1,MAX(L303:Q303)-LARGE(L303:Q303,2)&lt;Rules!$H$2),"No label",INDEX($L$1:$Q$1,MATCH(MAX(L303:Q303),L303:Q303,0)))</f>
        <v>Mis-selling</v>
      </c>
      <c r="S303" s="0" t="n">
        <f aca="false">SUMPRODUCT(ISNUMBER(SEARCH(" "&amp;Terms!$A$3:$A$821&amp;" ",$D303))*Terms!B$3:B$821)+Terms!B$2</f>
        <v>0.0485756217726318</v>
      </c>
      <c r="T303" s="0" t="n">
        <f aca="false">SUMPRODUCT(ISNUMBER(SEARCH(" "&amp;Terms!$A$3:$A$821&amp;" ",$D303))*Terms!C$3:C$821)+Terms!C$2</f>
        <v>12.2959706520251</v>
      </c>
      <c r="U303" s="0" t="n">
        <f aca="false">SUMPRODUCT(ISNUMBER(SEARCH(" "&amp;Terms!$A$3:$A$821&amp;" ",$D303))*Terms!D$3:D$821)+Terms!D$2</f>
        <v>-3.137329776122</v>
      </c>
      <c r="V303" s="0" t="n">
        <f aca="false">SUMPRODUCT(ISNUMBER(SEARCH(" "&amp;Terms!$A$3:$A$821&amp;" ",$D303))*Terms!E$3:E$821)+Terms!E$2</f>
        <v>-4.80854198569251</v>
      </c>
      <c r="W303" s="0" t="n">
        <f aca="false">SUMPRODUCT(ISNUMBER(SEARCH(" "&amp;Terms!$A$3:$A$821&amp;" ",$D303))*Terms!F$3:F$821)+Terms!F$2</f>
        <v>-2.37448678288249</v>
      </c>
      <c r="X303" s="0" t="n">
        <f aca="false">SUMPRODUCT(ISNUMBER(SEARCH(" "&amp;Terms!$A$3:$A$821&amp;" ",$D303))*Terms!G$3:G$821)+Terms!G$2</f>
        <v>-2.02418772910065</v>
      </c>
      <c r="Y303" s="0" t="str">
        <f aca="false">INDEX($S$1:$X$1,MATCH(MAX(S303:X303),S303:X303,0))</f>
        <v>Customer Service</v>
      </c>
      <c r="Z303" s="0" t="s">
        <v>2607</v>
      </c>
    </row>
    <row r="304" customFormat="false" ht="15" hidden="false" customHeight="false" outlineLevel="0" collapsed="false">
      <c r="A304" s="0" t="str">
        <f aca="false">Complaints!A304</f>
        <v>C0303</v>
      </c>
      <c r="B304" s="0" t="str">
        <f aca="false">Complaints!B304</f>
        <v>This is the second time I have raised this. The paperwork was submitted a month ago and I am still waiting. Also, nobody checked whether I could afford the credit agreement. Please escalate this.</v>
      </c>
      <c r="C304" s="0" t="str">
        <f aca="false">Complaints!C304</f>
        <v>Delays &amp; Processing</v>
      </c>
      <c r="D304" s="0" t="str">
        <f aca="false">" "&amp;TRIM(SUBSTITUTE(SUBSTITUTE(SUBSTITUTE(SUBSTITUTE(SUBSTITUTE(SUBSTITUTE(SUBSTITUTE(SUBSTITUTE(SUBSTITUTE(SUBSTITUTE(SUBSTITUTE(SUBSTITUTE(SUBSTITUTE(SUBSTITUTE(SUBSTITUTE(SUBSTITUTE(LOWER(B304),"."," "),","," "),"'"," "),"’"," "),"!"," "),"?"," "),";"," "),":"," "),"-"," "),"("," "),")"," "),"""", " "),"£"," "),"&amp;"," "),"/"," "),"%"," "))&amp;" "</f>
        <v> this is the second time i have raised this the paperwork was submitted a month ago and i am still waiting also nobody checked whether i could afford the credit agreement please escalate this </v>
      </c>
      <c r="E304" s="0" t="n">
        <f aca="false">SUMPRODUCT((Rules!$A$2:$A$60=E$1)*Rules!$C$2:$C$60*ISNUMBER(SEARCH(Rules!$D$2:$D$60,$D304)))</f>
        <v>0</v>
      </c>
      <c r="F304" s="0" t="n">
        <f aca="false">SUMPRODUCT((Rules!$A$2:$A$60=F$1)*Rules!$C$2:$C$60*ISNUMBER(SEARCH(Rules!$D$2:$D$60,$D304)))</f>
        <v>0</v>
      </c>
      <c r="G304" s="0" t="n">
        <f aca="false">SUMPRODUCT((Rules!$A$2:$A$60=G$1)*Rules!$C$2:$C$60*ISNUMBER(SEARCH(Rules!$D$2:$D$60,$D304)))</f>
        <v>0</v>
      </c>
      <c r="H304" s="0" t="n">
        <f aca="false">SUMPRODUCT((Rules!$A$2:$A$60=H$1)*Rules!$C$2:$C$60*ISNUMBER(SEARCH(Rules!$D$2:$D$60,$D304)))</f>
        <v>0</v>
      </c>
      <c r="I304" s="0" t="n">
        <f aca="false">SUMPRODUCT((Rules!$A$2:$A$60=I$1)*Rules!$C$2:$C$60*ISNUMBER(SEARCH(Rules!$D$2:$D$60,$D304)))</f>
        <v>2</v>
      </c>
      <c r="J304" s="0" t="n">
        <f aca="false">SUMPRODUCT((Rules!$A$2:$A$60=J$1)*Rules!$C$2:$C$60*ISNUMBER(SEARCH(Rules!$D$2:$D$60,$D304)))</f>
        <v>0</v>
      </c>
      <c r="K304" s="0" t="str">
        <f aca="false">IF(OR(MAX(E304:J304)&lt;Rules!$H$1,MAX(E304:J304)-LARGE(E304:J304,2)&lt;Rules!$H$2),"No label",INDEX($E$1:$J$1,MATCH(MAX(E304:J304),E304:J304,0)))</f>
        <v>No label</v>
      </c>
      <c r="L304" s="0" t="n">
        <f aca="false">SUMPRODUCT((Rules!$A$2:$A$60=L$1)*Rules!$C$2:$C$60*ISNUMBER(SEARCH(Rules!$E$2:$E$60,$D304)))</f>
        <v>0</v>
      </c>
      <c r="M304" s="0" t="n">
        <f aca="false">SUMPRODUCT((Rules!$A$2:$A$60=M$1)*Rules!$C$2:$C$60*ISNUMBER(SEARCH(Rules!$E$2:$E$60,$D304)))</f>
        <v>0</v>
      </c>
      <c r="N304" s="0" t="n">
        <f aca="false">SUMPRODUCT((Rules!$A$2:$A$60=N$1)*Rules!$C$2:$C$60*ISNUMBER(SEARCH(Rules!$E$2:$E$60,$D304)))</f>
        <v>0</v>
      </c>
      <c r="O304" s="0" t="n">
        <f aca="false">SUMPRODUCT((Rules!$A$2:$A$60=O$1)*Rules!$C$2:$C$60*ISNUMBER(SEARCH(Rules!$E$2:$E$60,$D304)))</f>
        <v>0</v>
      </c>
      <c r="P304" s="0" t="n">
        <f aca="false">SUMPRODUCT((Rules!$A$2:$A$60=P$1)*Rules!$C$2:$C$60*ISNUMBER(SEARCH(Rules!$E$2:$E$60,$D304)))</f>
        <v>2</v>
      </c>
      <c r="Q304" s="0" t="n">
        <f aca="false">SUMPRODUCT((Rules!$A$2:$A$60=Q$1)*Rules!$C$2:$C$60*ISNUMBER(SEARCH(Rules!$E$2:$E$60,$D304)))</f>
        <v>0</v>
      </c>
      <c r="R304" s="0" t="str">
        <f aca="false">IF(OR(MAX(L304:Q304)&lt;Rules!$H$1,MAX(L304:Q304)-LARGE(L304:Q304,2)&lt;Rules!$H$2),"No label",INDEX($L$1:$Q$1,MATCH(MAX(L304:Q304),L304:Q304,0)))</f>
        <v>No label</v>
      </c>
      <c r="S304" s="0" t="n">
        <f aca="false">SUMPRODUCT(ISNUMBER(SEARCH(" "&amp;Terms!$A$3:$A$821&amp;" ",$D304))*Terms!B$3:B$821)+Terms!B$2</f>
        <v>-4.39613288597568</v>
      </c>
      <c r="T304" s="0" t="n">
        <f aca="false">SUMPRODUCT(ISNUMBER(SEARCH(" "&amp;Terms!$A$3:$A$821&amp;" ",$D304))*Terms!C$3:C$821)+Terms!C$2</f>
        <v>-1.70876517293998</v>
      </c>
      <c r="U304" s="0" t="n">
        <f aca="false">SUMPRODUCT(ISNUMBER(SEARCH(" "&amp;Terms!$A$3:$A$821&amp;" ",$D304))*Terms!D$3:D$821)+Terms!D$2</f>
        <v>4.50133797353513</v>
      </c>
      <c r="V304" s="0" t="n">
        <f aca="false">SUMPRODUCT(ISNUMBER(SEARCH(" "&amp;Terms!$A$3:$A$821&amp;" ",$D304))*Terms!E$3:E$821)+Terms!E$2</f>
        <v>0.838136993297289</v>
      </c>
      <c r="W304" s="0" t="n">
        <f aca="false">SUMPRODUCT(ISNUMBER(SEARCH(" "&amp;Terms!$A$3:$A$821&amp;" ",$D304))*Terms!F$3:F$821)+Terms!F$2</f>
        <v>-6.13846038519156</v>
      </c>
      <c r="X304" s="0" t="n">
        <f aca="false">SUMPRODUCT(ISNUMBER(SEARCH(" "&amp;Terms!$A$3:$A$821&amp;" ",$D304))*Terms!G$3:G$821)+Terms!G$2</f>
        <v>6.90388347727491</v>
      </c>
      <c r="Y304" s="0" t="str">
        <f aca="false">INDEX($S$1:$X$1,MATCH(MAX(S304:X304),S304:X304,0))</f>
        <v>Mis-selling</v>
      </c>
      <c r="Z304" s="0" t="s">
        <v>2608</v>
      </c>
    </row>
    <row r="305" customFormat="false" ht="15" hidden="false" customHeight="false" outlineLevel="0" collapsed="false">
      <c r="A305" s="0" t="str">
        <f aca="false">Complaints!A305</f>
        <v>C0304</v>
      </c>
      <c r="B305" s="0" t="str">
        <f aca="false">Complaints!B305</f>
        <v>Frankly, The pension transfer advice I received was poor and I have lost out. I would like a response in writing.</v>
      </c>
      <c r="C305" s="0" t="str">
        <f aca="false">Complaints!C305</f>
        <v>Mis-selling</v>
      </c>
      <c r="D305" s="0" t="str">
        <f aca="false">" "&amp;TRIM(SUBSTITUTE(SUBSTITUTE(SUBSTITUTE(SUBSTITUTE(SUBSTITUTE(SUBSTITUTE(SUBSTITUTE(SUBSTITUTE(SUBSTITUTE(SUBSTITUTE(SUBSTITUTE(SUBSTITUTE(SUBSTITUTE(SUBSTITUTE(SUBSTITUTE(SUBSTITUTE(LOWER(B305),"."," "),","," "),"'"," "),"’"," "),"!"," "),"?"," "),";"," "),":"," "),"-"," "),"("," "),")"," "),"""", " "),"£"," "),"&amp;"," "),"/"," "),"%"," "))&amp;" "</f>
        <v> frankly the pension transfer advice i received was poor and i have lost out i would like a response in writing </v>
      </c>
      <c r="E305" s="0" t="n">
        <f aca="false">SUMPRODUCT((Rules!$A$2:$A$60=E$1)*Rules!$C$2:$C$60*ISNUMBER(SEARCH(Rules!$D$2:$D$60,$D305)))</f>
        <v>0</v>
      </c>
      <c r="F305" s="0" t="n">
        <f aca="false">SUMPRODUCT((Rules!$A$2:$A$60=F$1)*Rules!$C$2:$C$60*ISNUMBER(SEARCH(Rules!$D$2:$D$60,$D305)))</f>
        <v>2</v>
      </c>
      <c r="G305" s="0" t="n">
        <f aca="false">SUMPRODUCT((Rules!$A$2:$A$60=G$1)*Rules!$C$2:$C$60*ISNUMBER(SEARCH(Rules!$D$2:$D$60,$D305)))</f>
        <v>0</v>
      </c>
      <c r="H305" s="0" t="n">
        <f aca="false">SUMPRODUCT((Rules!$A$2:$A$60=H$1)*Rules!$C$2:$C$60*ISNUMBER(SEARCH(Rules!$D$2:$D$60,$D305)))</f>
        <v>0</v>
      </c>
      <c r="I305" s="0" t="n">
        <f aca="false">SUMPRODUCT((Rules!$A$2:$A$60=I$1)*Rules!$C$2:$C$60*ISNUMBER(SEARCH(Rules!$D$2:$D$60,$D305)))</f>
        <v>0</v>
      </c>
      <c r="J305" s="0" t="n">
        <f aca="false">SUMPRODUCT((Rules!$A$2:$A$60=J$1)*Rules!$C$2:$C$60*ISNUMBER(SEARCH(Rules!$D$2:$D$60,$D305)))</f>
        <v>0</v>
      </c>
      <c r="K305" s="0" t="str">
        <f aca="false">IF(OR(MAX(E305:J305)&lt;Rules!$H$1,MAX(E305:J305)-LARGE(E305:J305,2)&lt;Rules!$H$2),"No label",INDEX($E$1:$J$1,MATCH(MAX(E305:J305),E305:J305,0)))</f>
        <v>No label</v>
      </c>
      <c r="L305" s="0" t="n">
        <f aca="false">SUMPRODUCT((Rules!$A$2:$A$60=L$1)*Rules!$C$2:$C$60*ISNUMBER(SEARCH(Rules!$E$2:$E$60,$D305)))</f>
        <v>0</v>
      </c>
      <c r="M305" s="0" t="n">
        <f aca="false">SUMPRODUCT((Rules!$A$2:$A$60=M$1)*Rules!$C$2:$C$60*ISNUMBER(SEARCH(Rules!$E$2:$E$60,$D305)))</f>
        <v>2</v>
      </c>
      <c r="N305" s="0" t="n">
        <f aca="false">SUMPRODUCT((Rules!$A$2:$A$60=N$1)*Rules!$C$2:$C$60*ISNUMBER(SEARCH(Rules!$E$2:$E$60,$D305)))</f>
        <v>0</v>
      </c>
      <c r="O305" s="0" t="n">
        <f aca="false">SUMPRODUCT((Rules!$A$2:$A$60=O$1)*Rules!$C$2:$C$60*ISNUMBER(SEARCH(Rules!$E$2:$E$60,$D305)))</f>
        <v>0</v>
      </c>
      <c r="P305" s="0" t="n">
        <f aca="false">SUMPRODUCT((Rules!$A$2:$A$60=P$1)*Rules!$C$2:$C$60*ISNUMBER(SEARCH(Rules!$E$2:$E$60,$D305)))</f>
        <v>0</v>
      </c>
      <c r="Q305" s="0" t="n">
        <f aca="false">SUMPRODUCT((Rules!$A$2:$A$60=Q$1)*Rules!$C$2:$C$60*ISNUMBER(SEARCH(Rules!$E$2:$E$60,$D305)))</f>
        <v>0</v>
      </c>
      <c r="R305" s="0" t="str">
        <f aca="false">IF(OR(MAX(L305:Q305)&lt;Rules!$H$1,MAX(L305:Q305)-LARGE(L305:Q305,2)&lt;Rules!$H$2),"No label",INDEX($L$1:$Q$1,MATCH(MAX(L305:Q305),L305:Q305,0)))</f>
        <v>No label</v>
      </c>
      <c r="S305" s="0" t="n">
        <f aca="false">SUMPRODUCT(ISNUMBER(SEARCH(" "&amp;Terms!$A$3:$A$821&amp;" ",$D305))*Terms!B$3:B$821)+Terms!B$2</f>
        <v>-3.42633941347827</v>
      </c>
      <c r="T305" s="0" t="n">
        <f aca="false">SUMPRODUCT(ISNUMBER(SEARCH(" "&amp;Terms!$A$3:$A$821&amp;" ",$D305))*Terms!C$3:C$821)+Terms!C$2</f>
        <v>-3.27307107291475</v>
      </c>
      <c r="U305" s="0" t="n">
        <f aca="false">SUMPRODUCT(ISNUMBER(SEARCH(" "&amp;Terms!$A$3:$A$821&amp;" ",$D305))*Terms!D$3:D$821)+Terms!D$2</f>
        <v>1.51871097383872</v>
      </c>
      <c r="V305" s="0" t="n">
        <f aca="false">SUMPRODUCT(ISNUMBER(SEARCH(" "&amp;Terms!$A$3:$A$821&amp;" ",$D305))*Terms!E$3:E$821)+Terms!E$2</f>
        <v>-2.72343046725984</v>
      </c>
      <c r="W305" s="0" t="n">
        <f aca="false">SUMPRODUCT(ISNUMBER(SEARCH(" "&amp;Terms!$A$3:$A$821&amp;" ",$D305))*Terms!F$3:F$821)+Terms!F$2</f>
        <v>-3.75357859280826</v>
      </c>
      <c r="X305" s="0" t="n">
        <f aca="false">SUMPRODUCT(ISNUMBER(SEARCH(" "&amp;Terms!$A$3:$A$821&amp;" ",$D305))*Terms!G$3:G$821)+Terms!G$2</f>
        <v>11.6577085726225</v>
      </c>
      <c r="Y305" s="0" t="str">
        <f aca="false">INDEX($S$1:$X$1,MATCH(MAX(S305:X305),S305:X305,0))</f>
        <v>Mis-selling</v>
      </c>
      <c r="Z305" s="0" t="s">
        <v>2608</v>
      </c>
    </row>
    <row r="306" customFormat="false" ht="15" hidden="false" customHeight="false" outlineLevel="0" collapsed="false">
      <c r="A306" s="0" t="str">
        <f aca="false">Complaints!A306</f>
        <v>C0305</v>
      </c>
      <c r="B306" s="0" t="str">
        <f aca="false">Complaints!B306</f>
        <v>I am writing to complain. The complaints hanler was unhelpful and talked over me. Also, the fraud team closed my case without investigating properly.</v>
      </c>
      <c r="C306" s="0" t="str">
        <f aca="false">Complaints!C306</f>
        <v>Customer Service</v>
      </c>
      <c r="D306" s="0" t="str">
        <f aca="false">" "&amp;TRIM(SUBSTITUTE(SUBSTITUTE(SUBSTITUTE(SUBSTITUTE(SUBSTITUTE(SUBSTITUTE(SUBSTITUTE(SUBSTITUTE(SUBSTITUTE(SUBSTITUTE(SUBSTITUTE(SUBSTITUTE(SUBSTITUTE(SUBSTITUTE(SUBSTITUTE(SUBSTITUTE(LOWER(B306),"."," "),","," "),"'"," "),"’"," "),"!"," "),"?"," "),";"," "),":"," "),"-"," "),"("," "),")"," "),"""", " "),"£"," "),"&amp;"," "),"/"," "),"%"," "))&amp;" "</f>
        <v> i am writing to complain the complaints hanler was unhelpful and talked over me also the fraud team closed my case without investigating properly </v>
      </c>
      <c r="E306" s="0" t="n">
        <f aca="false">SUMPRODUCT((Rules!$A$2:$A$60=E$1)*Rules!$C$2:$C$60*ISNUMBER(SEARCH(Rules!$D$2:$D$60,$D306)))</f>
        <v>3</v>
      </c>
      <c r="F306" s="0" t="n">
        <f aca="false">SUMPRODUCT((Rules!$A$2:$A$60=F$1)*Rules!$C$2:$C$60*ISNUMBER(SEARCH(Rules!$D$2:$D$60,$D306)))</f>
        <v>0</v>
      </c>
      <c r="G306" s="0" t="n">
        <f aca="false">SUMPRODUCT((Rules!$A$2:$A$60=G$1)*Rules!$C$2:$C$60*ISNUMBER(SEARCH(Rules!$D$2:$D$60,$D306)))</f>
        <v>0</v>
      </c>
      <c r="H306" s="0" t="n">
        <f aca="false">SUMPRODUCT((Rules!$A$2:$A$60=H$1)*Rules!$C$2:$C$60*ISNUMBER(SEARCH(Rules!$D$2:$D$60,$D306)))</f>
        <v>0</v>
      </c>
      <c r="I306" s="0" t="n">
        <f aca="false">SUMPRODUCT((Rules!$A$2:$A$60=I$1)*Rules!$C$2:$C$60*ISNUMBER(SEARCH(Rules!$D$2:$D$60,$D306)))</f>
        <v>0</v>
      </c>
      <c r="J306" s="0" t="n">
        <f aca="false">SUMPRODUCT((Rules!$A$2:$A$60=J$1)*Rules!$C$2:$C$60*ISNUMBER(SEARCH(Rules!$D$2:$D$60,$D306)))</f>
        <v>2</v>
      </c>
      <c r="K306" s="0" t="str">
        <f aca="false">IF(OR(MAX(E306:J306)&lt;Rules!$H$1,MAX(E306:J306)-LARGE(E306:J306,2)&lt;Rules!$H$2),"No label",INDEX($E$1:$J$1,MATCH(MAX(E306:J306),E306:J306,0)))</f>
        <v>No label</v>
      </c>
      <c r="L306" s="0" t="n">
        <f aca="false">SUMPRODUCT((Rules!$A$2:$A$60=L$1)*Rules!$C$2:$C$60*ISNUMBER(SEARCH(Rules!$E$2:$E$60,$D306)))</f>
        <v>3</v>
      </c>
      <c r="M306" s="0" t="n">
        <f aca="false">SUMPRODUCT((Rules!$A$2:$A$60=M$1)*Rules!$C$2:$C$60*ISNUMBER(SEARCH(Rules!$E$2:$E$60,$D306)))</f>
        <v>0</v>
      </c>
      <c r="N306" s="0" t="n">
        <f aca="false">SUMPRODUCT((Rules!$A$2:$A$60=N$1)*Rules!$C$2:$C$60*ISNUMBER(SEARCH(Rules!$E$2:$E$60,$D306)))</f>
        <v>0</v>
      </c>
      <c r="O306" s="0" t="n">
        <f aca="false">SUMPRODUCT((Rules!$A$2:$A$60=O$1)*Rules!$C$2:$C$60*ISNUMBER(SEARCH(Rules!$E$2:$E$60,$D306)))</f>
        <v>0</v>
      </c>
      <c r="P306" s="0" t="n">
        <f aca="false">SUMPRODUCT((Rules!$A$2:$A$60=P$1)*Rules!$C$2:$C$60*ISNUMBER(SEARCH(Rules!$E$2:$E$60,$D306)))</f>
        <v>0</v>
      </c>
      <c r="Q306" s="0" t="n">
        <f aca="false">SUMPRODUCT((Rules!$A$2:$A$60=Q$1)*Rules!$C$2:$C$60*ISNUMBER(SEARCH(Rules!$E$2:$E$60,$D306)))</f>
        <v>2</v>
      </c>
      <c r="R306" s="0" t="str">
        <f aca="false">IF(OR(MAX(L306:Q306)&lt;Rules!$H$1,MAX(L306:Q306)-LARGE(L306:Q306,2)&lt;Rules!$H$2),"No label",INDEX($L$1:$Q$1,MATCH(MAX(L306:Q306),L306:Q306,0)))</f>
        <v>No label</v>
      </c>
      <c r="S306" s="0" t="n">
        <f aca="false">SUMPRODUCT(ISNUMBER(SEARCH(" "&amp;Terms!$A$3:$A$821&amp;" ",$D306))*Terms!B$3:B$821)+Terms!B$2</f>
        <v>-4.39049101515714</v>
      </c>
      <c r="T306" s="0" t="n">
        <f aca="false">SUMPRODUCT(ISNUMBER(SEARCH(" "&amp;Terms!$A$3:$A$821&amp;" ",$D306))*Terms!C$3:C$821)+Terms!C$2</f>
        <v>6.38686844482634</v>
      </c>
      <c r="U306" s="0" t="n">
        <f aca="false">SUMPRODUCT(ISNUMBER(SEARCH(" "&amp;Terms!$A$3:$A$821&amp;" ",$D306))*Terms!D$3:D$821)+Terms!D$2</f>
        <v>-2.96032294082257</v>
      </c>
      <c r="V306" s="0" t="n">
        <f aca="false">SUMPRODUCT(ISNUMBER(SEARCH(" "&amp;Terms!$A$3:$A$821&amp;" ",$D306))*Terms!E$3:E$821)+Terms!E$2</f>
        <v>-4.89912804441767</v>
      </c>
      <c r="W306" s="0" t="n">
        <f aca="false">SUMPRODUCT(ISNUMBER(SEARCH(" "&amp;Terms!$A$3:$A$821&amp;" ",$D306))*Terms!F$3:F$821)+Terms!F$2</f>
        <v>8.42003663669751</v>
      </c>
      <c r="X306" s="0" t="n">
        <f aca="false">SUMPRODUCT(ISNUMBER(SEARCH(" "&amp;Terms!$A$3:$A$821&amp;" ",$D306))*Terms!G$3:G$821)+Terms!G$2</f>
        <v>-2.55696308112638</v>
      </c>
      <c r="Y306" s="0" t="str">
        <f aca="false">INDEX($S$1:$X$1,MATCH(MAX(S306:X306),S306:X306,0))</f>
        <v>Fraud &amp; Scams</v>
      </c>
      <c r="Z306" s="0" t="s">
        <v>2607</v>
      </c>
    </row>
    <row r="307" customFormat="false" ht="15" hidden="false" customHeight="false" outlineLevel="0" collapsed="false">
      <c r="A307" s="0" t="str">
        <f aca="false">Complaints!A307</f>
        <v>C0306</v>
      </c>
      <c r="B307" s="0" t="str">
        <f aca="false">Complaints!B307</f>
        <v>I was charged a monthly fee that nobody told me about. I would like a response in writing.</v>
      </c>
      <c r="C307" s="0" t="str">
        <f aca="false">Complaints!C307</f>
        <v>Fees &amp; Charges</v>
      </c>
      <c r="D307" s="0" t="str">
        <f aca="false">" "&amp;TRIM(SUBSTITUTE(SUBSTITUTE(SUBSTITUTE(SUBSTITUTE(SUBSTITUTE(SUBSTITUTE(SUBSTITUTE(SUBSTITUTE(SUBSTITUTE(SUBSTITUTE(SUBSTITUTE(SUBSTITUTE(SUBSTITUTE(SUBSTITUTE(SUBSTITUTE(SUBSTITUTE(LOWER(B307),"."," "),","," "),"'"," "),"’"," "),"!"," "),"?"," "),";"," "),":"," "),"-"," "),"("," "),")"," "),"""", " "),"£"," "),"&amp;"," "),"/"," "),"%"," "))&amp;" "</f>
        <v> i was charged a monthly fee that nobody told me about i would like a response in writing </v>
      </c>
      <c r="E307" s="0" t="n">
        <f aca="false">SUMPRODUCT((Rules!$A$2:$A$60=E$1)*Rules!$C$2:$C$60*ISNUMBER(SEARCH(Rules!$D$2:$D$60,$D307)))</f>
        <v>0</v>
      </c>
      <c r="F307" s="0" t="n">
        <f aca="false">SUMPRODUCT((Rules!$A$2:$A$60=F$1)*Rules!$C$2:$C$60*ISNUMBER(SEARCH(Rules!$D$2:$D$60,$D307)))</f>
        <v>0</v>
      </c>
      <c r="G307" s="0" t="n">
        <f aca="false">SUMPRODUCT((Rules!$A$2:$A$60=G$1)*Rules!$C$2:$C$60*ISNUMBER(SEARCH(Rules!$D$2:$D$60,$D307)))</f>
        <v>0</v>
      </c>
      <c r="H307" s="0" t="n">
        <f aca="false">SUMPRODUCT((Rules!$A$2:$A$60=H$1)*Rules!$C$2:$C$60*ISNUMBER(SEARCH(Rules!$D$2:$D$60,$D307)))</f>
        <v>4</v>
      </c>
      <c r="I307" s="0" t="n">
        <f aca="false">SUMPRODUCT((Rules!$A$2:$A$60=I$1)*Rules!$C$2:$C$60*ISNUMBER(SEARCH(Rules!$D$2:$D$60,$D307)))</f>
        <v>0</v>
      </c>
      <c r="J307" s="0" t="n">
        <f aca="false">SUMPRODUCT((Rules!$A$2:$A$60=J$1)*Rules!$C$2:$C$60*ISNUMBER(SEARCH(Rules!$D$2:$D$60,$D307)))</f>
        <v>0</v>
      </c>
      <c r="K307" s="0" t="str">
        <f aca="false">IF(OR(MAX(E307:J307)&lt;Rules!$H$1,MAX(E307:J307)-LARGE(E307:J307,2)&lt;Rules!$H$2),"No label",INDEX($E$1:$J$1,MATCH(MAX(E307:J307),E307:J307,0)))</f>
        <v>Fees &amp; Charges</v>
      </c>
      <c r="L307" s="0" t="n">
        <f aca="false">SUMPRODUCT((Rules!$A$2:$A$60=L$1)*Rules!$C$2:$C$60*ISNUMBER(SEARCH(Rules!$E$2:$E$60,$D307)))</f>
        <v>0</v>
      </c>
      <c r="M307" s="0" t="n">
        <f aca="false">SUMPRODUCT((Rules!$A$2:$A$60=M$1)*Rules!$C$2:$C$60*ISNUMBER(SEARCH(Rules!$E$2:$E$60,$D307)))</f>
        <v>0</v>
      </c>
      <c r="N307" s="0" t="n">
        <f aca="false">SUMPRODUCT((Rules!$A$2:$A$60=N$1)*Rules!$C$2:$C$60*ISNUMBER(SEARCH(Rules!$E$2:$E$60,$D307)))</f>
        <v>0</v>
      </c>
      <c r="O307" s="0" t="n">
        <f aca="false">SUMPRODUCT((Rules!$A$2:$A$60=O$1)*Rules!$C$2:$C$60*ISNUMBER(SEARCH(Rules!$E$2:$E$60,$D307)))</f>
        <v>6</v>
      </c>
      <c r="P307" s="0" t="n">
        <f aca="false">SUMPRODUCT((Rules!$A$2:$A$60=P$1)*Rules!$C$2:$C$60*ISNUMBER(SEARCH(Rules!$E$2:$E$60,$D307)))</f>
        <v>0</v>
      </c>
      <c r="Q307" s="0" t="n">
        <f aca="false">SUMPRODUCT((Rules!$A$2:$A$60=Q$1)*Rules!$C$2:$C$60*ISNUMBER(SEARCH(Rules!$E$2:$E$60,$D307)))</f>
        <v>0</v>
      </c>
      <c r="R307" s="0" t="str">
        <f aca="false">IF(OR(MAX(L307:Q307)&lt;Rules!$H$1,MAX(L307:Q307)-LARGE(L307:Q307,2)&lt;Rules!$H$2),"No label",INDEX($L$1:$Q$1,MATCH(MAX(L307:Q307),L307:Q307,0)))</f>
        <v>Fees &amp; Charges</v>
      </c>
      <c r="S307" s="0" t="n">
        <f aca="false">SUMPRODUCT(ISNUMBER(SEARCH(" "&amp;Terms!$A$3:$A$821&amp;" ",$D307))*Terms!B$3:B$821)+Terms!B$2</f>
        <v>-1.75722073190455</v>
      </c>
      <c r="T307" s="0" t="n">
        <f aca="false">SUMPRODUCT(ISNUMBER(SEARCH(" "&amp;Terms!$A$3:$A$821&amp;" ",$D307))*Terms!C$3:C$821)+Terms!C$2</f>
        <v>-4.74541782918549</v>
      </c>
      <c r="U307" s="0" t="n">
        <f aca="false">SUMPRODUCT(ISNUMBER(SEARCH(" "&amp;Terms!$A$3:$A$821&amp;" ",$D307))*Terms!D$3:D$821)+Terms!D$2</f>
        <v>-2.15331543374118</v>
      </c>
      <c r="V307" s="0" t="n">
        <f aca="false">SUMPRODUCT(ISNUMBER(SEARCH(" "&amp;Terms!$A$3:$A$821&amp;" ",$D307))*Terms!E$3:E$821)+Terms!E$2</f>
        <v>10.3365557906885</v>
      </c>
      <c r="W307" s="0" t="n">
        <f aca="false">SUMPRODUCT(ISNUMBER(SEARCH(" "&amp;Terms!$A$3:$A$821&amp;" ",$D307))*Terms!F$3:F$821)+Terms!F$2</f>
        <v>-3.54583598141598</v>
      </c>
      <c r="X307" s="0" t="n">
        <f aca="false">SUMPRODUCT(ISNUMBER(SEARCH(" "&amp;Terms!$A$3:$A$821&amp;" ",$D307))*Terms!G$3:G$821)+Terms!G$2</f>
        <v>1.86523418555877</v>
      </c>
      <c r="Y307" s="0" t="str">
        <f aca="false">INDEX($S$1:$X$1,MATCH(MAX(S307:X307),S307:X307,0))</f>
        <v>Fees &amp; Charges</v>
      </c>
      <c r="Z307" s="0" t="s">
        <v>2607</v>
      </c>
    </row>
    <row r="308" customFormat="false" ht="15" hidden="false" customHeight="false" outlineLevel="0" collapsed="false">
      <c r="A308" s="0" t="str">
        <f aca="false">Complaints!A308</f>
        <v>C0307</v>
      </c>
      <c r="B308" s="0" t="str">
        <f aca="false">Complaints!B308</f>
        <v>Please look into what happened on my account. I expect comensation.</v>
      </c>
      <c r="C308" s="0" t="str">
        <f aca="false">Complaints!C308</f>
        <v>Delays &amp; Processing</v>
      </c>
      <c r="D308" s="0" t="str">
        <f aca="false">" "&amp;TRIM(SUBSTITUTE(SUBSTITUTE(SUBSTITUTE(SUBSTITUTE(SUBSTITUTE(SUBSTITUTE(SUBSTITUTE(SUBSTITUTE(SUBSTITUTE(SUBSTITUTE(SUBSTITUTE(SUBSTITUTE(SUBSTITUTE(SUBSTITUTE(SUBSTITUTE(SUBSTITUTE(LOWER(B308),"."," "),","," "),"'"," "),"’"," "),"!"," "),"?"," "),";"," "),":"," "),"-"," "),"("," "),")"," "),"""", " "),"£"," "),"&amp;"," "),"/"," "),"%"," "))&amp;" "</f>
        <v> please look into what happened on my account i expect comensation </v>
      </c>
      <c r="E308" s="0" t="n">
        <f aca="false">SUMPRODUCT((Rules!$A$2:$A$60=E$1)*Rules!$C$2:$C$60*ISNUMBER(SEARCH(Rules!$D$2:$D$60,$D308)))</f>
        <v>0</v>
      </c>
      <c r="F308" s="0" t="n">
        <f aca="false">SUMPRODUCT((Rules!$A$2:$A$60=F$1)*Rules!$C$2:$C$60*ISNUMBER(SEARCH(Rules!$D$2:$D$60,$D308)))</f>
        <v>0</v>
      </c>
      <c r="G308" s="0" t="n">
        <f aca="false">SUMPRODUCT((Rules!$A$2:$A$60=G$1)*Rules!$C$2:$C$60*ISNUMBER(SEARCH(Rules!$D$2:$D$60,$D308)))</f>
        <v>0</v>
      </c>
      <c r="H308" s="0" t="n">
        <f aca="false">SUMPRODUCT((Rules!$A$2:$A$60=H$1)*Rules!$C$2:$C$60*ISNUMBER(SEARCH(Rules!$D$2:$D$60,$D308)))</f>
        <v>0</v>
      </c>
      <c r="I308" s="0" t="n">
        <f aca="false">SUMPRODUCT((Rules!$A$2:$A$60=I$1)*Rules!$C$2:$C$60*ISNUMBER(SEARCH(Rules!$D$2:$D$60,$D308)))</f>
        <v>0</v>
      </c>
      <c r="J308" s="0" t="n">
        <f aca="false">SUMPRODUCT((Rules!$A$2:$A$60=J$1)*Rules!$C$2:$C$60*ISNUMBER(SEARCH(Rules!$D$2:$D$60,$D308)))</f>
        <v>0</v>
      </c>
      <c r="K308" s="0" t="str">
        <f aca="false">IF(OR(MAX(E308:J308)&lt;Rules!$H$1,MAX(E308:J308)-LARGE(E308:J308,2)&lt;Rules!$H$2),"No label",INDEX($E$1:$J$1,MATCH(MAX(E308:J308),E308:J308,0)))</f>
        <v>No label</v>
      </c>
      <c r="L308" s="0" t="n">
        <f aca="false">SUMPRODUCT((Rules!$A$2:$A$60=L$1)*Rules!$C$2:$C$60*ISNUMBER(SEARCH(Rules!$E$2:$E$60,$D308)))</f>
        <v>0</v>
      </c>
      <c r="M308" s="0" t="n">
        <f aca="false">SUMPRODUCT((Rules!$A$2:$A$60=M$1)*Rules!$C$2:$C$60*ISNUMBER(SEARCH(Rules!$E$2:$E$60,$D308)))</f>
        <v>0</v>
      </c>
      <c r="N308" s="0" t="n">
        <f aca="false">SUMPRODUCT((Rules!$A$2:$A$60=N$1)*Rules!$C$2:$C$60*ISNUMBER(SEARCH(Rules!$E$2:$E$60,$D308)))</f>
        <v>0</v>
      </c>
      <c r="O308" s="0" t="n">
        <f aca="false">SUMPRODUCT((Rules!$A$2:$A$60=O$1)*Rules!$C$2:$C$60*ISNUMBER(SEARCH(Rules!$E$2:$E$60,$D308)))</f>
        <v>0</v>
      </c>
      <c r="P308" s="0" t="n">
        <f aca="false">SUMPRODUCT((Rules!$A$2:$A$60=P$1)*Rules!$C$2:$C$60*ISNUMBER(SEARCH(Rules!$E$2:$E$60,$D308)))</f>
        <v>0</v>
      </c>
      <c r="Q308" s="0" t="n">
        <f aca="false">SUMPRODUCT((Rules!$A$2:$A$60=Q$1)*Rules!$C$2:$C$60*ISNUMBER(SEARCH(Rules!$E$2:$E$60,$D308)))</f>
        <v>0</v>
      </c>
      <c r="R308" s="0" t="str">
        <f aca="false">IF(OR(MAX(L308:Q308)&lt;Rules!$H$1,MAX(L308:Q308)-LARGE(L308:Q308,2)&lt;Rules!$H$2),"No label",INDEX($L$1:$Q$1,MATCH(MAX(L308:Q308),L308:Q308,0)))</f>
        <v>No label</v>
      </c>
      <c r="S308" s="0" t="n">
        <f aca="false">SUMPRODUCT(ISNUMBER(SEARCH(" "&amp;Terms!$A$3:$A$821&amp;" ",$D308))*Terms!B$3:B$821)+Terms!B$2</f>
        <v>1.71261914951502</v>
      </c>
      <c r="T308" s="0" t="n">
        <f aca="false">SUMPRODUCT(ISNUMBER(SEARCH(" "&amp;Terms!$A$3:$A$821&amp;" ",$D308))*Terms!C$3:C$821)+Terms!C$2</f>
        <v>-2.01989476198221</v>
      </c>
      <c r="U308" s="0" t="n">
        <f aca="false">SUMPRODUCT(ISNUMBER(SEARCH(" "&amp;Terms!$A$3:$A$821&amp;" ",$D308))*Terms!D$3:D$821)+Terms!D$2</f>
        <v>2.85009222457451</v>
      </c>
      <c r="V308" s="0" t="n">
        <f aca="false">SUMPRODUCT(ISNUMBER(SEARCH(" "&amp;Terms!$A$3:$A$821&amp;" ",$D308))*Terms!E$3:E$821)+Terms!E$2</f>
        <v>-0.605305238217967</v>
      </c>
      <c r="W308" s="0" t="n">
        <f aca="false">SUMPRODUCT(ISNUMBER(SEARCH(" "&amp;Terms!$A$3:$A$821&amp;" ",$D308))*Terms!F$3:F$821)+Terms!F$2</f>
        <v>0.328873941822738</v>
      </c>
      <c r="X308" s="0" t="n">
        <f aca="false">SUMPRODUCT(ISNUMBER(SEARCH(" "&amp;Terms!$A$3:$A$821&amp;" ",$D308))*Terms!G$3:G$821)+Terms!G$2</f>
        <v>-2.266385315712</v>
      </c>
      <c r="Y308" s="0" t="str">
        <f aca="false">INDEX($S$1:$X$1,MATCH(MAX(S308:X308),S308:X308,0))</f>
        <v>Delays &amp; Processing</v>
      </c>
      <c r="Z308" s="0" t="s">
        <v>2607</v>
      </c>
    </row>
    <row r="309" customFormat="false" ht="15" hidden="false" customHeight="false" outlineLevel="0" collapsed="false">
      <c r="A309" s="0" t="str">
        <f aca="false">Complaints!A309</f>
        <v>C0308</v>
      </c>
      <c r="B309" s="0" t="str">
        <f aca="false">Complaints!B309</f>
        <v>Frankly, The ayment still has not arrived in my account. I could not log in to check either. I expect compensation.</v>
      </c>
      <c r="C309" s="0" t="str">
        <f aca="false">Complaints!C309</f>
        <v>Delays &amp; Processing</v>
      </c>
      <c r="D309" s="0" t="str">
        <f aca="false">" "&amp;TRIM(SUBSTITUTE(SUBSTITUTE(SUBSTITUTE(SUBSTITUTE(SUBSTITUTE(SUBSTITUTE(SUBSTITUTE(SUBSTITUTE(SUBSTITUTE(SUBSTITUTE(SUBSTITUTE(SUBSTITUTE(SUBSTITUTE(SUBSTITUTE(SUBSTITUTE(SUBSTITUTE(LOWER(B309),"."," "),","," "),"'"," "),"’"," "),"!"," "),"?"," "),";"," "),":"," "),"-"," "),"("," "),")"," "),"""", " "),"£"," "),"&amp;"," "),"/"," "),"%"," "))&amp;" "</f>
        <v> frankly the ayment still has not arrived in my account i could not log in to check either i expect compensation </v>
      </c>
      <c r="E309" s="0" t="n">
        <f aca="false">SUMPRODUCT((Rules!$A$2:$A$60=E$1)*Rules!$C$2:$C$60*ISNUMBER(SEARCH(Rules!$D$2:$D$60,$D309)))</f>
        <v>0</v>
      </c>
      <c r="F309" s="0" t="n">
        <f aca="false">SUMPRODUCT((Rules!$A$2:$A$60=F$1)*Rules!$C$2:$C$60*ISNUMBER(SEARCH(Rules!$D$2:$D$60,$D309)))</f>
        <v>0</v>
      </c>
      <c r="G309" s="0" t="n">
        <f aca="false">SUMPRODUCT((Rules!$A$2:$A$60=G$1)*Rules!$C$2:$C$60*ISNUMBER(SEARCH(Rules!$D$2:$D$60,$D309)))</f>
        <v>3</v>
      </c>
      <c r="H309" s="0" t="n">
        <f aca="false">SUMPRODUCT((Rules!$A$2:$A$60=H$1)*Rules!$C$2:$C$60*ISNUMBER(SEARCH(Rules!$D$2:$D$60,$D309)))</f>
        <v>0</v>
      </c>
      <c r="I309" s="0" t="n">
        <f aca="false">SUMPRODUCT((Rules!$A$2:$A$60=I$1)*Rules!$C$2:$C$60*ISNUMBER(SEARCH(Rules!$D$2:$D$60,$D309)))</f>
        <v>2</v>
      </c>
      <c r="J309" s="0" t="n">
        <f aca="false">SUMPRODUCT((Rules!$A$2:$A$60=J$1)*Rules!$C$2:$C$60*ISNUMBER(SEARCH(Rules!$D$2:$D$60,$D309)))</f>
        <v>0</v>
      </c>
      <c r="K309" s="0" t="str">
        <f aca="false">IF(OR(MAX(E309:J309)&lt;Rules!$H$1,MAX(E309:J309)-LARGE(E309:J309,2)&lt;Rules!$H$2),"No label",INDEX($E$1:$J$1,MATCH(MAX(E309:J309),E309:J309,0)))</f>
        <v>No label</v>
      </c>
      <c r="L309" s="0" t="n">
        <f aca="false">SUMPRODUCT((Rules!$A$2:$A$60=L$1)*Rules!$C$2:$C$60*ISNUMBER(SEARCH(Rules!$E$2:$E$60,$D309)))</f>
        <v>0</v>
      </c>
      <c r="M309" s="0" t="n">
        <f aca="false">SUMPRODUCT((Rules!$A$2:$A$60=M$1)*Rules!$C$2:$C$60*ISNUMBER(SEARCH(Rules!$E$2:$E$60,$D309)))</f>
        <v>0</v>
      </c>
      <c r="N309" s="0" t="n">
        <f aca="false">SUMPRODUCT((Rules!$A$2:$A$60=N$1)*Rules!$C$2:$C$60*ISNUMBER(SEARCH(Rules!$E$2:$E$60,$D309)))</f>
        <v>3</v>
      </c>
      <c r="O309" s="0" t="n">
        <f aca="false">SUMPRODUCT((Rules!$A$2:$A$60=O$1)*Rules!$C$2:$C$60*ISNUMBER(SEARCH(Rules!$E$2:$E$60,$D309)))</f>
        <v>0</v>
      </c>
      <c r="P309" s="0" t="n">
        <f aca="false">SUMPRODUCT((Rules!$A$2:$A$60=P$1)*Rules!$C$2:$C$60*ISNUMBER(SEARCH(Rules!$E$2:$E$60,$D309)))</f>
        <v>2</v>
      </c>
      <c r="Q309" s="0" t="n">
        <f aca="false">SUMPRODUCT((Rules!$A$2:$A$60=Q$1)*Rules!$C$2:$C$60*ISNUMBER(SEARCH(Rules!$E$2:$E$60,$D309)))</f>
        <v>0</v>
      </c>
      <c r="R309" s="0" t="str">
        <f aca="false">IF(OR(MAX(L309:Q309)&lt;Rules!$H$1,MAX(L309:Q309)-LARGE(L309:Q309,2)&lt;Rules!$H$2),"No label",INDEX($L$1:$Q$1,MATCH(MAX(L309:Q309),L309:Q309,0)))</f>
        <v>No label</v>
      </c>
      <c r="S309" s="0" t="n">
        <f aca="false">SUMPRODUCT(ISNUMBER(SEARCH(" "&amp;Terms!$A$3:$A$821&amp;" ",$D309))*Terms!B$3:B$821)+Terms!B$2</f>
        <v>3.07766235227607</v>
      </c>
      <c r="T309" s="0" t="n">
        <f aca="false">SUMPRODUCT(ISNUMBER(SEARCH(" "&amp;Terms!$A$3:$A$821&amp;" ",$D309))*Terms!C$3:C$821)+Terms!C$2</f>
        <v>-3.10055525248651</v>
      </c>
      <c r="U309" s="0" t="n">
        <f aca="false">SUMPRODUCT(ISNUMBER(SEARCH(" "&amp;Terms!$A$3:$A$821&amp;" ",$D309))*Terms!D$3:D$821)+Terms!D$2</f>
        <v>4.32877935329416</v>
      </c>
      <c r="V309" s="0" t="n">
        <f aca="false">SUMPRODUCT(ISNUMBER(SEARCH(" "&amp;Terms!$A$3:$A$821&amp;" ",$D309))*Terms!E$3:E$821)+Terms!E$2</f>
        <v>-1.49490736395933</v>
      </c>
      <c r="W309" s="0" t="n">
        <f aca="false">SUMPRODUCT(ISNUMBER(SEARCH(" "&amp;Terms!$A$3:$A$821&amp;" ",$D309))*Terms!F$3:F$821)+Terms!F$2</f>
        <v>0.745819299494778</v>
      </c>
      <c r="X309" s="0" t="n">
        <f aca="false">SUMPRODUCT(ISNUMBER(SEARCH(" "&amp;Terms!$A$3:$A$821&amp;" ",$D309))*Terms!G$3:G$821)+Terms!G$2</f>
        <v>-3.55679838861908</v>
      </c>
      <c r="Y309" s="0" t="str">
        <f aca="false">INDEX($S$1:$X$1,MATCH(MAX(S309:X309),S309:X309,0))</f>
        <v>Delays &amp; Processing</v>
      </c>
      <c r="Z309" s="0" t="s">
        <v>2607</v>
      </c>
    </row>
    <row r="310" customFormat="false" ht="15" hidden="false" customHeight="false" outlineLevel="0" collapsed="false">
      <c r="A310" s="0" t="str">
        <f aca="false">Complaints!A310</f>
        <v>C0309</v>
      </c>
      <c r="B310" s="0" t="str">
        <f aca="false">Complaints!B310</f>
        <v>This is the second time I have raised this. My card reader stopped working and I cannot approve payments.</v>
      </c>
      <c r="C310" s="0" t="str">
        <f aca="false">Complaints!C310</f>
        <v>Account Access</v>
      </c>
      <c r="D310" s="0" t="str">
        <f aca="false">" "&amp;TRIM(SUBSTITUTE(SUBSTITUTE(SUBSTITUTE(SUBSTITUTE(SUBSTITUTE(SUBSTITUTE(SUBSTITUTE(SUBSTITUTE(SUBSTITUTE(SUBSTITUTE(SUBSTITUTE(SUBSTITUTE(SUBSTITUTE(SUBSTITUTE(SUBSTITUTE(SUBSTITUTE(LOWER(B310),"."," "),","," "),"'"," "),"’"," "),"!"," "),"?"," "),";"," "),":"," "),"-"," "),"("," "),")"," "),"""", " "),"£"," "),"&amp;"," "),"/"," "),"%"," "))&amp;" "</f>
        <v> this is the second time i have raised this my card reader stopped working and i cannot approve payments </v>
      </c>
      <c r="E310" s="0" t="n">
        <f aca="false">SUMPRODUCT((Rules!$A$2:$A$60=E$1)*Rules!$C$2:$C$60*ISNUMBER(SEARCH(Rules!$D$2:$D$60,$D310)))</f>
        <v>0</v>
      </c>
      <c r="F310" s="0" t="n">
        <f aca="false">SUMPRODUCT((Rules!$A$2:$A$60=F$1)*Rules!$C$2:$C$60*ISNUMBER(SEARCH(Rules!$D$2:$D$60,$D310)))</f>
        <v>0</v>
      </c>
      <c r="G310" s="0" t="n">
        <f aca="false">SUMPRODUCT((Rules!$A$2:$A$60=G$1)*Rules!$C$2:$C$60*ISNUMBER(SEARCH(Rules!$D$2:$D$60,$D310)))</f>
        <v>0</v>
      </c>
      <c r="H310" s="0" t="n">
        <f aca="false">SUMPRODUCT((Rules!$A$2:$A$60=H$1)*Rules!$C$2:$C$60*ISNUMBER(SEARCH(Rules!$D$2:$D$60,$D310)))</f>
        <v>0</v>
      </c>
      <c r="I310" s="0" t="n">
        <f aca="false">SUMPRODUCT((Rules!$A$2:$A$60=I$1)*Rules!$C$2:$C$60*ISNUMBER(SEARCH(Rules!$D$2:$D$60,$D310)))</f>
        <v>0</v>
      </c>
      <c r="J310" s="0" t="n">
        <f aca="false">SUMPRODUCT((Rules!$A$2:$A$60=J$1)*Rules!$C$2:$C$60*ISNUMBER(SEARCH(Rules!$D$2:$D$60,$D310)))</f>
        <v>0</v>
      </c>
      <c r="K310" s="0" t="str">
        <f aca="false">IF(OR(MAX(E310:J310)&lt;Rules!$H$1,MAX(E310:J310)-LARGE(E310:J310,2)&lt;Rules!$H$2),"No label",INDEX($E$1:$J$1,MATCH(MAX(E310:J310),E310:J310,0)))</f>
        <v>No label</v>
      </c>
      <c r="L310" s="0" t="n">
        <f aca="false">SUMPRODUCT((Rules!$A$2:$A$60=L$1)*Rules!$C$2:$C$60*ISNUMBER(SEARCH(Rules!$E$2:$E$60,$D310)))</f>
        <v>0</v>
      </c>
      <c r="M310" s="0" t="n">
        <f aca="false">SUMPRODUCT((Rules!$A$2:$A$60=M$1)*Rules!$C$2:$C$60*ISNUMBER(SEARCH(Rules!$E$2:$E$60,$D310)))</f>
        <v>0</v>
      </c>
      <c r="N310" s="0" t="n">
        <f aca="false">SUMPRODUCT((Rules!$A$2:$A$60=N$1)*Rules!$C$2:$C$60*ISNUMBER(SEARCH(Rules!$E$2:$E$60,$D310)))</f>
        <v>0</v>
      </c>
      <c r="O310" s="0" t="n">
        <f aca="false">SUMPRODUCT((Rules!$A$2:$A$60=O$1)*Rules!$C$2:$C$60*ISNUMBER(SEARCH(Rules!$E$2:$E$60,$D310)))</f>
        <v>0</v>
      </c>
      <c r="P310" s="0" t="n">
        <f aca="false">SUMPRODUCT((Rules!$A$2:$A$60=P$1)*Rules!$C$2:$C$60*ISNUMBER(SEARCH(Rules!$E$2:$E$60,$D310)))</f>
        <v>0</v>
      </c>
      <c r="Q310" s="0" t="n">
        <f aca="false">SUMPRODUCT((Rules!$A$2:$A$60=Q$1)*Rules!$C$2:$C$60*ISNUMBER(SEARCH(Rules!$E$2:$E$60,$D310)))</f>
        <v>0</v>
      </c>
      <c r="R310" s="0" t="str">
        <f aca="false">IF(OR(MAX(L310:Q310)&lt;Rules!$H$1,MAX(L310:Q310)-LARGE(L310:Q310,2)&lt;Rules!$H$2),"No label",INDEX($L$1:$Q$1,MATCH(MAX(L310:Q310),L310:Q310,0)))</f>
        <v>No label</v>
      </c>
      <c r="S310" s="0" t="n">
        <f aca="false">SUMPRODUCT(ISNUMBER(SEARCH(" "&amp;Terms!$A$3:$A$821&amp;" ",$D310))*Terms!B$3:B$821)+Terms!B$2</f>
        <v>13.9553312159803</v>
      </c>
      <c r="T310" s="0" t="n">
        <f aca="false">SUMPRODUCT(ISNUMBER(SEARCH(" "&amp;Terms!$A$3:$A$821&amp;" ",$D310))*Terms!C$3:C$821)+Terms!C$2</f>
        <v>1.91867752732778</v>
      </c>
      <c r="U310" s="0" t="n">
        <f aca="false">SUMPRODUCT(ISNUMBER(SEARCH(" "&amp;Terms!$A$3:$A$821&amp;" ",$D310))*Terms!D$3:D$821)+Terms!D$2</f>
        <v>-3.54893988983457</v>
      </c>
      <c r="V310" s="0" t="n">
        <f aca="false">SUMPRODUCT(ISNUMBER(SEARCH(" "&amp;Terms!$A$3:$A$821&amp;" ",$D310))*Terms!E$3:E$821)+Terms!E$2</f>
        <v>-4.44517979695928</v>
      </c>
      <c r="W310" s="0" t="n">
        <f aca="false">SUMPRODUCT(ISNUMBER(SEARCH(" "&amp;Terms!$A$3:$A$821&amp;" ",$D310))*Terms!F$3:F$821)+Terms!F$2</f>
        <v>0.741919571837408</v>
      </c>
      <c r="X310" s="0" t="n">
        <f aca="false">SUMPRODUCT(ISNUMBER(SEARCH(" "&amp;Terms!$A$3:$A$821&amp;" ",$D310))*Terms!G$3:G$821)+Terms!G$2</f>
        <v>-8.62180862835156</v>
      </c>
      <c r="Y310" s="0" t="str">
        <f aca="false">INDEX($S$1:$X$1,MATCH(MAX(S310:X310),S310:X310,0))</f>
        <v>Account Access</v>
      </c>
      <c r="Z310" s="0" t="s">
        <v>2607</v>
      </c>
    </row>
    <row r="311" customFormat="false" ht="15" hidden="false" customHeight="false" outlineLevel="0" collapsed="false">
      <c r="A311" s="0" t="str">
        <f aca="false">Complaints!A311</f>
        <v>C0310</v>
      </c>
      <c r="B311" s="0" t="str">
        <f aca="false">Complaints!B311</f>
        <v>The pension transfer advice I received was poor and I have lost out. I want this put right.</v>
      </c>
      <c r="C311" s="0" t="str">
        <f aca="false">Complaints!C311</f>
        <v>Mis-selling</v>
      </c>
      <c r="D311" s="0" t="str">
        <f aca="false">" "&amp;TRIM(SUBSTITUTE(SUBSTITUTE(SUBSTITUTE(SUBSTITUTE(SUBSTITUTE(SUBSTITUTE(SUBSTITUTE(SUBSTITUTE(SUBSTITUTE(SUBSTITUTE(SUBSTITUTE(SUBSTITUTE(SUBSTITUTE(SUBSTITUTE(SUBSTITUTE(SUBSTITUTE(LOWER(B311),"."," "),","," "),"'"," "),"’"," "),"!"," "),"?"," "),";"," "),":"," "),"-"," "),"("," "),")"," "),"""", " "),"£"," "),"&amp;"," "),"/"," "),"%"," "))&amp;" "</f>
        <v> the pension transfer advice i received was poor and i have lost out i want this put right </v>
      </c>
      <c r="E311" s="0" t="n">
        <f aca="false">SUMPRODUCT((Rules!$A$2:$A$60=E$1)*Rules!$C$2:$C$60*ISNUMBER(SEARCH(Rules!$D$2:$D$60,$D311)))</f>
        <v>0</v>
      </c>
      <c r="F311" s="0" t="n">
        <f aca="false">SUMPRODUCT((Rules!$A$2:$A$60=F$1)*Rules!$C$2:$C$60*ISNUMBER(SEARCH(Rules!$D$2:$D$60,$D311)))</f>
        <v>2</v>
      </c>
      <c r="G311" s="0" t="n">
        <f aca="false">SUMPRODUCT((Rules!$A$2:$A$60=G$1)*Rules!$C$2:$C$60*ISNUMBER(SEARCH(Rules!$D$2:$D$60,$D311)))</f>
        <v>0</v>
      </c>
      <c r="H311" s="0" t="n">
        <f aca="false">SUMPRODUCT((Rules!$A$2:$A$60=H$1)*Rules!$C$2:$C$60*ISNUMBER(SEARCH(Rules!$D$2:$D$60,$D311)))</f>
        <v>0</v>
      </c>
      <c r="I311" s="0" t="n">
        <f aca="false">SUMPRODUCT((Rules!$A$2:$A$60=I$1)*Rules!$C$2:$C$60*ISNUMBER(SEARCH(Rules!$D$2:$D$60,$D311)))</f>
        <v>0</v>
      </c>
      <c r="J311" s="0" t="n">
        <f aca="false">SUMPRODUCT((Rules!$A$2:$A$60=J$1)*Rules!$C$2:$C$60*ISNUMBER(SEARCH(Rules!$D$2:$D$60,$D311)))</f>
        <v>0</v>
      </c>
      <c r="K311" s="0" t="str">
        <f aca="false">IF(OR(MAX(E311:J311)&lt;Rules!$H$1,MAX(E311:J311)-LARGE(E311:J311,2)&lt;Rules!$H$2),"No label",INDEX($E$1:$J$1,MATCH(MAX(E311:J311),E311:J311,0)))</f>
        <v>No label</v>
      </c>
      <c r="L311" s="0" t="n">
        <f aca="false">SUMPRODUCT((Rules!$A$2:$A$60=L$1)*Rules!$C$2:$C$60*ISNUMBER(SEARCH(Rules!$E$2:$E$60,$D311)))</f>
        <v>0</v>
      </c>
      <c r="M311" s="0" t="n">
        <f aca="false">SUMPRODUCT((Rules!$A$2:$A$60=M$1)*Rules!$C$2:$C$60*ISNUMBER(SEARCH(Rules!$E$2:$E$60,$D311)))</f>
        <v>2</v>
      </c>
      <c r="N311" s="0" t="n">
        <f aca="false">SUMPRODUCT((Rules!$A$2:$A$60=N$1)*Rules!$C$2:$C$60*ISNUMBER(SEARCH(Rules!$E$2:$E$60,$D311)))</f>
        <v>0</v>
      </c>
      <c r="O311" s="0" t="n">
        <f aca="false">SUMPRODUCT((Rules!$A$2:$A$60=O$1)*Rules!$C$2:$C$60*ISNUMBER(SEARCH(Rules!$E$2:$E$60,$D311)))</f>
        <v>0</v>
      </c>
      <c r="P311" s="0" t="n">
        <f aca="false">SUMPRODUCT((Rules!$A$2:$A$60=P$1)*Rules!$C$2:$C$60*ISNUMBER(SEARCH(Rules!$E$2:$E$60,$D311)))</f>
        <v>0</v>
      </c>
      <c r="Q311" s="0" t="n">
        <f aca="false">SUMPRODUCT((Rules!$A$2:$A$60=Q$1)*Rules!$C$2:$C$60*ISNUMBER(SEARCH(Rules!$E$2:$E$60,$D311)))</f>
        <v>0</v>
      </c>
      <c r="R311" s="0" t="str">
        <f aca="false">IF(OR(MAX(L311:Q311)&lt;Rules!$H$1,MAX(L311:Q311)-LARGE(L311:Q311,2)&lt;Rules!$H$2),"No label",INDEX($L$1:$Q$1,MATCH(MAX(L311:Q311),L311:Q311,0)))</f>
        <v>No label</v>
      </c>
      <c r="S311" s="0" t="n">
        <f aca="false">SUMPRODUCT(ISNUMBER(SEARCH(" "&amp;Terms!$A$3:$A$821&amp;" ",$D311))*Terms!B$3:B$821)+Terms!B$2</f>
        <v>-4.19047599526898</v>
      </c>
      <c r="T311" s="0" t="n">
        <f aca="false">SUMPRODUCT(ISNUMBER(SEARCH(" "&amp;Terms!$A$3:$A$821&amp;" ",$D311))*Terms!C$3:C$821)+Terms!C$2</f>
        <v>-4.63585392984121</v>
      </c>
      <c r="U311" s="0" t="n">
        <f aca="false">SUMPRODUCT(ISNUMBER(SEARCH(" "&amp;Terms!$A$3:$A$821&amp;" ",$D311))*Terms!D$3:D$821)+Terms!D$2</f>
        <v>1.33561025815986</v>
      </c>
      <c r="V311" s="0" t="n">
        <f aca="false">SUMPRODUCT(ISNUMBER(SEARCH(" "&amp;Terms!$A$3:$A$821&amp;" ",$D311))*Terms!E$3:E$821)+Terms!E$2</f>
        <v>-1.36001131870375</v>
      </c>
      <c r="W311" s="0" t="n">
        <f aca="false">SUMPRODUCT(ISNUMBER(SEARCH(" "&amp;Terms!$A$3:$A$821&amp;" ",$D311))*Terms!F$3:F$821)+Terms!F$2</f>
        <v>-0.656842253517937</v>
      </c>
      <c r="X311" s="0" t="n">
        <f aca="false">SUMPRODUCT(ISNUMBER(SEARCH(" "&amp;Terms!$A$3:$A$821&amp;" ",$D311))*Terms!G$3:G$821)+Terms!G$2</f>
        <v>9.50757323917212</v>
      </c>
      <c r="Y311" s="0" t="str">
        <f aca="false">INDEX($S$1:$X$1,MATCH(MAX(S311:X311),S311:X311,0))</f>
        <v>Mis-selling</v>
      </c>
      <c r="Z311" s="0" t="s">
        <v>2607</v>
      </c>
    </row>
    <row r="312" customFormat="false" ht="15" hidden="false" customHeight="false" outlineLevel="0" collapsed="false">
      <c r="A312" s="0" t="str">
        <f aca="false">Complaints!A312</f>
        <v>C0311</v>
      </c>
      <c r="B312" s="0" t="str">
        <f aca="false">Complaints!B312</f>
        <v>I am writing to complain. You took an overdraft fee even though I was within my limit. I do not think it was explained properly when I bought it. This is not acceptable.</v>
      </c>
      <c r="C312" s="0" t="str">
        <f aca="false">Complaints!C312</f>
        <v>Fees &amp; Charges</v>
      </c>
      <c r="D312" s="0" t="str">
        <f aca="false">" "&amp;TRIM(SUBSTITUTE(SUBSTITUTE(SUBSTITUTE(SUBSTITUTE(SUBSTITUTE(SUBSTITUTE(SUBSTITUTE(SUBSTITUTE(SUBSTITUTE(SUBSTITUTE(SUBSTITUTE(SUBSTITUTE(SUBSTITUTE(SUBSTITUTE(SUBSTITUTE(SUBSTITUTE(LOWER(B312),"."," "),","," "),"'"," "),"’"," "),"!"," "),"?"," "),";"," "),":"," "),"-"," "),"("," "),")"," "),"""", " "),"£"," "),"&amp;"," "),"/"," "),"%"," "))&amp;" "</f>
        <v> i am writing to complain you took an overdraft fee even though i was within my limit i do not think it was explained properly when i bought it this is not acceptable </v>
      </c>
      <c r="E312" s="0" t="n">
        <f aca="false">SUMPRODUCT((Rules!$A$2:$A$60=E$1)*Rules!$C$2:$C$60*ISNUMBER(SEARCH(Rules!$D$2:$D$60,$D312)))</f>
        <v>0</v>
      </c>
      <c r="F312" s="0" t="n">
        <f aca="false">SUMPRODUCT((Rules!$A$2:$A$60=F$1)*Rules!$C$2:$C$60*ISNUMBER(SEARCH(Rules!$D$2:$D$60,$D312)))</f>
        <v>0</v>
      </c>
      <c r="G312" s="0" t="n">
        <f aca="false">SUMPRODUCT((Rules!$A$2:$A$60=G$1)*Rules!$C$2:$C$60*ISNUMBER(SEARCH(Rules!$D$2:$D$60,$D312)))</f>
        <v>0</v>
      </c>
      <c r="H312" s="0" t="n">
        <f aca="false">SUMPRODUCT((Rules!$A$2:$A$60=H$1)*Rules!$C$2:$C$60*ISNUMBER(SEARCH(Rules!$D$2:$D$60,$D312)))</f>
        <v>2</v>
      </c>
      <c r="I312" s="0" t="n">
        <f aca="false">SUMPRODUCT((Rules!$A$2:$A$60=I$1)*Rules!$C$2:$C$60*ISNUMBER(SEARCH(Rules!$D$2:$D$60,$D312)))</f>
        <v>0</v>
      </c>
      <c r="J312" s="0" t="n">
        <f aca="false">SUMPRODUCT((Rules!$A$2:$A$60=J$1)*Rules!$C$2:$C$60*ISNUMBER(SEARCH(Rules!$D$2:$D$60,$D312)))</f>
        <v>0</v>
      </c>
      <c r="K312" s="0" t="str">
        <f aca="false">IF(OR(MAX(E312:J312)&lt;Rules!$H$1,MAX(E312:J312)-LARGE(E312:J312,2)&lt;Rules!$H$2),"No label",INDEX($E$1:$J$1,MATCH(MAX(E312:J312),E312:J312,0)))</f>
        <v>No label</v>
      </c>
      <c r="L312" s="0" t="n">
        <f aca="false">SUMPRODUCT((Rules!$A$2:$A$60=L$1)*Rules!$C$2:$C$60*ISNUMBER(SEARCH(Rules!$E$2:$E$60,$D312)))</f>
        <v>0</v>
      </c>
      <c r="M312" s="0" t="n">
        <f aca="false">SUMPRODUCT((Rules!$A$2:$A$60=M$1)*Rules!$C$2:$C$60*ISNUMBER(SEARCH(Rules!$E$2:$E$60,$D312)))</f>
        <v>0</v>
      </c>
      <c r="N312" s="0" t="n">
        <f aca="false">SUMPRODUCT((Rules!$A$2:$A$60=N$1)*Rules!$C$2:$C$60*ISNUMBER(SEARCH(Rules!$E$2:$E$60,$D312)))</f>
        <v>1</v>
      </c>
      <c r="O312" s="0" t="n">
        <f aca="false">SUMPRODUCT((Rules!$A$2:$A$60=O$1)*Rules!$C$2:$C$60*ISNUMBER(SEARCH(Rules!$E$2:$E$60,$D312)))</f>
        <v>2</v>
      </c>
      <c r="P312" s="0" t="n">
        <f aca="false">SUMPRODUCT((Rules!$A$2:$A$60=P$1)*Rules!$C$2:$C$60*ISNUMBER(SEARCH(Rules!$E$2:$E$60,$D312)))</f>
        <v>0</v>
      </c>
      <c r="Q312" s="0" t="n">
        <f aca="false">SUMPRODUCT((Rules!$A$2:$A$60=Q$1)*Rules!$C$2:$C$60*ISNUMBER(SEARCH(Rules!$E$2:$E$60,$D312)))</f>
        <v>0</v>
      </c>
      <c r="R312" s="0" t="str">
        <f aca="false">IF(OR(MAX(L312:Q312)&lt;Rules!$H$1,MAX(L312:Q312)-LARGE(L312:Q312,2)&lt;Rules!$H$2),"No label",INDEX($L$1:$Q$1,MATCH(MAX(L312:Q312),L312:Q312,0)))</f>
        <v>No label</v>
      </c>
      <c r="S312" s="0" t="n">
        <f aca="false">SUMPRODUCT(ISNUMBER(SEARCH(" "&amp;Terms!$A$3:$A$821&amp;" ",$D312))*Terms!B$3:B$821)+Terms!B$2</f>
        <v>-1.93536034783684</v>
      </c>
      <c r="T312" s="0" t="n">
        <f aca="false">SUMPRODUCT(ISNUMBER(SEARCH(" "&amp;Terms!$A$3:$A$821&amp;" ",$D312))*Terms!C$3:C$821)+Terms!C$2</f>
        <v>-1.51089687633446</v>
      </c>
      <c r="U312" s="0" t="n">
        <f aca="false">SUMPRODUCT(ISNUMBER(SEARCH(" "&amp;Terms!$A$3:$A$821&amp;" ",$D312))*Terms!D$3:D$821)+Terms!D$2</f>
        <v>-2.36433828007062</v>
      </c>
      <c r="V312" s="0" t="n">
        <f aca="false">SUMPRODUCT(ISNUMBER(SEARCH(" "&amp;Terms!$A$3:$A$821&amp;" ",$D312))*Terms!E$3:E$821)+Terms!E$2</f>
        <v>10.8487578564017</v>
      </c>
      <c r="W312" s="0" t="n">
        <f aca="false">SUMPRODUCT(ISNUMBER(SEARCH(" "&amp;Terms!$A$3:$A$821&amp;" ",$D312))*Terms!F$3:F$821)+Terms!F$2</f>
        <v>-0.342822493108438</v>
      </c>
      <c r="X312" s="0" t="n">
        <f aca="false">SUMPRODUCT(ISNUMBER(SEARCH(" "&amp;Terms!$A$3:$A$821&amp;" ",$D312))*Terms!G$3:G$821)+Terms!G$2</f>
        <v>-4.69533985905129</v>
      </c>
      <c r="Y312" s="0" t="str">
        <f aca="false">INDEX($S$1:$X$1,MATCH(MAX(S312:X312),S312:X312,0))</f>
        <v>Fees &amp; Charges</v>
      </c>
      <c r="Z312" s="0" t="s">
        <v>2607</v>
      </c>
    </row>
    <row r="313" customFormat="false" ht="15" hidden="false" customHeight="false" outlineLevel="0" collapsed="false">
      <c r="A313" s="0" t="str">
        <f aca="false">Complaints!A313</f>
        <v>C0312</v>
      </c>
      <c r="B313" s="0" t="str">
        <f aca="false">Complaints!B313</f>
        <v>The webchat agent ended the conversation without solving anything. Please sort this out.</v>
      </c>
      <c r="C313" s="0" t="str">
        <f aca="false">Complaints!C313</f>
        <v>Customer Service</v>
      </c>
      <c r="D313" s="0" t="str">
        <f aca="false">" "&amp;TRIM(SUBSTITUTE(SUBSTITUTE(SUBSTITUTE(SUBSTITUTE(SUBSTITUTE(SUBSTITUTE(SUBSTITUTE(SUBSTITUTE(SUBSTITUTE(SUBSTITUTE(SUBSTITUTE(SUBSTITUTE(SUBSTITUTE(SUBSTITUTE(SUBSTITUTE(SUBSTITUTE(LOWER(B313),"."," "),","," "),"'"," "),"’"," "),"!"," "),"?"," "),";"," "),":"," "),"-"," "),"("," "),")"," "),"""", " "),"£"," "),"&amp;"," "),"/"," "),"%"," "))&amp;" "</f>
        <v> the webchat agent ended the conversation without solving anything please sort this out </v>
      </c>
      <c r="E313" s="0" t="n">
        <f aca="false">SUMPRODUCT((Rules!$A$2:$A$60=E$1)*Rules!$C$2:$C$60*ISNUMBER(SEARCH(Rules!$D$2:$D$60,$D313)))</f>
        <v>0</v>
      </c>
      <c r="F313" s="0" t="n">
        <f aca="false">SUMPRODUCT((Rules!$A$2:$A$60=F$1)*Rules!$C$2:$C$60*ISNUMBER(SEARCH(Rules!$D$2:$D$60,$D313)))</f>
        <v>0</v>
      </c>
      <c r="G313" s="0" t="n">
        <f aca="false">SUMPRODUCT((Rules!$A$2:$A$60=G$1)*Rules!$C$2:$C$60*ISNUMBER(SEARCH(Rules!$D$2:$D$60,$D313)))</f>
        <v>0</v>
      </c>
      <c r="H313" s="0" t="n">
        <f aca="false">SUMPRODUCT((Rules!$A$2:$A$60=H$1)*Rules!$C$2:$C$60*ISNUMBER(SEARCH(Rules!$D$2:$D$60,$D313)))</f>
        <v>0</v>
      </c>
      <c r="I313" s="0" t="n">
        <f aca="false">SUMPRODUCT((Rules!$A$2:$A$60=I$1)*Rules!$C$2:$C$60*ISNUMBER(SEARCH(Rules!$D$2:$D$60,$D313)))</f>
        <v>0</v>
      </c>
      <c r="J313" s="0" t="n">
        <f aca="false">SUMPRODUCT((Rules!$A$2:$A$60=J$1)*Rules!$C$2:$C$60*ISNUMBER(SEARCH(Rules!$D$2:$D$60,$D313)))</f>
        <v>2</v>
      </c>
      <c r="K313" s="0" t="str">
        <f aca="false">IF(OR(MAX(E313:J313)&lt;Rules!$H$1,MAX(E313:J313)-LARGE(E313:J313,2)&lt;Rules!$H$2),"No label",INDEX($E$1:$J$1,MATCH(MAX(E313:J313),E313:J313,0)))</f>
        <v>No label</v>
      </c>
      <c r="L313" s="0" t="n">
        <f aca="false">SUMPRODUCT((Rules!$A$2:$A$60=L$1)*Rules!$C$2:$C$60*ISNUMBER(SEARCH(Rules!$E$2:$E$60,$D313)))</f>
        <v>0</v>
      </c>
      <c r="M313" s="0" t="n">
        <f aca="false">SUMPRODUCT((Rules!$A$2:$A$60=M$1)*Rules!$C$2:$C$60*ISNUMBER(SEARCH(Rules!$E$2:$E$60,$D313)))</f>
        <v>0</v>
      </c>
      <c r="N313" s="0" t="n">
        <f aca="false">SUMPRODUCT((Rules!$A$2:$A$60=N$1)*Rules!$C$2:$C$60*ISNUMBER(SEARCH(Rules!$E$2:$E$60,$D313)))</f>
        <v>0</v>
      </c>
      <c r="O313" s="0" t="n">
        <f aca="false">SUMPRODUCT((Rules!$A$2:$A$60=O$1)*Rules!$C$2:$C$60*ISNUMBER(SEARCH(Rules!$E$2:$E$60,$D313)))</f>
        <v>0</v>
      </c>
      <c r="P313" s="0" t="n">
        <f aca="false">SUMPRODUCT((Rules!$A$2:$A$60=P$1)*Rules!$C$2:$C$60*ISNUMBER(SEARCH(Rules!$E$2:$E$60,$D313)))</f>
        <v>0</v>
      </c>
      <c r="Q313" s="0" t="n">
        <f aca="false">SUMPRODUCT((Rules!$A$2:$A$60=Q$1)*Rules!$C$2:$C$60*ISNUMBER(SEARCH(Rules!$E$2:$E$60,$D313)))</f>
        <v>2</v>
      </c>
      <c r="R313" s="0" t="str">
        <f aca="false">IF(OR(MAX(L313:Q313)&lt;Rules!$H$1,MAX(L313:Q313)-LARGE(L313:Q313,2)&lt;Rules!$H$2),"No label",INDEX($L$1:$Q$1,MATCH(MAX(L313:Q313),L313:Q313,0)))</f>
        <v>No label</v>
      </c>
      <c r="S313" s="0" t="n">
        <f aca="false">SUMPRODUCT(ISNUMBER(SEARCH(" "&amp;Terms!$A$3:$A$821&amp;" ",$D313))*Terms!B$3:B$821)+Terms!B$2</f>
        <v>-3.4045649596666</v>
      </c>
      <c r="T313" s="0" t="n">
        <f aca="false">SUMPRODUCT(ISNUMBER(SEARCH(" "&amp;Terms!$A$3:$A$821&amp;" ",$D313))*Terms!C$3:C$821)+Terms!C$2</f>
        <v>10.5720475713433</v>
      </c>
      <c r="U313" s="0" t="n">
        <f aca="false">SUMPRODUCT(ISNUMBER(SEARCH(" "&amp;Terms!$A$3:$A$821&amp;" ",$D313))*Terms!D$3:D$821)+Terms!D$2</f>
        <v>-2.15822562580485</v>
      </c>
      <c r="V313" s="0" t="n">
        <f aca="false">SUMPRODUCT(ISNUMBER(SEARCH(" "&amp;Terms!$A$3:$A$821&amp;" ",$D313))*Terms!E$3:E$821)+Terms!E$2</f>
        <v>-0.941890650173849</v>
      </c>
      <c r="W313" s="0" t="n">
        <f aca="false">SUMPRODUCT(ISNUMBER(SEARCH(" "&amp;Terms!$A$3:$A$821&amp;" ",$D313))*Terms!F$3:F$821)+Terms!F$2</f>
        <v>-1.90683364312869</v>
      </c>
      <c r="X313" s="0" t="n">
        <f aca="false">SUMPRODUCT(ISNUMBER(SEARCH(" "&amp;Terms!$A$3:$A$821&amp;" ",$D313))*Terms!G$3:G$821)+Terms!G$2</f>
        <v>-2.16053269256923</v>
      </c>
      <c r="Y313" s="0" t="str">
        <f aca="false">INDEX($S$1:$X$1,MATCH(MAX(S313:X313),S313:X313,0))</f>
        <v>Customer Service</v>
      </c>
      <c r="Z313" s="0" t="s">
        <v>2607</v>
      </c>
    </row>
    <row r="314" customFormat="false" ht="15" hidden="false" customHeight="false" outlineLevel="0" collapsed="false">
      <c r="A314" s="0" t="str">
        <f aca="false">Complaints!A314</f>
        <v>C0313</v>
      </c>
      <c r="B314" s="0" t="str">
        <f aca="false">Complaints!B314</f>
        <v>This is the second time I have raised this. Nobody explained the foreign transaction charges before my holiday. I would like a response in writing.</v>
      </c>
      <c r="C314" s="0" t="str">
        <f aca="false">Complaints!C314</f>
        <v>Fees &amp; Charges</v>
      </c>
      <c r="D314" s="0" t="str">
        <f aca="false">" "&amp;TRIM(SUBSTITUTE(SUBSTITUTE(SUBSTITUTE(SUBSTITUTE(SUBSTITUTE(SUBSTITUTE(SUBSTITUTE(SUBSTITUTE(SUBSTITUTE(SUBSTITUTE(SUBSTITUTE(SUBSTITUTE(SUBSTITUTE(SUBSTITUTE(SUBSTITUTE(SUBSTITUTE(LOWER(B314),"."," "),","," "),"'"," "),"’"," "),"!"," "),"?"," "),";"," "),":"," "),"-"," "),"("," "),")"," "),"""", " "),"£"," "),"&amp;"," "),"/"," "),"%"," "))&amp;" "</f>
        <v> this is the second time i have raised this nobody explained the foreign transaction charges before my holiday i would like a response in writing </v>
      </c>
      <c r="E314" s="0" t="n">
        <f aca="false">SUMPRODUCT((Rules!$A$2:$A$60=E$1)*Rules!$C$2:$C$60*ISNUMBER(SEARCH(Rules!$D$2:$D$60,$D314)))</f>
        <v>0</v>
      </c>
      <c r="F314" s="0" t="n">
        <f aca="false">SUMPRODUCT((Rules!$A$2:$A$60=F$1)*Rules!$C$2:$C$60*ISNUMBER(SEARCH(Rules!$D$2:$D$60,$D314)))</f>
        <v>0</v>
      </c>
      <c r="G314" s="0" t="n">
        <f aca="false">SUMPRODUCT((Rules!$A$2:$A$60=G$1)*Rules!$C$2:$C$60*ISNUMBER(SEARCH(Rules!$D$2:$D$60,$D314)))</f>
        <v>0</v>
      </c>
      <c r="H314" s="0" t="n">
        <f aca="false">SUMPRODUCT((Rules!$A$2:$A$60=H$1)*Rules!$C$2:$C$60*ISNUMBER(SEARCH(Rules!$D$2:$D$60,$D314)))</f>
        <v>0</v>
      </c>
      <c r="I314" s="0" t="n">
        <f aca="false">SUMPRODUCT((Rules!$A$2:$A$60=I$1)*Rules!$C$2:$C$60*ISNUMBER(SEARCH(Rules!$D$2:$D$60,$D314)))</f>
        <v>0</v>
      </c>
      <c r="J314" s="0" t="n">
        <f aca="false">SUMPRODUCT((Rules!$A$2:$A$60=J$1)*Rules!$C$2:$C$60*ISNUMBER(SEARCH(Rules!$D$2:$D$60,$D314)))</f>
        <v>0</v>
      </c>
      <c r="K314" s="0" t="str">
        <f aca="false">IF(OR(MAX(E314:J314)&lt;Rules!$H$1,MAX(E314:J314)-LARGE(E314:J314,2)&lt;Rules!$H$2),"No label",INDEX($E$1:$J$1,MATCH(MAX(E314:J314),E314:J314,0)))</f>
        <v>No label</v>
      </c>
      <c r="L314" s="0" t="n">
        <f aca="false">SUMPRODUCT((Rules!$A$2:$A$60=L$1)*Rules!$C$2:$C$60*ISNUMBER(SEARCH(Rules!$E$2:$E$60,$D314)))</f>
        <v>0</v>
      </c>
      <c r="M314" s="0" t="n">
        <f aca="false">SUMPRODUCT((Rules!$A$2:$A$60=M$1)*Rules!$C$2:$C$60*ISNUMBER(SEARCH(Rules!$E$2:$E$60,$D314)))</f>
        <v>0</v>
      </c>
      <c r="N314" s="0" t="n">
        <f aca="false">SUMPRODUCT((Rules!$A$2:$A$60=N$1)*Rules!$C$2:$C$60*ISNUMBER(SEARCH(Rules!$E$2:$E$60,$D314)))</f>
        <v>0</v>
      </c>
      <c r="O314" s="0" t="n">
        <f aca="false">SUMPRODUCT((Rules!$A$2:$A$60=O$1)*Rules!$C$2:$C$60*ISNUMBER(SEARCH(Rules!$E$2:$E$60,$D314)))</f>
        <v>4</v>
      </c>
      <c r="P314" s="0" t="n">
        <f aca="false">SUMPRODUCT((Rules!$A$2:$A$60=P$1)*Rules!$C$2:$C$60*ISNUMBER(SEARCH(Rules!$E$2:$E$60,$D314)))</f>
        <v>0</v>
      </c>
      <c r="Q314" s="0" t="n">
        <f aca="false">SUMPRODUCT((Rules!$A$2:$A$60=Q$1)*Rules!$C$2:$C$60*ISNUMBER(SEARCH(Rules!$E$2:$E$60,$D314)))</f>
        <v>0</v>
      </c>
      <c r="R314" s="0" t="str">
        <f aca="false">IF(OR(MAX(L314:Q314)&lt;Rules!$H$1,MAX(L314:Q314)-LARGE(L314:Q314,2)&lt;Rules!$H$2),"No label",INDEX($L$1:$Q$1,MATCH(MAX(L314:Q314),L314:Q314,0)))</f>
        <v>Fees &amp; Charges</v>
      </c>
      <c r="S314" s="0" t="n">
        <f aca="false">SUMPRODUCT(ISNUMBER(SEARCH(" "&amp;Terms!$A$3:$A$821&amp;" ",$D314))*Terms!B$3:B$821)+Terms!B$2</f>
        <v>-2.8457927135775</v>
      </c>
      <c r="T314" s="0" t="n">
        <f aca="false">SUMPRODUCT(ISNUMBER(SEARCH(" "&amp;Terms!$A$3:$A$821&amp;" ",$D314))*Terms!C$3:C$821)+Terms!C$2</f>
        <v>0.393752228391791</v>
      </c>
      <c r="U314" s="0" t="n">
        <f aca="false">SUMPRODUCT(ISNUMBER(SEARCH(" "&amp;Terms!$A$3:$A$821&amp;" ",$D314))*Terms!D$3:D$821)+Terms!D$2</f>
        <v>-3.47119710682555</v>
      </c>
      <c r="V314" s="0" t="n">
        <f aca="false">SUMPRODUCT(ISNUMBER(SEARCH(" "&amp;Terms!$A$3:$A$821&amp;" ",$D314))*Terms!E$3:E$821)+Terms!E$2</f>
        <v>11.2491411016561</v>
      </c>
      <c r="W314" s="0" t="n">
        <f aca="false">SUMPRODUCT(ISNUMBER(SEARCH(" "&amp;Terms!$A$3:$A$821&amp;" ",$D314))*Terms!F$3:F$821)+Terms!F$2</f>
        <v>-3.66922657252872</v>
      </c>
      <c r="X314" s="0" t="n">
        <f aca="false">SUMPRODUCT(ISNUMBER(SEARCH(" "&amp;Terms!$A$3:$A$821&amp;" ",$D314))*Terms!G$3:G$821)+Terms!G$2</f>
        <v>-1.65667693711599</v>
      </c>
      <c r="Y314" s="0" t="str">
        <f aca="false">INDEX($S$1:$X$1,MATCH(MAX(S314:X314),S314:X314,0))</f>
        <v>Fees &amp; Charges</v>
      </c>
      <c r="Z314" s="0" t="s">
        <v>2607</v>
      </c>
    </row>
    <row r="315" customFormat="false" ht="15" hidden="false" customHeight="false" outlineLevel="0" collapsed="false">
      <c r="A315" s="0" t="str">
        <f aca="false">Complaints!A315</f>
        <v>C0314</v>
      </c>
      <c r="B315" s="0" t="str">
        <f aca="false">Complaints!B315</f>
        <v>To whom it may concern, You took an overdraft fee even though I was within my limit. I expect compensation.</v>
      </c>
      <c r="C315" s="0" t="str">
        <f aca="false">Complaints!C315</f>
        <v>Fees &amp; Charges</v>
      </c>
      <c r="D315" s="0" t="str">
        <f aca="false">" "&amp;TRIM(SUBSTITUTE(SUBSTITUTE(SUBSTITUTE(SUBSTITUTE(SUBSTITUTE(SUBSTITUTE(SUBSTITUTE(SUBSTITUTE(SUBSTITUTE(SUBSTITUTE(SUBSTITUTE(SUBSTITUTE(SUBSTITUTE(SUBSTITUTE(SUBSTITUTE(SUBSTITUTE(LOWER(B315),"."," "),","," "),"'"," "),"’"," "),"!"," "),"?"," "),";"," "),":"," "),"-"," "),"("," "),")"," "),"""", " "),"£"," "),"&amp;"," "),"/"," "),"%"," "))&amp;" "</f>
        <v> to whom it may concern you took an overdraft fee even though i was within my limit i expect compensation </v>
      </c>
      <c r="E315" s="0" t="n">
        <f aca="false">SUMPRODUCT((Rules!$A$2:$A$60=E$1)*Rules!$C$2:$C$60*ISNUMBER(SEARCH(Rules!$D$2:$D$60,$D315)))</f>
        <v>0</v>
      </c>
      <c r="F315" s="0" t="n">
        <f aca="false">SUMPRODUCT((Rules!$A$2:$A$60=F$1)*Rules!$C$2:$C$60*ISNUMBER(SEARCH(Rules!$D$2:$D$60,$D315)))</f>
        <v>0</v>
      </c>
      <c r="G315" s="0" t="n">
        <f aca="false">SUMPRODUCT((Rules!$A$2:$A$60=G$1)*Rules!$C$2:$C$60*ISNUMBER(SEARCH(Rules!$D$2:$D$60,$D315)))</f>
        <v>0</v>
      </c>
      <c r="H315" s="0" t="n">
        <f aca="false">SUMPRODUCT((Rules!$A$2:$A$60=H$1)*Rules!$C$2:$C$60*ISNUMBER(SEARCH(Rules!$D$2:$D$60,$D315)))</f>
        <v>2</v>
      </c>
      <c r="I315" s="0" t="n">
        <f aca="false">SUMPRODUCT((Rules!$A$2:$A$60=I$1)*Rules!$C$2:$C$60*ISNUMBER(SEARCH(Rules!$D$2:$D$60,$D315)))</f>
        <v>0</v>
      </c>
      <c r="J315" s="0" t="n">
        <f aca="false">SUMPRODUCT((Rules!$A$2:$A$60=J$1)*Rules!$C$2:$C$60*ISNUMBER(SEARCH(Rules!$D$2:$D$60,$D315)))</f>
        <v>0</v>
      </c>
      <c r="K315" s="0" t="str">
        <f aca="false">IF(OR(MAX(E315:J315)&lt;Rules!$H$1,MAX(E315:J315)-LARGE(E315:J315,2)&lt;Rules!$H$2),"No label",INDEX($E$1:$J$1,MATCH(MAX(E315:J315),E315:J315,0)))</f>
        <v>No label</v>
      </c>
      <c r="L315" s="0" t="n">
        <f aca="false">SUMPRODUCT((Rules!$A$2:$A$60=L$1)*Rules!$C$2:$C$60*ISNUMBER(SEARCH(Rules!$E$2:$E$60,$D315)))</f>
        <v>0</v>
      </c>
      <c r="M315" s="0" t="n">
        <f aca="false">SUMPRODUCT((Rules!$A$2:$A$60=M$1)*Rules!$C$2:$C$60*ISNUMBER(SEARCH(Rules!$E$2:$E$60,$D315)))</f>
        <v>0</v>
      </c>
      <c r="N315" s="0" t="n">
        <f aca="false">SUMPRODUCT((Rules!$A$2:$A$60=N$1)*Rules!$C$2:$C$60*ISNUMBER(SEARCH(Rules!$E$2:$E$60,$D315)))</f>
        <v>0</v>
      </c>
      <c r="O315" s="0" t="n">
        <f aca="false">SUMPRODUCT((Rules!$A$2:$A$60=O$1)*Rules!$C$2:$C$60*ISNUMBER(SEARCH(Rules!$E$2:$E$60,$D315)))</f>
        <v>2</v>
      </c>
      <c r="P315" s="0" t="n">
        <f aca="false">SUMPRODUCT((Rules!$A$2:$A$60=P$1)*Rules!$C$2:$C$60*ISNUMBER(SEARCH(Rules!$E$2:$E$60,$D315)))</f>
        <v>0</v>
      </c>
      <c r="Q315" s="0" t="n">
        <f aca="false">SUMPRODUCT((Rules!$A$2:$A$60=Q$1)*Rules!$C$2:$C$60*ISNUMBER(SEARCH(Rules!$E$2:$E$60,$D315)))</f>
        <v>0</v>
      </c>
      <c r="R315" s="0" t="str">
        <f aca="false">IF(OR(MAX(L315:Q315)&lt;Rules!$H$1,MAX(L315:Q315)-LARGE(L315:Q315,2)&lt;Rules!$H$2),"No label",INDEX($L$1:$Q$1,MATCH(MAX(L315:Q315),L315:Q315,0)))</f>
        <v>No label</v>
      </c>
      <c r="S315" s="0" t="n">
        <f aca="false">SUMPRODUCT(ISNUMBER(SEARCH(" "&amp;Terms!$A$3:$A$821&amp;" ",$D315))*Terms!B$3:B$821)+Terms!B$2</f>
        <v>-0.167465636856155</v>
      </c>
      <c r="T315" s="0" t="n">
        <f aca="false">SUMPRODUCT(ISNUMBER(SEARCH(" "&amp;Terms!$A$3:$A$821&amp;" ",$D315))*Terms!C$3:C$821)+Terms!C$2</f>
        <v>-1.44071317406262</v>
      </c>
      <c r="U315" s="0" t="n">
        <f aca="false">SUMPRODUCT(ISNUMBER(SEARCH(" "&amp;Terms!$A$3:$A$821&amp;" ",$D315))*Terms!D$3:D$821)+Terms!D$2</f>
        <v>-4.83909492359566</v>
      </c>
      <c r="V315" s="0" t="n">
        <f aca="false">SUMPRODUCT(ISNUMBER(SEARCH(" "&amp;Terms!$A$3:$A$821&amp;" ",$D315))*Terms!E$3:E$821)+Terms!E$2</f>
        <v>11.1239587771316</v>
      </c>
      <c r="W315" s="0" t="n">
        <f aca="false">SUMPRODUCT(ISNUMBER(SEARCH(" "&amp;Terms!$A$3:$A$821&amp;" ",$D315))*Terms!F$3:F$821)+Terms!F$2</f>
        <v>-0.734403918031444</v>
      </c>
      <c r="X315" s="0" t="n">
        <f aca="false">SUMPRODUCT(ISNUMBER(SEARCH(" "&amp;Terms!$A$3:$A$821&amp;" ",$D315))*Terms!G$3:G$821)+Terms!G$2</f>
        <v>-3.94228112458565</v>
      </c>
      <c r="Y315" s="0" t="str">
        <f aca="false">INDEX($S$1:$X$1,MATCH(MAX(S315:X315),S315:X315,0))</f>
        <v>Fees &amp; Charges</v>
      </c>
      <c r="Z315" s="0" t="s">
        <v>2607</v>
      </c>
    </row>
    <row r="316" customFormat="false" ht="15" hidden="false" customHeight="false" outlineLevel="0" collapsed="false">
      <c r="A316" s="0" t="str">
        <f aca="false">Complaints!A316</f>
        <v>C0315</v>
      </c>
      <c r="B316" s="0" t="str">
        <f aca="false">Complaints!B316</f>
        <v>This is the second time I have raised this. The fraud team closed my case without investigating properly. This is not acceptable.</v>
      </c>
      <c r="C316" s="0" t="str">
        <f aca="false">Complaints!C316</f>
        <v>Fraud &amp; Scams</v>
      </c>
      <c r="D316" s="0" t="str">
        <f aca="false">" "&amp;TRIM(SUBSTITUTE(SUBSTITUTE(SUBSTITUTE(SUBSTITUTE(SUBSTITUTE(SUBSTITUTE(SUBSTITUTE(SUBSTITUTE(SUBSTITUTE(SUBSTITUTE(SUBSTITUTE(SUBSTITUTE(SUBSTITUTE(SUBSTITUTE(SUBSTITUTE(SUBSTITUTE(LOWER(B316),"."," "),","," "),"'"," "),"’"," "),"!"," "),"?"," "),";"," "),":"," "),"-"," "),"("," "),")"," "),"""", " "),"£"," "),"&amp;"," "),"/"," "),"%"," "))&amp;" "</f>
        <v> this is the second time i have raised this the fraud team closed my case without investigating properly this is not acceptable </v>
      </c>
      <c r="E316" s="0" t="n">
        <f aca="false">SUMPRODUCT((Rules!$A$2:$A$60=E$1)*Rules!$C$2:$C$60*ISNUMBER(SEARCH(Rules!$D$2:$D$60,$D316)))</f>
        <v>3</v>
      </c>
      <c r="F316" s="0" t="n">
        <f aca="false">SUMPRODUCT((Rules!$A$2:$A$60=F$1)*Rules!$C$2:$C$60*ISNUMBER(SEARCH(Rules!$D$2:$D$60,$D316)))</f>
        <v>0</v>
      </c>
      <c r="G316" s="0" t="n">
        <f aca="false">SUMPRODUCT((Rules!$A$2:$A$60=G$1)*Rules!$C$2:$C$60*ISNUMBER(SEARCH(Rules!$D$2:$D$60,$D316)))</f>
        <v>0</v>
      </c>
      <c r="H316" s="0" t="n">
        <f aca="false">SUMPRODUCT((Rules!$A$2:$A$60=H$1)*Rules!$C$2:$C$60*ISNUMBER(SEARCH(Rules!$D$2:$D$60,$D316)))</f>
        <v>0</v>
      </c>
      <c r="I316" s="0" t="n">
        <f aca="false">SUMPRODUCT((Rules!$A$2:$A$60=I$1)*Rules!$C$2:$C$60*ISNUMBER(SEARCH(Rules!$D$2:$D$60,$D316)))</f>
        <v>0</v>
      </c>
      <c r="J316" s="0" t="n">
        <f aca="false">SUMPRODUCT((Rules!$A$2:$A$60=J$1)*Rules!$C$2:$C$60*ISNUMBER(SEARCH(Rules!$D$2:$D$60,$D316)))</f>
        <v>0</v>
      </c>
      <c r="K316" s="0" t="str">
        <f aca="false">IF(OR(MAX(E316:J316)&lt;Rules!$H$1,MAX(E316:J316)-LARGE(E316:J316,2)&lt;Rules!$H$2),"No label",INDEX($E$1:$J$1,MATCH(MAX(E316:J316),E316:J316,0)))</f>
        <v>Fraud &amp; Scams</v>
      </c>
      <c r="L316" s="0" t="n">
        <f aca="false">SUMPRODUCT((Rules!$A$2:$A$60=L$1)*Rules!$C$2:$C$60*ISNUMBER(SEARCH(Rules!$E$2:$E$60,$D316)))</f>
        <v>3</v>
      </c>
      <c r="M316" s="0" t="n">
        <f aca="false">SUMPRODUCT((Rules!$A$2:$A$60=M$1)*Rules!$C$2:$C$60*ISNUMBER(SEARCH(Rules!$E$2:$E$60,$D316)))</f>
        <v>0</v>
      </c>
      <c r="N316" s="0" t="n">
        <f aca="false">SUMPRODUCT((Rules!$A$2:$A$60=N$1)*Rules!$C$2:$C$60*ISNUMBER(SEARCH(Rules!$E$2:$E$60,$D316)))</f>
        <v>1</v>
      </c>
      <c r="O316" s="0" t="n">
        <f aca="false">SUMPRODUCT((Rules!$A$2:$A$60=O$1)*Rules!$C$2:$C$60*ISNUMBER(SEARCH(Rules!$E$2:$E$60,$D316)))</f>
        <v>0</v>
      </c>
      <c r="P316" s="0" t="n">
        <f aca="false">SUMPRODUCT((Rules!$A$2:$A$60=P$1)*Rules!$C$2:$C$60*ISNUMBER(SEARCH(Rules!$E$2:$E$60,$D316)))</f>
        <v>0</v>
      </c>
      <c r="Q316" s="0" t="n">
        <f aca="false">SUMPRODUCT((Rules!$A$2:$A$60=Q$1)*Rules!$C$2:$C$60*ISNUMBER(SEARCH(Rules!$E$2:$E$60,$D316)))</f>
        <v>0</v>
      </c>
      <c r="R316" s="0" t="str">
        <f aca="false">IF(OR(MAX(L316:Q316)&lt;Rules!$H$1,MAX(L316:Q316)-LARGE(L316:Q316,2)&lt;Rules!$H$2),"No label",INDEX($L$1:$Q$1,MATCH(MAX(L316:Q316),L316:Q316,0)))</f>
        <v>Fraud &amp; Scams</v>
      </c>
      <c r="S316" s="0" t="n">
        <f aca="false">SUMPRODUCT(ISNUMBER(SEARCH(" "&amp;Terms!$A$3:$A$821&amp;" ",$D316))*Terms!B$3:B$821)+Terms!B$2</f>
        <v>-4.40929052079542</v>
      </c>
      <c r="T316" s="0" t="n">
        <f aca="false">SUMPRODUCT(ISNUMBER(SEARCH(" "&amp;Terms!$A$3:$A$821&amp;" ",$D316))*Terms!C$3:C$821)+Terms!C$2</f>
        <v>0.52404519889215</v>
      </c>
      <c r="U316" s="0" t="n">
        <f aca="false">SUMPRODUCT(ISNUMBER(SEARCH(" "&amp;Terms!$A$3:$A$821&amp;" ",$D316))*Terms!D$3:D$821)+Terms!D$2</f>
        <v>-2.50150734078306</v>
      </c>
      <c r="V316" s="0" t="n">
        <f aca="false">SUMPRODUCT(ISNUMBER(SEARCH(" "&amp;Terms!$A$3:$A$821&amp;" ",$D316))*Terms!E$3:E$821)+Terms!E$2</f>
        <v>-3.49501480960538</v>
      </c>
      <c r="W316" s="0" t="n">
        <f aca="false">SUMPRODUCT(ISNUMBER(SEARCH(" "&amp;Terms!$A$3:$A$821&amp;" ",$D316))*Terms!F$3:F$821)+Terms!F$2</f>
        <v>12.2911078603046</v>
      </c>
      <c r="X316" s="0" t="n">
        <f aca="false">SUMPRODUCT(ISNUMBER(SEARCH(" "&amp;Terms!$A$3:$A$821&amp;" ",$D316))*Terms!G$3:G$821)+Terms!G$2</f>
        <v>-2.40934038801282</v>
      </c>
      <c r="Y316" s="0" t="str">
        <f aca="false">INDEX($S$1:$X$1,MATCH(MAX(S316:X316),S316:X316,0))</f>
        <v>Fraud &amp; Scams</v>
      </c>
      <c r="Z316" s="0" t="s">
        <v>2607</v>
      </c>
    </row>
    <row r="317" customFormat="false" ht="15" hidden="false" customHeight="false" outlineLevel="0" collapsed="false">
      <c r="A317" s="0" t="str">
        <f aca="false">Complaints!A317</f>
        <v>C0316</v>
      </c>
      <c r="B317" s="0" t="str">
        <f aca="false">Complaints!B317</f>
        <v>I am writing to complain. I was advised to take out cover that duplicates what I already had.</v>
      </c>
      <c r="C317" s="0" t="str">
        <f aca="false">Complaints!C317</f>
        <v>Mis-selling</v>
      </c>
      <c r="D317" s="0" t="str">
        <f aca="false">" "&amp;TRIM(SUBSTITUTE(SUBSTITUTE(SUBSTITUTE(SUBSTITUTE(SUBSTITUTE(SUBSTITUTE(SUBSTITUTE(SUBSTITUTE(SUBSTITUTE(SUBSTITUTE(SUBSTITUTE(SUBSTITUTE(SUBSTITUTE(SUBSTITUTE(SUBSTITUTE(SUBSTITUTE(LOWER(B317),"."," "),","," "),"'"," "),"’"," "),"!"," "),"?"," "),";"," "),":"," "),"-"," "),"("," "),")"," "),"""", " "),"£"," "),"&amp;"," "),"/"," "),"%"," "))&amp;" "</f>
        <v> i am writing to complain i was advised to take out cover that duplicates what i already had </v>
      </c>
      <c r="E317" s="0" t="n">
        <f aca="false">SUMPRODUCT((Rules!$A$2:$A$60=E$1)*Rules!$C$2:$C$60*ISNUMBER(SEARCH(Rules!$D$2:$D$60,$D317)))</f>
        <v>0</v>
      </c>
      <c r="F317" s="0" t="n">
        <f aca="false">SUMPRODUCT((Rules!$A$2:$A$60=F$1)*Rules!$C$2:$C$60*ISNUMBER(SEARCH(Rules!$D$2:$D$60,$D317)))</f>
        <v>0</v>
      </c>
      <c r="G317" s="0" t="n">
        <f aca="false">SUMPRODUCT((Rules!$A$2:$A$60=G$1)*Rules!$C$2:$C$60*ISNUMBER(SEARCH(Rules!$D$2:$D$60,$D317)))</f>
        <v>0</v>
      </c>
      <c r="H317" s="0" t="n">
        <f aca="false">SUMPRODUCT((Rules!$A$2:$A$60=H$1)*Rules!$C$2:$C$60*ISNUMBER(SEARCH(Rules!$D$2:$D$60,$D317)))</f>
        <v>0</v>
      </c>
      <c r="I317" s="0" t="n">
        <f aca="false">SUMPRODUCT((Rules!$A$2:$A$60=I$1)*Rules!$C$2:$C$60*ISNUMBER(SEARCH(Rules!$D$2:$D$60,$D317)))</f>
        <v>0</v>
      </c>
      <c r="J317" s="0" t="n">
        <f aca="false">SUMPRODUCT((Rules!$A$2:$A$60=J$1)*Rules!$C$2:$C$60*ISNUMBER(SEARCH(Rules!$D$2:$D$60,$D317)))</f>
        <v>0</v>
      </c>
      <c r="K317" s="0" t="str">
        <f aca="false">IF(OR(MAX(E317:J317)&lt;Rules!$H$1,MAX(E317:J317)-LARGE(E317:J317,2)&lt;Rules!$H$2),"No label",INDEX($E$1:$J$1,MATCH(MAX(E317:J317),E317:J317,0)))</f>
        <v>No label</v>
      </c>
      <c r="L317" s="0" t="n">
        <f aca="false">SUMPRODUCT((Rules!$A$2:$A$60=L$1)*Rules!$C$2:$C$60*ISNUMBER(SEARCH(Rules!$E$2:$E$60,$D317)))</f>
        <v>0</v>
      </c>
      <c r="M317" s="0" t="n">
        <f aca="false">SUMPRODUCT((Rules!$A$2:$A$60=M$1)*Rules!$C$2:$C$60*ISNUMBER(SEARCH(Rules!$E$2:$E$60,$D317)))</f>
        <v>4</v>
      </c>
      <c r="N317" s="0" t="n">
        <f aca="false">SUMPRODUCT((Rules!$A$2:$A$60=N$1)*Rules!$C$2:$C$60*ISNUMBER(SEARCH(Rules!$E$2:$E$60,$D317)))</f>
        <v>0</v>
      </c>
      <c r="O317" s="0" t="n">
        <f aca="false">SUMPRODUCT((Rules!$A$2:$A$60=O$1)*Rules!$C$2:$C$60*ISNUMBER(SEARCH(Rules!$E$2:$E$60,$D317)))</f>
        <v>0</v>
      </c>
      <c r="P317" s="0" t="n">
        <f aca="false">SUMPRODUCT((Rules!$A$2:$A$60=P$1)*Rules!$C$2:$C$60*ISNUMBER(SEARCH(Rules!$E$2:$E$60,$D317)))</f>
        <v>0</v>
      </c>
      <c r="Q317" s="0" t="n">
        <f aca="false">SUMPRODUCT((Rules!$A$2:$A$60=Q$1)*Rules!$C$2:$C$60*ISNUMBER(SEARCH(Rules!$E$2:$E$60,$D317)))</f>
        <v>1</v>
      </c>
      <c r="R317" s="0" t="str">
        <f aca="false">IF(OR(MAX(L317:Q317)&lt;Rules!$H$1,MAX(L317:Q317)-LARGE(L317:Q317,2)&lt;Rules!$H$2),"No label",INDEX($L$1:$Q$1,MATCH(MAX(L317:Q317),L317:Q317,0)))</f>
        <v>Mis-selling</v>
      </c>
      <c r="S317" s="0" t="n">
        <f aca="false">SUMPRODUCT(ISNUMBER(SEARCH(" "&amp;Terms!$A$3:$A$821&amp;" ",$D317))*Terms!B$3:B$821)+Terms!B$2</f>
        <v>-1.07311631827179</v>
      </c>
      <c r="T317" s="0" t="n">
        <f aca="false">SUMPRODUCT(ISNUMBER(SEARCH(" "&amp;Terms!$A$3:$A$821&amp;" ",$D317))*Terms!C$3:C$821)+Terms!C$2</f>
        <v>0.0832577236835703</v>
      </c>
      <c r="U317" s="0" t="n">
        <f aca="false">SUMPRODUCT(ISNUMBER(SEARCH(" "&amp;Terms!$A$3:$A$821&amp;" ",$D317))*Terms!D$3:D$821)+Terms!D$2</f>
        <v>0.019127980930545</v>
      </c>
      <c r="V317" s="0" t="n">
        <f aca="false">SUMPRODUCT(ISNUMBER(SEARCH(" "&amp;Terms!$A$3:$A$821&amp;" ",$D317))*Terms!E$3:E$821)+Terms!E$2</f>
        <v>-2.52968345260798</v>
      </c>
      <c r="W317" s="0" t="n">
        <f aca="false">SUMPRODUCT(ISNUMBER(SEARCH(" "&amp;Terms!$A$3:$A$821&amp;" ",$D317))*Terms!F$3:F$821)+Terms!F$2</f>
        <v>-2.01838395970127</v>
      </c>
      <c r="X317" s="0" t="n">
        <f aca="false">SUMPRODUCT(ISNUMBER(SEARCH(" "&amp;Terms!$A$3:$A$821&amp;" ",$D317))*Terms!G$3:G$821)+Terms!G$2</f>
        <v>5.518798025967</v>
      </c>
      <c r="Y317" s="0" t="str">
        <f aca="false">INDEX($S$1:$X$1,MATCH(MAX(S317:X317),S317:X317,0))</f>
        <v>Mis-selling</v>
      </c>
      <c r="Z317" s="0" t="s">
        <v>2608</v>
      </c>
    </row>
    <row r="318" customFormat="false" ht="15" hidden="false" customHeight="false" outlineLevel="0" collapsed="false">
      <c r="A318" s="0" t="str">
        <f aca="false">Complaints!A318</f>
        <v>C0317</v>
      </c>
      <c r="B318" s="0" t="str">
        <f aca="false">Complaints!B318</f>
        <v>The complaints handler was unhelpful and talked over me. I expect compensation.</v>
      </c>
      <c r="C318" s="0" t="str">
        <f aca="false">Complaints!C318</f>
        <v>Customer Service</v>
      </c>
      <c r="D318" s="0" t="str">
        <f aca="false">" "&amp;TRIM(SUBSTITUTE(SUBSTITUTE(SUBSTITUTE(SUBSTITUTE(SUBSTITUTE(SUBSTITUTE(SUBSTITUTE(SUBSTITUTE(SUBSTITUTE(SUBSTITUTE(SUBSTITUTE(SUBSTITUTE(SUBSTITUTE(SUBSTITUTE(SUBSTITUTE(SUBSTITUTE(LOWER(B318),"."," "),","," "),"'"," "),"’"," "),"!"," "),"?"," "),";"," "),":"," "),"-"," "),"("," "),")"," "),"""", " "),"£"," "),"&amp;"," "),"/"," "),"%"," "))&amp;" "</f>
        <v> the complaints handler was unhelpful and talked over me i expect compensation </v>
      </c>
      <c r="E318" s="0" t="n">
        <f aca="false">SUMPRODUCT((Rules!$A$2:$A$60=E$1)*Rules!$C$2:$C$60*ISNUMBER(SEARCH(Rules!$D$2:$D$60,$D318)))</f>
        <v>0</v>
      </c>
      <c r="F318" s="0" t="n">
        <f aca="false">SUMPRODUCT((Rules!$A$2:$A$60=F$1)*Rules!$C$2:$C$60*ISNUMBER(SEARCH(Rules!$D$2:$D$60,$D318)))</f>
        <v>0</v>
      </c>
      <c r="G318" s="0" t="n">
        <f aca="false">SUMPRODUCT((Rules!$A$2:$A$60=G$1)*Rules!$C$2:$C$60*ISNUMBER(SEARCH(Rules!$D$2:$D$60,$D318)))</f>
        <v>0</v>
      </c>
      <c r="H318" s="0" t="n">
        <f aca="false">SUMPRODUCT((Rules!$A$2:$A$60=H$1)*Rules!$C$2:$C$60*ISNUMBER(SEARCH(Rules!$D$2:$D$60,$D318)))</f>
        <v>0</v>
      </c>
      <c r="I318" s="0" t="n">
        <f aca="false">SUMPRODUCT((Rules!$A$2:$A$60=I$1)*Rules!$C$2:$C$60*ISNUMBER(SEARCH(Rules!$D$2:$D$60,$D318)))</f>
        <v>0</v>
      </c>
      <c r="J318" s="0" t="n">
        <f aca="false">SUMPRODUCT((Rules!$A$2:$A$60=J$1)*Rules!$C$2:$C$60*ISNUMBER(SEARCH(Rules!$D$2:$D$60,$D318)))</f>
        <v>2</v>
      </c>
      <c r="K318" s="0" t="str">
        <f aca="false">IF(OR(MAX(E318:J318)&lt;Rules!$H$1,MAX(E318:J318)-LARGE(E318:J318,2)&lt;Rules!$H$2),"No label",INDEX($E$1:$J$1,MATCH(MAX(E318:J318),E318:J318,0)))</f>
        <v>No label</v>
      </c>
      <c r="L318" s="0" t="n">
        <f aca="false">SUMPRODUCT((Rules!$A$2:$A$60=L$1)*Rules!$C$2:$C$60*ISNUMBER(SEARCH(Rules!$E$2:$E$60,$D318)))</f>
        <v>0</v>
      </c>
      <c r="M318" s="0" t="n">
        <f aca="false">SUMPRODUCT((Rules!$A$2:$A$60=M$1)*Rules!$C$2:$C$60*ISNUMBER(SEARCH(Rules!$E$2:$E$60,$D318)))</f>
        <v>0</v>
      </c>
      <c r="N318" s="0" t="n">
        <f aca="false">SUMPRODUCT((Rules!$A$2:$A$60=N$1)*Rules!$C$2:$C$60*ISNUMBER(SEARCH(Rules!$E$2:$E$60,$D318)))</f>
        <v>0</v>
      </c>
      <c r="O318" s="0" t="n">
        <f aca="false">SUMPRODUCT((Rules!$A$2:$A$60=O$1)*Rules!$C$2:$C$60*ISNUMBER(SEARCH(Rules!$E$2:$E$60,$D318)))</f>
        <v>0</v>
      </c>
      <c r="P318" s="0" t="n">
        <f aca="false">SUMPRODUCT((Rules!$A$2:$A$60=P$1)*Rules!$C$2:$C$60*ISNUMBER(SEARCH(Rules!$E$2:$E$60,$D318)))</f>
        <v>0</v>
      </c>
      <c r="Q318" s="0" t="n">
        <f aca="false">SUMPRODUCT((Rules!$A$2:$A$60=Q$1)*Rules!$C$2:$C$60*ISNUMBER(SEARCH(Rules!$E$2:$E$60,$D318)))</f>
        <v>2</v>
      </c>
      <c r="R318" s="0" t="str">
        <f aca="false">IF(OR(MAX(L318:Q318)&lt;Rules!$H$1,MAX(L318:Q318)-LARGE(L318:Q318,2)&lt;Rules!$H$2),"No label",INDEX($L$1:$Q$1,MATCH(MAX(L318:Q318),L318:Q318,0)))</f>
        <v>No label</v>
      </c>
      <c r="S318" s="0" t="n">
        <f aca="false">SUMPRODUCT(ISNUMBER(SEARCH(" "&amp;Terms!$A$3:$A$821&amp;" ",$D318))*Terms!B$3:B$821)+Terms!B$2</f>
        <v>1.4225792464928</v>
      </c>
      <c r="T318" s="0" t="n">
        <f aca="false">SUMPRODUCT(ISNUMBER(SEARCH(" "&amp;Terms!$A$3:$A$821&amp;" ",$D318))*Terms!C$3:C$821)+Terms!C$2</f>
        <v>7.39691174127649</v>
      </c>
      <c r="U318" s="0" t="n">
        <f aca="false">SUMPRODUCT(ISNUMBER(SEARCH(" "&amp;Terms!$A$3:$A$821&amp;" ",$D318))*Terms!D$3:D$821)+Terms!D$2</f>
        <v>-4.38125485030309</v>
      </c>
      <c r="V318" s="0" t="n">
        <f aca="false">SUMPRODUCT(ISNUMBER(SEARCH(" "&amp;Terms!$A$3:$A$821&amp;" ",$D318))*Terms!E$3:E$821)+Terms!E$2</f>
        <v>-1.59603727469125</v>
      </c>
      <c r="W318" s="0" t="n">
        <f aca="false">SUMPRODUCT(ISNUMBER(SEARCH(" "&amp;Terms!$A$3:$A$821&amp;" ",$D318))*Terms!F$3:F$821)+Terms!F$2</f>
        <v>-1.00244436915642</v>
      </c>
      <c r="X318" s="0" t="n">
        <f aca="false">SUMPRODUCT(ISNUMBER(SEARCH(" "&amp;Terms!$A$3:$A$821&amp;" ",$D318))*Terms!G$3:G$821)+Terms!G$2</f>
        <v>-1.83975449361843</v>
      </c>
      <c r="Y318" s="0" t="str">
        <f aca="false">INDEX($S$1:$X$1,MATCH(MAX(S318:X318),S318:X318,0))</f>
        <v>Customer Service</v>
      </c>
      <c r="Z318" s="0" t="s">
        <v>2607</v>
      </c>
    </row>
    <row r="319" customFormat="false" ht="15" hidden="false" customHeight="false" outlineLevel="0" collapsed="false">
      <c r="A319" s="0" t="str">
        <f aca="false">Complaints!A319</f>
        <v>C0318</v>
      </c>
      <c r="B319" s="0" t="str">
        <f aca="false">Complaints!B319</f>
        <v>My application has been stuck for weeks with no progress. I also spent ages on hold when I called about it. Please sort this out.</v>
      </c>
      <c r="C319" s="0" t="str">
        <f aca="false">Complaints!C319</f>
        <v>Delays &amp; Processing</v>
      </c>
      <c r="D319" s="0" t="str">
        <f aca="false">" "&amp;TRIM(SUBSTITUTE(SUBSTITUTE(SUBSTITUTE(SUBSTITUTE(SUBSTITUTE(SUBSTITUTE(SUBSTITUTE(SUBSTITUTE(SUBSTITUTE(SUBSTITUTE(SUBSTITUTE(SUBSTITUTE(SUBSTITUTE(SUBSTITUTE(SUBSTITUTE(SUBSTITUTE(LOWER(B319),"."," "),","," "),"'"," "),"’"," "),"!"," "),"?"," "),";"," "),":"," "),"-"," "),"("," "),")"," "),"""", " "),"£"," "),"&amp;"," "),"/"," "),"%"," "))&amp;" "</f>
        <v> my application has been stuck for weeks with no progress i also spent ages on hold when i called about it please sort this out </v>
      </c>
      <c r="E319" s="0" t="n">
        <f aca="false">SUMPRODUCT((Rules!$A$2:$A$60=E$1)*Rules!$C$2:$C$60*ISNUMBER(SEARCH(Rules!$D$2:$D$60,$D319)))</f>
        <v>0</v>
      </c>
      <c r="F319" s="0" t="n">
        <f aca="false">SUMPRODUCT((Rules!$A$2:$A$60=F$1)*Rules!$C$2:$C$60*ISNUMBER(SEARCH(Rules!$D$2:$D$60,$D319)))</f>
        <v>0</v>
      </c>
      <c r="G319" s="0" t="n">
        <f aca="false">SUMPRODUCT((Rules!$A$2:$A$60=G$1)*Rules!$C$2:$C$60*ISNUMBER(SEARCH(Rules!$D$2:$D$60,$D319)))</f>
        <v>0</v>
      </c>
      <c r="H319" s="0" t="n">
        <f aca="false">SUMPRODUCT((Rules!$A$2:$A$60=H$1)*Rules!$C$2:$C$60*ISNUMBER(SEARCH(Rules!$D$2:$D$60,$D319)))</f>
        <v>0</v>
      </c>
      <c r="I319" s="0" t="n">
        <f aca="false">SUMPRODUCT((Rules!$A$2:$A$60=I$1)*Rules!$C$2:$C$60*ISNUMBER(SEARCH(Rules!$D$2:$D$60,$D319)))</f>
        <v>3</v>
      </c>
      <c r="J319" s="0" t="n">
        <f aca="false">SUMPRODUCT((Rules!$A$2:$A$60=J$1)*Rules!$C$2:$C$60*ISNUMBER(SEARCH(Rules!$D$2:$D$60,$D319)))</f>
        <v>3</v>
      </c>
      <c r="K319" s="0" t="str">
        <f aca="false">IF(OR(MAX(E319:J319)&lt;Rules!$H$1,MAX(E319:J319)-LARGE(E319:J319,2)&lt;Rules!$H$2),"No label",INDEX($E$1:$J$1,MATCH(MAX(E319:J319),E319:J319,0)))</f>
        <v>No label</v>
      </c>
      <c r="L319" s="0" t="n">
        <f aca="false">SUMPRODUCT((Rules!$A$2:$A$60=L$1)*Rules!$C$2:$C$60*ISNUMBER(SEARCH(Rules!$E$2:$E$60,$D319)))</f>
        <v>0</v>
      </c>
      <c r="M319" s="0" t="n">
        <f aca="false">SUMPRODUCT((Rules!$A$2:$A$60=M$1)*Rules!$C$2:$C$60*ISNUMBER(SEARCH(Rules!$E$2:$E$60,$D319)))</f>
        <v>0</v>
      </c>
      <c r="N319" s="0" t="n">
        <f aca="false">SUMPRODUCT((Rules!$A$2:$A$60=N$1)*Rules!$C$2:$C$60*ISNUMBER(SEARCH(Rules!$E$2:$E$60,$D319)))</f>
        <v>0</v>
      </c>
      <c r="O319" s="0" t="n">
        <f aca="false">SUMPRODUCT((Rules!$A$2:$A$60=O$1)*Rules!$C$2:$C$60*ISNUMBER(SEARCH(Rules!$E$2:$E$60,$D319)))</f>
        <v>0</v>
      </c>
      <c r="P319" s="0" t="n">
        <f aca="false">SUMPRODUCT((Rules!$A$2:$A$60=P$1)*Rules!$C$2:$C$60*ISNUMBER(SEARCH(Rules!$E$2:$E$60,$D319)))</f>
        <v>3</v>
      </c>
      <c r="Q319" s="0" t="n">
        <f aca="false">SUMPRODUCT((Rules!$A$2:$A$60=Q$1)*Rules!$C$2:$C$60*ISNUMBER(SEARCH(Rules!$E$2:$E$60,$D319)))</f>
        <v>3</v>
      </c>
      <c r="R319" s="0" t="str">
        <f aca="false">IF(OR(MAX(L319:Q319)&lt;Rules!$H$1,MAX(L319:Q319)-LARGE(L319:Q319,2)&lt;Rules!$H$2),"No label",INDEX($L$1:$Q$1,MATCH(MAX(L319:Q319),L319:Q319,0)))</f>
        <v>No label</v>
      </c>
      <c r="S319" s="0" t="n">
        <f aca="false">SUMPRODUCT(ISNUMBER(SEARCH(" "&amp;Terms!$A$3:$A$821&amp;" ",$D319))*Terms!B$3:B$821)+Terms!B$2</f>
        <v>-5.06733752712353</v>
      </c>
      <c r="T319" s="0" t="n">
        <f aca="false">SUMPRODUCT(ISNUMBER(SEARCH(" "&amp;Terms!$A$3:$A$821&amp;" ",$D319))*Terms!C$3:C$821)+Terms!C$2</f>
        <v>2.2565844880321</v>
      </c>
      <c r="U319" s="0" t="n">
        <f aca="false">SUMPRODUCT(ISNUMBER(SEARCH(" "&amp;Terms!$A$3:$A$821&amp;" ",$D319))*Terms!D$3:D$821)+Terms!D$2</f>
        <v>7.9847981511252</v>
      </c>
      <c r="V319" s="0" t="n">
        <f aca="false">SUMPRODUCT(ISNUMBER(SEARCH(" "&amp;Terms!$A$3:$A$821&amp;" ",$D319))*Terms!E$3:E$821)+Terms!E$2</f>
        <v>-0.698961406103461</v>
      </c>
      <c r="W319" s="0" t="n">
        <f aca="false">SUMPRODUCT(ISNUMBER(SEARCH(" "&amp;Terms!$A$3:$A$821&amp;" ",$D319))*Terms!F$3:F$821)+Terms!F$2</f>
        <v>-3.08740669479617</v>
      </c>
      <c r="X319" s="0" t="n">
        <f aca="false">SUMPRODUCT(ISNUMBER(SEARCH(" "&amp;Terms!$A$3:$A$821&amp;" ",$D319))*Terms!G$3:G$821)+Terms!G$2</f>
        <v>-1.38767701113405</v>
      </c>
      <c r="Y319" s="0" t="str">
        <f aca="false">INDEX($S$1:$X$1,MATCH(MAX(S319:X319),S319:X319,0))</f>
        <v>Delays &amp; Processing</v>
      </c>
      <c r="Z319" s="0" t="s">
        <v>2608</v>
      </c>
    </row>
    <row r="320" customFormat="false" ht="15" hidden="false" customHeight="false" outlineLevel="0" collapsed="false">
      <c r="A320" s="0" t="str">
        <f aca="false">Complaints!A320</f>
        <v>C0319</v>
      </c>
      <c r="B320" s="0" t="str">
        <f aca="false">Complaints!B320</f>
        <v>Frankly, I was sold a product that was not suitable for my circumstances. It has also been taking far too long. I want this put right.</v>
      </c>
      <c r="C320" s="0" t="str">
        <f aca="false">Complaints!C320</f>
        <v>Mis-selling</v>
      </c>
      <c r="D320" s="0" t="str">
        <f aca="false">" "&amp;TRIM(SUBSTITUTE(SUBSTITUTE(SUBSTITUTE(SUBSTITUTE(SUBSTITUTE(SUBSTITUTE(SUBSTITUTE(SUBSTITUTE(SUBSTITUTE(SUBSTITUTE(SUBSTITUTE(SUBSTITUTE(SUBSTITUTE(SUBSTITUTE(SUBSTITUTE(SUBSTITUTE(LOWER(B320),"."," "),","," "),"'"," "),"’"," "),"!"," "),"?"," "),";"," "),":"," "),"-"," "),"("," "),")"," "),"""", " "),"£"," "),"&amp;"," "),"/"," "),"%"," "))&amp;" "</f>
        <v> frankly i was sold a product that was not suitable for my circumstances it has also been taking far too long i want this put right </v>
      </c>
      <c r="E320" s="0" t="n">
        <f aca="false">SUMPRODUCT((Rules!$A$2:$A$60=E$1)*Rules!$C$2:$C$60*ISNUMBER(SEARCH(Rules!$D$2:$D$60,$D320)))</f>
        <v>0</v>
      </c>
      <c r="F320" s="0" t="n">
        <f aca="false">SUMPRODUCT((Rules!$A$2:$A$60=F$1)*Rules!$C$2:$C$60*ISNUMBER(SEARCH(Rules!$D$2:$D$60,$D320)))</f>
        <v>5</v>
      </c>
      <c r="G320" s="0" t="n">
        <f aca="false">SUMPRODUCT((Rules!$A$2:$A$60=G$1)*Rules!$C$2:$C$60*ISNUMBER(SEARCH(Rules!$D$2:$D$60,$D320)))</f>
        <v>0</v>
      </c>
      <c r="H320" s="0" t="n">
        <f aca="false">SUMPRODUCT((Rules!$A$2:$A$60=H$1)*Rules!$C$2:$C$60*ISNUMBER(SEARCH(Rules!$D$2:$D$60,$D320)))</f>
        <v>0</v>
      </c>
      <c r="I320" s="0" t="n">
        <f aca="false">SUMPRODUCT((Rules!$A$2:$A$60=I$1)*Rules!$C$2:$C$60*ISNUMBER(SEARCH(Rules!$D$2:$D$60,$D320)))</f>
        <v>0</v>
      </c>
      <c r="J320" s="0" t="n">
        <f aca="false">SUMPRODUCT((Rules!$A$2:$A$60=J$1)*Rules!$C$2:$C$60*ISNUMBER(SEARCH(Rules!$D$2:$D$60,$D320)))</f>
        <v>0</v>
      </c>
      <c r="K320" s="0" t="str">
        <f aca="false">IF(OR(MAX(E320:J320)&lt;Rules!$H$1,MAX(E320:J320)-LARGE(E320:J320,2)&lt;Rules!$H$2),"No label",INDEX($E$1:$J$1,MATCH(MAX(E320:J320),E320:J320,0)))</f>
        <v>Mis-selling</v>
      </c>
      <c r="L320" s="0" t="n">
        <f aca="false">SUMPRODUCT((Rules!$A$2:$A$60=L$1)*Rules!$C$2:$C$60*ISNUMBER(SEARCH(Rules!$E$2:$E$60,$D320)))</f>
        <v>0</v>
      </c>
      <c r="M320" s="0" t="n">
        <f aca="false">SUMPRODUCT((Rules!$A$2:$A$60=M$1)*Rules!$C$2:$C$60*ISNUMBER(SEARCH(Rules!$E$2:$E$60,$D320)))</f>
        <v>5</v>
      </c>
      <c r="N320" s="0" t="n">
        <f aca="false">SUMPRODUCT((Rules!$A$2:$A$60=N$1)*Rules!$C$2:$C$60*ISNUMBER(SEARCH(Rules!$E$2:$E$60,$D320)))</f>
        <v>0</v>
      </c>
      <c r="O320" s="0" t="n">
        <f aca="false">SUMPRODUCT((Rules!$A$2:$A$60=O$1)*Rules!$C$2:$C$60*ISNUMBER(SEARCH(Rules!$E$2:$E$60,$D320)))</f>
        <v>0</v>
      </c>
      <c r="P320" s="0" t="n">
        <f aca="false">SUMPRODUCT((Rules!$A$2:$A$60=P$1)*Rules!$C$2:$C$60*ISNUMBER(SEARCH(Rules!$E$2:$E$60,$D320)))</f>
        <v>0</v>
      </c>
      <c r="Q320" s="0" t="n">
        <f aca="false">SUMPRODUCT((Rules!$A$2:$A$60=Q$1)*Rules!$C$2:$C$60*ISNUMBER(SEARCH(Rules!$E$2:$E$60,$D320)))</f>
        <v>0</v>
      </c>
      <c r="R320" s="0" t="str">
        <f aca="false">IF(OR(MAX(L320:Q320)&lt;Rules!$H$1,MAX(L320:Q320)-LARGE(L320:Q320,2)&lt;Rules!$H$2),"No label",INDEX($L$1:$Q$1,MATCH(MAX(L320:Q320),L320:Q320,0)))</f>
        <v>Mis-selling</v>
      </c>
      <c r="S320" s="0" t="n">
        <f aca="false">SUMPRODUCT(ISNUMBER(SEARCH(" "&amp;Terms!$A$3:$A$821&amp;" ",$D320))*Terms!B$3:B$821)+Terms!B$2</f>
        <v>-3.46835771193861</v>
      </c>
      <c r="T320" s="0" t="n">
        <f aca="false">SUMPRODUCT(ISNUMBER(SEARCH(" "&amp;Terms!$A$3:$A$821&amp;" ",$D320))*Terms!C$3:C$821)+Terms!C$2</f>
        <v>-3.18024289531242</v>
      </c>
      <c r="U320" s="0" t="n">
        <f aca="false">SUMPRODUCT(ISNUMBER(SEARCH(" "&amp;Terms!$A$3:$A$821&amp;" ",$D320))*Terms!D$3:D$821)+Terms!D$2</f>
        <v>-0.886165224508922</v>
      </c>
      <c r="V320" s="0" t="n">
        <f aca="false">SUMPRODUCT(ISNUMBER(SEARCH(" "&amp;Terms!$A$3:$A$821&amp;" ",$D320))*Terms!E$3:E$821)+Terms!E$2</f>
        <v>0.865868953898353</v>
      </c>
      <c r="W320" s="0" t="n">
        <f aca="false">SUMPRODUCT(ISNUMBER(SEARCH(" "&amp;Terms!$A$3:$A$821&amp;" ",$D320))*Terms!F$3:F$821)+Terms!F$2</f>
        <v>0.558875901495335</v>
      </c>
      <c r="X320" s="0" t="n">
        <f aca="false">SUMPRODUCT(ISNUMBER(SEARCH(" "&amp;Terms!$A$3:$A$821&amp;" ",$D320))*Terms!G$3:G$821)+Terms!G$2</f>
        <v>6.11002097636636</v>
      </c>
      <c r="Y320" s="0" t="str">
        <f aca="false">INDEX($S$1:$X$1,MATCH(MAX(S320:X320),S320:X320,0))</f>
        <v>Mis-selling</v>
      </c>
      <c r="Z320" s="0" t="s">
        <v>2607</v>
      </c>
    </row>
    <row r="321" customFormat="false" ht="15" hidden="false" customHeight="false" outlineLevel="0" collapsed="false">
      <c r="A321" s="0" t="str">
        <f aca="false">Complaints!A321</f>
        <v>C0320</v>
      </c>
      <c r="B321" s="0" t="str">
        <f aca="false">Complaints!B321</f>
        <v>I think I was the victim of a scam and sent money to a fraudster. This is not acceptable.</v>
      </c>
      <c r="C321" s="0" t="str">
        <f aca="false">Complaints!C321</f>
        <v>Fraud &amp; Scams</v>
      </c>
      <c r="D321" s="0" t="str">
        <f aca="false">" "&amp;TRIM(SUBSTITUTE(SUBSTITUTE(SUBSTITUTE(SUBSTITUTE(SUBSTITUTE(SUBSTITUTE(SUBSTITUTE(SUBSTITUTE(SUBSTITUTE(SUBSTITUTE(SUBSTITUTE(SUBSTITUTE(SUBSTITUTE(SUBSTITUTE(SUBSTITUTE(SUBSTITUTE(LOWER(B321),"."," "),","," "),"'"," "),"’"," "),"!"," "),"?"," "),";"," "),":"," "),"-"," "),"("," "),")"," "),"""", " "),"£"," "),"&amp;"," "),"/"," "),"%"," "))&amp;" "</f>
        <v> i think i was the victim of a scam and sent money to a fraudster this is not acceptable </v>
      </c>
      <c r="E321" s="0" t="n">
        <f aca="false">SUMPRODUCT((Rules!$A$2:$A$60=E$1)*Rules!$C$2:$C$60*ISNUMBER(SEARCH(Rules!$D$2:$D$60,$D321)))</f>
        <v>6</v>
      </c>
      <c r="F321" s="0" t="n">
        <f aca="false">SUMPRODUCT((Rules!$A$2:$A$60=F$1)*Rules!$C$2:$C$60*ISNUMBER(SEARCH(Rules!$D$2:$D$60,$D321)))</f>
        <v>0</v>
      </c>
      <c r="G321" s="0" t="n">
        <f aca="false">SUMPRODUCT((Rules!$A$2:$A$60=G$1)*Rules!$C$2:$C$60*ISNUMBER(SEARCH(Rules!$D$2:$D$60,$D321)))</f>
        <v>0</v>
      </c>
      <c r="H321" s="0" t="n">
        <f aca="false">SUMPRODUCT((Rules!$A$2:$A$60=H$1)*Rules!$C$2:$C$60*ISNUMBER(SEARCH(Rules!$D$2:$D$60,$D321)))</f>
        <v>0</v>
      </c>
      <c r="I321" s="0" t="n">
        <f aca="false">SUMPRODUCT((Rules!$A$2:$A$60=I$1)*Rules!$C$2:$C$60*ISNUMBER(SEARCH(Rules!$D$2:$D$60,$D321)))</f>
        <v>0</v>
      </c>
      <c r="J321" s="0" t="n">
        <f aca="false">SUMPRODUCT((Rules!$A$2:$A$60=J$1)*Rules!$C$2:$C$60*ISNUMBER(SEARCH(Rules!$D$2:$D$60,$D321)))</f>
        <v>0</v>
      </c>
      <c r="K321" s="0" t="str">
        <f aca="false">IF(OR(MAX(E321:J321)&lt;Rules!$H$1,MAX(E321:J321)-LARGE(E321:J321,2)&lt;Rules!$H$2),"No label",INDEX($E$1:$J$1,MATCH(MAX(E321:J321),E321:J321,0)))</f>
        <v>Fraud &amp; Scams</v>
      </c>
      <c r="L321" s="0" t="n">
        <f aca="false">SUMPRODUCT((Rules!$A$2:$A$60=L$1)*Rules!$C$2:$C$60*ISNUMBER(SEARCH(Rules!$E$2:$E$60,$D321)))</f>
        <v>6</v>
      </c>
      <c r="M321" s="0" t="n">
        <f aca="false">SUMPRODUCT((Rules!$A$2:$A$60=M$1)*Rules!$C$2:$C$60*ISNUMBER(SEARCH(Rules!$E$2:$E$60,$D321)))</f>
        <v>0</v>
      </c>
      <c r="N321" s="0" t="n">
        <f aca="false">SUMPRODUCT((Rules!$A$2:$A$60=N$1)*Rules!$C$2:$C$60*ISNUMBER(SEARCH(Rules!$E$2:$E$60,$D321)))</f>
        <v>1</v>
      </c>
      <c r="O321" s="0" t="n">
        <f aca="false">SUMPRODUCT((Rules!$A$2:$A$60=O$1)*Rules!$C$2:$C$60*ISNUMBER(SEARCH(Rules!$E$2:$E$60,$D321)))</f>
        <v>0</v>
      </c>
      <c r="P321" s="0" t="n">
        <f aca="false">SUMPRODUCT((Rules!$A$2:$A$60=P$1)*Rules!$C$2:$C$60*ISNUMBER(SEARCH(Rules!$E$2:$E$60,$D321)))</f>
        <v>0</v>
      </c>
      <c r="Q321" s="0" t="n">
        <f aca="false">SUMPRODUCT((Rules!$A$2:$A$60=Q$1)*Rules!$C$2:$C$60*ISNUMBER(SEARCH(Rules!$E$2:$E$60,$D321)))</f>
        <v>0</v>
      </c>
      <c r="R321" s="0" t="str">
        <f aca="false">IF(OR(MAX(L321:Q321)&lt;Rules!$H$1,MAX(L321:Q321)-LARGE(L321:Q321,2)&lt;Rules!$H$2),"No label",INDEX($L$1:$Q$1,MATCH(MAX(L321:Q321),L321:Q321,0)))</f>
        <v>Fraud &amp; Scams</v>
      </c>
      <c r="S321" s="0" t="n">
        <f aca="false">SUMPRODUCT(ISNUMBER(SEARCH(" "&amp;Terms!$A$3:$A$821&amp;" ",$D321))*Terms!B$3:B$821)+Terms!B$2</f>
        <v>0.85850628111962</v>
      </c>
      <c r="T321" s="0" t="n">
        <f aca="false">SUMPRODUCT(ISNUMBER(SEARCH(" "&amp;Terms!$A$3:$A$821&amp;" ",$D321))*Terms!C$3:C$821)+Terms!C$2</f>
        <v>-5.19475593343948</v>
      </c>
      <c r="U321" s="0" t="n">
        <f aca="false">SUMPRODUCT(ISNUMBER(SEARCH(" "&amp;Terms!$A$3:$A$821&amp;" ",$D321))*Terms!D$3:D$821)+Terms!D$2</f>
        <v>0.0530828664015065</v>
      </c>
      <c r="V321" s="0" t="n">
        <f aca="false">SUMPRODUCT(ISNUMBER(SEARCH(" "&amp;Terms!$A$3:$A$821&amp;" ",$D321))*Terms!E$3:E$821)+Terms!E$2</f>
        <v>-3.25413677871987</v>
      </c>
      <c r="W321" s="0" t="n">
        <f aca="false">SUMPRODUCT(ISNUMBER(SEARCH(" "&amp;Terms!$A$3:$A$821&amp;" ",$D321))*Terms!F$3:F$821)+Terms!F$2</f>
        <v>9.4028378486354</v>
      </c>
      <c r="X321" s="0" t="n">
        <f aca="false">SUMPRODUCT(ISNUMBER(SEARCH(" "&amp;Terms!$A$3:$A$821&amp;" ",$D321))*Terms!G$3:G$821)+Terms!G$2</f>
        <v>-1.86553428399708</v>
      </c>
      <c r="Y321" s="0" t="str">
        <f aca="false">INDEX($S$1:$X$1,MATCH(MAX(S321:X321),S321:X321,0))</f>
        <v>Fraud &amp; Scams</v>
      </c>
      <c r="Z321" s="0" t="s">
        <v>2607</v>
      </c>
    </row>
    <row r="322" customFormat="false" ht="15" hidden="false" customHeight="false" outlineLevel="0" collapsed="false">
      <c r="A322" s="0" t="str">
        <f aca="false">Complaints!A322</f>
        <v>C0321</v>
      </c>
      <c r="B322" s="0" t="str">
        <f aca="false">Complaints!B322</f>
        <v>To whom it may concern, The pension transfer advice I received was poor and I have lost out. I could not log in to check either. Please escalate this.</v>
      </c>
      <c r="C322" s="0" t="str">
        <f aca="false">Complaints!C322</f>
        <v>Mis-selling</v>
      </c>
      <c r="D322" s="0" t="str">
        <f aca="false">" "&amp;TRIM(SUBSTITUTE(SUBSTITUTE(SUBSTITUTE(SUBSTITUTE(SUBSTITUTE(SUBSTITUTE(SUBSTITUTE(SUBSTITUTE(SUBSTITUTE(SUBSTITUTE(SUBSTITUTE(SUBSTITUTE(SUBSTITUTE(SUBSTITUTE(SUBSTITUTE(SUBSTITUTE(LOWER(B322),"."," "),","," "),"'"," "),"’"," "),"!"," "),"?"," "),";"," "),":"," "),"-"," "),"("," "),")"," "),"""", " "),"£"," "),"&amp;"," "),"/"," "),"%"," "))&amp;" "</f>
        <v> to whom it may concern the pension transfer advice i received was poor and i have lost out i could not log in to check either please escalate this </v>
      </c>
      <c r="E322" s="0" t="n">
        <f aca="false">SUMPRODUCT((Rules!$A$2:$A$60=E$1)*Rules!$C$2:$C$60*ISNUMBER(SEARCH(Rules!$D$2:$D$60,$D322)))</f>
        <v>0</v>
      </c>
      <c r="F322" s="0" t="n">
        <f aca="false">SUMPRODUCT((Rules!$A$2:$A$60=F$1)*Rules!$C$2:$C$60*ISNUMBER(SEARCH(Rules!$D$2:$D$60,$D322)))</f>
        <v>2</v>
      </c>
      <c r="G322" s="0" t="n">
        <f aca="false">SUMPRODUCT((Rules!$A$2:$A$60=G$1)*Rules!$C$2:$C$60*ISNUMBER(SEARCH(Rules!$D$2:$D$60,$D322)))</f>
        <v>3</v>
      </c>
      <c r="H322" s="0" t="n">
        <f aca="false">SUMPRODUCT((Rules!$A$2:$A$60=H$1)*Rules!$C$2:$C$60*ISNUMBER(SEARCH(Rules!$D$2:$D$60,$D322)))</f>
        <v>0</v>
      </c>
      <c r="I322" s="0" t="n">
        <f aca="false">SUMPRODUCT((Rules!$A$2:$A$60=I$1)*Rules!$C$2:$C$60*ISNUMBER(SEARCH(Rules!$D$2:$D$60,$D322)))</f>
        <v>0</v>
      </c>
      <c r="J322" s="0" t="n">
        <f aca="false">SUMPRODUCT((Rules!$A$2:$A$60=J$1)*Rules!$C$2:$C$60*ISNUMBER(SEARCH(Rules!$D$2:$D$60,$D322)))</f>
        <v>0</v>
      </c>
      <c r="K322" s="0" t="str">
        <f aca="false">IF(OR(MAX(E322:J322)&lt;Rules!$H$1,MAX(E322:J322)-LARGE(E322:J322,2)&lt;Rules!$H$2),"No label",INDEX($E$1:$J$1,MATCH(MAX(E322:J322),E322:J322,0)))</f>
        <v>No label</v>
      </c>
      <c r="L322" s="0" t="n">
        <f aca="false">SUMPRODUCT((Rules!$A$2:$A$60=L$1)*Rules!$C$2:$C$60*ISNUMBER(SEARCH(Rules!$E$2:$E$60,$D322)))</f>
        <v>0</v>
      </c>
      <c r="M322" s="0" t="n">
        <f aca="false">SUMPRODUCT((Rules!$A$2:$A$60=M$1)*Rules!$C$2:$C$60*ISNUMBER(SEARCH(Rules!$E$2:$E$60,$D322)))</f>
        <v>2</v>
      </c>
      <c r="N322" s="0" t="n">
        <f aca="false">SUMPRODUCT((Rules!$A$2:$A$60=N$1)*Rules!$C$2:$C$60*ISNUMBER(SEARCH(Rules!$E$2:$E$60,$D322)))</f>
        <v>3</v>
      </c>
      <c r="O322" s="0" t="n">
        <f aca="false">SUMPRODUCT((Rules!$A$2:$A$60=O$1)*Rules!$C$2:$C$60*ISNUMBER(SEARCH(Rules!$E$2:$E$60,$D322)))</f>
        <v>0</v>
      </c>
      <c r="P322" s="0" t="n">
        <f aca="false">SUMPRODUCT((Rules!$A$2:$A$60=P$1)*Rules!$C$2:$C$60*ISNUMBER(SEARCH(Rules!$E$2:$E$60,$D322)))</f>
        <v>0</v>
      </c>
      <c r="Q322" s="0" t="n">
        <f aca="false">SUMPRODUCT((Rules!$A$2:$A$60=Q$1)*Rules!$C$2:$C$60*ISNUMBER(SEARCH(Rules!$E$2:$E$60,$D322)))</f>
        <v>0</v>
      </c>
      <c r="R322" s="0" t="str">
        <f aca="false">IF(OR(MAX(L322:Q322)&lt;Rules!$H$1,MAX(L322:Q322)-LARGE(L322:Q322,2)&lt;Rules!$H$2),"No label",INDEX($L$1:$Q$1,MATCH(MAX(L322:Q322),L322:Q322,0)))</f>
        <v>No label</v>
      </c>
      <c r="S322" s="0" t="n">
        <f aca="false">SUMPRODUCT(ISNUMBER(SEARCH(" "&amp;Terms!$A$3:$A$821&amp;" ",$D322))*Terms!B$3:B$821)+Terms!B$2</f>
        <v>-3.52828556577146</v>
      </c>
      <c r="T322" s="0" t="n">
        <f aca="false">SUMPRODUCT(ISNUMBER(SEARCH(" "&amp;Terms!$A$3:$A$821&amp;" ",$D322))*Terms!C$3:C$821)+Terms!C$2</f>
        <v>-2.79182484985458</v>
      </c>
      <c r="U322" s="0" t="n">
        <f aca="false">SUMPRODUCT(ISNUMBER(SEARCH(" "&amp;Terms!$A$3:$A$821&amp;" ",$D322))*Terms!D$3:D$821)+Terms!D$2</f>
        <v>2.01808992727056</v>
      </c>
      <c r="V322" s="0" t="n">
        <f aca="false">SUMPRODUCT(ISNUMBER(SEARCH(" "&amp;Terms!$A$3:$A$821&amp;" ",$D322))*Terms!E$3:E$821)+Terms!E$2</f>
        <v>-0.79383624140145</v>
      </c>
      <c r="W322" s="0" t="n">
        <f aca="false">SUMPRODUCT(ISNUMBER(SEARCH(" "&amp;Terms!$A$3:$A$821&amp;" ",$D322))*Terms!F$3:F$821)+Terms!F$2</f>
        <v>-4.22287352683448</v>
      </c>
      <c r="X322" s="0" t="n">
        <f aca="false">SUMPRODUCT(ISNUMBER(SEARCH(" "&amp;Terms!$A$3:$A$821&amp;" ",$D322))*Terms!G$3:G$821)+Terms!G$2</f>
        <v>9.3187302565915</v>
      </c>
      <c r="Y322" s="0" t="str">
        <f aca="false">INDEX($S$1:$X$1,MATCH(MAX(S322:X322),S322:X322,0))</f>
        <v>Mis-selling</v>
      </c>
      <c r="Z322" s="0" t="s">
        <v>2608</v>
      </c>
    </row>
    <row r="323" customFormat="false" ht="15" hidden="false" customHeight="false" outlineLevel="0" collapsed="false">
      <c r="A323" s="0" t="str">
        <f aca="false">Complaints!A323</f>
        <v>C0322</v>
      </c>
      <c r="B323" s="0" t="str">
        <f aca="false">Complaints!B323</f>
        <v>This is the second time I have raised this. I feel I was treated badly because of my age. I would like a response in writing.</v>
      </c>
      <c r="C323" s="0" t="str">
        <f aca="false">Complaints!C323</f>
        <v>Customer Service</v>
      </c>
      <c r="D323" s="0" t="str">
        <f aca="false">" "&amp;TRIM(SUBSTITUTE(SUBSTITUTE(SUBSTITUTE(SUBSTITUTE(SUBSTITUTE(SUBSTITUTE(SUBSTITUTE(SUBSTITUTE(SUBSTITUTE(SUBSTITUTE(SUBSTITUTE(SUBSTITUTE(SUBSTITUTE(SUBSTITUTE(SUBSTITUTE(SUBSTITUTE(LOWER(B323),"."," "),","," "),"'"," "),"’"," "),"!"," "),"?"," "),";"," "),":"," "),"-"," "),"("," "),")"," "),"""", " "),"£"," "),"&amp;"," "),"/"," "),"%"," "))&amp;" "</f>
        <v> this is the second time i have raised this i feel i was treated badly because of my age i would like a response in writing </v>
      </c>
      <c r="E323" s="0" t="n">
        <f aca="false">SUMPRODUCT((Rules!$A$2:$A$60=E$1)*Rules!$C$2:$C$60*ISNUMBER(SEARCH(Rules!$D$2:$D$60,$D323)))</f>
        <v>0</v>
      </c>
      <c r="F323" s="0" t="n">
        <f aca="false">SUMPRODUCT((Rules!$A$2:$A$60=F$1)*Rules!$C$2:$C$60*ISNUMBER(SEARCH(Rules!$D$2:$D$60,$D323)))</f>
        <v>0</v>
      </c>
      <c r="G323" s="0" t="n">
        <f aca="false">SUMPRODUCT((Rules!$A$2:$A$60=G$1)*Rules!$C$2:$C$60*ISNUMBER(SEARCH(Rules!$D$2:$D$60,$D323)))</f>
        <v>0</v>
      </c>
      <c r="H323" s="0" t="n">
        <f aca="false">SUMPRODUCT((Rules!$A$2:$A$60=H$1)*Rules!$C$2:$C$60*ISNUMBER(SEARCH(Rules!$D$2:$D$60,$D323)))</f>
        <v>0</v>
      </c>
      <c r="I323" s="0" t="n">
        <f aca="false">SUMPRODUCT((Rules!$A$2:$A$60=I$1)*Rules!$C$2:$C$60*ISNUMBER(SEARCH(Rules!$D$2:$D$60,$D323)))</f>
        <v>0</v>
      </c>
      <c r="J323" s="0" t="n">
        <f aca="false">SUMPRODUCT((Rules!$A$2:$A$60=J$1)*Rules!$C$2:$C$60*ISNUMBER(SEARCH(Rules!$D$2:$D$60,$D323)))</f>
        <v>3</v>
      </c>
      <c r="K323" s="0" t="str">
        <f aca="false">IF(OR(MAX(E323:J323)&lt;Rules!$H$1,MAX(E323:J323)-LARGE(E323:J323,2)&lt;Rules!$H$2),"No label",INDEX($E$1:$J$1,MATCH(MAX(E323:J323),E323:J323,0)))</f>
        <v>Customer Service</v>
      </c>
      <c r="L323" s="0" t="n">
        <f aca="false">SUMPRODUCT((Rules!$A$2:$A$60=L$1)*Rules!$C$2:$C$60*ISNUMBER(SEARCH(Rules!$E$2:$E$60,$D323)))</f>
        <v>0</v>
      </c>
      <c r="M323" s="0" t="n">
        <f aca="false">SUMPRODUCT((Rules!$A$2:$A$60=M$1)*Rules!$C$2:$C$60*ISNUMBER(SEARCH(Rules!$E$2:$E$60,$D323)))</f>
        <v>0</v>
      </c>
      <c r="N323" s="0" t="n">
        <f aca="false">SUMPRODUCT((Rules!$A$2:$A$60=N$1)*Rules!$C$2:$C$60*ISNUMBER(SEARCH(Rules!$E$2:$E$60,$D323)))</f>
        <v>0</v>
      </c>
      <c r="O323" s="0" t="n">
        <f aca="false">SUMPRODUCT((Rules!$A$2:$A$60=O$1)*Rules!$C$2:$C$60*ISNUMBER(SEARCH(Rules!$E$2:$E$60,$D323)))</f>
        <v>0</v>
      </c>
      <c r="P323" s="0" t="n">
        <f aca="false">SUMPRODUCT((Rules!$A$2:$A$60=P$1)*Rules!$C$2:$C$60*ISNUMBER(SEARCH(Rules!$E$2:$E$60,$D323)))</f>
        <v>0</v>
      </c>
      <c r="Q323" s="0" t="n">
        <f aca="false">SUMPRODUCT((Rules!$A$2:$A$60=Q$1)*Rules!$C$2:$C$60*ISNUMBER(SEARCH(Rules!$E$2:$E$60,$D323)))</f>
        <v>3</v>
      </c>
      <c r="R323" s="0" t="str">
        <f aca="false">IF(OR(MAX(L323:Q323)&lt;Rules!$H$1,MAX(L323:Q323)-LARGE(L323:Q323,2)&lt;Rules!$H$2),"No label",INDEX($L$1:$Q$1,MATCH(MAX(L323:Q323),L323:Q323,0)))</f>
        <v>Customer Service</v>
      </c>
      <c r="S323" s="0" t="n">
        <f aca="false">SUMPRODUCT(ISNUMBER(SEARCH(" "&amp;Terms!$A$3:$A$821&amp;" ",$D323))*Terms!B$3:B$821)+Terms!B$2</f>
        <v>-1.73355599110201</v>
      </c>
      <c r="T323" s="0" t="n">
        <f aca="false">SUMPRODUCT(ISNUMBER(SEARCH(" "&amp;Terms!$A$3:$A$821&amp;" ",$D323))*Terms!C$3:C$821)+Terms!C$2</f>
        <v>10.4320065534703</v>
      </c>
      <c r="U323" s="0" t="n">
        <f aca="false">SUMPRODUCT(ISNUMBER(SEARCH(" "&amp;Terms!$A$3:$A$821&amp;" ",$D323))*Terms!D$3:D$821)+Terms!D$2</f>
        <v>-4.01368849863023</v>
      </c>
      <c r="V323" s="0" t="n">
        <f aca="false">SUMPRODUCT(ISNUMBER(SEARCH(" "&amp;Terms!$A$3:$A$821&amp;" ",$D323))*Terms!E$3:E$821)+Terms!E$2</f>
        <v>-3.41733359442815</v>
      </c>
      <c r="W323" s="0" t="n">
        <f aca="false">SUMPRODUCT(ISNUMBER(SEARCH(" "&amp;Terms!$A$3:$A$821&amp;" ",$D323))*Terms!F$3:F$821)+Terms!F$2</f>
        <v>-2.23385744036359</v>
      </c>
      <c r="X323" s="0" t="n">
        <f aca="false">SUMPRODUCT(ISNUMBER(SEARCH(" "&amp;Terms!$A$3:$A$821&amp;" ",$D323))*Terms!G$3:G$821)+Terms!G$2</f>
        <v>0.966428971053763</v>
      </c>
      <c r="Y323" s="0" t="str">
        <f aca="false">INDEX($S$1:$X$1,MATCH(MAX(S323:X323),S323:X323,0))</f>
        <v>Customer Service</v>
      </c>
      <c r="Z323" s="0" t="s">
        <v>2607</v>
      </c>
    </row>
    <row r="324" customFormat="false" ht="15" hidden="false" customHeight="false" outlineLevel="0" collapsed="false">
      <c r="A324" s="0" t="str">
        <f aca="false">Complaints!A324</f>
        <v>C0323</v>
      </c>
      <c r="B324" s="0" t="str">
        <f aca="false">Complaints!B324</f>
        <v>I was advised to take out cover that duplicates what I already had. Also, my account was frozen and I cannot get in to move money. I would like a response in writing.</v>
      </c>
      <c r="C324" s="0" t="str">
        <f aca="false">Complaints!C324</f>
        <v>Mis-selling</v>
      </c>
      <c r="D324" s="0" t="str">
        <f aca="false">" "&amp;TRIM(SUBSTITUTE(SUBSTITUTE(SUBSTITUTE(SUBSTITUTE(SUBSTITUTE(SUBSTITUTE(SUBSTITUTE(SUBSTITUTE(SUBSTITUTE(SUBSTITUTE(SUBSTITUTE(SUBSTITUTE(SUBSTITUTE(SUBSTITUTE(SUBSTITUTE(SUBSTITUTE(LOWER(B324),"."," "),","," "),"'"," "),"’"," "),"!"," "),"?"," "),";"," "),":"," "),"-"," "),"("," "),")"," "),"""", " "),"£"," "),"&amp;"," "),"/"," "),"%"," "))&amp;" "</f>
        <v> i was advised to take out cover that duplicates what i already had also my account was frozen and i cannot get in to move money i would like a response in writing </v>
      </c>
      <c r="E324" s="0" t="n">
        <f aca="false">SUMPRODUCT((Rules!$A$2:$A$60=E$1)*Rules!$C$2:$C$60*ISNUMBER(SEARCH(Rules!$D$2:$D$60,$D324)))</f>
        <v>0</v>
      </c>
      <c r="F324" s="0" t="n">
        <f aca="false">SUMPRODUCT((Rules!$A$2:$A$60=F$1)*Rules!$C$2:$C$60*ISNUMBER(SEARCH(Rules!$D$2:$D$60,$D324)))</f>
        <v>0</v>
      </c>
      <c r="G324" s="0" t="n">
        <f aca="false">SUMPRODUCT((Rules!$A$2:$A$60=G$1)*Rules!$C$2:$C$60*ISNUMBER(SEARCH(Rules!$D$2:$D$60,$D324)))</f>
        <v>0</v>
      </c>
      <c r="H324" s="0" t="n">
        <f aca="false">SUMPRODUCT((Rules!$A$2:$A$60=H$1)*Rules!$C$2:$C$60*ISNUMBER(SEARCH(Rules!$D$2:$D$60,$D324)))</f>
        <v>0</v>
      </c>
      <c r="I324" s="0" t="n">
        <f aca="false">SUMPRODUCT((Rules!$A$2:$A$60=I$1)*Rules!$C$2:$C$60*ISNUMBER(SEARCH(Rules!$D$2:$D$60,$D324)))</f>
        <v>0</v>
      </c>
      <c r="J324" s="0" t="n">
        <f aca="false">SUMPRODUCT((Rules!$A$2:$A$60=J$1)*Rules!$C$2:$C$60*ISNUMBER(SEARCH(Rules!$D$2:$D$60,$D324)))</f>
        <v>0</v>
      </c>
      <c r="K324" s="0" t="str">
        <f aca="false">IF(OR(MAX(E324:J324)&lt;Rules!$H$1,MAX(E324:J324)-LARGE(E324:J324,2)&lt;Rules!$H$2),"No label",INDEX($E$1:$J$1,MATCH(MAX(E324:J324),E324:J324,0)))</f>
        <v>No label</v>
      </c>
      <c r="L324" s="0" t="n">
        <f aca="false">SUMPRODUCT((Rules!$A$2:$A$60=L$1)*Rules!$C$2:$C$60*ISNUMBER(SEARCH(Rules!$E$2:$E$60,$D324)))</f>
        <v>0</v>
      </c>
      <c r="M324" s="0" t="n">
        <f aca="false">SUMPRODUCT((Rules!$A$2:$A$60=M$1)*Rules!$C$2:$C$60*ISNUMBER(SEARCH(Rules!$E$2:$E$60,$D324)))</f>
        <v>4</v>
      </c>
      <c r="N324" s="0" t="n">
        <f aca="false">SUMPRODUCT((Rules!$A$2:$A$60=N$1)*Rules!$C$2:$C$60*ISNUMBER(SEARCH(Rules!$E$2:$E$60,$D324)))</f>
        <v>0</v>
      </c>
      <c r="O324" s="0" t="n">
        <f aca="false">SUMPRODUCT((Rules!$A$2:$A$60=O$1)*Rules!$C$2:$C$60*ISNUMBER(SEARCH(Rules!$E$2:$E$60,$D324)))</f>
        <v>0</v>
      </c>
      <c r="P324" s="0" t="n">
        <f aca="false">SUMPRODUCT((Rules!$A$2:$A$60=P$1)*Rules!$C$2:$C$60*ISNUMBER(SEARCH(Rules!$E$2:$E$60,$D324)))</f>
        <v>0</v>
      </c>
      <c r="Q324" s="0" t="n">
        <f aca="false">SUMPRODUCT((Rules!$A$2:$A$60=Q$1)*Rules!$C$2:$C$60*ISNUMBER(SEARCH(Rules!$E$2:$E$60,$D324)))</f>
        <v>1</v>
      </c>
      <c r="R324" s="0" t="str">
        <f aca="false">IF(OR(MAX(L324:Q324)&lt;Rules!$H$1,MAX(L324:Q324)-LARGE(L324:Q324,2)&lt;Rules!$H$2),"No label",INDEX($L$1:$Q$1,MATCH(MAX(L324:Q324),L324:Q324,0)))</f>
        <v>Mis-selling</v>
      </c>
      <c r="S324" s="0" t="n">
        <f aca="false">SUMPRODUCT(ISNUMBER(SEARCH(" "&amp;Terms!$A$3:$A$821&amp;" ",$D324))*Terms!B$3:B$821)+Terms!B$2</f>
        <v>3.95689584239156</v>
      </c>
      <c r="T324" s="0" t="n">
        <f aca="false">SUMPRODUCT(ISNUMBER(SEARCH(" "&amp;Terms!$A$3:$A$821&amp;" ",$D324))*Terms!C$3:C$821)+Terms!C$2</f>
        <v>-4.46577905221</v>
      </c>
      <c r="U324" s="0" t="n">
        <f aca="false">SUMPRODUCT(ISNUMBER(SEARCH(" "&amp;Terms!$A$3:$A$821&amp;" ",$D324))*Terms!D$3:D$821)+Terms!D$2</f>
        <v>-1.2720130883686</v>
      </c>
      <c r="V324" s="0" t="n">
        <f aca="false">SUMPRODUCT(ISNUMBER(SEARCH(" "&amp;Terms!$A$3:$A$821&amp;" ",$D324))*Terms!E$3:E$821)+Terms!E$2</f>
        <v>-3.68938235214537</v>
      </c>
      <c r="W324" s="0" t="n">
        <f aca="false">SUMPRODUCT(ISNUMBER(SEARCH(" "&amp;Terms!$A$3:$A$821&amp;" ",$D324))*Terms!F$3:F$821)+Terms!F$2</f>
        <v>-1.39201049192827</v>
      </c>
      <c r="X324" s="0" t="n">
        <f aca="false">SUMPRODUCT(ISNUMBER(SEARCH(" "&amp;Terms!$A$3:$A$821&amp;" ",$D324))*Terms!G$3:G$821)+Terms!G$2</f>
        <v>6.86228914226075</v>
      </c>
      <c r="Y324" s="0" t="str">
        <f aca="false">INDEX($S$1:$X$1,MATCH(MAX(S324:X324),S324:X324,0))</f>
        <v>Mis-selling</v>
      </c>
      <c r="Z324" s="0" t="s">
        <v>2607</v>
      </c>
    </row>
    <row r="325" customFormat="false" ht="15" hidden="false" customHeight="false" outlineLevel="0" collapsed="false">
      <c r="A325" s="0" t="str">
        <f aca="false">Complaints!A325</f>
        <v>C0324</v>
      </c>
      <c r="B325" s="0" t="str">
        <f aca="false">Complaints!B325</f>
        <v>Frankly, The fraud team closed my case without investigating properly. I expect compensation.</v>
      </c>
      <c r="C325" s="0" t="str">
        <f aca="false">Complaints!C325</f>
        <v>Fraud &amp; Scams</v>
      </c>
      <c r="D325" s="0" t="str">
        <f aca="false">" "&amp;TRIM(SUBSTITUTE(SUBSTITUTE(SUBSTITUTE(SUBSTITUTE(SUBSTITUTE(SUBSTITUTE(SUBSTITUTE(SUBSTITUTE(SUBSTITUTE(SUBSTITUTE(SUBSTITUTE(SUBSTITUTE(SUBSTITUTE(SUBSTITUTE(SUBSTITUTE(SUBSTITUTE(LOWER(B325),"."," "),","," "),"'"," "),"’"," "),"!"," "),"?"," "),";"," "),":"," "),"-"," "),"("," "),")"," "),"""", " "),"£"," "),"&amp;"," "),"/"," "),"%"," "))&amp;" "</f>
        <v> frankly the fraud team closed my case without investigating properly i expect compensation </v>
      </c>
      <c r="E325" s="0" t="n">
        <f aca="false">SUMPRODUCT((Rules!$A$2:$A$60=E$1)*Rules!$C$2:$C$60*ISNUMBER(SEARCH(Rules!$D$2:$D$60,$D325)))</f>
        <v>3</v>
      </c>
      <c r="F325" s="0" t="n">
        <f aca="false">SUMPRODUCT((Rules!$A$2:$A$60=F$1)*Rules!$C$2:$C$60*ISNUMBER(SEARCH(Rules!$D$2:$D$60,$D325)))</f>
        <v>0</v>
      </c>
      <c r="G325" s="0" t="n">
        <f aca="false">SUMPRODUCT((Rules!$A$2:$A$60=G$1)*Rules!$C$2:$C$60*ISNUMBER(SEARCH(Rules!$D$2:$D$60,$D325)))</f>
        <v>0</v>
      </c>
      <c r="H325" s="0" t="n">
        <f aca="false">SUMPRODUCT((Rules!$A$2:$A$60=H$1)*Rules!$C$2:$C$60*ISNUMBER(SEARCH(Rules!$D$2:$D$60,$D325)))</f>
        <v>0</v>
      </c>
      <c r="I325" s="0" t="n">
        <f aca="false">SUMPRODUCT((Rules!$A$2:$A$60=I$1)*Rules!$C$2:$C$60*ISNUMBER(SEARCH(Rules!$D$2:$D$60,$D325)))</f>
        <v>0</v>
      </c>
      <c r="J325" s="0" t="n">
        <f aca="false">SUMPRODUCT((Rules!$A$2:$A$60=J$1)*Rules!$C$2:$C$60*ISNUMBER(SEARCH(Rules!$D$2:$D$60,$D325)))</f>
        <v>0</v>
      </c>
      <c r="K325" s="0" t="str">
        <f aca="false">IF(OR(MAX(E325:J325)&lt;Rules!$H$1,MAX(E325:J325)-LARGE(E325:J325,2)&lt;Rules!$H$2),"No label",INDEX($E$1:$J$1,MATCH(MAX(E325:J325),E325:J325,0)))</f>
        <v>Fraud &amp; Scams</v>
      </c>
      <c r="L325" s="0" t="n">
        <f aca="false">SUMPRODUCT((Rules!$A$2:$A$60=L$1)*Rules!$C$2:$C$60*ISNUMBER(SEARCH(Rules!$E$2:$E$60,$D325)))</f>
        <v>3</v>
      </c>
      <c r="M325" s="0" t="n">
        <f aca="false">SUMPRODUCT((Rules!$A$2:$A$60=M$1)*Rules!$C$2:$C$60*ISNUMBER(SEARCH(Rules!$E$2:$E$60,$D325)))</f>
        <v>0</v>
      </c>
      <c r="N325" s="0" t="n">
        <f aca="false">SUMPRODUCT((Rules!$A$2:$A$60=N$1)*Rules!$C$2:$C$60*ISNUMBER(SEARCH(Rules!$E$2:$E$60,$D325)))</f>
        <v>0</v>
      </c>
      <c r="O325" s="0" t="n">
        <f aca="false">SUMPRODUCT((Rules!$A$2:$A$60=O$1)*Rules!$C$2:$C$60*ISNUMBER(SEARCH(Rules!$E$2:$E$60,$D325)))</f>
        <v>0</v>
      </c>
      <c r="P325" s="0" t="n">
        <f aca="false">SUMPRODUCT((Rules!$A$2:$A$60=P$1)*Rules!$C$2:$C$60*ISNUMBER(SEARCH(Rules!$E$2:$E$60,$D325)))</f>
        <v>0</v>
      </c>
      <c r="Q325" s="0" t="n">
        <f aca="false">SUMPRODUCT((Rules!$A$2:$A$60=Q$1)*Rules!$C$2:$C$60*ISNUMBER(SEARCH(Rules!$E$2:$E$60,$D325)))</f>
        <v>0</v>
      </c>
      <c r="R325" s="0" t="str">
        <f aca="false">IF(OR(MAX(L325:Q325)&lt;Rules!$H$1,MAX(L325:Q325)-LARGE(L325:Q325,2)&lt;Rules!$H$2),"No label",INDEX($L$1:$Q$1,MATCH(MAX(L325:Q325),L325:Q325,0)))</f>
        <v>Fraud &amp; Scams</v>
      </c>
      <c r="S325" s="0" t="n">
        <f aca="false">SUMPRODUCT(ISNUMBER(SEARCH(" "&amp;Terms!$A$3:$A$821&amp;" ",$D325))*Terms!B$3:B$821)+Terms!B$2</f>
        <v>-1.50997619178166</v>
      </c>
      <c r="T325" s="0" t="n">
        <f aca="false">SUMPRODUCT(ISNUMBER(SEARCH(" "&amp;Terms!$A$3:$A$821&amp;" ",$D325))*Terms!C$3:C$821)+Terms!C$2</f>
        <v>-1.04896000019535</v>
      </c>
      <c r="U325" s="0" t="n">
        <f aca="false">SUMPRODUCT(ISNUMBER(SEARCH(" "&amp;Terms!$A$3:$A$821&amp;" ",$D325))*Terms!D$3:D$821)+Terms!D$2</f>
        <v>-3.80930475155439</v>
      </c>
      <c r="V325" s="0" t="n">
        <f aca="false">SUMPRODUCT(ISNUMBER(SEARCH(" "&amp;Terms!$A$3:$A$821&amp;" ",$D325))*Terms!E$3:E$821)+Terms!E$2</f>
        <v>-3.23719926589431</v>
      </c>
      <c r="W325" s="0" t="n">
        <f aca="false">SUMPRODUCT(ISNUMBER(SEARCH(" "&amp;Terms!$A$3:$A$821&amp;" ",$D325))*Terms!F$3:F$821)+Terms!F$2</f>
        <v>12.9637189163145</v>
      </c>
      <c r="X325" s="0" t="n">
        <f aca="false">SUMPRODUCT(ISNUMBER(SEARCH(" "&amp;Terms!$A$3:$A$821&amp;" ",$D325))*Terms!G$3:G$821)+Terms!G$2</f>
        <v>-3.35827870688872</v>
      </c>
      <c r="Y325" s="0" t="str">
        <f aca="false">INDEX($S$1:$X$1,MATCH(MAX(S325:X325),S325:X325,0))</f>
        <v>Fraud &amp; Scams</v>
      </c>
      <c r="Z325" s="0" t="s">
        <v>2607</v>
      </c>
    </row>
    <row r="326" customFormat="false" ht="15" hidden="false" customHeight="false" outlineLevel="0" collapsed="false">
      <c r="A326" s="0" t="str">
        <f aca="false">Complaints!A326</f>
        <v>C0325</v>
      </c>
      <c r="B326" s="0" t="str">
        <f aca="false">Complaints!B326</f>
        <v>I have been a customer for years. I was advised to take out cover that duplicates what I already had. Please escalate this.</v>
      </c>
      <c r="C326" s="0" t="str">
        <f aca="false">Complaints!C326</f>
        <v>Mis-selling</v>
      </c>
      <c r="D326" s="0" t="str">
        <f aca="false">" "&amp;TRIM(SUBSTITUTE(SUBSTITUTE(SUBSTITUTE(SUBSTITUTE(SUBSTITUTE(SUBSTITUTE(SUBSTITUTE(SUBSTITUTE(SUBSTITUTE(SUBSTITUTE(SUBSTITUTE(SUBSTITUTE(SUBSTITUTE(SUBSTITUTE(SUBSTITUTE(SUBSTITUTE(LOWER(B326),"."," "),","," "),"'"," "),"’"," "),"!"," "),"?"," "),";"," "),":"," "),"-"," "),"("," "),")"," "),"""", " "),"£"," "),"&amp;"," "),"/"," "),"%"," "))&amp;" "</f>
        <v> i have been a customer for years i was advised to take out cover that duplicates what i already had please escalate this </v>
      </c>
      <c r="E326" s="0" t="n">
        <f aca="false">SUMPRODUCT((Rules!$A$2:$A$60=E$1)*Rules!$C$2:$C$60*ISNUMBER(SEARCH(Rules!$D$2:$D$60,$D326)))</f>
        <v>0</v>
      </c>
      <c r="F326" s="0" t="n">
        <f aca="false">SUMPRODUCT((Rules!$A$2:$A$60=F$1)*Rules!$C$2:$C$60*ISNUMBER(SEARCH(Rules!$D$2:$D$60,$D326)))</f>
        <v>0</v>
      </c>
      <c r="G326" s="0" t="n">
        <f aca="false">SUMPRODUCT((Rules!$A$2:$A$60=G$1)*Rules!$C$2:$C$60*ISNUMBER(SEARCH(Rules!$D$2:$D$60,$D326)))</f>
        <v>0</v>
      </c>
      <c r="H326" s="0" t="n">
        <f aca="false">SUMPRODUCT((Rules!$A$2:$A$60=H$1)*Rules!$C$2:$C$60*ISNUMBER(SEARCH(Rules!$D$2:$D$60,$D326)))</f>
        <v>0</v>
      </c>
      <c r="I326" s="0" t="n">
        <f aca="false">SUMPRODUCT((Rules!$A$2:$A$60=I$1)*Rules!$C$2:$C$60*ISNUMBER(SEARCH(Rules!$D$2:$D$60,$D326)))</f>
        <v>0</v>
      </c>
      <c r="J326" s="0" t="n">
        <f aca="false">SUMPRODUCT((Rules!$A$2:$A$60=J$1)*Rules!$C$2:$C$60*ISNUMBER(SEARCH(Rules!$D$2:$D$60,$D326)))</f>
        <v>0</v>
      </c>
      <c r="K326" s="0" t="str">
        <f aca="false">IF(OR(MAX(E326:J326)&lt;Rules!$H$1,MAX(E326:J326)-LARGE(E326:J326,2)&lt;Rules!$H$2),"No label",INDEX($E$1:$J$1,MATCH(MAX(E326:J326),E326:J326,0)))</f>
        <v>No label</v>
      </c>
      <c r="L326" s="0" t="n">
        <f aca="false">SUMPRODUCT((Rules!$A$2:$A$60=L$1)*Rules!$C$2:$C$60*ISNUMBER(SEARCH(Rules!$E$2:$E$60,$D326)))</f>
        <v>0</v>
      </c>
      <c r="M326" s="0" t="n">
        <f aca="false">SUMPRODUCT((Rules!$A$2:$A$60=M$1)*Rules!$C$2:$C$60*ISNUMBER(SEARCH(Rules!$E$2:$E$60,$D326)))</f>
        <v>4</v>
      </c>
      <c r="N326" s="0" t="n">
        <f aca="false">SUMPRODUCT((Rules!$A$2:$A$60=N$1)*Rules!$C$2:$C$60*ISNUMBER(SEARCH(Rules!$E$2:$E$60,$D326)))</f>
        <v>0</v>
      </c>
      <c r="O326" s="0" t="n">
        <f aca="false">SUMPRODUCT((Rules!$A$2:$A$60=O$1)*Rules!$C$2:$C$60*ISNUMBER(SEARCH(Rules!$E$2:$E$60,$D326)))</f>
        <v>0</v>
      </c>
      <c r="P326" s="0" t="n">
        <f aca="false">SUMPRODUCT((Rules!$A$2:$A$60=P$1)*Rules!$C$2:$C$60*ISNUMBER(SEARCH(Rules!$E$2:$E$60,$D326)))</f>
        <v>0</v>
      </c>
      <c r="Q326" s="0" t="n">
        <f aca="false">SUMPRODUCT((Rules!$A$2:$A$60=Q$1)*Rules!$C$2:$C$60*ISNUMBER(SEARCH(Rules!$E$2:$E$60,$D326)))</f>
        <v>1</v>
      </c>
      <c r="R326" s="0" t="str">
        <f aca="false">IF(OR(MAX(L326:Q326)&lt;Rules!$H$1,MAX(L326:Q326)-LARGE(L326:Q326,2)&lt;Rules!$H$2),"No label",INDEX($L$1:$Q$1,MATCH(MAX(L326:Q326),L326:Q326,0)))</f>
        <v>Mis-selling</v>
      </c>
      <c r="S326" s="0" t="n">
        <f aca="false">SUMPRODUCT(ISNUMBER(SEARCH(" "&amp;Terms!$A$3:$A$821&amp;" ",$D326))*Terms!B$3:B$821)+Terms!B$2</f>
        <v>-0.115621642292285</v>
      </c>
      <c r="T326" s="0" t="n">
        <f aca="false">SUMPRODUCT(ISNUMBER(SEARCH(" "&amp;Terms!$A$3:$A$821&amp;" ",$D326))*Terms!C$3:C$821)+Terms!C$2</f>
        <v>0.34476506371546</v>
      </c>
      <c r="U326" s="0" t="n">
        <f aca="false">SUMPRODUCT(ISNUMBER(SEARCH(" "&amp;Terms!$A$3:$A$821&amp;" ",$D326))*Terms!D$3:D$821)+Terms!D$2</f>
        <v>-0.975627771562422</v>
      </c>
      <c r="V326" s="0" t="n">
        <f aca="false">SUMPRODUCT(ISNUMBER(SEARCH(" "&amp;Terms!$A$3:$A$821&amp;" ",$D326))*Terms!E$3:E$821)+Terms!E$2</f>
        <v>-1.76858683411065</v>
      </c>
      <c r="W326" s="0" t="n">
        <f aca="false">SUMPRODUCT(ISNUMBER(SEARCH(" "&amp;Terms!$A$3:$A$821&amp;" ",$D326))*Terms!F$3:F$821)+Terms!F$2</f>
        <v>-2.74543313040402</v>
      </c>
      <c r="X326" s="0" t="n">
        <f aca="false">SUMPRODUCT(ISNUMBER(SEARCH(" "&amp;Terms!$A$3:$A$821&amp;" ",$D326))*Terms!G$3:G$821)+Terms!G$2</f>
        <v>5.260504314654</v>
      </c>
      <c r="Y326" s="0" t="str">
        <f aca="false">INDEX($S$1:$X$1,MATCH(MAX(S326:X326),S326:X326,0))</f>
        <v>Mis-selling</v>
      </c>
      <c r="Z326" s="0" t="s">
        <v>2607</v>
      </c>
    </row>
    <row r="327" customFormat="false" ht="15" hidden="false" customHeight="false" outlineLevel="0" collapsed="false">
      <c r="A327" s="0" t="str">
        <f aca="false">Complaints!A327</f>
        <v>C0326</v>
      </c>
      <c r="B327" s="0" t="str">
        <f aca="false">Complaints!B327</f>
        <v>Frankly, My identity was stolen and a loan was taken out in my name. There was also a fee involved.</v>
      </c>
      <c r="C327" s="0" t="str">
        <f aca="false">Complaints!C327</f>
        <v>Fraud &amp; Scams</v>
      </c>
      <c r="D327" s="0" t="str">
        <f aca="false">" "&amp;TRIM(SUBSTITUTE(SUBSTITUTE(SUBSTITUTE(SUBSTITUTE(SUBSTITUTE(SUBSTITUTE(SUBSTITUTE(SUBSTITUTE(SUBSTITUTE(SUBSTITUTE(SUBSTITUTE(SUBSTITUTE(SUBSTITUTE(SUBSTITUTE(SUBSTITUTE(SUBSTITUTE(LOWER(B327),"."," "),","," "),"'"," "),"’"," "),"!"," "),"?"," "),";"," "),":"," "),"-"," "),"("," "),")"," "),"""", " "),"£"," "),"&amp;"," "),"/"," "),"%"," "))&amp;" "</f>
        <v> frankly my identity was stolen and a loan was taken out in my name there was also a fee involved </v>
      </c>
      <c r="E327" s="0" t="n">
        <f aca="false">SUMPRODUCT((Rules!$A$2:$A$60=E$1)*Rules!$C$2:$C$60*ISNUMBER(SEARCH(Rules!$D$2:$D$60,$D327)))</f>
        <v>2</v>
      </c>
      <c r="F327" s="0" t="n">
        <f aca="false">SUMPRODUCT((Rules!$A$2:$A$60=F$1)*Rules!$C$2:$C$60*ISNUMBER(SEARCH(Rules!$D$2:$D$60,$D327)))</f>
        <v>0</v>
      </c>
      <c r="G327" s="0" t="n">
        <f aca="false">SUMPRODUCT((Rules!$A$2:$A$60=G$1)*Rules!$C$2:$C$60*ISNUMBER(SEARCH(Rules!$D$2:$D$60,$D327)))</f>
        <v>0</v>
      </c>
      <c r="H327" s="0" t="n">
        <f aca="false">SUMPRODUCT((Rules!$A$2:$A$60=H$1)*Rules!$C$2:$C$60*ISNUMBER(SEARCH(Rules!$D$2:$D$60,$D327)))</f>
        <v>2</v>
      </c>
      <c r="I327" s="0" t="n">
        <f aca="false">SUMPRODUCT((Rules!$A$2:$A$60=I$1)*Rules!$C$2:$C$60*ISNUMBER(SEARCH(Rules!$D$2:$D$60,$D327)))</f>
        <v>0</v>
      </c>
      <c r="J327" s="0" t="n">
        <f aca="false">SUMPRODUCT((Rules!$A$2:$A$60=J$1)*Rules!$C$2:$C$60*ISNUMBER(SEARCH(Rules!$D$2:$D$60,$D327)))</f>
        <v>0</v>
      </c>
      <c r="K327" s="0" t="str">
        <f aca="false">IF(OR(MAX(E327:J327)&lt;Rules!$H$1,MAX(E327:J327)-LARGE(E327:J327,2)&lt;Rules!$H$2),"No label",INDEX($E$1:$J$1,MATCH(MAX(E327:J327),E327:J327,0)))</f>
        <v>No label</v>
      </c>
      <c r="L327" s="0" t="n">
        <f aca="false">SUMPRODUCT((Rules!$A$2:$A$60=L$1)*Rules!$C$2:$C$60*ISNUMBER(SEARCH(Rules!$E$2:$E$60,$D327)))</f>
        <v>2</v>
      </c>
      <c r="M327" s="0" t="n">
        <f aca="false">SUMPRODUCT((Rules!$A$2:$A$60=M$1)*Rules!$C$2:$C$60*ISNUMBER(SEARCH(Rules!$E$2:$E$60,$D327)))</f>
        <v>0</v>
      </c>
      <c r="N327" s="0" t="n">
        <f aca="false">SUMPRODUCT((Rules!$A$2:$A$60=N$1)*Rules!$C$2:$C$60*ISNUMBER(SEARCH(Rules!$E$2:$E$60,$D327)))</f>
        <v>0</v>
      </c>
      <c r="O327" s="0" t="n">
        <f aca="false">SUMPRODUCT((Rules!$A$2:$A$60=O$1)*Rules!$C$2:$C$60*ISNUMBER(SEARCH(Rules!$E$2:$E$60,$D327)))</f>
        <v>2</v>
      </c>
      <c r="P327" s="0" t="n">
        <f aca="false">SUMPRODUCT((Rules!$A$2:$A$60=P$1)*Rules!$C$2:$C$60*ISNUMBER(SEARCH(Rules!$E$2:$E$60,$D327)))</f>
        <v>0</v>
      </c>
      <c r="Q327" s="0" t="n">
        <f aca="false">SUMPRODUCT((Rules!$A$2:$A$60=Q$1)*Rules!$C$2:$C$60*ISNUMBER(SEARCH(Rules!$E$2:$E$60,$D327)))</f>
        <v>0</v>
      </c>
      <c r="R327" s="0" t="str">
        <f aca="false">IF(OR(MAX(L327:Q327)&lt;Rules!$H$1,MAX(L327:Q327)-LARGE(L327:Q327,2)&lt;Rules!$H$2),"No label",INDEX($L$1:$Q$1,MATCH(MAX(L327:Q327),L327:Q327,0)))</f>
        <v>No label</v>
      </c>
      <c r="S327" s="0" t="n">
        <f aca="false">SUMPRODUCT(ISNUMBER(SEARCH(" "&amp;Terms!$A$3:$A$821&amp;" ",$D327))*Terms!B$3:B$821)+Terms!B$2</f>
        <v>-0.874126917740655</v>
      </c>
      <c r="T327" s="0" t="n">
        <f aca="false">SUMPRODUCT(ISNUMBER(SEARCH(" "&amp;Terms!$A$3:$A$821&amp;" ",$D327))*Terms!C$3:C$821)+Terms!C$2</f>
        <v>-2.33227340821585</v>
      </c>
      <c r="U327" s="0" t="n">
        <f aca="false">SUMPRODUCT(ISNUMBER(SEARCH(" "&amp;Terms!$A$3:$A$821&amp;" ",$D327))*Terms!D$3:D$821)+Terms!D$2</f>
        <v>-2.94629601134102</v>
      </c>
      <c r="V327" s="0" t="n">
        <f aca="false">SUMPRODUCT(ISNUMBER(SEARCH(" "&amp;Terms!$A$3:$A$821&amp;" ",$D327))*Terms!E$3:E$821)+Terms!E$2</f>
        <v>2.07961192191316</v>
      </c>
      <c r="W327" s="0" t="n">
        <f aca="false">SUMPRODUCT(ISNUMBER(SEARCH(" "&amp;Terms!$A$3:$A$821&amp;" ",$D327))*Terms!F$3:F$821)+Terms!F$2</f>
        <v>6.32172663510345</v>
      </c>
      <c r="X327" s="0" t="n">
        <f aca="false">SUMPRODUCT(ISNUMBER(SEARCH(" "&amp;Terms!$A$3:$A$821&amp;" ",$D327))*Terms!G$3:G$821)+Terms!G$2</f>
        <v>-2.24864221971899</v>
      </c>
      <c r="Y327" s="0" t="str">
        <f aca="false">INDEX($S$1:$X$1,MATCH(MAX(S327:X327),S327:X327,0))</f>
        <v>Fraud &amp; Scams</v>
      </c>
      <c r="Z327" s="0" t="s">
        <v>2607</v>
      </c>
    </row>
    <row r="328" customFormat="false" ht="15" hidden="false" customHeight="false" outlineLevel="0" collapsed="false">
      <c r="A328" s="0" t="str">
        <f aca="false">Complaints!A328</f>
        <v>C0327</v>
      </c>
      <c r="B328" s="0" t="str">
        <f aca="false">Complaints!B328</f>
        <v>I am writing to complain. The direct debit setup was delayed and I missed a bill because of it. Also, i was hit with a penalty charge for a payment I made on time. I expect compensation.</v>
      </c>
      <c r="C328" s="0" t="str">
        <f aca="false">Complaints!C328</f>
        <v>Delays &amp; Processing</v>
      </c>
      <c r="D328" s="0" t="str">
        <f aca="false">" "&amp;TRIM(SUBSTITUTE(SUBSTITUTE(SUBSTITUTE(SUBSTITUTE(SUBSTITUTE(SUBSTITUTE(SUBSTITUTE(SUBSTITUTE(SUBSTITUTE(SUBSTITUTE(SUBSTITUTE(SUBSTITUTE(SUBSTITUTE(SUBSTITUTE(SUBSTITUTE(SUBSTITUTE(LOWER(B328),"."," "),","," "),"'"," "),"’"," "),"!"," "),"?"," "),";"," "),":"," "),"-"," "),"("," "),")"," "),"""", " "),"£"," "),"&amp;"," "),"/"," "),"%"," "))&amp;" "</f>
        <v> i am writing to complain the direct debit setup was delayed and i missed a bill because of it also i was hit with a penalty charge for a payment i made on time i expect compensation </v>
      </c>
      <c r="E328" s="0" t="n">
        <f aca="false">SUMPRODUCT((Rules!$A$2:$A$60=E$1)*Rules!$C$2:$C$60*ISNUMBER(SEARCH(Rules!$D$2:$D$60,$D328)))</f>
        <v>0</v>
      </c>
      <c r="F328" s="0" t="n">
        <f aca="false">SUMPRODUCT((Rules!$A$2:$A$60=F$1)*Rules!$C$2:$C$60*ISNUMBER(SEARCH(Rules!$D$2:$D$60,$D328)))</f>
        <v>0</v>
      </c>
      <c r="G328" s="0" t="n">
        <f aca="false">SUMPRODUCT((Rules!$A$2:$A$60=G$1)*Rules!$C$2:$C$60*ISNUMBER(SEARCH(Rules!$D$2:$D$60,$D328)))</f>
        <v>0</v>
      </c>
      <c r="H328" s="0" t="n">
        <f aca="false">SUMPRODUCT((Rules!$A$2:$A$60=H$1)*Rules!$C$2:$C$60*ISNUMBER(SEARCH(Rules!$D$2:$D$60,$D328)))</f>
        <v>4</v>
      </c>
      <c r="I328" s="0" t="n">
        <f aca="false">SUMPRODUCT((Rules!$A$2:$A$60=I$1)*Rules!$C$2:$C$60*ISNUMBER(SEARCH(Rules!$D$2:$D$60,$D328)))</f>
        <v>2</v>
      </c>
      <c r="J328" s="0" t="n">
        <f aca="false">SUMPRODUCT((Rules!$A$2:$A$60=J$1)*Rules!$C$2:$C$60*ISNUMBER(SEARCH(Rules!$D$2:$D$60,$D328)))</f>
        <v>0</v>
      </c>
      <c r="K328" s="0" t="str">
        <f aca="false">IF(OR(MAX(E328:J328)&lt;Rules!$H$1,MAX(E328:J328)-LARGE(E328:J328,2)&lt;Rules!$H$2),"No label",INDEX($E$1:$J$1,MATCH(MAX(E328:J328),E328:J328,0)))</f>
        <v>Fees &amp; Charges</v>
      </c>
      <c r="L328" s="0" t="n">
        <f aca="false">SUMPRODUCT((Rules!$A$2:$A$60=L$1)*Rules!$C$2:$C$60*ISNUMBER(SEARCH(Rules!$E$2:$E$60,$D328)))</f>
        <v>0</v>
      </c>
      <c r="M328" s="0" t="n">
        <f aca="false">SUMPRODUCT((Rules!$A$2:$A$60=M$1)*Rules!$C$2:$C$60*ISNUMBER(SEARCH(Rules!$E$2:$E$60,$D328)))</f>
        <v>0</v>
      </c>
      <c r="N328" s="0" t="n">
        <f aca="false">SUMPRODUCT((Rules!$A$2:$A$60=N$1)*Rules!$C$2:$C$60*ISNUMBER(SEARCH(Rules!$E$2:$E$60,$D328)))</f>
        <v>0</v>
      </c>
      <c r="O328" s="0" t="n">
        <f aca="false">SUMPRODUCT((Rules!$A$2:$A$60=O$1)*Rules!$C$2:$C$60*ISNUMBER(SEARCH(Rules!$E$2:$E$60,$D328)))</f>
        <v>8</v>
      </c>
      <c r="P328" s="0" t="n">
        <f aca="false">SUMPRODUCT((Rules!$A$2:$A$60=P$1)*Rules!$C$2:$C$60*ISNUMBER(SEARCH(Rules!$E$2:$E$60,$D328)))</f>
        <v>2</v>
      </c>
      <c r="Q328" s="0" t="n">
        <f aca="false">SUMPRODUCT((Rules!$A$2:$A$60=Q$1)*Rules!$C$2:$C$60*ISNUMBER(SEARCH(Rules!$E$2:$E$60,$D328)))</f>
        <v>0</v>
      </c>
      <c r="R328" s="0" t="str">
        <f aca="false">IF(OR(MAX(L328:Q328)&lt;Rules!$H$1,MAX(L328:Q328)-LARGE(L328:Q328,2)&lt;Rules!$H$2),"No label",INDEX($L$1:$Q$1,MATCH(MAX(L328:Q328),L328:Q328,0)))</f>
        <v>Fees &amp; Charges</v>
      </c>
      <c r="S328" s="0" t="n">
        <f aca="false">SUMPRODUCT(ISNUMBER(SEARCH(" "&amp;Terms!$A$3:$A$821&amp;" ",$D328))*Terms!B$3:B$821)+Terms!B$2</f>
        <v>-5.17617023008092</v>
      </c>
      <c r="T328" s="0" t="n">
        <f aca="false">SUMPRODUCT(ISNUMBER(SEARCH(" "&amp;Terms!$A$3:$A$821&amp;" ",$D328))*Terms!C$3:C$821)+Terms!C$2</f>
        <v>-2.71358774871008</v>
      </c>
      <c r="U328" s="0" t="n">
        <f aca="false">SUMPRODUCT(ISNUMBER(SEARCH(" "&amp;Terms!$A$3:$A$821&amp;" ",$D328))*Terms!D$3:D$821)+Terms!D$2</f>
        <v>10.531003135151</v>
      </c>
      <c r="V328" s="0" t="n">
        <f aca="false">SUMPRODUCT(ISNUMBER(SEARCH(" "&amp;Terms!$A$3:$A$821&amp;" ",$D328))*Terms!E$3:E$821)+Terms!E$2</f>
        <v>4.23054002611397</v>
      </c>
      <c r="W328" s="0" t="n">
        <f aca="false">SUMPRODUCT(ISNUMBER(SEARCH(" "&amp;Terms!$A$3:$A$821&amp;" ",$D328))*Terms!F$3:F$821)+Terms!F$2</f>
        <v>-0.645230269970063</v>
      </c>
      <c r="X328" s="0" t="n">
        <f aca="false">SUMPRODUCT(ISNUMBER(SEARCH(" "&amp;Terms!$A$3:$A$821&amp;" ",$D328))*Terms!G$3:G$821)+Terms!G$2</f>
        <v>-6.22655491250386</v>
      </c>
      <c r="Y328" s="0" t="str">
        <f aca="false">INDEX($S$1:$X$1,MATCH(MAX(S328:X328),S328:X328,0))</f>
        <v>Delays &amp; Processing</v>
      </c>
      <c r="Z328" s="0" t="s">
        <v>2607</v>
      </c>
    </row>
    <row r="329" customFormat="false" ht="15" hidden="false" customHeight="false" outlineLevel="0" collapsed="false">
      <c r="A329" s="0" t="str">
        <f aca="false">Complaints!A329</f>
        <v>C0328</v>
      </c>
      <c r="B329" s="0" t="str">
        <f aca="false">Complaints!B329</f>
        <v>This is the second time I have raised this. I was passed between four departments and no one took ownership. Also, the adviser did not explain the risks of the investment. Please sort this out.</v>
      </c>
      <c r="C329" s="0" t="str">
        <f aca="false">Complaints!C329</f>
        <v>Customer Service</v>
      </c>
      <c r="D329" s="0" t="str">
        <f aca="false">" "&amp;TRIM(SUBSTITUTE(SUBSTITUTE(SUBSTITUTE(SUBSTITUTE(SUBSTITUTE(SUBSTITUTE(SUBSTITUTE(SUBSTITUTE(SUBSTITUTE(SUBSTITUTE(SUBSTITUTE(SUBSTITUTE(SUBSTITUTE(SUBSTITUTE(SUBSTITUTE(SUBSTITUTE(LOWER(B329),"."," "),","," "),"'"," "),"’"," "),"!"," "),"?"," "),";"," "),":"," "),"-"," "),"("," "),")"," "),"""", " "),"£"," "),"&amp;"," "),"/"," "),"%"," "))&amp;" "</f>
        <v> this is the second time i have raised this i was passed between four departments and no one took ownership also the adviser did not explain the risks of the investment please sort this out </v>
      </c>
      <c r="E329" s="0" t="n">
        <f aca="false">SUMPRODUCT((Rules!$A$2:$A$60=E$1)*Rules!$C$2:$C$60*ISNUMBER(SEARCH(Rules!$D$2:$D$60,$D329)))</f>
        <v>0</v>
      </c>
      <c r="F329" s="0" t="n">
        <f aca="false">SUMPRODUCT((Rules!$A$2:$A$60=F$1)*Rules!$C$2:$C$60*ISNUMBER(SEARCH(Rules!$D$2:$D$60,$D329)))</f>
        <v>4</v>
      </c>
      <c r="G329" s="0" t="n">
        <f aca="false">SUMPRODUCT((Rules!$A$2:$A$60=G$1)*Rules!$C$2:$C$60*ISNUMBER(SEARCH(Rules!$D$2:$D$60,$D329)))</f>
        <v>0</v>
      </c>
      <c r="H329" s="0" t="n">
        <f aca="false">SUMPRODUCT((Rules!$A$2:$A$60=H$1)*Rules!$C$2:$C$60*ISNUMBER(SEARCH(Rules!$D$2:$D$60,$D329)))</f>
        <v>0</v>
      </c>
      <c r="I329" s="0" t="n">
        <f aca="false">SUMPRODUCT((Rules!$A$2:$A$60=I$1)*Rules!$C$2:$C$60*ISNUMBER(SEARCH(Rules!$D$2:$D$60,$D329)))</f>
        <v>0</v>
      </c>
      <c r="J329" s="0" t="n">
        <f aca="false">SUMPRODUCT((Rules!$A$2:$A$60=J$1)*Rules!$C$2:$C$60*ISNUMBER(SEARCH(Rules!$D$2:$D$60,$D329)))</f>
        <v>2</v>
      </c>
      <c r="K329" s="0" t="str">
        <f aca="false">IF(OR(MAX(E329:J329)&lt;Rules!$H$1,MAX(E329:J329)-LARGE(E329:J329,2)&lt;Rules!$H$2),"No label",INDEX($E$1:$J$1,MATCH(MAX(E329:J329),E329:J329,0)))</f>
        <v>Mis-selling</v>
      </c>
      <c r="L329" s="0" t="n">
        <f aca="false">SUMPRODUCT((Rules!$A$2:$A$60=L$1)*Rules!$C$2:$C$60*ISNUMBER(SEARCH(Rules!$E$2:$E$60,$D329)))</f>
        <v>0</v>
      </c>
      <c r="M329" s="0" t="n">
        <f aca="false">SUMPRODUCT((Rules!$A$2:$A$60=M$1)*Rules!$C$2:$C$60*ISNUMBER(SEARCH(Rules!$E$2:$E$60,$D329)))</f>
        <v>6</v>
      </c>
      <c r="N329" s="0" t="n">
        <f aca="false">SUMPRODUCT((Rules!$A$2:$A$60=N$1)*Rules!$C$2:$C$60*ISNUMBER(SEARCH(Rules!$E$2:$E$60,$D329)))</f>
        <v>0</v>
      </c>
      <c r="O329" s="0" t="n">
        <f aca="false">SUMPRODUCT((Rules!$A$2:$A$60=O$1)*Rules!$C$2:$C$60*ISNUMBER(SEARCH(Rules!$E$2:$E$60,$D329)))</f>
        <v>0</v>
      </c>
      <c r="P329" s="0" t="n">
        <f aca="false">SUMPRODUCT((Rules!$A$2:$A$60=P$1)*Rules!$C$2:$C$60*ISNUMBER(SEARCH(Rules!$E$2:$E$60,$D329)))</f>
        <v>0</v>
      </c>
      <c r="Q329" s="0" t="n">
        <f aca="false">SUMPRODUCT((Rules!$A$2:$A$60=Q$1)*Rules!$C$2:$C$60*ISNUMBER(SEARCH(Rules!$E$2:$E$60,$D329)))</f>
        <v>3</v>
      </c>
      <c r="R329" s="0" t="str">
        <f aca="false">IF(OR(MAX(L329:Q329)&lt;Rules!$H$1,MAX(L329:Q329)-LARGE(L329:Q329,2)&lt;Rules!$H$2),"No label",INDEX($L$1:$Q$1,MATCH(MAX(L329:Q329),L329:Q329,0)))</f>
        <v>Mis-selling</v>
      </c>
      <c r="S329" s="0" t="n">
        <f aca="false">SUMPRODUCT(ISNUMBER(SEARCH(" "&amp;Terms!$A$3:$A$821&amp;" ",$D329))*Terms!B$3:B$821)+Terms!B$2</f>
        <v>-8.7083327720804</v>
      </c>
      <c r="T329" s="0" t="n">
        <f aca="false">SUMPRODUCT(ISNUMBER(SEARCH(" "&amp;Terms!$A$3:$A$821&amp;" ",$D329))*Terms!C$3:C$821)+Terms!C$2</f>
        <v>10.4093134292369</v>
      </c>
      <c r="U329" s="0" t="n">
        <f aca="false">SUMPRODUCT(ISNUMBER(SEARCH(" "&amp;Terms!$A$3:$A$821&amp;" ",$D329))*Terms!D$3:D$821)+Terms!D$2</f>
        <v>-6.2411577151468</v>
      </c>
      <c r="V329" s="0" t="n">
        <f aca="false">SUMPRODUCT(ISNUMBER(SEARCH(" "&amp;Terms!$A$3:$A$821&amp;" ",$D329))*Terms!E$3:E$821)+Terms!E$2</f>
        <v>1.68053227263567</v>
      </c>
      <c r="W329" s="0" t="n">
        <f aca="false">SUMPRODUCT(ISNUMBER(SEARCH(" "&amp;Terms!$A$3:$A$821&amp;" ",$D329))*Terms!F$3:F$821)+Terms!F$2</f>
        <v>-2.36778902999323</v>
      </c>
      <c r="X329" s="0" t="n">
        <f aca="false">SUMPRODUCT(ISNUMBER(SEARCH(" "&amp;Terms!$A$3:$A$821&amp;" ",$D329))*Terms!G$3:G$821)+Terms!G$2</f>
        <v>5.22743381534795</v>
      </c>
      <c r="Y329" s="0" t="str">
        <f aca="false">INDEX($S$1:$X$1,MATCH(MAX(S329:X329),S329:X329,0))</f>
        <v>Customer Service</v>
      </c>
      <c r="Z329" s="0" t="s">
        <v>2607</v>
      </c>
    </row>
    <row r="330" customFormat="false" ht="15" hidden="false" customHeight="false" outlineLevel="0" collapsed="false">
      <c r="A330" s="0" t="str">
        <f aca="false">Complaints!A330</f>
        <v>C0329</v>
      </c>
      <c r="B330" s="0" t="str">
        <f aca="false">Complaints!B330</f>
        <v>The fraud team closed my case without investigating properly. It has also been taking far too long.</v>
      </c>
      <c r="C330" s="0" t="str">
        <f aca="false">Complaints!C330</f>
        <v>Fraud &amp; Scams</v>
      </c>
      <c r="D330" s="0" t="str">
        <f aca="false">" "&amp;TRIM(SUBSTITUTE(SUBSTITUTE(SUBSTITUTE(SUBSTITUTE(SUBSTITUTE(SUBSTITUTE(SUBSTITUTE(SUBSTITUTE(SUBSTITUTE(SUBSTITUTE(SUBSTITUTE(SUBSTITUTE(SUBSTITUTE(SUBSTITUTE(SUBSTITUTE(SUBSTITUTE(LOWER(B330),"."," "),","," "),"'"," "),"’"," "),"!"," "),"?"," "),";"," "),":"," "),"-"," "),"("," "),")"," "),"""", " "),"£"," "),"&amp;"," "),"/"," "),"%"," "))&amp;" "</f>
        <v> the fraud team closed my case without investigating properly it has also been taking far too long </v>
      </c>
      <c r="E330" s="0" t="n">
        <f aca="false">SUMPRODUCT((Rules!$A$2:$A$60=E$1)*Rules!$C$2:$C$60*ISNUMBER(SEARCH(Rules!$D$2:$D$60,$D330)))</f>
        <v>3</v>
      </c>
      <c r="F330" s="0" t="n">
        <f aca="false">SUMPRODUCT((Rules!$A$2:$A$60=F$1)*Rules!$C$2:$C$60*ISNUMBER(SEARCH(Rules!$D$2:$D$60,$D330)))</f>
        <v>0</v>
      </c>
      <c r="G330" s="0" t="n">
        <f aca="false">SUMPRODUCT((Rules!$A$2:$A$60=G$1)*Rules!$C$2:$C$60*ISNUMBER(SEARCH(Rules!$D$2:$D$60,$D330)))</f>
        <v>0</v>
      </c>
      <c r="H330" s="0" t="n">
        <f aca="false">SUMPRODUCT((Rules!$A$2:$A$60=H$1)*Rules!$C$2:$C$60*ISNUMBER(SEARCH(Rules!$D$2:$D$60,$D330)))</f>
        <v>0</v>
      </c>
      <c r="I330" s="0" t="n">
        <f aca="false">SUMPRODUCT((Rules!$A$2:$A$60=I$1)*Rules!$C$2:$C$60*ISNUMBER(SEARCH(Rules!$D$2:$D$60,$D330)))</f>
        <v>0</v>
      </c>
      <c r="J330" s="0" t="n">
        <f aca="false">SUMPRODUCT((Rules!$A$2:$A$60=J$1)*Rules!$C$2:$C$60*ISNUMBER(SEARCH(Rules!$D$2:$D$60,$D330)))</f>
        <v>0</v>
      </c>
      <c r="K330" s="0" t="str">
        <f aca="false">IF(OR(MAX(E330:J330)&lt;Rules!$H$1,MAX(E330:J330)-LARGE(E330:J330,2)&lt;Rules!$H$2),"No label",INDEX($E$1:$J$1,MATCH(MAX(E330:J330),E330:J330,0)))</f>
        <v>Fraud &amp; Scams</v>
      </c>
      <c r="L330" s="0" t="n">
        <f aca="false">SUMPRODUCT((Rules!$A$2:$A$60=L$1)*Rules!$C$2:$C$60*ISNUMBER(SEARCH(Rules!$E$2:$E$60,$D330)))</f>
        <v>3</v>
      </c>
      <c r="M330" s="0" t="n">
        <f aca="false">SUMPRODUCT((Rules!$A$2:$A$60=M$1)*Rules!$C$2:$C$60*ISNUMBER(SEARCH(Rules!$E$2:$E$60,$D330)))</f>
        <v>0</v>
      </c>
      <c r="N330" s="0" t="n">
        <f aca="false">SUMPRODUCT((Rules!$A$2:$A$60=N$1)*Rules!$C$2:$C$60*ISNUMBER(SEARCH(Rules!$E$2:$E$60,$D330)))</f>
        <v>0</v>
      </c>
      <c r="O330" s="0" t="n">
        <f aca="false">SUMPRODUCT((Rules!$A$2:$A$60=O$1)*Rules!$C$2:$C$60*ISNUMBER(SEARCH(Rules!$E$2:$E$60,$D330)))</f>
        <v>0</v>
      </c>
      <c r="P330" s="0" t="n">
        <f aca="false">SUMPRODUCT((Rules!$A$2:$A$60=P$1)*Rules!$C$2:$C$60*ISNUMBER(SEARCH(Rules!$E$2:$E$60,$D330)))</f>
        <v>0</v>
      </c>
      <c r="Q330" s="0" t="n">
        <f aca="false">SUMPRODUCT((Rules!$A$2:$A$60=Q$1)*Rules!$C$2:$C$60*ISNUMBER(SEARCH(Rules!$E$2:$E$60,$D330)))</f>
        <v>0</v>
      </c>
      <c r="R330" s="0" t="str">
        <f aca="false">IF(OR(MAX(L330:Q330)&lt;Rules!$H$1,MAX(L330:Q330)-LARGE(L330:Q330,2)&lt;Rules!$H$2),"No label",INDEX($L$1:$Q$1,MATCH(MAX(L330:Q330),L330:Q330,0)))</f>
        <v>Fraud &amp; Scams</v>
      </c>
      <c r="S330" s="0" t="n">
        <f aca="false">SUMPRODUCT(ISNUMBER(SEARCH(" "&amp;Terms!$A$3:$A$821&amp;" ",$D330))*Terms!B$3:B$821)+Terms!B$2</f>
        <v>-4.28512774401772</v>
      </c>
      <c r="T330" s="0" t="n">
        <f aca="false">SUMPRODUCT(ISNUMBER(SEARCH(" "&amp;Terms!$A$3:$A$821&amp;" ",$D330))*Terms!C$3:C$821)+Terms!C$2</f>
        <v>-0.0518701966071631</v>
      </c>
      <c r="U330" s="0" t="n">
        <f aca="false">SUMPRODUCT(ISNUMBER(SEARCH(" "&amp;Terms!$A$3:$A$821&amp;" ",$D330))*Terms!D$3:D$821)+Terms!D$2</f>
        <v>-1.88146055854338</v>
      </c>
      <c r="V330" s="0" t="n">
        <f aca="false">SUMPRODUCT(ISNUMBER(SEARCH(" "&amp;Terms!$A$3:$A$821&amp;" ",$D330))*Terms!E$3:E$821)+Terms!E$2</f>
        <v>-2.50451209977147</v>
      </c>
      <c r="W330" s="0" t="n">
        <f aca="false">SUMPRODUCT(ISNUMBER(SEARCH(" "&amp;Terms!$A$3:$A$821&amp;" ",$D330))*Terms!F$3:F$821)+Terms!F$2</f>
        <v>11.2086177584306</v>
      </c>
      <c r="X330" s="0" t="n">
        <f aca="false">SUMPRODUCT(ISNUMBER(SEARCH(" "&amp;Terms!$A$3:$A$821&amp;" ",$D330))*Terms!G$3:G$821)+Terms!G$2</f>
        <v>-2.48564715949073</v>
      </c>
      <c r="Y330" s="0" t="str">
        <f aca="false">INDEX($S$1:$X$1,MATCH(MAX(S330:X330),S330:X330,0))</f>
        <v>Fraud &amp; Scams</v>
      </c>
      <c r="Z330" s="0" t="s">
        <v>2608</v>
      </c>
    </row>
    <row r="331" customFormat="false" ht="15" hidden="false" customHeight="false" outlineLevel="0" collapsed="false">
      <c r="A331" s="0" t="str">
        <f aca="false">Complaints!A331</f>
        <v>C0330</v>
      </c>
      <c r="B331" s="0" t="str">
        <f aca="false">Complaints!B331</f>
        <v>Hello, I have been billed an annual fee I never agreed to.</v>
      </c>
      <c r="C331" s="0" t="str">
        <f aca="false">Complaints!C331</f>
        <v>Fees &amp; Charges</v>
      </c>
      <c r="D331" s="0" t="str">
        <f aca="false">" "&amp;TRIM(SUBSTITUTE(SUBSTITUTE(SUBSTITUTE(SUBSTITUTE(SUBSTITUTE(SUBSTITUTE(SUBSTITUTE(SUBSTITUTE(SUBSTITUTE(SUBSTITUTE(SUBSTITUTE(SUBSTITUTE(SUBSTITUTE(SUBSTITUTE(SUBSTITUTE(SUBSTITUTE(LOWER(B331),"."," "),","," "),"'"," "),"’"," "),"!"," "),"?"," "),";"," "),":"," "),"-"," "),"("," "),")"," "),"""", " "),"£"," "),"&amp;"," "),"/"," "),"%"," "))&amp;" "</f>
        <v> hello i have been billed an annual fee i never agreed to </v>
      </c>
      <c r="E331" s="0" t="n">
        <f aca="false">SUMPRODUCT((Rules!$A$2:$A$60=E$1)*Rules!$C$2:$C$60*ISNUMBER(SEARCH(Rules!$D$2:$D$60,$D331)))</f>
        <v>0</v>
      </c>
      <c r="F331" s="0" t="n">
        <f aca="false">SUMPRODUCT((Rules!$A$2:$A$60=F$1)*Rules!$C$2:$C$60*ISNUMBER(SEARCH(Rules!$D$2:$D$60,$D331)))</f>
        <v>0</v>
      </c>
      <c r="G331" s="0" t="n">
        <f aca="false">SUMPRODUCT((Rules!$A$2:$A$60=G$1)*Rules!$C$2:$C$60*ISNUMBER(SEARCH(Rules!$D$2:$D$60,$D331)))</f>
        <v>0</v>
      </c>
      <c r="H331" s="0" t="n">
        <f aca="false">SUMPRODUCT((Rules!$A$2:$A$60=H$1)*Rules!$C$2:$C$60*ISNUMBER(SEARCH(Rules!$D$2:$D$60,$D331)))</f>
        <v>4</v>
      </c>
      <c r="I331" s="0" t="n">
        <f aca="false">SUMPRODUCT((Rules!$A$2:$A$60=I$1)*Rules!$C$2:$C$60*ISNUMBER(SEARCH(Rules!$D$2:$D$60,$D331)))</f>
        <v>0</v>
      </c>
      <c r="J331" s="0" t="n">
        <f aca="false">SUMPRODUCT((Rules!$A$2:$A$60=J$1)*Rules!$C$2:$C$60*ISNUMBER(SEARCH(Rules!$D$2:$D$60,$D331)))</f>
        <v>0</v>
      </c>
      <c r="K331" s="0" t="str">
        <f aca="false">IF(OR(MAX(E331:J331)&lt;Rules!$H$1,MAX(E331:J331)-LARGE(E331:J331,2)&lt;Rules!$H$2),"No label",INDEX($E$1:$J$1,MATCH(MAX(E331:J331),E331:J331,0)))</f>
        <v>Fees &amp; Charges</v>
      </c>
      <c r="L331" s="0" t="n">
        <f aca="false">SUMPRODUCT((Rules!$A$2:$A$60=L$1)*Rules!$C$2:$C$60*ISNUMBER(SEARCH(Rules!$E$2:$E$60,$D331)))</f>
        <v>0</v>
      </c>
      <c r="M331" s="0" t="n">
        <f aca="false">SUMPRODUCT((Rules!$A$2:$A$60=M$1)*Rules!$C$2:$C$60*ISNUMBER(SEARCH(Rules!$E$2:$E$60,$D331)))</f>
        <v>0</v>
      </c>
      <c r="N331" s="0" t="n">
        <f aca="false">SUMPRODUCT((Rules!$A$2:$A$60=N$1)*Rules!$C$2:$C$60*ISNUMBER(SEARCH(Rules!$E$2:$E$60,$D331)))</f>
        <v>0</v>
      </c>
      <c r="O331" s="0" t="n">
        <f aca="false">SUMPRODUCT((Rules!$A$2:$A$60=O$1)*Rules!$C$2:$C$60*ISNUMBER(SEARCH(Rules!$E$2:$E$60,$D331)))</f>
        <v>4</v>
      </c>
      <c r="P331" s="0" t="n">
        <f aca="false">SUMPRODUCT((Rules!$A$2:$A$60=P$1)*Rules!$C$2:$C$60*ISNUMBER(SEARCH(Rules!$E$2:$E$60,$D331)))</f>
        <v>0</v>
      </c>
      <c r="Q331" s="0" t="n">
        <f aca="false">SUMPRODUCT((Rules!$A$2:$A$60=Q$1)*Rules!$C$2:$C$60*ISNUMBER(SEARCH(Rules!$E$2:$E$60,$D331)))</f>
        <v>0</v>
      </c>
      <c r="R331" s="0" t="str">
        <f aca="false">IF(OR(MAX(L331:Q331)&lt;Rules!$H$1,MAX(L331:Q331)-LARGE(L331:Q331,2)&lt;Rules!$H$2),"No label",INDEX($L$1:$Q$1,MATCH(MAX(L331:Q331),L331:Q331,0)))</f>
        <v>Fees &amp; Charges</v>
      </c>
      <c r="S331" s="0" t="n">
        <f aca="false">SUMPRODUCT(ISNUMBER(SEARCH(" "&amp;Terms!$A$3:$A$821&amp;" ",$D331))*Terms!B$3:B$821)+Terms!B$2</f>
        <v>-0.120964719851419</v>
      </c>
      <c r="T331" s="0" t="n">
        <f aca="false">SUMPRODUCT(ISNUMBER(SEARCH(" "&amp;Terms!$A$3:$A$821&amp;" ",$D331))*Terms!C$3:C$821)+Terms!C$2</f>
        <v>-1.13318694683985</v>
      </c>
      <c r="U331" s="0" t="n">
        <f aca="false">SUMPRODUCT(ISNUMBER(SEARCH(" "&amp;Terms!$A$3:$A$821&amp;" ",$D331))*Terms!D$3:D$821)+Terms!D$2</f>
        <v>-3.26870219438964</v>
      </c>
      <c r="V331" s="0" t="n">
        <f aca="false">SUMPRODUCT(ISNUMBER(SEARCH(" "&amp;Terms!$A$3:$A$821&amp;" ",$D331))*Terms!E$3:E$821)+Terms!E$2</f>
        <v>11.6324365042147</v>
      </c>
      <c r="W331" s="0" t="n">
        <f aca="false">SUMPRODUCT(ISNUMBER(SEARCH(" "&amp;Terms!$A$3:$A$821&amp;" ",$D331))*Terms!F$3:F$821)+Terms!F$2</f>
        <v>-5.32564982930241</v>
      </c>
      <c r="X331" s="0" t="n">
        <f aca="false">SUMPRODUCT(ISNUMBER(SEARCH(" "&amp;Terms!$A$3:$A$821&amp;" ",$D331))*Terms!G$3:G$821)+Terms!G$2</f>
        <v>-1.78393281383133</v>
      </c>
      <c r="Y331" s="0" t="str">
        <f aca="false">INDEX($S$1:$X$1,MATCH(MAX(S331:X331),S331:X331,0))</f>
        <v>Fees &amp; Charges</v>
      </c>
      <c r="Z331" s="0" t="s">
        <v>2607</v>
      </c>
    </row>
    <row r="332" customFormat="false" ht="15" hidden="false" customHeight="false" outlineLevel="0" collapsed="false">
      <c r="A332" s="0" t="str">
        <f aca="false">Complaints!A332</f>
        <v>C0331</v>
      </c>
      <c r="B332" s="0" t="str">
        <f aca="false">Complaints!B332</f>
        <v>Frankly, The complaints handler was unhelpful and talked over me. Please escalate this.</v>
      </c>
      <c r="C332" s="0" t="str">
        <f aca="false">Complaints!C332</f>
        <v>Customer Service</v>
      </c>
      <c r="D332" s="0" t="str">
        <f aca="false">" "&amp;TRIM(SUBSTITUTE(SUBSTITUTE(SUBSTITUTE(SUBSTITUTE(SUBSTITUTE(SUBSTITUTE(SUBSTITUTE(SUBSTITUTE(SUBSTITUTE(SUBSTITUTE(SUBSTITUTE(SUBSTITUTE(SUBSTITUTE(SUBSTITUTE(SUBSTITUTE(SUBSTITUTE(LOWER(B332),"."," "),","," "),"'"," "),"’"," "),"!"," "),"?"," "),";"," "),":"," "),"-"," "),"("," "),")"," "),"""", " "),"£"," "),"&amp;"," "),"/"," "),"%"," "))&amp;" "</f>
        <v> frankly the complaints handler was unhelpful and talked over me please escalate this </v>
      </c>
      <c r="E332" s="0" t="n">
        <f aca="false">SUMPRODUCT((Rules!$A$2:$A$60=E$1)*Rules!$C$2:$C$60*ISNUMBER(SEARCH(Rules!$D$2:$D$60,$D332)))</f>
        <v>0</v>
      </c>
      <c r="F332" s="0" t="n">
        <f aca="false">SUMPRODUCT((Rules!$A$2:$A$60=F$1)*Rules!$C$2:$C$60*ISNUMBER(SEARCH(Rules!$D$2:$D$60,$D332)))</f>
        <v>0</v>
      </c>
      <c r="G332" s="0" t="n">
        <f aca="false">SUMPRODUCT((Rules!$A$2:$A$60=G$1)*Rules!$C$2:$C$60*ISNUMBER(SEARCH(Rules!$D$2:$D$60,$D332)))</f>
        <v>0</v>
      </c>
      <c r="H332" s="0" t="n">
        <f aca="false">SUMPRODUCT((Rules!$A$2:$A$60=H$1)*Rules!$C$2:$C$60*ISNUMBER(SEARCH(Rules!$D$2:$D$60,$D332)))</f>
        <v>0</v>
      </c>
      <c r="I332" s="0" t="n">
        <f aca="false">SUMPRODUCT((Rules!$A$2:$A$60=I$1)*Rules!$C$2:$C$60*ISNUMBER(SEARCH(Rules!$D$2:$D$60,$D332)))</f>
        <v>0</v>
      </c>
      <c r="J332" s="0" t="n">
        <f aca="false">SUMPRODUCT((Rules!$A$2:$A$60=J$1)*Rules!$C$2:$C$60*ISNUMBER(SEARCH(Rules!$D$2:$D$60,$D332)))</f>
        <v>2</v>
      </c>
      <c r="K332" s="0" t="str">
        <f aca="false">IF(OR(MAX(E332:J332)&lt;Rules!$H$1,MAX(E332:J332)-LARGE(E332:J332,2)&lt;Rules!$H$2),"No label",INDEX($E$1:$J$1,MATCH(MAX(E332:J332),E332:J332,0)))</f>
        <v>No label</v>
      </c>
      <c r="L332" s="0" t="n">
        <f aca="false">SUMPRODUCT((Rules!$A$2:$A$60=L$1)*Rules!$C$2:$C$60*ISNUMBER(SEARCH(Rules!$E$2:$E$60,$D332)))</f>
        <v>0</v>
      </c>
      <c r="M332" s="0" t="n">
        <f aca="false">SUMPRODUCT((Rules!$A$2:$A$60=M$1)*Rules!$C$2:$C$60*ISNUMBER(SEARCH(Rules!$E$2:$E$60,$D332)))</f>
        <v>0</v>
      </c>
      <c r="N332" s="0" t="n">
        <f aca="false">SUMPRODUCT((Rules!$A$2:$A$60=N$1)*Rules!$C$2:$C$60*ISNUMBER(SEARCH(Rules!$E$2:$E$60,$D332)))</f>
        <v>0</v>
      </c>
      <c r="O332" s="0" t="n">
        <f aca="false">SUMPRODUCT((Rules!$A$2:$A$60=O$1)*Rules!$C$2:$C$60*ISNUMBER(SEARCH(Rules!$E$2:$E$60,$D332)))</f>
        <v>0</v>
      </c>
      <c r="P332" s="0" t="n">
        <f aca="false">SUMPRODUCT((Rules!$A$2:$A$60=P$1)*Rules!$C$2:$C$60*ISNUMBER(SEARCH(Rules!$E$2:$E$60,$D332)))</f>
        <v>0</v>
      </c>
      <c r="Q332" s="0" t="n">
        <f aca="false">SUMPRODUCT((Rules!$A$2:$A$60=Q$1)*Rules!$C$2:$C$60*ISNUMBER(SEARCH(Rules!$E$2:$E$60,$D332)))</f>
        <v>2</v>
      </c>
      <c r="R332" s="0" t="str">
        <f aca="false">IF(OR(MAX(L332:Q332)&lt;Rules!$H$1,MAX(L332:Q332)-LARGE(L332:Q332,2)&lt;Rules!$H$2),"No label",INDEX($L$1:$Q$1,MATCH(MAX(L332:Q332),L332:Q332,0)))</f>
        <v>No label</v>
      </c>
      <c r="S332" s="0" t="n">
        <f aca="false">SUMPRODUCT(ISNUMBER(SEARCH(" "&amp;Terms!$A$3:$A$821&amp;" ",$D332))*Terms!B$3:B$821)+Terms!B$2</f>
        <v>-1.37366893005231</v>
      </c>
      <c r="T332" s="0" t="n">
        <f aca="false">SUMPRODUCT(ISNUMBER(SEARCH(" "&amp;Terms!$A$3:$A$821&amp;" ",$D332))*Terms!C$3:C$821)+Terms!C$2</f>
        <v>8.24866702848937</v>
      </c>
      <c r="U332" s="0" t="n">
        <f aca="false">SUMPRODUCT(ISNUMBER(SEARCH(" "&amp;Terms!$A$3:$A$821&amp;" ",$D332))*Terms!D$3:D$821)+Terms!D$2</f>
        <v>-4.03470371496991</v>
      </c>
      <c r="V332" s="0" t="n">
        <f aca="false">SUMPRODUCT(ISNUMBER(SEARCH(" "&amp;Terms!$A$3:$A$821&amp;" ",$D332))*Terms!E$3:E$821)+Terms!E$2</f>
        <v>0.0185518339300073</v>
      </c>
      <c r="W332" s="0" t="n">
        <f aca="false">SUMPRODUCT(ISNUMBER(SEARCH(" "&amp;Terms!$A$3:$A$821&amp;" ",$D332))*Terms!F$3:F$821)+Terms!F$2</f>
        <v>-2.72237630874361</v>
      </c>
      <c r="X332" s="0" t="n">
        <f aca="false">SUMPRODUCT(ISNUMBER(SEARCH(" "&amp;Terms!$A$3:$A$821&amp;" ",$D332))*Terms!G$3:G$821)+Terms!G$2</f>
        <v>-0.136469908653446</v>
      </c>
      <c r="Y332" s="0" t="str">
        <f aca="false">INDEX($S$1:$X$1,MATCH(MAX(S332:X332),S332:X332,0))</f>
        <v>Customer Service</v>
      </c>
      <c r="Z332" s="0" t="s">
        <v>2607</v>
      </c>
    </row>
    <row r="333" customFormat="false" ht="15" hidden="false" customHeight="false" outlineLevel="0" collapsed="false">
      <c r="A333" s="0" t="str">
        <f aca="false">Complaints!A333</f>
        <v>C0332</v>
      </c>
      <c r="B333" s="0" t="str">
        <f aca="false">Complaints!B333</f>
        <v>To whom it may concern, The pension transfer advice I received was poor and I have lost out.</v>
      </c>
      <c r="C333" s="0" t="str">
        <f aca="false">Complaints!C333</f>
        <v>Mis-selling</v>
      </c>
      <c r="D333" s="0" t="str">
        <f aca="false">" "&amp;TRIM(SUBSTITUTE(SUBSTITUTE(SUBSTITUTE(SUBSTITUTE(SUBSTITUTE(SUBSTITUTE(SUBSTITUTE(SUBSTITUTE(SUBSTITUTE(SUBSTITUTE(SUBSTITUTE(SUBSTITUTE(SUBSTITUTE(SUBSTITUTE(SUBSTITUTE(SUBSTITUTE(LOWER(B333),"."," "),","," "),"'"," "),"’"," "),"!"," "),"?"," "),";"," "),":"," "),"-"," "),"("," "),")"," "),"""", " "),"£"," "),"&amp;"," "),"/"," "),"%"," "))&amp;" "</f>
        <v> to whom it may concern the pension transfer advice i received was poor and i have lost out </v>
      </c>
      <c r="E333" s="0" t="n">
        <f aca="false">SUMPRODUCT((Rules!$A$2:$A$60=E$1)*Rules!$C$2:$C$60*ISNUMBER(SEARCH(Rules!$D$2:$D$60,$D333)))</f>
        <v>0</v>
      </c>
      <c r="F333" s="0" t="n">
        <f aca="false">SUMPRODUCT((Rules!$A$2:$A$60=F$1)*Rules!$C$2:$C$60*ISNUMBER(SEARCH(Rules!$D$2:$D$60,$D333)))</f>
        <v>2</v>
      </c>
      <c r="G333" s="0" t="n">
        <f aca="false">SUMPRODUCT((Rules!$A$2:$A$60=G$1)*Rules!$C$2:$C$60*ISNUMBER(SEARCH(Rules!$D$2:$D$60,$D333)))</f>
        <v>0</v>
      </c>
      <c r="H333" s="0" t="n">
        <f aca="false">SUMPRODUCT((Rules!$A$2:$A$60=H$1)*Rules!$C$2:$C$60*ISNUMBER(SEARCH(Rules!$D$2:$D$60,$D333)))</f>
        <v>0</v>
      </c>
      <c r="I333" s="0" t="n">
        <f aca="false">SUMPRODUCT((Rules!$A$2:$A$60=I$1)*Rules!$C$2:$C$60*ISNUMBER(SEARCH(Rules!$D$2:$D$60,$D333)))</f>
        <v>0</v>
      </c>
      <c r="J333" s="0" t="n">
        <f aca="false">SUMPRODUCT((Rules!$A$2:$A$60=J$1)*Rules!$C$2:$C$60*ISNUMBER(SEARCH(Rules!$D$2:$D$60,$D333)))</f>
        <v>0</v>
      </c>
      <c r="K333" s="0" t="str">
        <f aca="false">IF(OR(MAX(E333:J333)&lt;Rules!$H$1,MAX(E333:J333)-LARGE(E333:J333,2)&lt;Rules!$H$2),"No label",INDEX($E$1:$J$1,MATCH(MAX(E333:J333),E333:J333,0)))</f>
        <v>No label</v>
      </c>
      <c r="L333" s="0" t="n">
        <f aca="false">SUMPRODUCT((Rules!$A$2:$A$60=L$1)*Rules!$C$2:$C$60*ISNUMBER(SEARCH(Rules!$E$2:$E$60,$D333)))</f>
        <v>0</v>
      </c>
      <c r="M333" s="0" t="n">
        <f aca="false">SUMPRODUCT((Rules!$A$2:$A$60=M$1)*Rules!$C$2:$C$60*ISNUMBER(SEARCH(Rules!$E$2:$E$60,$D333)))</f>
        <v>2</v>
      </c>
      <c r="N333" s="0" t="n">
        <f aca="false">SUMPRODUCT((Rules!$A$2:$A$60=N$1)*Rules!$C$2:$C$60*ISNUMBER(SEARCH(Rules!$E$2:$E$60,$D333)))</f>
        <v>0</v>
      </c>
      <c r="O333" s="0" t="n">
        <f aca="false">SUMPRODUCT((Rules!$A$2:$A$60=O$1)*Rules!$C$2:$C$60*ISNUMBER(SEARCH(Rules!$E$2:$E$60,$D333)))</f>
        <v>0</v>
      </c>
      <c r="P333" s="0" t="n">
        <f aca="false">SUMPRODUCT((Rules!$A$2:$A$60=P$1)*Rules!$C$2:$C$60*ISNUMBER(SEARCH(Rules!$E$2:$E$60,$D333)))</f>
        <v>0</v>
      </c>
      <c r="Q333" s="0" t="n">
        <f aca="false">SUMPRODUCT((Rules!$A$2:$A$60=Q$1)*Rules!$C$2:$C$60*ISNUMBER(SEARCH(Rules!$E$2:$E$60,$D333)))</f>
        <v>0</v>
      </c>
      <c r="R333" s="0" t="str">
        <f aca="false">IF(OR(MAX(L333:Q333)&lt;Rules!$H$1,MAX(L333:Q333)-LARGE(L333:Q333,2)&lt;Rules!$H$2),"No label",INDEX($L$1:$Q$1,MATCH(MAX(L333:Q333),L333:Q333,0)))</f>
        <v>No label</v>
      </c>
      <c r="S333" s="0" t="n">
        <f aca="false">SUMPRODUCT(ISNUMBER(SEARCH(" "&amp;Terms!$A$3:$A$821&amp;" ",$D333))*Terms!B$3:B$821)+Terms!B$2</f>
        <v>-3.25959568142457</v>
      </c>
      <c r="T333" s="0" t="n">
        <f aca="false">SUMPRODUCT(ISNUMBER(SEARCH(" "&amp;Terms!$A$3:$A$821&amp;" ",$D333))*Terms!C$3:C$821)+Terms!C$2</f>
        <v>-2.71874658954764</v>
      </c>
      <c r="U333" s="0" t="n">
        <f aca="false">SUMPRODUCT(ISNUMBER(SEARCH(" "&amp;Terms!$A$3:$A$821&amp;" ",$D333))*Terms!D$3:D$821)+Terms!D$2</f>
        <v>1.75515353557511</v>
      </c>
      <c r="V333" s="0" t="n">
        <f aca="false">SUMPRODUCT(ISNUMBER(SEARCH(" "&amp;Terms!$A$3:$A$821&amp;" ",$D333))*Terms!E$3:E$821)+Terms!E$2</f>
        <v>-1.48734940058474</v>
      </c>
      <c r="W333" s="0" t="n">
        <f aca="false">SUMPRODUCT(ISNUMBER(SEARCH(" "&amp;Terms!$A$3:$A$821&amp;" ",$D333))*Terms!F$3:F$821)+Terms!F$2</f>
        <v>-3.30252517657453</v>
      </c>
      <c r="X333" s="0" t="n">
        <f aca="false">SUMPRODUCT(ISNUMBER(SEARCH(" "&amp;Terms!$A$3:$A$821&amp;" ",$D333))*Terms!G$3:G$821)+Terms!G$2</f>
        <v>9.01306331255647</v>
      </c>
      <c r="Y333" s="0" t="str">
        <f aca="false">INDEX($S$1:$X$1,MATCH(MAX(S333:X333),S333:X333,0))</f>
        <v>Mis-selling</v>
      </c>
      <c r="Z333" s="0" t="s">
        <v>2608</v>
      </c>
    </row>
    <row r="334" customFormat="false" ht="15" hidden="false" customHeight="false" outlineLevel="0" collapsed="false">
      <c r="A334" s="0" t="str">
        <f aca="false">Complaints!A334</f>
        <v>C0333</v>
      </c>
      <c r="B334" s="0" t="str">
        <f aca="false">Complaints!B334</f>
        <v>I was sold a product that was not suitable for my circumstances. Please escalate this.</v>
      </c>
      <c r="C334" s="0" t="str">
        <f aca="false">Complaints!C334</f>
        <v>Mis-selling</v>
      </c>
      <c r="D334" s="0" t="str">
        <f aca="false">" "&amp;TRIM(SUBSTITUTE(SUBSTITUTE(SUBSTITUTE(SUBSTITUTE(SUBSTITUTE(SUBSTITUTE(SUBSTITUTE(SUBSTITUTE(SUBSTITUTE(SUBSTITUTE(SUBSTITUTE(SUBSTITUTE(SUBSTITUTE(SUBSTITUTE(SUBSTITUTE(SUBSTITUTE(LOWER(B334),"."," "),","," "),"'"," "),"’"," "),"!"," "),"?"," "),";"," "),":"," "),"-"," "),"("," "),")"," "),"""", " "),"£"," "),"&amp;"," "),"/"," "),"%"," "))&amp;" "</f>
        <v> i was sold a product that was not suitable for my circumstances please escalate this </v>
      </c>
      <c r="E334" s="0" t="n">
        <f aca="false">SUMPRODUCT((Rules!$A$2:$A$60=E$1)*Rules!$C$2:$C$60*ISNUMBER(SEARCH(Rules!$D$2:$D$60,$D334)))</f>
        <v>0</v>
      </c>
      <c r="F334" s="0" t="n">
        <f aca="false">SUMPRODUCT((Rules!$A$2:$A$60=F$1)*Rules!$C$2:$C$60*ISNUMBER(SEARCH(Rules!$D$2:$D$60,$D334)))</f>
        <v>5</v>
      </c>
      <c r="G334" s="0" t="n">
        <f aca="false">SUMPRODUCT((Rules!$A$2:$A$60=G$1)*Rules!$C$2:$C$60*ISNUMBER(SEARCH(Rules!$D$2:$D$60,$D334)))</f>
        <v>0</v>
      </c>
      <c r="H334" s="0" t="n">
        <f aca="false">SUMPRODUCT((Rules!$A$2:$A$60=H$1)*Rules!$C$2:$C$60*ISNUMBER(SEARCH(Rules!$D$2:$D$60,$D334)))</f>
        <v>0</v>
      </c>
      <c r="I334" s="0" t="n">
        <f aca="false">SUMPRODUCT((Rules!$A$2:$A$60=I$1)*Rules!$C$2:$C$60*ISNUMBER(SEARCH(Rules!$D$2:$D$60,$D334)))</f>
        <v>0</v>
      </c>
      <c r="J334" s="0" t="n">
        <f aca="false">SUMPRODUCT((Rules!$A$2:$A$60=J$1)*Rules!$C$2:$C$60*ISNUMBER(SEARCH(Rules!$D$2:$D$60,$D334)))</f>
        <v>0</v>
      </c>
      <c r="K334" s="0" t="str">
        <f aca="false">IF(OR(MAX(E334:J334)&lt;Rules!$H$1,MAX(E334:J334)-LARGE(E334:J334,2)&lt;Rules!$H$2),"No label",INDEX($E$1:$J$1,MATCH(MAX(E334:J334),E334:J334,0)))</f>
        <v>Mis-selling</v>
      </c>
      <c r="L334" s="0" t="n">
        <f aca="false">SUMPRODUCT((Rules!$A$2:$A$60=L$1)*Rules!$C$2:$C$60*ISNUMBER(SEARCH(Rules!$E$2:$E$60,$D334)))</f>
        <v>0</v>
      </c>
      <c r="M334" s="0" t="n">
        <f aca="false">SUMPRODUCT((Rules!$A$2:$A$60=M$1)*Rules!$C$2:$C$60*ISNUMBER(SEARCH(Rules!$E$2:$E$60,$D334)))</f>
        <v>5</v>
      </c>
      <c r="N334" s="0" t="n">
        <f aca="false">SUMPRODUCT((Rules!$A$2:$A$60=N$1)*Rules!$C$2:$C$60*ISNUMBER(SEARCH(Rules!$E$2:$E$60,$D334)))</f>
        <v>0</v>
      </c>
      <c r="O334" s="0" t="n">
        <f aca="false">SUMPRODUCT((Rules!$A$2:$A$60=O$1)*Rules!$C$2:$C$60*ISNUMBER(SEARCH(Rules!$E$2:$E$60,$D334)))</f>
        <v>0</v>
      </c>
      <c r="P334" s="0" t="n">
        <f aca="false">SUMPRODUCT((Rules!$A$2:$A$60=P$1)*Rules!$C$2:$C$60*ISNUMBER(SEARCH(Rules!$E$2:$E$60,$D334)))</f>
        <v>0</v>
      </c>
      <c r="Q334" s="0" t="n">
        <f aca="false">SUMPRODUCT((Rules!$A$2:$A$60=Q$1)*Rules!$C$2:$C$60*ISNUMBER(SEARCH(Rules!$E$2:$E$60,$D334)))</f>
        <v>0</v>
      </c>
      <c r="R334" s="0" t="str">
        <f aca="false">IF(OR(MAX(L334:Q334)&lt;Rules!$H$1,MAX(L334:Q334)-LARGE(L334:Q334,2)&lt;Rules!$H$2),"No label",INDEX($L$1:$Q$1,MATCH(MAX(L334:Q334),L334:Q334,0)))</f>
        <v>Mis-selling</v>
      </c>
      <c r="S334" s="0" t="n">
        <f aca="false">SUMPRODUCT(ISNUMBER(SEARCH(" "&amp;Terms!$A$3:$A$821&amp;" ",$D334))*Terms!B$3:B$821)+Terms!B$2</f>
        <v>-1.27304417183046</v>
      </c>
      <c r="T334" s="0" t="n">
        <f aca="false">SUMPRODUCT(ISNUMBER(SEARCH(" "&amp;Terms!$A$3:$A$821&amp;" ",$D334))*Terms!C$3:C$821)+Terms!C$2</f>
        <v>-1.4542821241018</v>
      </c>
      <c r="U334" s="0" t="n">
        <f aca="false">SUMPRODUCT(ISNUMBER(SEARCH(" "&amp;Terms!$A$3:$A$821&amp;" ",$D334))*Terms!D$3:D$821)+Terms!D$2</f>
        <v>-0.504235358695601</v>
      </c>
      <c r="V334" s="0" t="n">
        <f aca="false">SUMPRODUCT(ISNUMBER(SEARCH(" "&amp;Terms!$A$3:$A$821&amp;" ",$D334))*Terms!E$3:E$821)+Terms!E$2</f>
        <v>-1.33825352777974</v>
      </c>
      <c r="W334" s="0" t="n">
        <f aca="false">SUMPRODUCT(ISNUMBER(SEARCH(" "&amp;Terms!$A$3:$A$821&amp;" ",$D334))*Terms!F$3:F$821)+Terms!F$2</f>
        <v>-2.30586992433834</v>
      </c>
      <c r="X334" s="0" t="n">
        <f aca="false">SUMPRODUCT(ISNUMBER(SEARCH(" "&amp;Terms!$A$3:$A$821&amp;" ",$D334))*Terms!G$3:G$821)+Terms!G$2</f>
        <v>6.87568510674605</v>
      </c>
      <c r="Y334" s="0" t="str">
        <f aca="false">INDEX($S$1:$X$1,MATCH(MAX(S334:X334),S334:X334,0))</f>
        <v>Mis-selling</v>
      </c>
      <c r="Z334" s="0" t="s">
        <v>2607</v>
      </c>
    </row>
    <row r="335" customFormat="false" ht="15" hidden="false" customHeight="false" outlineLevel="0" collapsed="false">
      <c r="A335" s="0" t="str">
        <f aca="false">Complaints!A335</f>
        <v>C0334</v>
      </c>
      <c r="B335" s="0" t="str">
        <f aca="false">Complaints!B335</f>
        <v>Nothing has been done and I am losing patience.</v>
      </c>
      <c r="C335" s="0" t="str">
        <f aca="false">Complaints!C335</f>
        <v>Mis-selling</v>
      </c>
      <c r="D335" s="0" t="str">
        <f aca="false">" "&amp;TRIM(SUBSTITUTE(SUBSTITUTE(SUBSTITUTE(SUBSTITUTE(SUBSTITUTE(SUBSTITUTE(SUBSTITUTE(SUBSTITUTE(SUBSTITUTE(SUBSTITUTE(SUBSTITUTE(SUBSTITUTE(SUBSTITUTE(SUBSTITUTE(SUBSTITUTE(SUBSTITUTE(LOWER(B335),"."," "),","," "),"'"," "),"’"," "),"!"," "),"?"," "),";"," "),":"," "),"-"," "),"("," "),")"," "),"""", " "),"£"," "),"&amp;"," "),"/"," "),"%"," "))&amp;" "</f>
        <v> nothing has been done and i am losing patience </v>
      </c>
      <c r="E335" s="0" t="n">
        <f aca="false">SUMPRODUCT((Rules!$A$2:$A$60=E$1)*Rules!$C$2:$C$60*ISNUMBER(SEARCH(Rules!$D$2:$D$60,$D335)))</f>
        <v>0</v>
      </c>
      <c r="F335" s="0" t="n">
        <f aca="false">SUMPRODUCT((Rules!$A$2:$A$60=F$1)*Rules!$C$2:$C$60*ISNUMBER(SEARCH(Rules!$D$2:$D$60,$D335)))</f>
        <v>0</v>
      </c>
      <c r="G335" s="0" t="n">
        <f aca="false">SUMPRODUCT((Rules!$A$2:$A$60=G$1)*Rules!$C$2:$C$60*ISNUMBER(SEARCH(Rules!$D$2:$D$60,$D335)))</f>
        <v>0</v>
      </c>
      <c r="H335" s="0" t="n">
        <f aca="false">SUMPRODUCT((Rules!$A$2:$A$60=H$1)*Rules!$C$2:$C$60*ISNUMBER(SEARCH(Rules!$D$2:$D$60,$D335)))</f>
        <v>0</v>
      </c>
      <c r="I335" s="0" t="n">
        <f aca="false">SUMPRODUCT((Rules!$A$2:$A$60=I$1)*Rules!$C$2:$C$60*ISNUMBER(SEARCH(Rules!$D$2:$D$60,$D335)))</f>
        <v>0</v>
      </c>
      <c r="J335" s="0" t="n">
        <f aca="false">SUMPRODUCT((Rules!$A$2:$A$60=J$1)*Rules!$C$2:$C$60*ISNUMBER(SEARCH(Rules!$D$2:$D$60,$D335)))</f>
        <v>0</v>
      </c>
      <c r="K335" s="0" t="str">
        <f aca="false">IF(OR(MAX(E335:J335)&lt;Rules!$H$1,MAX(E335:J335)-LARGE(E335:J335,2)&lt;Rules!$H$2),"No label",INDEX($E$1:$J$1,MATCH(MAX(E335:J335),E335:J335,0)))</f>
        <v>No label</v>
      </c>
      <c r="L335" s="0" t="n">
        <f aca="false">SUMPRODUCT((Rules!$A$2:$A$60=L$1)*Rules!$C$2:$C$60*ISNUMBER(SEARCH(Rules!$E$2:$E$60,$D335)))</f>
        <v>0</v>
      </c>
      <c r="M335" s="0" t="n">
        <f aca="false">SUMPRODUCT((Rules!$A$2:$A$60=M$1)*Rules!$C$2:$C$60*ISNUMBER(SEARCH(Rules!$E$2:$E$60,$D335)))</f>
        <v>0</v>
      </c>
      <c r="N335" s="0" t="n">
        <f aca="false">SUMPRODUCT((Rules!$A$2:$A$60=N$1)*Rules!$C$2:$C$60*ISNUMBER(SEARCH(Rules!$E$2:$E$60,$D335)))</f>
        <v>0</v>
      </c>
      <c r="O335" s="0" t="n">
        <f aca="false">SUMPRODUCT((Rules!$A$2:$A$60=O$1)*Rules!$C$2:$C$60*ISNUMBER(SEARCH(Rules!$E$2:$E$60,$D335)))</f>
        <v>0</v>
      </c>
      <c r="P335" s="0" t="n">
        <f aca="false">SUMPRODUCT((Rules!$A$2:$A$60=P$1)*Rules!$C$2:$C$60*ISNUMBER(SEARCH(Rules!$E$2:$E$60,$D335)))</f>
        <v>0</v>
      </c>
      <c r="Q335" s="0" t="n">
        <f aca="false">SUMPRODUCT((Rules!$A$2:$A$60=Q$1)*Rules!$C$2:$C$60*ISNUMBER(SEARCH(Rules!$E$2:$E$60,$D335)))</f>
        <v>0</v>
      </c>
      <c r="R335" s="0" t="str">
        <f aca="false">IF(OR(MAX(L335:Q335)&lt;Rules!$H$1,MAX(L335:Q335)-LARGE(L335:Q335,2)&lt;Rules!$H$2),"No label",INDEX($L$1:$Q$1,MATCH(MAX(L335:Q335),L335:Q335,0)))</f>
        <v>No label</v>
      </c>
      <c r="S335" s="0" t="n">
        <f aca="false">SUMPRODUCT(ISNUMBER(SEARCH(" "&amp;Terms!$A$3:$A$821&amp;" ",$D335))*Terms!B$3:B$821)+Terms!B$2</f>
        <v>1.42499728516533</v>
      </c>
      <c r="T335" s="0" t="n">
        <f aca="false">SUMPRODUCT(ISNUMBER(SEARCH(" "&amp;Terms!$A$3:$A$821&amp;" ",$D335))*Terms!C$3:C$821)+Terms!C$2</f>
        <v>1.73273520456807</v>
      </c>
      <c r="U335" s="0" t="n">
        <f aca="false">SUMPRODUCT(ISNUMBER(SEARCH(" "&amp;Terms!$A$3:$A$821&amp;" ",$D335))*Terms!D$3:D$821)+Terms!D$2</f>
        <v>-1.8751907252395</v>
      </c>
      <c r="V335" s="0" t="n">
        <f aca="false">SUMPRODUCT(ISNUMBER(SEARCH(" "&amp;Terms!$A$3:$A$821&amp;" ",$D335))*Terms!E$3:E$821)+Terms!E$2</f>
        <v>-2.02069084994089</v>
      </c>
      <c r="W335" s="0" t="n">
        <f aca="false">SUMPRODUCT(ISNUMBER(SEARCH(" "&amp;Terms!$A$3:$A$821&amp;" ",$D335))*Terms!F$3:F$821)+Terms!F$2</f>
        <v>-2.04539956289265</v>
      </c>
      <c r="X335" s="0" t="n">
        <f aca="false">SUMPRODUCT(ISNUMBER(SEARCH(" "&amp;Terms!$A$3:$A$821&amp;" ",$D335))*Terms!G$3:G$821)+Terms!G$2</f>
        <v>2.78354864833974</v>
      </c>
      <c r="Y335" s="0" t="str">
        <f aca="false">INDEX($S$1:$X$1,MATCH(MAX(S335:X335),S335:X335,0))</f>
        <v>Mis-selling</v>
      </c>
      <c r="Z335" s="0" t="s">
        <v>2607</v>
      </c>
    </row>
    <row r="336" customFormat="false" ht="15" hidden="false" customHeight="false" outlineLevel="0" collapsed="false">
      <c r="A336" s="0" t="str">
        <f aca="false">Complaints!A336</f>
        <v>C0335</v>
      </c>
      <c r="B336" s="0" t="str">
        <f aca="false">Complaints!B336</f>
        <v>I feel I was treated badly because of my age. I expect compensation.</v>
      </c>
      <c r="C336" s="0" t="str">
        <f aca="false">Complaints!C336</f>
        <v>Customer Service</v>
      </c>
      <c r="D336" s="0" t="str">
        <f aca="false">" "&amp;TRIM(SUBSTITUTE(SUBSTITUTE(SUBSTITUTE(SUBSTITUTE(SUBSTITUTE(SUBSTITUTE(SUBSTITUTE(SUBSTITUTE(SUBSTITUTE(SUBSTITUTE(SUBSTITUTE(SUBSTITUTE(SUBSTITUTE(SUBSTITUTE(SUBSTITUTE(SUBSTITUTE(LOWER(B336),"."," "),","," "),"'"," "),"’"," "),"!"," "),"?"," "),";"," "),":"," "),"-"," "),"("," "),")"," "),"""", " "),"£"," "),"&amp;"," "),"/"," "),"%"," "))&amp;" "</f>
        <v> i feel i was treated badly because of my age i expect compensation </v>
      </c>
      <c r="E336" s="0" t="n">
        <f aca="false">SUMPRODUCT((Rules!$A$2:$A$60=E$1)*Rules!$C$2:$C$60*ISNUMBER(SEARCH(Rules!$D$2:$D$60,$D336)))</f>
        <v>0</v>
      </c>
      <c r="F336" s="0" t="n">
        <f aca="false">SUMPRODUCT((Rules!$A$2:$A$60=F$1)*Rules!$C$2:$C$60*ISNUMBER(SEARCH(Rules!$D$2:$D$60,$D336)))</f>
        <v>0</v>
      </c>
      <c r="G336" s="0" t="n">
        <f aca="false">SUMPRODUCT((Rules!$A$2:$A$60=G$1)*Rules!$C$2:$C$60*ISNUMBER(SEARCH(Rules!$D$2:$D$60,$D336)))</f>
        <v>0</v>
      </c>
      <c r="H336" s="0" t="n">
        <f aca="false">SUMPRODUCT((Rules!$A$2:$A$60=H$1)*Rules!$C$2:$C$60*ISNUMBER(SEARCH(Rules!$D$2:$D$60,$D336)))</f>
        <v>0</v>
      </c>
      <c r="I336" s="0" t="n">
        <f aca="false">SUMPRODUCT((Rules!$A$2:$A$60=I$1)*Rules!$C$2:$C$60*ISNUMBER(SEARCH(Rules!$D$2:$D$60,$D336)))</f>
        <v>0</v>
      </c>
      <c r="J336" s="0" t="n">
        <f aca="false">SUMPRODUCT((Rules!$A$2:$A$60=J$1)*Rules!$C$2:$C$60*ISNUMBER(SEARCH(Rules!$D$2:$D$60,$D336)))</f>
        <v>3</v>
      </c>
      <c r="K336" s="0" t="str">
        <f aca="false">IF(OR(MAX(E336:J336)&lt;Rules!$H$1,MAX(E336:J336)-LARGE(E336:J336,2)&lt;Rules!$H$2),"No label",INDEX($E$1:$J$1,MATCH(MAX(E336:J336),E336:J336,0)))</f>
        <v>Customer Service</v>
      </c>
      <c r="L336" s="0" t="n">
        <f aca="false">SUMPRODUCT((Rules!$A$2:$A$60=L$1)*Rules!$C$2:$C$60*ISNUMBER(SEARCH(Rules!$E$2:$E$60,$D336)))</f>
        <v>0</v>
      </c>
      <c r="M336" s="0" t="n">
        <f aca="false">SUMPRODUCT((Rules!$A$2:$A$60=M$1)*Rules!$C$2:$C$60*ISNUMBER(SEARCH(Rules!$E$2:$E$60,$D336)))</f>
        <v>0</v>
      </c>
      <c r="N336" s="0" t="n">
        <f aca="false">SUMPRODUCT((Rules!$A$2:$A$60=N$1)*Rules!$C$2:$C$60*ISNUMBER(SEARCH(Rules!$E$2:$E$60,$D336)))</f>
        <v>0</v>
      </c>
      <c r="O336" s="0" t="n">
        <f aca="false">SUMPRODUCT((Rules!$A$2:$A$60=O$1)*Rules!$C$2:$C$60*ISNUMBER(SEARCH(Rules!$E$2:$E$60,$D336)))</f>
        <v>0</v>
      </c>
      <c r="P336" s="0" t="n">
        <f aca="false">SUMPRODUCT((Rules!$A$2:$A$60=P$1)*Rules!$C$2:$C$60*ISNUMBER(SEARCH(Rules!$E$2:$E$60,$D336)))</f>
        <v>0</v>
      </c>
      <c r="Q336" s="0" t="n">
        <f aca="false">SUMPRODUCT((Rules!$A$2:$A$60=Q$1)*Rules!$C$2:$C$60*ISNUMBER(SEARCH(Rules!$E$2:$E$60,$D336)))</f>
        <v>3</v>
      </c>
      <c r="R336" s="0" t="str">
        <f aca="false">IF(OR(MAX(L336:Q336)&lt;Rules!$H$1,MAX(L336:Q336)-LARGE(L336:Q336,2)&lt;Rules!$H$2),"No label",INDEX($L$1:$Q$1,MATCH(MAX(L336:Q336),L336:Q336,0)))</f>
        <v>Customer Service</v>
      </c>
      <c r="S336" s="0" t="n">
        <f aca="false">SUMPRODUCT(ISNUMBER(SEARCH(" "&amp;Terms!$A$3:$A$821&amp;" ",$D336))*Terms!B$3:B$821)+Terms!B$2</f>
        <v>2.33574104980113</v>
      </c>
      <c r="T336" s="0" t="n">
        <f aca="false">SUMPRODUCT(ISNUMBER(SEARCH(" "&amp;Terms!$A$3:$A$821&amp;" ",$D336))*Terms!C$3:C$821)+Terms!C$2</f>
        <v>8.07818556963992</v>
      </c>
      <c r="U336" s="0" t="n">
        <f aca="false">SUMPRODUCT(ISNUMBER(SEARCH(" "&amp;Terms!$A$3:$A$821&amp;" ",$D336))*Terms!D$3:D$821)+Terms!D$2</f>
        <v>-4.21271455348393</v>
      </c>
      <c r="V336" s="0" t="n">
        <f aca="false">SUMPRODUCT(ISNUMBER(SEARCH(" "&amp;Terms!$A$3:$A$821&amp;" ",$D336))*Terms!E$3:E$821)+Terms!E$2</f>
        <v>-3.86159814523141</v>
      </c>
      <c r="W336" s="0" t="n">
        <f aca="false">SUMPRODUCT(ISNUMBER(SEARCH(" "&amp;Terms!$A$3:$A$821&amp;" ",$D336))*Terms!F$3:F$821)+Terms!F$2</f>
        <v>-0.468675813404361</v>
      </c>
      <c r="X336" s="0" t="n">
        <f aca="false">SUMPRODUCT(ISNUMBER(SEARCH(" "&amp;Terms!$A$3:$A$821&amp;" ",$D336))*Terms!G$3:G$821)+Terms!G$2</f>
        <v>-1.87093810732124</v>
      </c>
      <c r="Y336" s="0" t="str">
        <f aca="false">INDEX($S$1:$X$1,MATCH(MAX(S336:X336),S336:X336,0))</f>
        <v>Customer Service</v>
      </c>
      <c r="Z336" s="0" t="s">
        <v>2607</v>
      </c>
    </row>
    <row r="337" customFormat="false" ht="15" hidden="false" customHeight="false" outlineLevel="0" collapsed="false">
      <c r="A337" s="0" t="str">
        <f aca="false">Complaints!A337</f>
        <v>C0336</v>
      </c>
      <c r="B337" s="0" t="str">
        <f aca="false">Complaints!B337</f>
        <v>I am writing to complain. Nobody has responded to my emails despite three reminders. I want this put right.</v>
      </c>
      <c r="C337" s="0" t="str">
        <f aca="false">Complaints!C337</f>
        <v>Customer Service</v>
      </c>
      <c r="D337" s="0" t="str">
        <f aca="false">" "&amp;TRIM(SUBSTITUTE(SUBSTITUTE(SUBSTITUTE(SUBSTITUTE(SUBSTITUTE(SUBSTITUTE(SUBSTITUTE(SUBSTITUTE(SUBSTITUTE(SUBSTITUTE(SUBSTITUTE(SUBSTITUTE(SUBSTITUTE(SUBSTITUTE(SUBSTITUTE(SUBSTITUTE(LOWER(B337),"."," "),","," "),"'"," "),"’"," "),"!"," "),"?"," "),";"," "),":"," "),"-"," "),"("," "),")"," "),"""", " "),"£"," "),"&amp;"," "),"/"," "),"%"," "))&amp;" "</f>
        <v> i am writing to complain nobody has responded to my emails despite three reminders i want this put right </v>
      </c>
      <c r="E337" s="0" t="n">
        <f aca="false">SUMPRODUCT((Rules!$A$2:$A$60=E$1)*Rules!$C$2:$C$60*ISNUMBER(SEARCH(Rules!$D$2:$D$60,$D337)))</f>
        <v>0</v>
      </c>
      <c r="F337" s="0" t="n">
        <f aca="false">SUMPRODUCT((Rules!$A$2:$A$60=F$1)*Rules!$C$2:$C$60*ISNUMBER(SEARCH(Rules!$D$2:$D$60,$D337)))</f>
        <v>0</v>
      </c>
      <c r="G337" s="0" t="n">
        <f aca="false">SUMPRODUCT((Rules!$A$2:$A$60=G$1)*Rules!$C$2:$C$60*ISNUMBER(SEARCH(Rules!$D$2:$D$60,$D337)))</f>
        <v>0</v>
      </c>
      <c r="H337" s="0" t="n">
        <f aca="false">SUMPRODUCT((Rules!$A$2:$A$60=H$1)*Rules!$C$2:$C$60*ISNUMBER(SEARCH(Rules!$D$2:$D$60,$D337)))</f>
        <v>0</v>
      </c>
      <c r="I337" s="0" t="n">
        <f aca="false">SUMPRODUCT((Rules!$A$2:$A$60=I$1)*Rules!$C$2:$C$60*ISNUMBER(SEARCH(Rules!$D$2:$D$60,$D337)))</f>
        <v>0</v>
      </c>
      <c r="J337" s="0" t="n">
        <f aca="false">SUMPRODUCT((Rules!$A$2:$A$60=J$1)*Rules!$C$2:$C$60*ISNUMBER(SEARCH(Rules!$D$2:$D$60,$D337)))</f>
        <v>2</v>
      </c>
      <c r="K337" s="0" t="str">
        <f aca="false">IF(OR(MAX(E337:J337)&lt;Rules!$H$1,MAX(E337:J337)-LARGE(E337:J337,2)&lt;Rules!$H$2),"No label",INDEX($E$1:$J$1,MATCH(MAX(E337:J337),E337:J337,0)))</f>
        <v>No label</v>
      </c>
      <c r="L337" s="0" t="n">
        <f aca="false">SUMPRODUCT((Rules!$A$2:$A$60=L$1)*Rules!$C$2:$C$60*ISNUMBER(SEARCH(Rules!$E$2:$E$60,$D337)))</f>
        <v>0</v>
      </c>
      <c r="M337" s="0" t="n">
        <f aca="false">SUMPRODUCT((Rules!$A$2:$A$60=M$1)*Rules!$C$2:$C$60*ISNUMBER(SEARCH(Rules!$E$2:$E$60,$D337)))</f>
        <v>0</v>
      </c>
      <c r="N337" s="0" t="n">
        <f aca="false">SUMPRODUCT((Rules!$A$2:$A$60=N$1)*Rules!$C$2:$C$60*ISNUMBER(SEARCH(Rules!$E$2:$E$60,$D337)))</f>
        <v>0</v>
      </c>
      <c r="O337" s="0" t="n">
        <f aca="false">SUMPRODUCT((Rules!$A$2:$A$60=O$1)*Rules!$C$2:$C$60*ISNUMBER(SEARCH(Rules!$E$2:$E$60,$D337)))</f>
        <v>0</v>
      </c>
      <c r="P337" s="0" t="n">
        <f aca="false">SUMPRODUCT((Rules!$A$2:$A$60=P$1)*Rules!$C$2:$C$60*ISNUMBER(SEARCH(Rules!$E$2:$E$60,$D337)))</f>
        <v>0</v>
      </c>
      <c r="Q337" s="0" t="n">
        <f aca="false">SUMPRODUCT((Rules!$A$2:$A$60=Q$1)*Rules!$C$2:$C$60*ISNUMBER(SEARCH(Rules!$E$2:$E$60,$D337)))</f>
        <v>2</v>
      </c>
      <c r="R337" s="0" t="str">
        <f aca="false">IF(OR(MAX(L337:Q337)&lt;Rules!$H$1,MAX(L337:Q337)-LARGE(L337:Q337,2)&lt;Rules!$H$2),"No label",INDEX($L$1:$Q$1,MATCH(MAX(L337:Q337),L337:Q337,0)))</f>
        <v>No label</v>
      </c>
      <c r="S337" s="0" t="n">
        <f aca="false">SUMPRODUCT(ISNUMBER(SEARCH(" "&amp;Terms!$A$3:$A$821&amp;" ",$D337))*Terms!B$3:B$821)+Terms!B$2</f>
        <v>-4.43914896183336</v>
      </c>
      <c r="T337" s="0" t="n">
        <f aca="false">SUMPRODUCT(ISNUMBER(SEARCH(" "&amp;Terms!$A$3:$A$821&amp;" ",$D337))*Terms!C$3:C$821)+Terms!C$2</f>
        <v>8.33634562417024</v>
      </c>
      <c r="U337" s="0" t="n">
        <f aca="false">SUMPRODUCT(ISNUMBER(SEARCH(" "&amp;Terms!$A$3:$A$821&amp;" ",$D337))*Terms!D$3:D$821)+Terms!D$2</f>
        <v>-0.823504018502108</v>
      </c>
      <c r="V337" s="0" t="n">
        <f aca="false">SUMPRODUCT(ISNUMBER(SEARCH(" "&amp;Terms!$A$3:$A$821&amp;" ",$D337))*Terms!E$3:E$821)+Terms!E$2</f>
        <v>-1.24603934372467</v>
      </c>
      <c r="W337" s="0" t="n">
        <f aca="false">SUMPRODUCT(ISNUMBER(SEARCH(" "&amp;Terms!$A$3:$A$821&amp;" ",$D337))*Terms!F$3:F$821)+Terms!F$2</f>
        <v>-0.212155501403772</v>
      </c>
      <c r="X337" s="0" t="n">
        <f aca="false">SUMPRODUCT(ISNUMBER(SEARCH(" "&amp;Terms!$A$3:$A$821&amp;" ",$D337))*Terms!G$3:G$821)+Terms!G$2</f>
        <v>-1.61549779870624</v>
      </c>
      <c r="Y337" s="0" t="str">
        <f aca="false">INDEX($S$1:$X$1,MATCH(MAX(S337:X337),S337:X337,0))</f>
        <v>Customer Service</v>
      </c>
      <c r="Z337" s="0" t="s">
        <v>2607</v>
      </c>
    </row>
    <row r="338" customFormat="false" ht="15" hidden="false" customHeight="false" outlineLevel="0" collapsed="false">
      <c r="A338" s="0" t="str">
        <f aca="false">Complaints!A338</f>
        <v>C0337</v>
      </c>
      <c r="B338" s="0" t="str">
        <f aca="false">Complaints!B338</f>
        <v>Hello, I was passed between four departments and no one took ownership.</v>
      </c>
      <c r="C338" s="0" t="str">
        <f aca="false">Complaints!C338</f>
        <v>Customer Service</v>
      </c>
      <c r="D338" s="0" t="str">
        <f aca="false">" "&amp;TRIM(SUBSTITUTE(SUBSTITUTE(SUBSTITUTE(SUBSTITUTE(SUBSTITUTE(SUBSTITUTE(SUBSTITUTE(SUBSTITUTE(SUBSTITUTE(SUBSTITUTE(SUBSTITUTE(SUBSTITUTE(SUBSTITUTE(SUBSTITUTE(SUBSTITUTE(SUBSTITUTE(LOWER(B338),"."," "),","," "),"'"," "),"’"," "),"!"," "),"?"," "),";"," "),":"," "),"-"," "),"("," "),")"," "),"""", " "),"£"," "),"&amp;"," "),"/"," "),"%"," "))&amp;" "</f>
        <v> hello i was passed between four departments and no one took ownership </v>
      </c>
      <c r="E338" s="0" t="n">
        <f aca="false">SUMPRODUCT((Rules!$A$2:$A$60=E$1)*Rules!$C$2:$C$60*ISNUMBER(SEARCH(Rules!$D$2:$D$60,$D338)))</f>
        <v>0</v>
      </c>
      <c r="F338" s="0" t="n">
        <f aca="false">SUMPRODUCT((Rules!$A$2:$A$60=F$1)*Rules!$C$2:$C$60*ISNUMBER(SEARCH(Rules!$D$2:$D$60,$D338)))</f>
        <v>0</v>
      </c>
      <c r="G338" s="0" t="n">
        <f aca="false">SUMPRODUCT((Rules!$A$2:$A$60=G$1)*Rules!$C$2:$C$60*ISNUMBER(SEARCH(Rules!$D$2:$D$60,$D338)))</f>
        <v>0</v>
      </c>
      <c r="H338" s="0" t="n">
        <f aca="false">SUMPRODUCT((Rules!$A$2:$A$60=H$1)*Rules!$C$2:$C$60*ISNUMBER(SEARCH(Rules!$D$2:$D$60,$D338)))</f>
        <v>0</v>
      </c>
      <c r="I338" s="0" t="n">
        <f aca="false">SUMPRODUCT((Rules!$A$2:$A$60=I$1)*Rules!$C$2:$C$60*ISNUMBER(SEARCH(Rules!$D$2:$D$60,$D338)))</f>
        <v>0</v>
      </c>
      <c r="J338" s="0" t="n">
        <f aca="false">SUMPRODUCT((Rules!$A$2:$A$60=J$1)*Rules!$C$2:$C$60*ISNUMBER(SEARCH(Rules!$D$2:$D$60,$D338)))</f>
        <v>2</v>
      </c>
      <c r="K338" s="0" t="str">
        <f aca="false">IF(OR(MAX(E338:J338)&lt;Rules!$H$1,MAX(E338:J338)-LARGE(E338:J338,2)&lt;Rules!$H$2),"No label",INDEX($E$1:$J$1,MATCH(MAX(E338:J338),E338:J338,0)))</f>
        <v>No label</v>
      </c>
      <c r="L338" s="0" t="n">
        <f aca="false">SUMPRODUCT((Rules!$A$2:$A$60=L$1)*Rules!$C$2:$C$60*ISNUMBER(SEARCH(Rules!$E$2:$E$60,$D338)))</f>
        <v>0</v>
      </c>
      <c r="M338" s="0" t="n">
        <f aca="false">SUMPRODUCT((Rules!$A$2:$A$60=M$1)*Rules!$C$2:$C$60*ISNUMBER(SEARCH(Rules!$E$2:$E$60,$D338)))</f>
        <v>0</v>
      </c>
      <c r="N338" s="0" t="n">
        <f aca="false">SUMPRODUCT((Rules!$A$2:$A$60=N$1)*Rules!$C$2:$C$60*ISNUMBER(SEARCH(Rules!$E$2:$E$60,$D338)))</f>
        <v>0</v>
      </c>
      <c r="O338" s="0" t="n">
        <f aca="false">SUMPRODUCT((Rules!$A$2:$A$60=O$1)*Rules!$C$2:$C$60*ISNUMBER(SEARCH(Rules!$E$2:$E$60,$D338)))</f>
        <v>0</v>
      </c>
      <c r="P338" s="0" t="n">
        <f aca="false">SUMPRODUCT((Rules!$A$2:$A$60=P$1)*Rules!$C$2:$C$60*ISNUMBER(SEARCH(Rules!$E$2:$E$60,$D338)))</f>
        <v>0</v>
      </c>
      <c r="Q338" s="0" t="n">
        <f aca="false">SUMPRODUCT((Rules!$A$2:$A$60=Q$1)*Rules!$C$2:$C$60*ISNUMBER(SEARCH(Rules!$E$2:$E$60,$D338)))</f>
        <v>2</v>
      </c>
      <c r="R338" s="0" t="str">
        <f aca="false">IF(OR(MAX(L338:Q338)&lt;Rules!$H$1,MAX(L338:Q338)-LARGE(L338:Q338,2)&lt;Rules!$H$2),"No label",INDEX($L$1:$Q$1,MATCH(MAX(L338:Q338),L338:Q338,0)))</f>
        <v>No label</v>
      </c>
      <c r="S338" s="0" t="n">
        <f aca="false">SUMPRODUCT(ISNUMBER(SEARCH(" "&amp;Terms!$A$3:$A$821&amp;" ",$D338))*Terms!B$3:B$821)+Terms!B$2</f>
        <v>-1.13684534203498</v>
      </c>
      <c r="T338" s="0" t="n">
        <f aca="false">SUMPRODUCT(ISNUMBER(SEARCH(" "&amp;Terms!$A$3:$A$821&amp;" ",$D338))*Terms!C$3:C$821)+Terms!C$2</f>
        <v>8.85533315266084</v>
      </c>
      <c r="U338" s="0" t="n">
        <f aca="false">SUMPRODUCT(ISNUMBER(SEARCH(" "&amp;Terms!$A$3:$A$821&amp;" ",$D338))*Terms!D$3:D$821)+Terms!D$2</f>
        <v>-2.92837422764087</v>
      </c>
      <c r="V338" s="0" t="n">
        <f aca="false">SUMPRODUCT(ISNUMBER(SEARCH(" "&amp;Terms!$A$3:$A$821&amp;" ",$D338))*Terms!E$3:E$821)+Terms!E$2</f>
        <v>0.134788674923844</v>
      </c>
      <c r="W338" s="0" t="n">
        <f aca="false">SUMPRODUCT(ISNUMBER(SEARCH(" "&amp;Terms!$A$3:$A$821&amp;" ",$D338))*Terms!F$3:F$821)+Terms!F$2</f>
        <v>-2.63004860422515</v>
      </c>
      <c r="X338" s="0" t="n">
        <f aca="false">SUMPRODUCT(ISNUMBER(SEARCH(" "&amp;Terms!$A$3:$A$821&amp;" ",$D338))*Terms!G$3:G$821)+Terms!G$2</f>
        <v>-2.29485365368358</v>
      </c>
      <c r="Y338" s="0" t="str">
        <f aca="false">INDEX($S$1:$X$1,MATCH(MAX(S338:X338),S338:X338,0))</f>
        <v>Customer Service</v>
      </c>
      <c r="Z338" s="0" t="s">
        <v>2607</v>
      </c>
    </row>
    <row r="339" customFormat="false" ht="15" hidden="false" customHeight="false" outlineLevel="0" collapsed="false">
      <c r="A339" s="0" t="str">
        <f aca="false">Complaints!A339</f>
        <v>C0338</v>
      </c>
      <c r="B339" s="0" t="str">
        <f aca="false">Complaints!B339</f>
        <v>I am writing to complain. My identity was stolen and a loan was taken out in my name. Also, the costs keep creeping up and my balance is lower than it should be. This is not acceptable.</v>
      </c>
      <c r="C339" s="0" t="str">
        <f aca="false">Complaints!C339</f>
        <v>Fraud &amp; Scams</v>
      </c>
      <c r="D339" s="0" t="str">
        <f aca="false">" "&amp;TRIM(SUBSTITUTE(SUBSTITUTE(SUBSTITUTE(SUBSTITUTE(SUBSTITUTE(SUBSTITUTE(SUBSTITUTE(SUBSTITUTE(SUBSTITUTE(SUBSTITUTE(SUBSTITUTE(SUBSTITUTE(SUBSTITUTE(SUBSTITUTE(SUBSTITUTE(SUBSTITUTE(LOWER(B339),"."," "),","," "),"'"," "),"’"," "),"!"," "),"?"," "),";"," "),":"," "),"-"," "),"("," "),")"," "),"""", " "),"£"," "),"&amp;"," "),"/"," "),"%"," "))&amp;" "</f>
        <v> i am writing to complain my identity was stolen and a loan was taken out in my name also the costs keep creeping up and my balance is lower than it should be this is not acceptable </v>
      </c>
      <c r="E339" s="0" t="n">
        <f aca="false">SUMPRODUCT((Rules!$A$2:$A$60=E$1)*Rules!$C$2:$C$60*ISNUMBER(SEARCH(Rules!$D$2:$D$60,$D339)))</f>
        <v>2</v>
      </c>
      <c r="F339" s="0" t="n">
        <f aca="false">SUMPRODUCT((Rules!$A$2:$A$60=F$1)*Rules!$C$2:$C$60*ISNUMBER(SEARCH(Rules!$D$2:$D$60,$D339)))</f>
        <v>0</v>
      </c>
      <c r="G339" s="0" t="n">
        <f aca="false">SUMPRODUCT((Rules!$A$2:$A$60=G$1)*Rules!$C$2:$C$60*ISNUMBER(SEARCH(Rules!$D$2:$D$60,$D339)))</f>
        <v>0</v>
      </c>
      <c r="H339" s="0" t="n">
        <f aca="false">SUMPRODUCT((Rules!$A$2:$A$60=H$1)*Rules!$C$2:$C$60*ISNUMBER(SEARCH(Rules!$D$2:$D$60,$D339)))</f>
        <v>1</v>
      </c>
      <c r="I339" s="0" t="n">
        <f aca="false">SUMPRODUCT((Rules!$A$2:$A$60=I$1)*Rules!$C$2:$C$60*ISNUMBER(SEARCH(Rules!$D$2:$D$60,$D339)))</f>
        <v>0</v>
      </c>
      <c r="J339" s="0" t="n">
        <f aca="false">SUMPRODUCT((Rules!$A$2:$A$60=J$1)*Rules!$C$2:$C$60*ISNUMBER(SEARCH(Rules!$D$2:$D$60,$D339)))</f>
        <v>0</v>
      </c>
      <c r="K339" s="0" t="str">
        <f aca="false">IF(OR(MAX(E339:J339)&lt;Rules!$H$1,MAX(E339:J339)-LARGE(E339:J339,2)&lt;Rules!$H$2),"No label",INDEX($E$1:$J$1,MATCH(MAX(E339:J339),E339:J339,0)))</f>
        <v>No label</v>
      </c>
      <c r="L339" s="0" t="n">
        <f aca="false">SUMPRODUCT((Rules!$A$2:$A$60=L$1)*Rules!$C$2:$C$60*ISNUMBER(SEARCH(Rules!$E$2:$E$60,$D339)))</f>
        <v>2</v>
      </c>
      <c r="M339" s="0" t="n">
        <f aca="false">SUMPRODUCT((Rules!$A$2:$A$60=M$1)*Rules!$C$2:$C$60*ISNUMBER(SEARCH(Rules!$E$2:$E$60,$D339)))</f>
        <v>0</v>
      </c>
      <c r="N339" s="0" t="n">
        <f aca="false">SUMPRODUCT((Rules!$A$2:$A$60=N$1)*Rules!$C$2:$C$60*ISNUMBER(SEARCH(Rules!$E$2:$E$60,$D339)))</f>
        <v>1</v>
      </c>
      <c r="O339" s="0" t="n">
        <f aca="false">SUMPRODUCT((Rules!$A$2:$A$60=O$1)*Rules!$C$2:$C$60*ISNUMBER(SEARCH(Rules!$E$2:$E$60,$D339)))</f>
        <v>1</v>
      </c>
      <c r="P339" s="0" t="n">
        <f aca="false">SUMPRODUCT((Rules!$A$2:$A$60=P$1)*Rules!$C$2:$C$60*ISNUMBER(SEARCH(Rules!$E$2:$E$60,$D339)))</f>
        <v>0</v>
      </c>
      <c r="Q339" s="0" t="n">
        <f aca="false">SUMPRODUCT((Rules!$A$2:$A$60=Q$1)*Rules!$C$2:$C$60*ISNUMBER(SEARCH(Rules!$E$2:$E$60,$D339)))</f>
        <v>0</v>
      </c>
      <c r="R339" s="0" t="str">
        <f aca="false">IF(OR(MAX(L339:Q339)&lt;Rules!$H$1,MAX(L339:Q339)-LARGE(L339:Q339,2)&lt;Rules!$H$2),"No label",INDEX($L$1:$Q$1,MATCH(MAX(L339:Q339),L339:Q339,0)))</f>
        <v>No label</v>
      </c>
      <c r="S339" s="0" t="n">
        <f aca="false">SUMPRODUCT(ISNUMBER(SEARCH(" "&amp;Terms!$A$3:$A$821&amp;" ",$D339))*Terms!B$3:B$821)+Terms!B$2</f>
        <v>-0.394019739523936</v>
      </c>
      <c r="T339" s="0" t="n">
        <f aca="false">SUMPRODUCT(ISNUMBER(SEARCH(" "&amp;Terms!$A$3:$A$821&amp;" ",$D339))*Terms!C$3:C$821)+Terms!C$2</f>
        <v>-2.86279419445525</v>
      </c>
      <c r="U339" s="0" t="n">
        <f aca="false">SUMPRODUCT(ISNUMBER(SEARCH(" "&amp;Terms!$A$3:$A$821&amp;" ",$D339))*Terms!D$3:D$821)+Terms!D$2</f>
        <v>-1.49465381227819</v>
      </c>
      <c r="V339" s="0" t="n">
        <f aca="false">SUMPRODUCT(ISNUMBER(SEARCH(" "&amp;Terms!$A$3:$A$821&amp;" ",$D339))*Terms!E$3:E$821)+Terms!E$2</f>
        <v>3.20364042662495</v>
      </c>
      <c r="W339" s="0" t="n">
        <f aca="false">SUMPRODUCT(ISNUMBER(SEARCH(" "&amp;Terms!$A$3:$A$821&amp;" ",$D339))*Terms!F$3:F$821)+Terms!F$2</f>
        <v>6.3476300610723</v>
      </c>
      <c r="X339" s="0" t="n">
        <f aca="false">SUMPRODUCT(ISNUMBER(SEARCH(" "&amp;Terms!$A$3:$A$821&amp;" ",$D339))*Terms!G$3:G$821)+Terms!G$2</f>
        <v>-4.79980274143977</v>
      </c>
      <c r="Y339" s="0" t="str">
        <f aca="false">INDEX($S$1:$X$1,MATCH(MAX(S339:X339),S339:X339,0))</f>
        <v>Fraud &amp; Scams</v>
      </c>
      <c r="Z339" s="0" t="s">
        <v>2607</v>
      </c>
    </row>
    <row r="340" customFormat="false" ht="15" hidden="false" customHeight="false" outlineLevel="0" collapsed="false">
      <c r="A340" s="0" t="str">
        <f aca="false">Complaints!A340</f>
        <v>C0339</v>
      </c>
      <c r="B340" s="0" t="str">
        <f aca="false">Complaints!B340</f>
        <v>My identity was stolen and a loan was taken out in my name. This is not acceptable.</v>
      </c>
      <c r="C340" s="0" t="str">
        <f aca="false">Complaints!C340</f>
        <v>Fraud &amp; Scams</v>
      </c>
      <c r="D340" s="0" t="str">
        <f aca="false">" "&amp;TRIM(SUBSTITUTE(SUBSTITUTE(SUBSTITUTE(SUBSTITUTE(SUBSTITUTE(SUBSTITUTE(SUBSTITUTE(SUBSTITUTE(SUBSTITUTE(SUBSTITUTE(SUBSTITUTE(SUBSTITUTE(SUBSTITUTE(SUBSTITUTE(SUBSTITUTE(SUBSTITUTE(LOWER(B340),"."," "),","," "),"'"," "),"’"," "),"!"," "),"?"," "),";"," "),":"," "),"-"," "),"("," "),")"," "),"""", " "),"£"," "),"&amp;"," "),"/"," "),"%"," "))&amp;" "</f>
        <v> my identity was stolen and a loan was taken out in my name this is not acceptable </v>
      </c>
      <c r="E340" s="0" t="n">
        <f aca="false">SUMPRODUCT((Rules!$A$2:$A$60=E$1)*Rules!$C$2:$C$60*ISNUMBER(SEARCH(Rules!$D$2:$D$60,$D340)))</f>
        <v>2</v>
      </c>
      <c r="F340" s="0" t="n">
        <f aca="false">SUMPRODUCT((Rules!$A$2:$A$60=F$1)*Rules!$C$2:$C$60*ISNUMBER(SEARCH(Rules!$D$2:$D$60,$D340)))</f>
        <v>0</v>
      </c>
      <c r="G340" s="0" t="n">
        <f aca="false">SUMPRODUCT((Rules!$A$2:$A$60=G$1)*Rules!$C$2:$C$60*ISNUMBER(SEARCH(Rules!$D$2:$D$60,$D340)))</f>
        <v>0</v>
      </c>
      <c r="H340" s="0" t="n">
        <f aca="false">SUMPRODUCT((Rules!$A$2:$A$60=H$1)*Rules!$C$2:$C$60*ISNUMBER(SEARCH(Rules!$D$2:$D$60,$D340)))</f>
        <v>0</v>
      </c>
      <c r="I340" s="0" t="n">
        <f aca="false">SUMPRODUCT((Rules!$A$2:$A$60=I$1)*Rules!$C$2:$C$60*ISNUMBER(SEARCH(Rules!$D$2:$D$60,$D340)))</f>
        <v>0</v>
      </c>
      <c r="J340" s="0" t="n">
        <f aca="false">SUMPRODUCT((Rules!$A$2:$A$60=J$1)*Rules!$C$2:$C$60*ISNUMBER(SEARCH(Rules!$D$2:$D$60,$D340)))</f>
        <v>0</v>
      </c>
      <c r="K340" s="0" t="str">
        <f aca="false">IF(OR(MAX(E340:J340)&lt;Rules!$H$1,MAX(E340:J340)-LARGE(E340:J340,2)&lt;Rules!$H$2),"No label",INDEX($E$1:$J$1,MATCH(MAX(E340:J340),E340:J340,0)))</f>
        <v>No label</v>
      </c>
      <c r="L340" s="0" t="n">
        <f aca="false">SUMPRODUCT((Rules!$A$2:$A$60=L$1)*Rules!$C$2:$C$60*ISNUMBER(SEARCH(Rules!$E$2:$E$60,$D340)))</f>
        <v>2</v>
      </c>
      <c r="M340" s="0" t="n">
        <f aca="false">SUMPRODUCT((Rules!$A$2:$A$60=M$1)*Rules!$C$2:$C$60*ISNUMBER(SEARCH(Rules!$E$2:$E$60,$D340)))</f>
        <v>0</v>
      </c>
      <c r="N340" s="0" t="n">
        <f aca="false">SUMPRODUCT((Rules!$A$2:$A$60=N$1)*Rules!$C$2:$C$60*ISNUMBER(SEARCH(Rules!$E$2:$E$60,$D340)))</f>
        <v>1</v>
      </c>
      <c r="O340" s="0" t="n">
        <f aca="false">SUMPRODUCT((Rules!$A$2:$A$60=O$1)*Rules!$C$2:$C$60*ISNUMBER(SEARCH(Rules!$E$2:$E$60,$D340)))</f>
        <v>0</v>
      </c>
      <c r="P340" s="0" t="n">
        <f aca="false">SUMPRODUCT((Rules!$A$2:$A$60=P$1)*Rules!$C$2:$C$60*ISNUMBER(SEARCH(Rules!$E$2:$E$60,$D340)))</f>
        <v>0</v>
      </c>
      <c r="Q340" s="0" t="n">
        <f aca="false">SUMPRODUCT((Rules!$A$2:$A$60=Q$1)*Rules!$C$2:$C$60*ISNUMBER(SEARCH(Rules!$E$2:$E$60,$D340)))</f>
        <v>0</v>
      </c>
      <c r="R340" s="0" t="str">
        <f aca="false">IF(OR(MAX(L340:Q340)&lt;Rules!$H$1,MAX(L340:Q340)-LARGE(L340:Q340,2)&lt;Rules!$H$2),"No label",INDEX($L$1:$Q$1,MATCH(MAX(L340:Q340),L340:Q340,0)))</f>
        <v>No label</v>
      </c>
      <c r="S340" s="0" t="n">
        <f aca="false">SUMPRODUCT(ISNUMBER(SEARCH(" "&amp;Terms!$A$3:$A$821&amp;" ",$D340))*Terms!B$3:B$821)+Terms!B$2</f>
        <v>-0.117534330952794</v>
      </c>
      <c r="T340" s="0" t="n">
        <f aca="false">SUMPRODUCT(ISNUMBER(SEARCH(" "&amp;Terms!$A$3:$A$821&amp;" ",$D340))*Terms!C$3:C$821)+Terms!C$2</f>
        <v>-1.9295543168448</v>
      </c>
      <c r="U340" s="0" t="n">
        <f aca="false">SUMPRODUCT(ISNUMBER(SEARCH(" "&amp;Terms!$A$3:$A$821&amp;" ",$D340))*Terms!D$3:D$821)+Terms!D$2</f>
        <v>-1.78378851282495</v>
      </c>
      <c r="V340" s="0" t="n">
        <f aca="false">SUMPRODUCT(ISNUMBER(SEARCH(" "&amp;Terms!$A$3:$A$821&amp;" ",$D340))*Terms!E$3:E$821)+Terms!E$2</f>
        <v>-1.20289288409522</v>
      </c>
      <c r="W340" s="0" t="n">
        <f aca="false">SUMPRODUCT(ISNUMBER(SEARCH(" "&amp;Terms!$A$3:$A$821&amp;" ",$D340))*Terms!F$3:F$821)+Terms!F$2</f>
        <v>6.72948798377303</v>
      </c>
      <c r="X340" s="0" t="n">
        <f aca="false">SUMPRODUCT(ISNUMBER(SEARCH(" "&amp;Terms!$A$3:$A$821&amp;" ",$D340))*Terms!G$3:G$821)+Terms!G$2</f>
        <v>-1.69571793905516</v>
      </c>
      <c r="Y340" s="0" t="str">
        <f aca="false">INDEX($S$1:$X$1,MATCH(MAX(S340:X340),S340:X340,0))</f>
        <v>Fraud &amp; Scams</v>
      </c>
      <c r="Z340" s="0" t="s">
        <v>2608</v>
      </c>
    </row>
    <row r="341" customFormat="false" ht="15" hidden="false" customHeight="false" outlineLevel="0" collapsed="false">
      <c r="A341" s="0" t="str">
        <f aca="false">Complaints!A341</f>
        <v>C0340</v>
      </c>
      <c r="B341" s="0" t="str">
        <f aca="false">Complaints!B341</f>
        <v>Frankly, My mortgage switch is taking far longer than you said it would. Please sort this out.</v>
      </c>
      <c r="C341" s="0" t="str">
        <f aca="false">Complaints!C341</f>
        <v>Delays &amp; Processing</v>
      </c>
      <c r="D341" s="0" t="str">
        <f aca="false">" "&amp;TRIM(SUBSTITUTE(SUBSTITUTE(SUBSTITUTE(SUBSTITUTE(SUBSTITUTE(SUBSTITUTE(SUBSTITUTE(SUBSTITUTE(SUBSTITUTE(SUBSTITUTE(SUBSTITUTE(SUBSTITUTE(SUBSTITUTE(SUBSTITUTE(SUBSTITUTE(SUBSTITUTE(LOWER(B341),"."," "),","," "),"'"," "),"’"," "),"!"," "),"?"," "),";"," "),":"," "),"-"," "),"("," "),")"," "),"""", " "),"£"," "),"&amp;"," "),"/"," "),"%"," "))&amp;" "</f>
        <v> frankly my mortgage switch is taking far longer than you said it would please sort this out </v>
      </c>
      <c r="E341" s="0" t="n">
        <f aca="false">SUMPRODUCT((Rules!$A$2:$A$60=E$1)*Rules!$C$2:$C$60*ISNUMBER(SEARCH(Rules!$D$2:$D$60,$D341)))</f>
        <v>0</v>
      </c>
      <c r="F341" s="0" t="n">
        <f aca="false">SUMPRODUCT((Rules!$A$2:$A$60=F$1)*Rules!$C$2:$C$60*ISNUMBER(SEARCH(Rules!$D$2:$D$60,$D341)))</f>
        <v>0</v>
      </c>
      <c r="G341" s="0" t="n">
        <f aca="false">SUMPRODUCT((Rules!$A$2:$A$60=G$1)*Rules!$C$2:$C$60*ISNUMBER(SEARCH(Rules!$D$2:$D$60,$D341)))</f>
        <v>0</v>
      </c>
      <c r="H341" s="0" t="n">
        <f aca="false">SUMPRODUCT((Rules!$A$2:$A$60=H$1)*Rules!$C$2:$C$60*ISNUMBER(SEARCH(Rules!$D$2:$D$60,$D341)))</f>
        <v>0</v>
      </c>
      <c r="I341" s="0" t="n">
        <f aca="false">SUMPRODUCT((Rules!$A$2:$A$60=I$1)*Rules!$C$2:$C$60*ISNUMBER(SEARCH(Rules!$D$2:$D$60,$D341)))</f>
        <v>2</v>
      </c>
      <c r="J341" s="0" t="n">
        <f aca="false">SUMPRODUCT((Rules!$A$2:$A$60=J$1)*Rules!$C$2:$C$60*ISNUMBER(SEARCH(Rules!$D$2:$D$60,$D341)))</f>
        <v>0</v>
      </c>
      <c r="K341" s="0" t="str">
        <f aca="false">IF(OR(MAX(E341:J341)&lt;Rules!$H$1,MAX(E341:J341)-LARGE(E341:J341,2)&lt;Rules!$H$2),"No label",INDEX($E$1:$J$1,MATCH(MAX(E341:J341),E341:J341,0)))</f>
        <v>No label</v>
      </c>
      <c r="L341" s="0" t="n">
        <f aca="false">SUMPRODUCT((Rules!$A$2:$A$60=L$1)*Rules!$C$2:$C$60*ISNUMBER(SEARCH(Rules!$E$2:$E$60,$D341)))</f>
        <v>0</v>
      </c>
      <c r="M341" s="0" t="n">
        <f aca="false">SUMPRODUCT((Rules!$A$2:$A$60=M$1)*Rules!$C$2:$C$60*ISNUMBER(SEARCH(Rules!$E$2:$E$60,$D341)))</f>
        <v>0</v>
      </c>
      <c r="N341" s="0" t="n">
        <f aca="false">SUMPRODUCT((Rules!$A$2:$A$60=N$1)*Rules!$C$2:$C$60*ISNUMBER(SEARCH(Rules!$E$2:$E$60,$D341)))</f>
        <v>0</v>
      </c>
      <c r="O341" s="0" t="n">
        <f aca="false">SUMPRODUCT((Rules!$A$2:$A$60=O$1)*Rules!$C$2:$C$60*ISNUMBER(SEARCH(Rules!$E$2:$E$60,$D341)))</f>
        <v>0</v>
      </c>
      <c r="P341" s="0" t="n">
        <f aca="false">SUMPRODUCT((Rules!$A$2:$A$60=P$1)*Rules!$C$2:$C$60*ISNUMBER(SEARCH(Rules!$E$2:$E$60,$D341)))</f>
        <v>2</v>
      </c>
      <c r="Q341" s="0" t="n">
        <f aca="false">SUMPRODUCT((Rules!$A$2:$A$60=Q$1)*Rules!$C$2:$C$60*ISNUMBER(SEARCH(Rules!$E$2:$E$60,$D341)))</f>
        <v>0</v>
      </c>
      <c r="R341" s="0" t="str">
        <f aca="false">IF(OR(MAX(L341:Q341)&lt;Rules!$H$1,MAX(L341:Q341)-LARGE(L341:Q341,2)&lt;Rules!$H$2),"No label",INDEX($L$1:$Q$1,MATCH(MAX(L341:Q341),L341:Q341,0)))</f>
        <v>No label</v>
      </c>
      <c r="S341" s="0" t="n">
        <f aca="false">SUMPRODUCT(ISNUMBER(SEARCH(" "&amp;Terms!$A$3:$A$821&amp;" ",$D341))*Terms!B$3:B$821)+Terms!B$2</f>
        <v>-6.53792614409559</v>
      </c>
      <c r="T341" s="0" t="n">
        <f aca="false">SUMPRODUCT(ISNUMBER(SEARCH(" "&amp;Terms!$A$3:$A$821&amp;" ",$D341))*Terms!C$3:C$821)+Terms!C$2</f>
        <v>0.439891812394117</v>
      </c>
      <c r="U341" s="0" t="n">
        <f aca="false">SUMPRODUCT(ISNUMBER(SEARCH(" "&amp;Terms!$A$3:$A$821&amp;" ",$D341))*Terms!D$3:D$821)+Terms!D$2</f>
        <v>10.0139459182331</v>
      </c>
      <c r="V341" s="0" t="n">
        <f aca="false">SUMPRODUCT(ISNUMBER(SEARCH(" "&amp;Terms!$A$3:$A$821&amp;" ",$D341))*Terms!E$3:E$821)+Terms!E$2</f>
        <v>0.101406081913582</v>
      </c>
      <c r="W341" s="0" t="n">
        <f aca="false">SUMPRODUCT(ISNUMBER(SEARCH(" "&amp;Terms!$A$3:$A$821&amp;" ",$D341))*Terms!F$3:F$821)+Terms!F$2</f>
        <v>-1.64483940076206</v>
      </c>
      <c r="X341" s="0" t="n">
        <f aca="false">SUMPRODUCT(ISNUMBER(SEARCH(" "&amp;Terms!$A$3:$A$821&amp;" ",$D341))*Terms!G$3:G$821)+Terms!G$2</f>
        <v>-2.37247826768306</v>
      </c>
      <c r="Y341" s="0" t="str">
        <f aca="false">INDEX($S$1:$X$1,MATCH(MAX(S341:X341),S341:X341,0))</f>
        <v>Delays &amp; Processing</v>
      </c>
      <c r="Z341" s="0" t="s">
        <v>2607</v>
      </c>
    </row>
    <row r="342" customFormat="false" ht="15" hidden="false" customHeight="false" outlineLevel="0" collapsed="false">
      <c r="A342" s="0" t="str">
        <f aca="false">Complaints!A342</f>
        <v>C0341</v>
      </c>
      <c r="B342" s="0" t="str">
        <f aca="false">Complaints!B342</f>
        <v>I have been a customer for years. My card reader stopped working and I cannot approve payments. I would like a response in writing.</v>
      </c>
      <c r="C342" s="0" t="str">
        <f aca="false">Complaints!C342</f>
        <v>Account Access</v>
      </c>
      <c r="D342" s="0" t="str">
        <f aca="false">" "&amp;TRIM(SUBSTITUTE(SUBSTITUTE(SUBSTITUTE(SUBSTITUTE(SUBSTITUTE(SUBSTITUTE(SUBSTITUTE(SUBSTITUTE(SUBSTITUTE(SUBSTITUTE(SUBSTITUTE(SUBSTITUTE(SUBSTITUTE(SUBSTITUTE(SUBSTITUTE(SUBSTITUTE(LOWER(B342),"."," "),","," "),"'"," "),"’"," "),"!"," "),"?"," "),";"," "),":"," "),"-"," "),"("," "),")"," "),"""", " "),"£"," "),"&amp;"," "),"/"," "),"%"," "))&amp;" "</f>
        <v> i have been a customer for years my card reader stopped working and i cannot approve payments i would like a response in writing </v>
      </c>
      <c r="E342" s="0" t="n">
        <f aca="false">SUMPRODUCT((Rules!$A$2:$A$60=E$1)*Rules!$C$2:$C$60*ISNUMBER(SEARCH(Rules!$D$2:$D$60,$D342)))</f>
        <v>0</v>
      </c>
      <c r="F342" s="0" t="n">
        <f aca="false">SUMPRODUCT((Rules!$A$2:$A$60=F$1)*Rules!$C$2:$C$60*ISNUMBER(SEARCH(Rules!$D$2:$D$60,$D342)))</f>
        <v>0</v>
      </c>
      <c r="G342" s="0" t="n">
        <f aca="false">SUMPRODUCT((Rules!$A$2:$A$60=G$1)*Rules!$C$2:$C$60*ISNUMBER(SEARCH(Rules!$D$2:$D$60,$D342)))</f>
        <v>0</v>
      </c>
      <c r="H342" s="0" t="n">
        <f aca="false">SUMPRODUCT((Rules!$A$2:$A$60=H$1)*Rules!$C$2:$C$60*ISNUMBER(SEARCH(Rules!$D$2:$D$60,$D342)))</f>
        <v>0</v>
      </c>
      <c r="I342" s="0" t="n">
        <f aca="false">SUMPRODUCT((Rules!$A$2:$A$60=I$1)*Rules!$C$2:$C$60*ISNUMBER(SEARCH(Rules!$D$2:$D$60,$D342)))</f>
        <v>0</v>
      </c>
      <c r="J342" s="0" t="n">
        <f aca="false">SUMPRODUCT((Rules!$A$2:$A$60=J$1)*Rules!$C$2:$C$60*ISNUMBER(SEARCH(Rules!$D$2:$D$60,$D342)))</f>
        <v>0</v>
      </c>
      <c r="K342" s="0" t="str">
        <f aca="false">IF(OR(MAX(E342:J342)&lt;Rules!$H$1,MAX(E342:J342)-LARGE(E342:J342,2)&lt;Rules!$H$2),"No label",INDEX($E$1:$J$1,MATCH(MAX(E342:J342),E342:J342,0)))</f>
        <v>No label</v>
      </c>
      <c r="L342" s="0" t="n">
        <f aca="false">SUMPRODUCT((Rules!$A$2:$A$60=L$1)*Rules!$C$2:$C$60*ISNUMBER(SEARCH(Rules!$E$2:$E$60,$D342)))</f>
        <v>0</v>
      </c>
      <c r="M342" s="0" t="n">
        <f aca="false">SUMPRODUCT((Rules!$A$2:$A$60=M$1)*Rules!$C$2:$C$60*ISNUMBER(SEARCH(Rules!$E$2:$E$60,$D342)))</f>
        <v>0</v>
      </c>
      <c r="N342" s="0" t="n">
        <f aca="false">SUMPRODUCT((Rules!$A$2:$A$60=N$1)*Rules!$C$2:$C$60*ISNUMBER(SEARCH(Rules!$E$2:$E$60,$D342)))</f>
        <v>0</v>
      </c>
      <c r="O342" s="0" t="n">
        <f aca="false">SUMPRODUCT((Rules!$A$2:$A$60=O$1)*Rules!$C$2:$C$60*ISNUMBER(SEARCH(Rules!$E$2:$E$60,$D342)))</f>
        <v>0</v>
      </c>
      <c r="P342" s="0" t="n">
        <f aca="false">SUMPRODUCT((Rules!$A$2:$A$60=P$1)*Rules!$C$2:$C$60*ISNUMBER(SEARCH(Rules!$E$2:$E$60,$D342)))</f>
        <v>0</v>
      </c>
      <c r="Q342" s="0" t="n">
        <f aca="false">SUMPRODUCT((Rules!$A$2:$A$60=Q$1)*Rules!$C$2:$C$60*ISNUMBER(SEARCH(Rules!$E$2:$E$60,$D342)))</f>
        <v>0</v>
      </c>
      <c r="R342" s="0" t="str">
        <f aca="false">IF(OR(MAX(L342:Q342)&lt;Rules!$H$1,MAX(L342:Q342)-LARGE(L342:Q342,2)&lt;Rules!$H$2),"No label",INDEX($L$1:$Q$1,MATCH(MAX(L342:Q342),L342:Q342,0)))</f>
        <v>No label</v>
      </c>
      <c r="S342" s="0" t="n">
        <f aca="false">SUMPRODUCT(ISNUMBER(SEARCH(" "&amp;Terms!$A$3:$A$821&amp;" ",$D342))*Terms!B$3:B$821)+Terms!B$2</f>
        <v>16.7026995567082</v>
      </c>
      <c r="T342" s="0" t="n">
        <f aca="false">SUMPRODUCT(ISNUMBER(SEARCH(" "&amp;Terms!$A$3:$A$821&amp;" ",$D342))*Terms!C$3:C$821)+Terms!C$2</f>
        <v>0.559877689807664</v>
      </c>
      <c r="U342" s="0" t="n">
        <f aca="false">SUMPRODUCT(ISNUMBER(SEARCH(" "&amp;Terms!$A$3:$A$821&amp;" ",$D342))*Terms!D$3:D$821)+Terms!D$2</f>
        <v>-2.2554812102793</v>
      </c>
      <c r="V342" s="0" t="n">
        <f aca="false">SUMPRODUCT(ISNUMBER(SEARCH(" "&amp;Terms!$A$3:$A$821&amp;" ",$D342))*Terms!E$3:E$821)+Terms!E$2</f>
        <v>-6.41154752825031</v>
      </c>
      <c r="W342" s="0" t="n">
        <f aca="false">SUMPRODUCT(ISNUMBER(SEARCH(" "&amp;Terms!$A$3:$A$821&amp;" ",$D342))*Terms!F$3:F$821)+Terms!F$2</f>
        <v>-2.05579013580365</v>
      </c>
      <c r="X342" s="0" t="n">
        <f aca="false">SUMPRODUCT(ISNUMBER(SEARCH(" "&amp;Terms!$A$3:$A$821&amp;" ",$D342))*Terms!G$3:G$821)+Terms!G$2</f>
        <v>-6.53975837218257</v>
      </c>
      <c r="Y342" s="0" t="str">
        <f aca="false">INDEX($S$1:$X$1,MATCH(MAX(S342:X342),S342:X342,0))</f>
        <v>Account Access</v>
      </c>
      <c r="Z342" s="0" t="s">
        <v>2607</v>
      </c>
    </row>
    <row r="343" customFormat="false" ht="15" hidden="false" customHeight="false" outlineLevel="0" collapsed="false">
      <c r="A343" s="0" t="str">
        <f aca="false">Complaints!A343</f>
        <v>C0342</v>
      </c>
      <c r="B343" s="0" t="str">
        <f aca="false">Complaints!B343</f>
        <v>I was advised to take out cover that duplicates what I already had.</v>
      </c>
      <c r="C343" s="0" t="str">
        <f aca="false">Complaints!C343</f>
        <v>Mis-selling</v>
      </c>
      <c r="D343" s="0" t="str">
        <f aca="false">" "&amp;TRIM(SUBSTITUTE(SUBSTITUTE(SUBSTITUTE(SUBSTITUTE(SUBSTITUTE(SUBSTITUTE(SUBSTITUTE(SUBSTITUTE(SUBSTITUTE(SUBSTITUTE(SUBSTITUTE(SUBSTITUTE(SUBSTITUTE(SUBSTITUTE(SUBSTITUTE(SUBSTITUTE(LOWER(B343),"."," "),","," "),"'"," "),"’"," "),"!"," "),"?"," "),";"," "),":"," "),"-"," "),"("," "),")"," "),"""", " "),"£"," "),"&amp;"," "),"/"," "),"%"," "))&amp;" "</f>
        <v> i was advised to take out cover that duplicates what i already had </v>
      </c>
      <c r="E343" s="0" t="n">
        <f aca="false">SUMPRODUCT((Rules!$A$2:$A$60=E$1)*Rules!$C$2:$C$60*ISNUMBER(SEARCH(Rules!$D$2:$D$60,$D343)))</f>
        <v>0</v>
      </c>
      <c r="F343" s="0" t="n">
        <f aca="false">SUMPRODUCT((Rules!$A$2:$A$60=F$1)*Rules!$C$2:$C$60*ISNUMBER(SEARCH(Rules!$D$2:$D$60,$D343)))</f>
        <v>0</v>
      </c>
      <c r="G343" s="0" t="n">
        <f aca="false">SUMPRODUCT((Rules!$A$2:$A$60=G$1)*Rules!$C$2:$C$60*ISNUMBER(SEARCH(Rules!$D$2:$D$60,$D343)))</f>
        <v>0</v>
      </c>
      <c r="H343" s="0" t="n">
        <f aca="false">SUMPRODUCT((Rules!$A$2:$A$60=H$1)*Rules!$C$2:$C$60*ISNUMBER(SEARCH(Rules!$D$2:$D$60,$D343)))</f>
        <v>0</v>
      </c>
      <c r="I343" s="0" t="n">
        <f aca="false">SUMPRODUCT((Rules!$A$2:$A$60=I$1)*Rules!$C$2:$C$60*ISNUMBER(SEARCH(Rules!$D$2:$D$60,$D343)))</f>
        <v>0</v>
      </c>
      <c r="J343" s="0" t="n">
        <f aca="false">SUMPRODUCT((Rules!$A$2:$A$60=J$1)*Rules!$C$2:$C$60*ISNUMBER(SEARCH(Rules!$D$2:$D$60,$D343)))</f>
        <v>0</v>
      </c>
      <c r="K343" s="0" t="str">
        <f aca="false">IF(OR(MAX(E343:J343)&lt;Rules!$H$1,MAX(E343:J343)-LARGE(E343:J343,2)&lt;Rules!$H$2),"No label",INDEX($E$1:$J$1,MATCH(MAX(E343:J343),E343:J343,0)))</f>
        <v>No label</v>
      </c>
      <c r="L343" s="0" t="n">
        <f aca="false">SUMPRODUCT((Rules!$A$2:$A$60=L$1)*Rules!$C$2:$C$60*ISNUMBER(SEARCH(Rules!$E$2:$E$60,$D343)))</f>
        <v>0</v>
      </c>
      <c r="M343" s="0" t="n">
        <f aca="false">SUMPRODUCT((Rules!$A$2:$A$60=M$1)*Rules!$C$2:$C$60*ISNUMBER(SEARCH(Rules!$E$2:$E$60,$D343)))</f>
        <v>4</v>
      </c>
      <c r="N343" s="0" t="n">
        <f aca="false">SUMPRODUCT((Rules!$A$2:$A$60=N$1)*Rules!$C$2:$C$60*ISNUMBER(SEARCH(Rules!$E$2:$E$60,$D343)))</f>
        <v>0</v>
      </c>
      <c r="O343" s="0" t="n">
        <f aca="false">SUMPRODUCT((Rules!$A$2:$A$60=O$1)*Rules!$C$2:$C$60*ISNUMBER(SEARCH(Rules!$E$2:$E$60,$D343)))</f>
        <v>0</v>
      </c>
      <c r="P343" s="0" t="n">
        <f aca="false">SUMPRODUCT((Rules!$A$2:$A$60=P$1)*Rules!$C$2:$C$60*ISNUMBER(SEARCH(Rules!$E$2:$E$60,$D343)))</f>
        <v>0</v>
      </c>
      <c r="Q343" s="0" t="n">
        <f aca="false">SUMPRODUCT((Rules!$A$2:$A$60=Q$1)*Rules!$C$2:$C$60*ISNUMBER(SEARCH(Rules!$E$2:$E$60,$D343)))</f>
        <v>1</v>
      </c>
      <c r="R343" s="0" t="str">
        <f aca="false">IF(OR(MAX(L343:Q343)&lt;Rules!$H$1,MAX(L343:Q343)-LARGE(L343:Q343,2)&lt;Rules!$H$2),"No label",INDEX($L$1:$Q$1,MATCH(MAX(L343:Q343),L343:Q343,0)))</f>
        <v>Mis-selling</v>
      </c>
      <c r="S343" s="0" t="n">
        <f aca="false">SUMPRODUCT(ISNUMBER(SEARCH(" "&amp;Terms!$A$3:$A$821&amp;" ",$D343))*Terms!B$3:B$821)+Terms!B$2</f>
        <v>-0.917115680740192</v>
      </c>
      <c r="T343" s="0" t="n">
        <f aca="false">SUMPRODUCT(ISNUMBER(SEARCH(" "&amp;Terms!$A$3:$A$821&amp;" ",$D343))*Terms!C$3:C$821)+Terms!C$2</f>
        <v>-0.605593174090267</v>
      </c>
      <c r="U343" s="0" t="n">
        <f aca="false">SUMPRODUCT(ISNUMBER(SEARCH(" "&amp;Terms!$A$3:$A$821&amp;" ",$D343))*Terms!D$3:D$821)+Terms!D$2</f>
        <v>-1.5714063534287</v>
      </c>
      <c r="V343" s="0" t="n">
        <f aca="false">SUMPRODUCT(ISNUMBER(SEARCH(" "&amp;Terms!$A$3:$A$821&amp;" ",$D343))*Terms!E$3:E$821)+Terms!E$2</f>
        <v>-1.35813116250782</v>
      </c>
      <c r="W343" s="0" t="n">
        <f aca="false">SUMPRODUCT(ISNUMBER(SEARCH(" "&amp;Terms!$A$3:$A$821&amp;" ",$D343))*Terms!F$3:F$821)+Terms!F$2</f>
        <v>-1.37444254288616</v>
      </c>
      <c r="X343" s="0" t="n">
        <f aca="false">SUMPRODUCT(ISNUMBER(SEARCH(" "&amp;Terms!$A$3:$A$821&amp;" ",$D343))*Terms!G$3:G$821)+Terms!G$2</f>
        <v>5.82668891365323</v>
      </c>
      <c r="Y343" s="0" t="str">
        <f aca="false">INDEX($S$1:$X$1,MATCH(MAX(S343:X343),S343:X343,0))</f>
        <v>Mis-selling</v>
      </c>
      <c r="Z343" s="0" t="s">
        <v>2607</v>
      </c>
    </row>
    <row r="344" customFormat="false" ht="15" hidden="false" customHeight="false" outlineLevel="0" collapsed="false">
      <c r="A344" s="0" t="str">
        <f aca="false">Complaints!A344</f>
        <v>C0343</v>
      </c>
      <c r="B344" s="0" t="str">
        <f aca="false">Complaints!B344</f>
        <v>Hello, The complaints handler was unhelpful and talked over me. It has also been taking far too long.</v>
      </c>
      <c r="C344" s="0" t="str">
        <f aca="false">Complaints!C344</f>
        <v>Customer Service</v>
      </c>
      <c r="D344" s="0" t="str">
        <f aca="false">" "&amp;TRIM(SUBSTITUTE(SUBSTITUTE(SUBSTITUTE(SUBSTITUTE(SUBSTITUTE(SUBSTITUTE(SUBSTITUTE(SUBSTITUTE(SUBSTITUTE(SUBSTITUTE(SUBSTITUTE(SUBSTITUTE(SUBSTITUTE(SUBSTITUTE(SUBSTITUTE(SUBSTITUTE(LOWER(B344),"."," "),","," "),"'"," "),"’"," "),"!"," "),"?"," "),";"," "),":"," "),"-"," "),"("," "),")"," "),"""", " "),"£"," "),"&amp;"," "),"/"," "),"%"," "))&amp;" "</f>
        <v> hello the complaints handler was unhelpful and talked over me it has also been taking far too long </v>
      </c>
      <c r="E344" s="0" t="n">
        <f aca="false">SUMPRODUCT((Rules!$A$2:$A$60=E$1)*Rules!$C$2:$C$60*ISNUMBER(SEARCH(Rules!$D$2:$D$60,$D344)))</f>
        <v>0</v>
      </c>
      <c r="F344" s="0" t="n">
        <f aca="false">SUMPRODUCT((Rules!$A$2:$A$60=F$1)*Rules!$C$2:$C$60*ISNUMBER(SEARCH(Rules!$D$2:$D$60,$D344)))</f>
        <v>0</v>
      </c>
      <c r="G344" s="0" t="n">
        <f aca="false">SUMPRODUCT((Rules!$A$2:$A$60=G$1)*Rules!$C$2:$C$60*ISNUMBER(SEARCH(Rules!$D$2:$D$60,$D344)))</f>
        <v>0</v>
      </c>
      <c r="H344" s="0" t="n">
        <f aca="false">SUMPRODUCT((Rules!$A$2:$A$60=H$1)*Rules!$C$2:$C$60*ISNUMBER(SEARCH(Rules!$D$2:$D$60,$D344)))</f>
        <v>0</v>
      </c>
      <c r="I344" s="0" t="n">
        <f aca="false">SUMPRODUCT((Rules!$A$2:$A$60=I$1)*Rules!$C$2:$C$60*ISNUMBER(SEARCH(Rules!$D$2:$D$60,$D344)))</f>
        <v>0</v>
      </c>
      <c r="J344" s="0" t="n">
        <f aca="false">SUMPRODUCT((Rules!$A$2:$A$60=J$1)*Rules!$C$2:$C$60*ISNUMBER(SEARCH(Rules!$D$2:$D$60,$D344)))</f>
        <v>2</v>
      </c>
      <c r="K344" s="0" t="str">
        <f aca="false">IF(OR(MAX(E344:J344)&lt;Rules!$H$1,MAX(E344:J344)-LARGE(E344:J344,2)&lt;Rules!$H$2),"No label",INDEX($E$1:$J$1,MATCH(MAX(E344:J344),E344:J344,0)))</f>
        <v>No label</v>
      </c>
      <c r="L344" s="0" t="n">
        <f aca="false">SUMPRODUCT((Rules!$A$2:$A$60=L$1)*Rules!$C$2:$C$60*ISNUMBER(SEARCH(Rules!$E$2:$E$60,$D344)))</f>
        <v>0</v>
      </c>
      <c r="M344" s="0" t="n">
        <f aca="false">SUMPRODUCT((Rules!$A$2:$A$60=M$1)*Rules!$C$2:$C$60*ISNUMBER(SEARCH(Rules!$E$2:$E$60,$D344)))</f>
        <v>0</v>
      </c>
      <c r="N344" s="0" t="n">
        <f aca="false">SUMPRODUCT((Rules!$A$2:$A$60=N$1)*Rules!$C$2:$C$60*ISNUMBER(SEARCH(Rules!$E$2:$E$60,$D344)))</f>
        <v>0</v>
      </c>
      <c r="O344" s="0" t="n">
        <f aca="false">SUMPRODUCT((Rules!$A$2:$A$60=O$1)*Rules!$C$2:$C$60*ISNUMBER(SEARCH(Rules!$E$2:$E$60,$D344)))</f>
        <v>0</v>
      </c>
      <c r="P344" s="0" t="n">
        <f aca="false">SUMPRODUCT((Rules!$A$2:$A$60=P$1)*Rules!$C$2:$C$60*ISNUMBER(SEARCH(Rules!$E$2:$E$60,$D344)))</f>
        <v>0</v>
      </c>
      <c r="Q344" s="0" t="n">
        <f aca="false">SUMPRODUCT((Rules!$A$2:$A$60=Q$1)*Rules!$C$2:$C$60*ISNUMBER(SEARCH(Rules!$E$2:$E$60,$D344)))</f>
        <v>2</v>
      </c>
      <c r="R344" s="0" t="str">
        <f aca="false">IF(OR(MAX(L344:Q344)&lt;Rules!$H$1,MAX(L344:Q344)-LARGE(L344:Q344,2)&lt;Rules!$H$2),"No label",INDEX($L$1:$Q$1,MATCH(MAX(L344:Q344),L344:Q344,0)))</f>
        <v>No label</v>
      </c>
      <c r="S344" s="0" t="n">
        <f aca="false">SUMPRODUCT(ISNUMBER(SEARCH(" "&amp;Terms!$A$3:$A$821&amp;" ",$D344))*Terms!B$3:B$821)+Terms!B$2</f>
        <v>-1.31113200624494</v>
      </c>
      <c r="T344" s="0" t="n">
        <f aca="false">SUMPRODUCT(ISNUMBER(SEARCH(" "&amp;Terms!$A$3:$A$821&amp;" ",$D344))*Terms!C$3:C$821)+Terms!C$2</f>
        <v>8.7944173378711</v>
      </c>
      <c r="U344" s="0" t="n">
        <f aca="false">SUMPRODUCT(ISNUMBER(SEARCH(" "&amp;Terms!$A$3:$A$821&amp;" ",$D344))*Terms!D$3:D$821)+Terms!D$2</f>
        <v>-4.11154928655629</v>
      </c>
      <c r="V344" s="0" t="n">
        <f aca="false">SUMPRODUCT(ISNUMBER(SEARCH(" "&amp;Terms!$A$3:$A$821&amp;" ",$D344))*Terms!E$3:E$821)+Terms!E$2</f>
        <v>0.203069538446559</v>
      </c>
      <c r="W344" s="0" t="n">
        <f aca="false">SUMPRODUCT(ISNUMBER(SEARCH(" "&amp;Terms!$A$3:$A$821&amp;" ",$D344))*Terms!F$3:F$821)+Terms!F$2</f>
        <v>-2.71687443322881</v>
      </c>
      <c r="X344" s="0" t="n">
        <f aca="false">SUMPRODUCT(ISNUMBER(SEARCH(" "&amp;Terms!$A$3:$A$821&amp;" ",$D344))*Terms!G$3:G$821)+Terms!G$2</f>
        <v>-0.857931150287535</v>
      </c>
      <c r="Y344" s="0" t="str">
        <f aca="false">INDEX($S$1:$X$1,MATCH(MAX(S344:X344),S344:X344,0))</f>
        <v>Customer Service</v>
      </c>
      <c r="Z344" s="0" t="s">
        <v>2607</v>
      </c>
    </row>
    <row r="345" customFormat="false" ht="15" hidden="false" customHeight="false" outlineLevel="0" collapsed="false">
      <c r="A345" s="0" t="str">
        <f aca="false">Complaints!A345</f>
        <v>C0344</v>
      </c>
      <c r="B345" s="0" t="str">
        <f aca="false">Complaints!B345</f>
        <v>The terms were very different from what I was promised at the time of sale. There was also a fee involved. This is not acceptable.</v>
      </c>
      <c r="C345" s="0" t="str">
        <f aca="false">Complaints!C345</f>
        <v>Mis-selling</v>
      </c>
      <c r="D345" s="0" t="str">
        <f aca="false">" "&amp;TRIM(SUBSTITUTE(SUBSTITUTE(SUBSTITUTE(SUBSTITUTE(SUBSTITUTE(SUBSTITUTE(SUBSTITUTE(SUBSTITUTE(SUBSTITUTE(SUBSTITUTE(SUBSTITUTE(SUBSTITUTE(SUBSTITUTE(SUBSTITUTE(SUBSTITUTE(SUBSTITUTE(LOWER(B345),"."," "),","," "),"'"," "),"’"," "),"!"," "),"?"," "),";"," "),":"," "),"-"," "),"("," "),")"," "),"""", " "),"£"," "),"&amp;"," "),"/"," "),"%"," "))&amp;" "</f>
        <v> the terms were very different from what i was promised at the time of sale there was also a fee involved this is not acceptable </v>
      </c>
      <c r="E345" s="0" t="n">
        <f aca="false">SUMPRODUCT((Rules!$A$2:$A$60=E$1)*Rules!$C$2:$C$60*ISNUMBER(SEARCH(Rules!$D$2:$D$60,$D345)))</f>
        <v>0</v>
      </c>
      <c r="F345" s="0" t="n">
        <f aca="false">SUMPRODUCT((Rules!$A$2:$A$60=F$1)*Rules!$C$2:$C$60*ISNUMBER(SEARCH(Rules!$D$2:$D$60,$D345)))</f>
        <v>1</v>
      </c>
      <c r="G345" s="0" t="n">
        <f aca="false">SUMPRODUCT((Rules!$A$2:$A$60=G$1)*Rules!$C$2:$C$60*ISNUMBER(SEARCH(Rules!$D$2:$D$60,$D345)))</f>
        <v>0</v>
      </c>
      <c r="H345" s="0" t="n">
        <f aca="false">SUMPRODUCT((Rules!$A$2:$A$60=H$1)*Rules!$C$2:$C$60*ISNUMBER(SEARCH(Rules!$D$2:$D$60,$D345)))</f>
        <v>2</v>
      </c>
      <c r="I345" s="0" t="n">
        <f aca="false">SUMPRODUCT((Rules!$A$2:$A$60=I$1)*Rules!$C$2:$C$60*ISNUMBER(SEARCH(Rules!$D$2:$D$60,$D345)))</f>
        <v>0</v>
      </c>
      <c r="J345" s="0" t="n">
        <f aca="false">SUMPRODUCT((Rules!$A$2:$A$60=J$1)*Rules!$C$2:$C$60*ISNUMBER(SEARCH(Rules!$D$2:$D$60,$D345)))</f>
        <v>0</v>
      </c>
      <c r="K345" s="0" t="str">
        <f aca="false">IF(OR(MAX(E345:J345)&lt;Rules!$H$1,MAX(E345:J345)-LARGE(E345:J345,2)&lt;Rules!$H$2),"No label",INDEX($E$1:$J$1,MATCH(MAX(E345:J345),E345:J345,0)))</f>
        <v>No label</v>
      </c>
      <c r="L345" s="0" t="n">
        <f aca="false">SUMPRODUCT((Rules!$A$2:$A$60=L$1)*Rules!$C$2:$C$60*ISNUMBER(SEARCH(Rules!$E$2:$E$60,$D345)))</f>
        <v>0</v>
      </c>
      <c r="M345" s="0" t="n">
        <f aca="false">SUMPRODUCT((Rules!$A$2:$A$60=M$1)*Rules!$C$2:$C$60*ISNUMBER(SEARCH(Rules!$E$2:$E$60,$D345)))</f>
        <v>1</v>
      </c>
      <c r="N345" s="0" t="n">
        <f aca="false">SUMPRODUCT((Rules!$A$2:$A$60=N$1)*Rules!$C$2:$C$60*ISNUMBER(SEARCH(Rules!$E$2:$E$60,$D345)))</f>
        <v>1</v>
      </c>
      <c r="O345" s="0" t="n">
        <f aca="false">SUMPRODUCT((Rules!$A$2:$A$60=O$1)*Rules!$C$2:$C$60*ISNUMBER(SEARCH(Rules!$E$2:$E$60,$D345)))</f>
        <v>2</v>
      </c>
      <c r="P345" s="0" t="n">
        <f aca="false">SUMPRODUCT((Rules!$A$2:$A$60=P$1)*Rules!$C$2:$C$60*ISNUMBER(SEARCH(Rules!$E$2:$E$60,$D345)))</f>
        <v>0</v>
      </c>
      <c r="Q345" s="0" t="n">
        <f aca="false">SUMPRODUCT((Rules!$A$2:$A$60=Q$1)*Rules!$C$2:$C$60*ISNUMBER(SEARCH(Rules!$E$2:$E$60,$D345)))</f>
        <v>0</v>
      </c>
      <c r="R345" s="0" t="str">
        <f aca="false">IF(OR(MAX(L345:Q345)&lt;Rules!$H$1,MAX(L345:Q345)-LARGE(L345:Q345,2)&lt;Rules!$H$2),"No label",INDEX($L$1:$Q$1,MATCH(MAX(L345:Q345),L345:Q345,0)))</f>
        <v>No label</v>
      </c>
      <c r="S345" s="0" t="n">
        <f aca="false">SUMPRODUCT(ISNUMBER(SEARCH(" "&amp;Terms!$A$3:$A$821&amp;" ",$D345))*Terms!B$3:B$821)+Terms!B$2</f>
        <v>0.0935629563769301</v>
      </c>
      <c r="T345" s="0" t="n">
        <f aca="false">SUMPRODUCT(ISNUMBER(SEARCH(" "&amp;Terms!$A$3:$A$821&amp;" ",$D345))*Terms!C$3:C$821)+Terms!C$2</f>
        <v>-4.62731293143926</v>
      </c>
      <c r="U345" s="0" t="n">
        <f aca="false">SUMPRODUCT(ISNUMBER(SEARCH(" "&amp;Terms!$A$3:$A$821&amp;" ",$D345))*Terms!D$3:D$821)+Terms!D$2</f>
        <v>2.55561125822404</v>
      </c>
      <c r="V345" s="0" t="n">
        <f aca="false">SUMPRODUCT(ISNUMBER(SEARCH(" "&amp;Terms!$A$3:$A$821&amp;" ",$D345))*Terms!E$3:E$821)+Terms!E$2</f>
        <v>-1.13952467615244</v>
      </c>
      <c r="W345" s="0" t="n">
        <f aca="false">SUMPRODUCT(ISNUMBER(SEARCH(" "&amp;Terms!$A$3:$A$821&amp;" ",$D345))*Terms!F$3:F$821)+Terms!F$2</f>
        <v>-3.90081637778647</v>
      </c>
      <c r="X345" s="0" t="n">
        <f aca="false">SUMPRODUCT(ISNUMBER(SEARCH(" "&amp;Terms!$A$3:$A$821&amp;" ",$D345))*Terms!G$3:G$821)+Terms!G$2</f>
        <v>7.01847977077731</v>
      </c>
      <c r="Y345" s="0" t="str">
        <f aca="false">INDEX($S$1:$X$1,MATCH(MAX(S345:X345),S345:X345,0))</f>
        <v>Mis-selling</v>
      </c>
      <c r="Z345" s="0" t="s">
        <v>2607</v>
      </c>
    </row>
    <row r="346" customFormat="false" ht="15" hidden="false" customHeight="false" outlineLevel="0" collapsed="false">
      <c r="A346" s="0" t="str">
        <f aca="false">Complaints!A346</f>
        <v>C0345</v>
      </c>
      <c r="B346" s="0" t="str">
        <f aca="false">Complaints!B346</f>
        <v>To whom it may concern, There is an unexpected charge on my statement of £15. Also, my identity was stolen and a loan was taken out in my name. I would like a response in writing.</v>
      </c>
      <c r="C346" s="0" t="str">
        <f aca="false">Complaints!C346</f>
        <v>Fees &amp; Charges</v>
      </c>
      <c r="D346" s="0" t="str">
        <f aca="false">" "&amp;TRIM(SUBSTITUTE(SUBSTITUTE(SUBSTITUTE(SUBSTITUTE(SUBSTITUTE(SUBSTITUTE(SUBSTITUTE(SUBSTITUTE(SUBSTITUTE(SUBSTITUTE(SUBSTITUTE(SUBSTITUTE(SUBSTITUTE(SUBSTITUTE(SUBSTITUTE(SUBSTITUTE(LOWER(B346),"."," "),","," "),"'"," "),"’"," "),"!"," "),"?"," "),";"," "),":"," "),"-"," "),"("," "),")"," "),"""", " "),"£"," "),"&amp;"," "),"/"," "),"%"," "))&amp;" "</f>
        <v> to whom it may concern there is an unexpected charge on my statement of 15 also my identity was stolen and a loan was taken out in my name i would like a response in writing </v>
      </c>
      <c r="E346" s="0" t="n">
        <f aca="false">SUMPRODUCT((Rules!$A$2:$A$60=E$1)*Rules!$C$2:$C$60*ISNUMBER(SEARCH(Rules!$D$2:$D$60,$D346)))</f>
        <v>2</v>
      </c>
      <c r="F346" s="0" t="n">
        <f aca="false">SUMPRODUCT((Rules!$A$2:$A$60=F$1)*Rules!$C$2:$C$60*ISNUMBER(SEARCH(Rules!$D$2:$D$60,$D346)))</f>
        <v>0</v>
      </c>
      <c r="G346" s="0" t="n">
        <f aca="false">SUMPRODUCT((Rules!$A$2:$A$60=G$1)*Rules!$C$2:$C$60*ISNUMBER(SEARCH(Rules!$D$2:$D$60,$D346)))</f>
        <v>0</v>
      </c>
      <c r="H346" s="0" t="n">
        <f aca="false">SUMPRODUCT((Rules!$A$2:$A$60=H$1)*Rules!$C$2:$C$60*ISNUMBER(SEARCH(Rules!$D$2:$D$60,$D346)))</f>
        <v>3</v>
      </c>
      <c r="I346" s="0" t="n">
        <f aca="false">SUMPRODUCT((Rules!$A$2:$A$60=I$1)*Rules!$C$2:$C$60*ISNUMBER(SEARCH(Rules!$D$2:$D$60,$D346)))</f>
        <v>0</v>
      </c>
      <c r="J346" s="0" t="n">
        <f aca="false">SUMPRODUCT((Rules!$A$2:$A$60=J$1)*Rules!$C$2:$C$60*ISNUMBER(SEARCH(Rules!$D$2:$D$60,$D346)))</f>
        <v>0</v>
      </c>
      <c r="K346" s="0" t="str">
        <f aca="false">IF(OR(MAX(E346:J346)&lt;Rules!$H$1,MAX(E346:J346)-LARGE(E346:J346,2)&lt;Rules!$H$2),"No label",INDEX($E$1:$J$1,MATCH(MAX(E346:J346),E346:J346,0)))</f>
        <v>No label</v>
      </c>
      <c r="L346" s="0" t="n">
        <f aca="false">SUMPRODUCT((Rules!$A$2:$A$60=L$1)*Rules!$C$2:$C$60*ISNUMBER(SEARCH(Rules!$E$2:$E$60,$D346)))</f>
        <v>2</v>
      </c>
      <c r="M346" s="0" t="n">
        <f aca="false">SUMPRODUCT((Rules!$A$2:$A$60=M$1)*Rules!$C$2:$C$60*ISNUMBER(SEARCH(Rules!$E$2:$E$60,$D346)))</f>
        <v>0</v>
      </c>
      <c r="N346" s="0" t="n">
        <f aca="false">SUMPRODUCT((Rules!$A$2:$A$60=N$1)*Rules!$C$2:$C$60*ISNUMBER(SEARCH(Rules!$E$2:$E$60,$D346)))</f>
        <v>0</v>
      </c>
      <c r="O346" s="0" t="n">
        <f aca="false">SUMPRODUCT((Rules!$A$2:$A$60=O$1)*Rules!$C$2:$C$60*ISNUMBER(SEARCH(Rules!$E$2:$E$60,$D346)))</f>
        <v>5</v>
      </c>
      <c r="P346" s="0" t="n">
        <f aca="false">SUMPRODUCT((Rules!$A$2:$A$60=P$1)*Rules!$C$2:$C$60*ISNUMBER(SEARCH(Rules!$E$2:$E$60,$D346)))</f>
        <v>0</v>
      </c>
      <c r="Q346" s="0" t="n">
        <f aca="false">SUMPRODUCT((Rules!$A$2:$A$60=Q$1)*Rules!$C$2:$C$60*ISNUMBER(SEARCH(Rules!$E$2:$E$60,$D346)))</f>
        <v>0</v>
      </c>
      <c r="R346" s="0" t="str">
        <f aca="false">IF(OR(MAX(L346:Q346)&lt;Rules!$H$1,MAX(L346:Q346)-LARGE(L346:Q346,2)&lt;Rules!$H$2),"No label",INDEX($L$1:$Q$1,MATCH(MAX(L346:Q346),L346:Q346,0)))</f>
        <v>Fees &amp; Charges</v>
      </c>
      <c r="S346" s="0" t="n">
        <f aca="false">SUMPRODUCT(ISNUMBER(SEARCH(" "&amp;Terms!$A$3:$A$821&amp;" ",$D346))*Terms!B$3:B$821)+Terms!B$2</f>
        <v>-4.08506155026758</v>
      </c>
      <c r="T346" s="0" t="n">
        <f aca="false">SUMPRODUCT(ISNUMBER(SEARCH(" "&amp;Terms!$A$3:$A$821&amp;" ",$D346))*Terms!C$3:C$821)+Terms!C$2</f>
        <v>-2.88569517849179</v>
      </c>
      <c r="U346" s="0" t="n">
        <f aca="false">SUMPRODUCT(ISNUMBER(SEARCH(" "&amp;Terms!$A$3:$A$821&amp;" ",$D346))*Terms!D$3:D$821)+Terms!D$2</f>
        <v>-5.11998208308425</v>
      </c>
      <c r="V346" s="0" t="n">
        <f aca="false">SUMPRODUCT(ISNUMBER(SEARCH(" "&amp;Terms!$A$3:$A$821&amp;" ",$D346))*Terms!E$3:E$821)+Terms!E$2</f>
        <v>9.52436188787528</v>
      </c>
      <c r="W346" s="0" t="n">
        <f aca="false">SUMPRODUCT(ISNUMBER(SEARCH(" "&amp;Terms!$A$3:$A$821&amp;" ",$D346))*Terms!F$3:F$821)+Terms!F$2</f>
        <v>4.93512936972019</v>
      </c>
      <c r="X346" s="0" t="n">
        <f aca="false">SUMPRODUCT(ISNUMBER(SEARCH(" "&amp;Terms!$A$3:$A$821&amp;" ",$D346))*Terms!G$3:G$821)+Terms!G$2</f>
        <v>-2.36875244575175</v>
      </c>
      <c r="Y346" s="0" t="str">
        <f aca="false">INDEX($S$1:$X$1,MATCH(MAX(S346:X346),S346:X346,0))</f>
        <v>Fees &amp; Charges</v>
      </c>
      <c r="Z346" s="0" t="s">
        <v>2607</v>
      </c>
    </row>
    <row r="347" customFormat="false" ht="15" hidden="false" customHeight="false" outlineLevel="0" collapsed="false">
      <c r="A347" s="0" t="str">
        <f aca="false">Complaints!A347</f>
        <v>C0346</v>
      </c>
      <c r="B347" s="0" t="str">
        <f aca="false">Complaints!B347</f>
        <v>My card reader stopped working and I cannot approve payments. It has also been taking far too long.</v>
      </c>
      <c r="C347" s="0" t="str">
        <f aca="false">Complaints!C347</f>
        <v>Account Access</v>
      </c>
      <c r="D347" s="0" t="str">
        <f aca="false">" "&amp;TRIM(SUBSTITUTE(SUBSTITUTE(SUBSTITUTE(SUBSTITUTE(SUBSTITUTE(SUBSTITUTE(SUBSTITUTE(SUBSTITUTE(SUBSTITUTE(SUBSTITUTE(SUBSTITUTE(SUBSTITUTE(SUBSTITUTE(SUBSTITUTE(SUBSTITUTE(SUBSTITUTE(LOWER(B347),"."," "),","," "),"'"," "),"’"," "),"!"," "),"?"," "),";"," "),":"," "),"-"," "),"("," "),")"," "),"""", " "),"£"," "),"&amp;"," "),"/"," "),"%"," "))&amp;" "</f>
        <v> my card reader stopped working and i cannot approve payments it has also been taking far too long </v>
      </c>
      <c r="E347" s="0" t="n">
        <f aca="false">SUMPRODUCT((Rules!$A$2:$A$60=E$1)*Rules!$C$2:$C$60*ISNUMBER(SEARCH(Rules!$D$2:$D$60,$D347)))</f>
        <v>0</v>
      </c>
      <c r="F347" s="0" t="n">
        <f aca="false">SUMPRODUCT((Rules!$A$2:$A$60=F$1)*Rules!$C$2:$C$60*ISNUMBER(SEARCH(Rules!$D$2:$D$60,$D347)))</f>
        <v>0</v>
      </c>
      <c r="G347" s="0" t="n">
        <f aca="false">SUMPRODUCT((Rules!$A$2:$A$60=G$1)*Rules!$C$2:$C$60*ISNUMBER(SEARCH(Rules!$D$2:$D$60,$D347)))</f>
        <v>0</v>
      </c>
      <c r="H347" s="0" t="n">
        <f aca="false">SUMPRODUCT((Rules!$A$2:$A$60=H$1)*Rules!$C$2:$C$60*ISNUMBER(SEARCH(Rules!$D$2:$D$60,$D347)))</f>
        <v>0</v>
      </c>
      <c r="I347" s="0" t="n">
        <f aca="false">SUMPRODUCT((Rules!$A$2:$A$60=I$1)*Rules!$C$2:$C$60*ISNUMBER(SEARCH(Rules!$D$2:$D$60,$D347)))</f>
        <v>0</v>
      </c>
      <c r="J347" s="0" t="n">
        <f aca="false">SUMPRODUCT((Rules!$A$2:$A$60=J$1)*Rules!$C$2:$C$60*ISNUMBER(SEARCH(Rules!$D$2:$D$60,$D347)))</f>
        <v>0</v>
      </c>
      <c r="K347" s="0" t="str">
        <f aca="false">IF(OR(MAX(E347:J347)&lt;Rules!$H$1,MAX(E347:J347)-LARGE(E347:J347,2)&lt;Rules!$H$2),"No label",INDEX($E$1:$J$1,MATCH(MAX(E347:J347),E347:J347,0)))</f>
        <v>No label</v>
      </c>
      <c r="L347" s="0" t="n">
        <f aca="false">SUMPRODUCT((Rules!$A$2:$A$60=L$1)*Rules!$C$2:$C$60*ISNUMBER(SEARCH(Rules!$E$2:$E$60,$D347)))</f>
        <v>0</v>
      </c>
      <c r="M347" s="0" t="n">
        <f aca="false">SUMPRODUCT((Rules!$A$2:$A$60=M$1)*Rules!$C$2:$C$60*ISNUMBER(SEARCH(Rules!$E$2:$E$60,$D347)))</f>
        <v>0</v>
      </c>
      <c r="N347" s="0" t="n">
        <f aca="false">SUMPRODUCT((Rules!$A$2:$A$60=N$1)*Rules!$C$2:$C$60*ISNUMBER(SEARCH(Rules!$E$2:$E$60,$D347)))</f>
        <v>0</v>
      </c>
      <c r="O347" s="0" t="n">
        <f aca="false">SUMPRODUCT((Rules!$A$2:$A$60=O$1)*Rules!$C$2:$C$60*ISNUMBER(SEARCH(Rules!$E$2:$E$60,$D347)))</f>
        <v>0</v>
      </c>
      <c r="P347" s="0" t="n">
        <f aca="false">SUMPRODUCT((Rules!$A$2:$A$60=P$1)*Rules!$C$2:$C$60*ISNUMBER(SEARCH(Rules!$E$2:$E$60,$D347)))</f>
        <v>0</v>
      </c>
      <c r="Q347" s="0" t="n">
        <f aca="false">SUMPRODUCT((Rules!$A$2:$A$60=Q$1)*Rules!$C$2:$C$60*ISNUMBER(SEARCH(Rules!$E$2:$E$60,$D347)))</f>
        <v>0</v>
      </c>
      <c r="R347" s="0" t="str">
        <f aca="false">IF(OR(MAX(L347:Q347)&lt;Rules!$H$1,MAX(L347:Q347)-LARGE(L347:Q347,2)&lt;Rules!$H$2),"No label",INDEX($L$1:$Q$1,MATCH(MAX(L347:Q347),L347:Q347,0)))</f>
        <v>No label</v>
      </c>
      <c r="S347" s="0" t="n">
        <f aca="false">SUMPRODUCT(ISNUMBER(SEARCH(" "&amp;Terms!$A$3:$A$821&amp;" ",$D347))*Terms!B$3:B$821)+Terms!B$2</f>
        <v>15.0133882050556</v>
      </c>
      <c r="T347" s="0" t="n">
        <f aca="false">SUMPRODUCT(ISNUMBER(SEARCH(" "&amp;Terms!$A$3:$A$821&amp;" ",$D347))*Terms!C$3:C$821)+Terms!C$2</f>
        <v>0.195661731207159</v>
      </c>
      <c r="U347" s="0" t="n">
        <f aca="false">SUMPRODUCT(ISNUMBER(SEARCH(" "&amp;Terms!$A$3:$A$821&amp;" ",$D347))*Terms!D$3:D$821)+Terms!D$2</f>
        <v>-2.37769918669819</v>
      </c>
      <c r="V347" s="0" t="n">
        <f aca="false">SUMPRODUCT(ISNUMBER(SEARCH(" "&amp;Terms!$A$3:$A$821&amp;" ",$D347))*Terms!E$3:E$821)+Terms!E$2</f>
        <v>-4.24638574413019</v>
      </c>
      <c r="W347" s="0" t="n">
        <f aca="false">SUMPRODUCT(ISNUMBER(SEARCH(" "&amp;Terms!$A$3:$A$821&amp;" ",$D347))*Terms!F$3:F$821)+Terms!F$2</f>
        <v>-0.156022700771987</v>
      </c>
      <c r="X347" s="0" t="n">
        <f aca="false">SUMPRODUCT(ISNUMBER(SEARCH(" "&amp;Terms!$A$3:$A$821&amp;" ",$D347))*Terms!G$3:G$821)+Terms!G$2</f>
        <v>-8.42894230466237</v>
      </c>
      <c r="Y347" s="0" t="str">
        <f aca="false">INDEX($S$1:$X$1,MATCH(MAX(S347:X347),S347:X347,0))</f>
        <v>Account Access</v>
      </c>
      <c r="Z347" s="0" t="s">
        <v>2607</v>
      </c>
    </row>
    <row r="348" customFormat="false" ht="15" hidden="false" customHeight="false" outlineLevel="0" collapsed="false">
      <c r="A348" s="0" t="str">
        <f aca="false">Complaints!A348</f>
        <v>C0347</v>
      </c>
      <c r="B348" s="0" t="str">
        <f aca="false">Complaints!B348</f>
        <v>I have been a customer for years. Your advisor gave me different answers on two separate calls. Also, the salesperson pushed me into a plan I did not need. I want this put right.</v>
      </c>
      <c r="C348" s="0" t="str">
        <f aca="false">Complaints!C348</f>
        <v>Customer Service</v>
      </c>
      <c r="D348" s="0" t="str">
        <f aca="false">" "&amp;TRIM(SUBSTITUTE(SUBSTITUTE(SUBSTITUTE(SUBSTITUTE(SUBSTITUTE(SUBSTITUTE(SUBSTITUTE(SUBSTITUTE(SUBSTITUTE(SUBSTITUTE(SUBSTITUTE(SUBSTITUTE(SUBSTITUTE(SUBSTITUTE(SUBSTITUTE(SUBSTITUTE(LOWER(B348),"."," "),","," "),"'"," "),"’"," "),"!"," "),"?"," "),";"," "),":"," "),"-"," "),"("," "),")"," "),"""", " "),"£"," "),"&amp;"," "),"/"," "),"%"," "))&amp;" "</f>
        <v> i have been a customer for years your advisor gave me different answers on two separate calls also the salesperson pushed me into a plan i did not need i want this put right </v>
      </c>
      <c r="E348" s="0" t="n">
        <f aca="false">SUMPRODUCT((Rules!$A$2:$A$60=E$1)*Rules!$C$2:$C$60*ISNUMBER(SEARCH(Rules!$D$2:$D$60,$D348)))</f>
        <v>0</v>
      </c>
      <c r="F348" s="0" t="n">
        <f aca="false">SUMPRODUCT((Rules!$A$2:$A$60=F$1)*Rules!$C$2:$C$60*ISNUMBER(SEARCH(Rules!$D$2:$D$60,$D348)))</f>
        <v>2</v>
      </c>
      <c r="G348" s="0" t="n">
        <f aca="false">SUMPRODUCT((Rules!$A$2:$A$60=G$1)*Rules!$C$2:$C$60*ISNUMBER(SEARCH(Rules!$D$2:$D$60,$D348)))</f>
        <v>0</v>
      </c>
      <c r="H348" s="0" t="n">
        <f aca="false">SUMPRODUCT((Rules!$A$2:$A$60=H$1)*Rules!$C$2:$C$60*ISNUMBER(SEARCH(Rules!$D$2:$D$60,$D348)))</f>
        <v>0</v>
      </c>
      <c r="I348" s="0" t="n">
        <f aca="false">SUMPRODUCT((Rules!$A$2:$A$60=I$1)*Rules!$C$2:$C$60*ISNUMBER(SEARCH(Rules!$D$2:$D$60,$D348)))</f>
        <v>0</v>
      </c>
      <c r="J348" s="0" t="n">
        <f aca="false">SUMPRODUCT((Rules!$A$2:$A$60=J$1)*Rules!$C$2:$C$60*ISNUMBER(SEARCH(Rules!$D$2:$D$60,$D348)))</f>
        <v>1</v>
      </c>
      <c r="K348" s="0" t="str">
        <f aca="false">IF(OR(MAX(E348:J348)&lt;Rules!$H$1,MAX(E348:J348)-LARGE(E348:J348,2)&lt;Rules!$H$2),"No label",INDEX($E$1:$J$1,MATCH(MAX(E348:J348),E348:J348,0)))</f>
        <v>No label</v>
      </c>
      <c r="L348" s="0" t="n">
        <f aca="false">SUMPRODUCT((Rules!$A$2:$A$60=L$1)*Rules!$C$2:$C$60*ISNUMBER(SEARCH(Rules!$E$2:$E$60,$D348)))</f>
        <v>0</v>
      </c>
      <c r="M348" s="0" t="n">
        <f aca="false">SUMPRODUCT((Rules!$A$2:$A$60=M$1)*Rules!$C$2:$C$60*ISNUMBER(SEARCH(Rules!$E$2:$E$60,$D348)))</f>
        <v>6</v>
      </c>
      <c r="N348" s="0" t="n">
        <f aca="false">SUMPRODUCT((Rules!$A$2:$A$60=N$1)*Rules!$C$2:$C$60*ISNUMBER(SEARCH(Rules!$E$2:$E$60,$D348)))</f>
        <v>0</v>
      </c>
      <c r="O348" s="0" t="n">
        <f aca="false">SUMPRODUCT((Rules!$A$2:$A$60=O$1)*Rules!$C$2:$C$60*ISNUMBER(SEARCH(Rules!$E$2:$E$60,$D348)))</f>
        <v>0</v>
      </c>
      <c r="P348" s="0" t="n">
        <f aca="false">SUMPRODUCT((Rules!$A$2:$A$60=P$1)*Rules!$C$2:$C$60*ISNUMBER(SEARCH(Rules!$E$2:$E$60,$D348)))</f>
        <v>0</v>
      </c>
      <c r="Q348" s="0" t="n">
        <f aca="false">SUMPRODUCT((Rules!$A$2:$A$60=Q$1)*Rules!$C$2:$C$60*ISNUMBER(SEARCH(Rules!$E$2:$E$60,$D348)))</f>
        <v>1</v>
      </c>
      <c r="R348" s="0" t="str">
        <f aca="false">IF(OR(MAX(L348:Q348)&lt;Rules!$H$1,MAX(L348:Q348)-LARGE(L348:Q348,2)&lt;Rules!$H$2),"No label",INDEX($L$1:$Q$1,MATCH(MAX(L348:Q348),L348:Q348,0)))</f>
        <v>Mis-selling</v>
      </c>
      <c r="S348" s="0" t="n">
        <f aca="false">SUMPRODUCT(ISNUMBER(SEARCH(" "&amp;Terms!$A$3:$A$821&amp;" ",$D348))*Terms!B$3:B$821)+Terms!B$2</f>
        <v>-3.39872048912528</v>
      </c>
      <c r="T348" s="0" t="n">
        <f aca="false">SUMPRODUCT(ISNUMBER(SEARCH(" "&amp;Terms!$A$3:$A$821&amp;" ",$D348))*Terms!C$3:C$821)+Terms!C$2</f>
        <v>11.6304103575533</v>
      </c>
      <c r="U348" s="0" t="n">
        <f aca="false">SUMPRODUCT(ISNUMBER(SEARCH(" "&amp;Terms!$A$3:$A$821&amp;" ",$D348))*Terms!D$3:D$821)+Terms!D$2</f>
        <v>-6.9647260910664</v>
      </c>
      <c r="V348" s="0" t="n">
        <f aca="false">SUMPRODUCT(ISNUMBER(SEARCH(" "&amp;Terms!$A$3:$A$821&amp;" ",$D348))*Terms!E$3:E$821)+Terms!E$2</f>
        <v>-6.85445528084676</v>
      </c>
      <c r="W348" s="0" t="n">
        <f aca="false">SUMPRODUCT(ISNUMBER(SEARCH(" "&amp;Terms!$A$3:$A$821&amp;" ",$D348))*Terms!F$3:F$821)+Terms!F$2</f>
        <v>0.0865879001020348</v>
      </c>
      <c r="X348" s="0" t="n">
        <f aca="false">SUMPRODUCT(ISNUMBER(SEARCH(" "&amp;Terms!$A$3:$A$821&amp;" ",$D348))*Terms!G$3:G$821)+Terms!G$2</f>
        <v>5.50090360338323</v>
      </c>
      <c r="Y348" s="0" t="str">
        <f aca="false">INDEX($S$1:$X$1,MATCH(MAX(S348:X348),S348:X348,0))</f>
        <v>Customer Service</v>
      </c>
      <c r="Z348" s="0" t="s">
        <v>2607</v>
      </c>
    </row>
    <row r="349" customFormat="false" ht="15" hidden="false" customHeight="false" outlineLevel="0" collapsed="false">
      <c r="A349" s="0" t="str">
        <f aca="false">Complaints!A349</f>
        <v>C0348</v>
      </c>
      <c r="B349" s="0" t="str">
        <f aca="false">Complaints!B349</f>
        <v>Hello, The adviser did not explain the risks of the investment. I expect compensation.</v>
      </c>
      <c r="C349" s="0" t="str">
        <f aca="false">Complaints!C349</f>
        <v>Mis-selling</v>
      </c>
      <c r="D349" s="0" t="str">
        <f aca="false">" "&amp;TRIM(SUBSTITUTE(SUBSTITUTE(SUBSTITUTE(SUBSTITUTE(SUBSTITUTE(SUBSTITUTE(SUBSTITUTE(SUBSTITUTE(SUBSTITUTE(SUBSTITUTE(SUBSTITUTE(SUBSTITUTE(SUBSTITUTE(SUBSTITUTE(SUBSTITUTE(SUBSTITUTE(LOWER(B349),"."," "),","," "),"'"," "),"’"," "),"!"," "),"?"," "),";"," "),":"," "),"-"," "),"("," "),")"," "),"""", " "),"£"," "),"&amp;"," "),"/"," "),"%"," "))&amp;" "</f>
        <v> hello the adviser did not explain the risks of the investment i expect compensation </v>
      </c>
      <c r="E349" s="0" t="n">
        <f aca="false">SUMPRODUCT((Rules!$A$2:$A$60=E$1)*Rules!$C$2:$C$60*ISNUMBER(SEARCH(Rules!$D$2:$D$60,$D349)))</f>
        <v>0</v>
      </c>
      <c r="F349" s="0" t="n">
        <f aca="false">SUMPRODUCT((Rules!$A$2:$A$60=F$1)*Rules!$C$2:$C$60*ISNUMBER(SEARCH(Rules!$D$2:$D$60,$D349)))</f>
        <v>4</v>
      </c>
      <c r="G349" s="0" t="n">
        <f aca="false">SUMPRODUCT((Rules!$A$2:$A$60=G$1)*Rules!$C$2:$C$60*ISNUMBER(SEARCH(Rules!$D$2:$D$60,$D349)))</f>
        <v>0</v>
      </c>
      <c r="H349" s="0" t="n">
        <f aca="false">SUMPRODUCT((Rules!$A$2:$A$60=H$1)*Rules!$C$2:$C$60*ISNUMBER(SEARCH(Rules!$D$2:$D$60,$D349)))</f>
        <v>0</v>
      </c>
      <c r="I349" s="0" t="n">
        <f aca="false">SUMPRODUCT((Rules!$A$2:$A$60=I$1)*Rules!$C$2:$C$60*ISNUMBER(SEARCH(Rules!$D$2:$D$60,$D349)))</f>
        <v>0</v>
      </c>
      <c r="J349" s="0" t="n">
        <f aca="false">SUMPRODUCT((Rules!$A$2:$A$60=J$1)*Rules!$C$2:$C$60*ISNUMBER(SEARCH(Rules!$D$2:$D$60,$D349)))</f>
        <v>0</v>
      </c>
      <c r="K349" s="0" t="str">
        <f aca="false">IF(OR(MAX(E349:J349)&lt;Rules!$H$1,MAX(E349:J349)-LARGE(E349:J349,2)&lt;Rules!$H$2),"No label",INDEX($E$1:$J$1,MATCH(MAX(E349:J349),E349:J349,0)))</f>
        <v>Mis-selling</v>
      </c>
      <c r="L349" s="0" t="n">
        <f aca="false">SUMPRODUCT((Rules!$A$2:$A$60=L$1)*Rules!$C$2:$C$60*ISNUMBER(SEARCH(Rules!$E$2:$E$60,$D349)))</f>
        <v>0</v>
      </c>
      <c r="M349" s="0" t="n">
        <f aca="false">SUMPRODUCT((Rules!$A$2:$A$60=M$1)*Rules!$C$2:$C$60*ISNUMBER(SEARCH(Rules!$E$2:$E$60,$D349)))</f>
        <v>6</v>
      </c>
      <c r="N349" s="0" t="n">
        <f aca="false">SUMPRODUCT((Rules!$A$2:$A$60=N$1)*Rules!$C$2:$C$60*ISNUMBER(SEARCH(Rules!$E$2:$E$60,$D349)))</f>
        <v>0</v>
      </c>
      <c r="O349" s="0" t="n">
        <f aca="false">SUMPRODUCT((Rules!$A$2:$A$60=O$1)*Rules!$C$2:$C$60*ISNUMBER(SEARCH(Rules!$E$2:$E$60,$D349)))</f>
        <v>0</v>
      </c>
      <c r="P349" s="0" t="n">
        <f aca="false">SUMPRODUCT((Rules!$A$2:$A$60=P$1)*Rules!$C$2:$C$60*ISNUMBER(SEARCH(Rules!$E$2:$E$60,$D349)))</f>
        <v>0</v>
      </c>
      <c r="Q349" s="0" t="n">
        <f aca="false">SUMPRODUCT((Rules!$A$2:$A$60=Q$1)*Rules!$C$2:$C$60*ISNUMBER(SEARCH(Rules!$E$2:$E$60,$D349)))</f>
        <v>1</v>
      </c>
      <c r="R349" s="0" t="str">
        <f aca="false">IF(OR(MAX(L349:Q349)&lt;Rules!$H$1,MAX(L349:Q349)-LARGE(L349:Q349,2)&lt;Rules!$H$2),"No label",INDEX($L$1:$Q$1,MATCH(MAX(L349:Q349),L349:Q349,0)))</f>
        <v>Mis-selling</v>
      </c>
      <c r="S349" s="0" t="n">
        <f aca="false">SUMPRODUCT(ISNUMBER(SEARCH(" "&amp;Terms!$A$3:$A$821&amp;" ",$D349))*Terms!B$3:B$821)+Terms!B$2</f>
        <v>-0.258406010624527</v>
      </c>
      <c r="T349" s="0" t="n">
        <f aca="false">SUMPRODUCT(ISNUMBER(SEARCH(" "&amp;Terms!$A$3:$A$821&amp;" ",$D349))*Terms!C$3:C$821)+Terms!C$2</f>
        <v>-0.86178507582095</v>
      </c>
      <c r="U349" s="0" t="n">
        <f aca="false">SUMPRODUCT(ISNUMBER(SEARCH(" "&amp;Terms!$A$3:$A$821&amp;" ",$D349))*Terms!D$3:D$821)+Terms!D$2</f>
        <v>-6.32721192935969</v>
      </c>
      <c r="V349" s="0" t="n">
        <f aca="false">SUMPRODUCT(ISNUMBER(SEARCH(" "&amp;Terms!$A$3:$A$821&amp;" ",$D349))*Terms!E$3:E$821)+Terms!E$2</f>
        <v>-0.17510651525247</v>
      </c>
      <c r="W349" s="0" t="n">
        <f aca="false">SUMPRODUCT(ISNUMBER(SEARCH(" "&amp;Terms!$A$3:$A$821&amp;" ",$D349))*Terms!F$3:F$821)+Terms!F$2</f>
        <v>0.107277800849261</v>
      </c>
      <c r="X349" s="0" t="n">
        <f aca="false">SUMPRODUCT(ISNUMBER(SEARCH(" "&amp;Terms!$A$3:$A$821&amp;" ",$D349))*Terms!G$3:G$821)+Terms!G$2</f>
        <v>7.51523173020846</v>
      </c>
      <c r="Y349" s="0" t="str">
        <f aca="false">INDEX($S$1:$X$1,MATCH(MAX(S349:X349),S349:X349,0))</f>
        <v>Mis-selling</v>
      </c>
      <c r="Z349" s="0" t="s">
        <v>2607</v>
      </c>
    </row>
    <row r="350" customFormat="false" ht="15" hidden="false" customHeight="false" outlineLevel="0" collapsed="false">
      <c r="A350" s="0" t="str">
        <f aca="false">Complaints!A350</f>
        <v>C0349</v>
      </c>
      <c r="B350" s="0" t="str">
        <f aca="false">Complaints!B350</f>
        <v>This is the second time I have raised this. The account maintenance fee was taken twice this month. Please sort this out.</v>
      </c>
      <c r="C350" s="0" t="str">
        <f aca="false">Complaints!C350</f>
        <v>Fees &amp; Charges</v>
      </c>
      <c r="D350" s="0" t="str">
        <f aca="false">" "&amp;TRIM(SUBSTITUTE(SUBSTITUTE(SUBSTITUTE(SUBSTITUTE(SUBSTITUTE(SUBSTITUTE(SUBSTITUTE(SUBSTITUTE(SUBSTITUTE(SUBSTITUTE(SUBSTITUTE(SUBSTITUTE(SUBSTITUTE(SUBSTITUTE(SUBSTITUTE(SUBSTITUTE(LOWER(B350),"."," "),","," "),"'"," "),"’"," "),"!"," "),"?"," "),";"," "),":"," "),"-"," "),"("," "),")"," "),"""", " "),"£"," "),"&amp;"," "),"/"," "),"%"," "))&amp;" "</f>
        <v> this is the second time i have raised this the account maintenance fee was taken twice this month please sort this out </v>
      </c>
      <c r="E350" s="0" t="n">
        <f aca="false">SUMPRODUCT((Rules!$A$2:$A$60=E$1)*Rules!$C$2:$C$60*ISNUMBER(SEARCH(Rules!$D$2:$D$60,$D350)))</f>
        <v>0</v>
      </c>
      <c r="F350" s="0" t="n">
        <f aca="false">SUMPRODUCT((Rules!$A$2:$A$60=F$1)*Rules!$C$2:$C$60*ISNUMBER(SEARCH(Rules!$D$2:$D$60,$D350)))</f>
        <v>0</v>
      </c>
      <c r="G350" s="0" t="n">
        <f aca="false">SUMPRODUCT((Rules!$A$2:$A$60=G$1)*Rules!$C$2:$C$60*ISNUMBER(SEARCH(Rules!$D$2:$D$60,$D350)))</f>
        <v>0</v>
      </c>
      <c r="H350" s="0" t="n">
        <f aca="false">SUMPRODUCT((Rules!$A$2:$A$60=H$1)*Rules!$C$2:$C$60*ISNUMBER(SEARCH(Rules!$D$2:$D$60,$D350)))</f>
        <v>2</v>
      </c>
      <c r="I350" s="0" t="n">
        <f aca="false">SUMPRODUCT((Rules!$A$2:$A$60=I$1)*Rules!$C$2:$C$60*ISNUMBER(SEARCH(Rules!$D$2:$D$60,$D350)))</f>
        <v>0</v>
      </c>
      <c r="J350" s="0" t="n">
        <f aca="false">SUMPRODUCT((Rules!$A$2:$A$60=J$1)*Rules!$C$2:$C$60*ISNUMBER(SEARCH(Rules!$D$2:$D$60,$D350)))</f>
        <v>0</v>
      </c>
      <c r="K350" s="0" t="str">
        <f aca="false">IF(OR(MAX(E350:J350)&lt;Rules!$H$1,MAX(E350:J350)-LARGE(E350:J350,2)&lt;Rules!$H$2),"No label",INDEX($E$1:$J$1,MATCH(MAX(E350:J350),E350:J350,0)))</f>
        <v>No label</v>
      </c>
      <c r="L350" s="0" t="n">
        <f aca="false">SUMPRODUCT((Rules!$A$2:$A$60=L$1)*Rules!$C$2:$C$60*ISNUMBER(SEARCH(Rules!$E$2:$E$60,$D350)))</f>
        <v>0</v>
      </c>
      <c r="M350" s="0" t="n">
        <f aca="false">SUMPRODUCT((Rules!$A$2:$A$60=M$1)*Rules!$C$2:$C$60*ISNUMBER(SEARCH(Rules!$E$2:$E$60,$D350)))</f>
        <v>0</v>
      </c>
      <c r="N350" s="0" t="n">
        <f aca="false">SUMPRODUCT((Rules!$A$2:$A$60=N$1)*Rules!$C$2:$C$60*ISNUMBER(SEARCH(Rules!$E$2:$E$60,$D350)))</f>
        <v>0</v>
      </c>
      <c r="O350" s="0" t="n">
        <f aca="false">SUMPRODUCT((Rules!$A$2:$A$60=O$1)*Rules!$C$2:$C$60*ISNUMBER(SEARCH(Rules!$E$2:$E$60,$D350)))</f>
        <v>2</v>
      </c>
      <c r="P350" s="0" t="n">
        <f aca="false">SUMPRODUCT((Rules!$A$2:$A$60=P$1)*Rules!$C$2:$C$60*ISNUMBER(SEARCH(Rules!$E$2:$E$60,$D350)))</f>
        <v>0</v>
      </c>
      <c r="Q350" s="0" t="n">
        <f aca="false">SUMPRODUCT((Rules!$A$2:$A$60=Q$1)*Rules!$C$2:$C$60*ISNUMBER(SEARCH(Rules!$E$2:$E$60,$D350)))</f>
        <v>0</v>
      </c>
      <c r="R350" s="0" t="str">
        <f aca="false">IF(OR(MAX(L350:Q350)&lt;Rules!$H$1,MAX(L350:Q350)-LARGE(L350:Q350,2)&lt;Rules!$H$2),"No label",INDEX($L$1:$Q$1,MATCH(MAX(L350:Q350),L350:Q350,0)))</f>
        <v>No label</v>
      </c>
      <c r="S350" s="0" t="n">
        <f aca="false">SUMPRODUCT(ISNUMBER(SEARCH(" "&amp;Terms!$A$3:$A$821&amp;" ",$D350))*Terms!B$3:B$821)+Terms!B$2</f>
        <v>-5.07355954269335</v>
      </c>
      <c r="T350" s="0" t="n">
        <f aca="false">SUMPRODUCT(ISNUMBER(SEARCH(" "&amp;Terms!$A$3:$A$821&amp;" ",$D350))*Terms!C$3:C$821)+Terms!C$2</f>
        <v>-0.25622273477262</v>
      </c>
      <c r="U350" s="0" t="n">
        <f aca="false">SUMPRODUCT(ISNUMBER(SEARCH(" "&amp;Terms!$A$3:$A$821&amp;" ",$D350))*Terms!D$3:D$821)+Terms!D$2</f>
        <v>-0.137630659684831</v>
      </c>
      <c r="V350" s="0" t="n">
        <f aca="false">SUMPRODUCT(ISNUMBER(SEARCH(" "&amp;Terms!$A$3:$A$821&amp;" ",$D350))*Terms!E$3:E$821)+Terms!E$2</f>
        <v>13.6258049109735</v>
      </c>
      <c r="W350" s="0" t="n">
        <f aca="false">SUMPRODUCT(ISNUMBER(SEARCH(" "&amp;Terms!$A$3:$A$821&amp;" ",$D350))*Terms!F$3:F$821)+Terms!F$2</f>
        <v>-1.39071017056138</v>
      </c>
      <c r="X350" s="0" t="n">
        <f aca="false">SUMPRODUCT(ISNUMBER(SEARCH(" "&amp;Terms!$A$3:$A$821&amp;" ",$D350))*Terms!G$3:G$821)+Terms!G$2</f>
        <v>-6.76768180326122</v>
      </c>
      <c r="Y350" s="0" t="str">
        <f aca="false">INDEX($S$1:$X$1,MATCH(MAX(S350:X350),S350:X350,0))</f>
        <v>Fees &amp; Charges</v>
      </c>
      <c r="Z350" s="0" t="s">
        <v>2607</v>
      </c>
    </row>
    <row r="351" customFormat="false" ht="15" hidden="false" customHeight="false" outlineLevel="0" collapsed="false">
      <c r="A351" s="0" t="str">
        <f aca="false">Complaints!A351</f>
        <v>C0350</v>
      </c>
      <c r="B351" s="0" t="str">
        <f aca="false">Complaints!B351</f>
        <v>Hello, The fraud team closed my case without investigating properly. Also, my account was frozen and I cannot get in to move money. I want this put right.</v>
      </c>
      <c r="C351" s="0" t="str">
        <f aca="false">Complaints!C351</f>
        <v>Fraud &amp; Scams</v>
      </c>
      <c r="D351" s="0" t="str">
        <f aca="false">" "&amp;TRIM(SUBSTITUTE(SUBSTITUTE(SUBSTITUTE(SUBSTITUTE(SUBSTITUTE(SUBSTITUTE(SUBSTITUTE(SUBSTITUTE(SUBSTITUTE(SUBSTITUTE(SUBSTITUTE(SUBSTITUTE(SUBSTITUTE(SUBSTITUTE(SUBSTITUTE(SUBSTITUTE(LOWER(B351),"."," "),","," "),"'"," "),"’"," "),"!"," "),"?"," "),";"," "),":"," "),"-"," "),"("," "),")"," "),"""", " "),"£"," "),"&amp;"," "),"/"," "),"%"," "))&amp;" "</f>
        <v> hello the fraud team closed my case without investigating properly also my account was frozen and i cannot get in to move money i want this put right </v>
      </c>
      <c r="E351" s="0" t="n">
        <f aca="false">SUMPRODUCT((Rules!$A$2:$A$60=E$1)*Rules!$C$2:$C$60*ISNUMBER(SEARCH(Rules!$D$2:$D$60,$D351)))</f>
        <v>3</v>
      </c>
      <c r="F351" s="0" t="n">
        <f aca="false">SUMPRODUCT((Rules!$A$2:$A$60=F$1)*Rules!$C$2:$C$60*ISNUMBER(SEARCH(Rules!$D$2:$D$60,$D351)))</f>
        <v>0</v>
      </c>
      <c r="G351" s="0" t="n">
        <f aca="false">SUMPRODUCT((Rules!$A$2:$A$60=G$1)*Rules!$C$2:$C$60*ISNUMBER(SEARCH(Rules!$D$2:$D$60,$D351)))</f>
        <v>0</v>
      </c>
      <c r="H351" s="0" t="n">
        <f aca="false">SUMPRODUCT((Rules!$A$2:$A$60=H$1)*Rules!$C$2:$C$60*ISNUMBER(SEARCH(Rules!$D$2:$D$60,$D351)))</f>
        <v>0</v>
      </c>
      <c r="I351" s="0" t="n">
        <f aca="false">SUMPRODUCT((Rules!$A$2:$A$60=I$1)*Rules!$C$2:$C$60*ISNUMBER(SEARCH(Rules!$D$2:$D$60,$D351)))</f>
        <v>0</v>
      </c>
      <c r="J351" s="0" t="n">
        <f aca="false">SUMPRODUCT((Rules!$A$2:$A$60=J$1)*Rules!$C$2:$C$60*ISNUMBER(SEARCH(Rules!$D$2:$D$60,$D351)))</f>
        <v>0</v>
      </c>
      <c r="K351" s="0" t="str">
        <f aca="false">IF(OR(MAX(E351:J351)&lt;Rules!$H$1,MAX(E351:J351)-LARGE(E351:J351,2)&lt;Rules!$H$2),"No label",INDEX($E$1:$J$1,MATCH(MAX(E351:J351),E351:J351,0)))</f>
        <v>Fraud &amp; Scams</v>
      </c>
      <c r="L351" s="0" t="n">
        <f aca="false">SUMPRODUCT((Rules!$A$2:$A$60=L$1)*Rules!$C$2:$C$60*ISNUMBER(SEARCH(Rules!$E$2:$E$60,$D351)))</f>
        <v>3</v>
      </c>
      <c r="M351" s="0" t="n">
        <f aca="false">SUMPRODUCT((Rules!$A$2:$A$60=M$1)*Rules!$C$2:$C$60*ISNUMBER(SEARCH(Rules!$E$2:$E$60,$D351)))</f>
        <v>0</v>
      </c>
      <c r="N351" s="0" t="n">
        <f aca="false">SUMPRODUCT((Rules!$A$2:$A$60=N$1)*Rules!$C$2:$C$60*ISNUMBER(SEARCH(Rules!$E$2:$E$60,$D351)))</f>
        <v>0</v>
      </c>
      <c r="O351" s="0" t="n">
        <f aca="false">SUMPRODUCT((Rules!$A$2:$A$60=O$1)*Rules!$C$2:$C$60*ISNUMBER(SEARCH(Rules!$E$2:$E$60,$D351)))</f>
        <v>0</v>
      </c>
      <c r="P351" s="0" t="n">
        <f aca="false">SUMPRODUCT((Rules!$A$2:$A$60=P$1)*Rules!$C$2:$C$60*ISNUMBER(SEARCH(Rules!$E$2:$E$60,$D351)))</f>
        <v>0</v>
      </c>
      <c r="Q351" s="0" t="n">
        <f aca="false">SUMPRODUCT((Rules!$A$2:$A$60=Q$1)*Rules!$C$2:$C$60*ISNUMBER(SEARCH(Rules!$E$2:$E$60,$D351)))</f>
        <v>0</v>
      </c>
      <c r="R351" s="0" t="str">
        <f aca="false">IF(OR(MAX(L351:Q351)&lt;Rules!$H$1,MAX(L351:Q351)-LARGE(L351:Q351,2)&lt;Rules!$H$2),"No label",INDEX($L$1:$Q$1,MATCH(MAX(L351:Q351),L351:Q351,0)))</f>
        <v>Fraud &amp; Scams</v>
      </c>
      <c r="S351" s="0" t="n">
        <f aca="false">SUMPRODUCT(ISNUMBER(SEARCH(" "&amp;Terms!$A$3:$A$821&amp;" ",$D351))*Terms!B$3:B$821)+Terms!B$2</f>
        <v>0.620289604904451</v>
      </c>
      <c r="T351" s="0" t="n">
        <f aca="false">SUMPRODUCT(ISNUMBER(SEARCH(" "&amp;Terms!$A$3:$A$821&amp;" ",$D351))*Terms!C$3:C$821)+Terms!C$2</f>
        <v>-5.03331459270116</v>
      </c>
      <c r="U351" s="0" t="n">
        <f aca="false">SUMPRODUCT(ISNUMBER(SEARCH(" "&amp;Terms!$A$3:$A$821&amp;" ",$D351))*Terms!D$3:D$821)+Terms!D$2</f>
        <v>-3.9681872903466</v>
      </c>
      <c r="V351" s="0" t="n">
        <f aca="false">SUMPRODUCT(ISNUMBER(SEARCH(" "&amp;Terms!$A$3:$A$821&amp;" ",$D351))*Terms!E$3:E$821)+Terms!E$2</f>
        <v>-3.09955127062064</v>
      </c>
      <c r="W351" s="0" t="n">
        <f aca="false">SUMPRODUCT(ISNUMBER(SEARCH(" "&amp;Terms!$A$3:$A$821&amp;" ",$D351))*Terms!F$3:F$821)+Terms!F$2</f>
        <v>14.4171312243034</v>
      </c>
      <c r="X351" s="0" t="n">
        <f aca="false">SUMPRODUCT(ISNUMBER(SEARCH(" "&amp;Terms!$A$3:$A$821&amp;" ",$D351))*Terms!G$3:G$821)+Terms!G$2</f>
        <v>-2.93636767553934</v>
      </c>
      <c r="Y351" s="0" t="str">
        <f aca="false">INDEX($S$1:$X$1,MATCH(MAX(S351:X351),S351:X351,0))</f>
        <v>Fraud &amp; Scams</v>
      </c>
      <c r="Z351" s="0" t="s">
        <v>2607</v>
      </c>
    </row>
    <row r="352" customFormat="false" ht="15" hidden="false" customHeight="false" outlineLevel="0" collapsed="false">
      <c r="A352" s="0" t="str">
        <f aca="false">Complaints!A352</f>
        <v>C0351</v>
      </c>
      <c r="B352" s="0" t="str">
        <f aca="false">Complaints!B352</f>
        <v>To whom it may concern, I have been billed an annual fee I never agreed to. Please sort this out.</v>
      </c>
      <c r="C352" s="0" t="str">
        <f aca="false">Complaints!C352</f>
        <v>Fees &amp; Charges</v>
      </c>
      <c r="D352" s="0" t="str">
        <f aca="false">" "&amp;TRIM(SUBSTITUTE(SUBSTITUTE(SUBSTITUTE(SUBSTITUTE(SUBSTITUTE(SUBSTITUTE(SUBSTITUTE(SUBSTITUTE(SUBSTITUTE(SUBSTITUTE(SUBSTITUTE(SUBSTITUTE(SUBSTITUTE(SUBSTITUTE(SUBSTITUTE(SUBSTITUTE(LOWER(B352),"."," "),","," "),"'"," "),"’"," "),"!"," "),"?"," "),";"," "),":"," "),"-"," "),"("," "),")"," "),"""", " "),"£"," "),"&amp;"," "),"/"," "),"%"," "))&amp;" "</f>
        <v> to whom it may concern i have been billed an annual fee i never agreed to please sort this out </v>
      </c>
      <c r="E352" s="0" t="n">
        <f aca="false">SUMPRODUCT((Rules!$A$2:$A$60=E$1)*Rules!$C$2:$C$60*ISNUMBER(SEARCH(Rules!$D$2:$D$60,$D352)))</f>
        <v>0</v>
      </c>
      <c r="F352" s="0" t="n">
        <f aca="false">SUMPRODUCT((Rules!$A$2:$A$60=F$1)*Rules!$C$2:$C$60*ISNUMBER(SEARCH(Rules!$D$2:$D$60,$D352)))</f>
        <v>0</v>
      </c>
      <c r="G352" s="0" t="n">
        <f aca="false">SUMPRODUCT((Rules!$A$2:$A$60=G$1)*Rules!$C$2:$C$60*ISNUMBER(SEARCH(Rules!$D$2:$D$60,$D352)))</f>
        <v>0</v>
      </c>
      <c r="H352" s="0" t="n">
        <f aca="false">SUMPRODUCT((Rules!$A$2:$A$60=H$1)*Rules!$C$2:$C$60*ISNUMBER(SEARCH(Rules!$D$2:$D$60,$D352)))</f>
        <v>4</v>
      </c>
      <c r="I352" s="0" t="n">
        <f aca="false">SUMPRODUCT((Rules!$A$2:$A$60=I$1)*Rules!$C$2:$C$60*ISNUMBER(SEARCH(Rules!$D$2:$D$60,$D352)))</f>
        <v>0</v>
      </c>
      <c r="J352" s="0" t="n">
        <f aca="false">SUMPRODUCT((Rules!$A$2:$A$60=J$1)*Rules!$C$2:$C$60*ISNUMBER(SEARCH(Rules!$D$2:$D$60,$D352)))</f>
        <v>0</v>
      </c>
      <c r="K352" s="0" t="str">
        <f aca="false">IF(OR(MAX(E352:J352)&lt;Rules!$H$1,MAX(E352:J352)-LARGE(E352:J352,2)&lt;Rules!$H$2),"No label",INDEX($E$1:$J$1,MATCH(MAX(E352:J352),E352:J352,0)))</f>
        <v>Fees &amp; Charges</v>
      </c>
      <c r="L352" s="0" t="n">
        <f aca="false">SUMPRODUCT((Rules!$A$2:$A$60=L$1)*Rules!$C$2:$C$60*ISNUMBER(SEARCH(Rules!$E$2:$E$60,$D352)))</f>
        <v>0</v>
      </c>
      <c r="M352" s="0" t="n">
        <f aca="false">SUMPRODUCT((Rules!$A$2:$A$60=M$1)*Rules!$C$2:$C$60*ISNUMBER(SEARCH(Rules!$E$2:$E$60,$D352)))</f>
        <v>0</v>
      </c>
      <c r="N352" s="0" t="n">
        <f aca="false">SUMPRODUCT((Rules!$A$2:$A$60=N$1)*Rules!$C$2:$C$60*ISNUMBER(SEARCH(Rules!$E$2:$E$60,$D352)))</f>
        <v>0</v>
      </c>
      <c r="O352" s="0" t="n">
        <f aca="false">SUMPRODUCT((Rules!$A$2:$A$60=O$1)*Rules!$C$2:$C$60*ISNUMBER(SEARCH(Rules!$E$2:$E$60,$D352)))</f>
        <v>4</v>
      </c>
      <c r="P352" s="0" t="n">
        <f aca="false">SUMPRODUCT((Rules!$A$2:$A$60=P$1)*Rules!$C$2:$C$60*ISNUMBER(SEARCH(Rules!$E$2:$E$60,$D352)))</f>
        <v>0</v>
      </c>
      <c r="Q352" s="0" t="n">
        <f aca="false">SUMPRODUCT((Rules!$A$2:$A$60=Q$1)*Rules!$C$2:$C$60*ISNUMBER(SEARCH(Rules!$E$2:$E$60,$D352)))</f>
        <v>0</v>
      </c>
      <c r="R352" s="0" t="str">
        <f aca="false">IF(OR(MAX(L352:Q352)&lt;Rules!$H$1,MAX(L352:Q352)-LARGE(L352:Q352,2)&lt;Rules!$H$2),"No label",INDEX($L$1:$Q$1,MATCH(MAX(L352:Q352),L352:Q352,0)))</f>
        <v>Fees &amp; Charges</v>
      </c>
      <c r="S352" s="0" t="n">
        <f aca="false">SUMPRODUCT(ISNUMBER(SEARCH(" "&amp;Terms!$A$3:$A$821&amp;" ",$D352))*Terms!B$3:B$821)+Terms!B$2</f>
        <v>-2.7048186294354</v>
      </c>
      <c r="T352" s="0" t="n">
        <f aca="false">SUMPRODUCT(ISNUMBER(SEARCH(" "&amp;Terms!$A$3:$A$821&amp;" ",$D352))*Terms!C$3:C$821)+Terms!C$2</f>
        <v>-0.633948653971032</v>
      </c>
      <c r="U352" s="0" t="n">
        <f aca="false">SUMPRODUCT(ISNUMBER(SEARCH(" "&amp;Terms!$A$3:$A$821&amp;" ",$D352))*Terms!D$3:D$821)+Terms!D$2</f>
        <v>-2.10754134320355</v>
      </c>
      <c r="V352" s="0" t="n">
        <f aca="false">SUMPRODUCT(ISNUMBER(SEARCH(" "&amp;Terms!$A$3:$A$821&amp;" ",$D352))*Terms!E$3:E$821)+Terms!E$2</f>
        <v>13.7126208144116</v>
      </c>
      <c r="W352" s="0" t="n">
        <f aca="false">SUMPRODUCT(ISNUMBER(SEARCH(" "&amp;Terms!$A$3:$A$821&amp;" ",$D352))*Terms!F$3:F$821)+Terms!F$2</f>
        <v>-5.43660121531517</v>
      </c>
      <c r="X352" s="0" t="n">
        <f aca="false">SUMPRODUCT(ISNUMBER(SEARCH(" "&amp;Terms!$A$3:$A$821&amp;" ",$D352))*Terms!G$3:G$821)+Terms!G$2</f>
        <v>-2.82971097248632</v>
      </c>
      <c r="Y352" s="0" t="str">
        <f aca="false">INDEX($S$1:$X$1,MATCH(MAX(S352:X352),S352:X352,0))</f>
        <v>Fees &amp; Charges</v>
      </c>
      <c r="Z352" s="0" t="s">
        <v>2607</v>
      </c>
    </row>
    <row r="353" customFormat="false" ht="15" hidden="false" customHeight="false" outlineLevel="0" collapsed="false">
      <c r="A353" s="0" t="str">
        <f aca="false">Complaints!A353</f>
        <v>C0352</v>
      </c>
      <c r="B353" s="0" t="str">
        <f aca="false">Complaints!B353</f>
        <v>The payment still has not arrived in my account. Also, why has my interest rate gone up without notice, it is costing me more every month.</v>
      </c>
      <c r="C353" s="0" t="str">
        <f aca="false">Complaints!C353</f>
        <v>Delays &amp; Processing</v>
      </c>
      <c r="D353" s="0" t="str">
        <f aca="false">" "&amp;TRIM(SUBSTITUTE(SUBSTITUTE(SUBSTITUTE(SUBSTITUTE(SUBSTITUTE(SUBSTITUTE(SUBSTITUTE(SUBSTITUTE(SUBSTITUTE(SUBSTITUTE(SUBSTITUTE(SUBSTITUTE(SUBSTITUTE(SUBSTITUTE(SUBSTITUTE(SUBSTITUTE(LOWER(B353),"."," "),","," "),"'"," "),"’"," "),"!"," "),"?"," "),";"," "),":"," "),"-"," "),"("," "),")"," "),"""", " "),"£"," "),"&amp;"," "),"/"," "),"%"," "))&amp;" "</f>
        <v> the payment still has not arrived in my account also why has my interest rate gone up without notice it is costing me more every month </v>
      </c>
      <c r="E353" s="0" t="n">
        <f aca="false">SUMPRODUCT((Rules!$A$2:$A$60=E$1)*Rules!$C$2:$C$60*ISNUMBER(SEARCH(Rules!$D$2:$D$60,$D353)))</f>
        <v>0</v>
      </c>
      <c r="F353" s="0" t="n">
        <f aca="false">SUMPRODUCT((Rules!$A$2:$A$60=F$1)*Rules!$C$2:$C$60*ISNUMBER(SEARCH(Rules!$D$2:$D$60,$D353)))</f>
        <v>0</v>
      </c>
      <c r="G353" s="0" t="n">
        <f aca="false">SUMPRODUCT((Rules!$A$2:$A$60=G$1)*Rules!$C$2:$C$60*ISNUMBER(SEARCH(Rules!$D$2:$D$60,$D353)))</f>
        <v>0</v>
      </c>
      <c r="H353" s="0" t="n">
        <f aca="false">SUMPRODUCT((Rules!$A$2:$A$60=H$1)*Rules!$C$2:$C$60*ISNUMBER(SEARCH(Rules!$D$2:$D$60,$D353)))</f>
        <v>2</v>
      </c>
      <c r="I353" s="0" t="n">
        <f aca="false">SUMPRODUCT((Rules!$A$2:$A$60=I$1)*Rules!$C$2:$C$60*ISNUMBER(SEARCH(Rules!$D$2:$D$60,$D353)))</f>
        <v>2</v>
      </c>
      <c r="J353" s="0" t="n">
        <f aca="false">SUMPRODUCT((Rules!$A$2:$A$60=J$1)*Rules!$C$2:$C$60*ISNUMBER(SEARCH(Rules!$D$2:$D$60,$D353)))</f>
        <v>0</v>
      </c>
      <c r="K353" s="0" t="str">
        <f aca="false">IF(OR(MAX(E353:J353)&lt;Rules!$H$1,MAX(E353:J353)-LARGE(E353:J353,2)&lt;Rules!$H$2),"No label",INDEX($E$1:$J$1,MATCH(MAX(E353:J353),E353:J353,0)))</f>
        <v>No label</v>
      </c>
      <c r="L353" s="0" t="n">
        <f aca="false">SUMPRODUCT((Rules!$A$2:$A$60=L$1)*Rules!$C$2:$C$60*ISNUMBER(SEARCH(Rules!$E$2:$E$60,$D353)))</f>
        <v>0</v>
      </c>
      <c r="M353" s="0" t="n">
        <f aca="false">SUMPRODUCT((Rules!$A$2:$A$60=M$1)*Rules!$C$2:$C$60*ISNUMBER(SEARCH(Rules!$E$2:$E$60,$D353)))</f>
        <v>0</v>
      </c>
      <c r="N353" s="0" t="n">
        <f aca="false">SUMPRODUCT((Rules!$A$2:$A$60=N$1)*Rules!$C$2:$C$60*ISNUMBER(SEARCH(Rules!$E$2:$E$60,$D353)))</f>
        <v>0</v>
      </c>
      <c r="O353" s="0" t="n">
        <f aca="false">SUMPRODUCT((Rules!$A$2:$A$60=O$1)*Rules!$C$2:$C$60*ISNUMBER(SEARCH(Rules!$E$2:$E$60,$D353)))</f>
        <v>2</v>
      </c>
      <c r="P353" s="0" t="n">
        <f aca="false">SUMPRODUCT((Rules!$A$2:$A$60=P$1)*Rules!$C$2:$C$60*ISNUMBER(SEARCH(Rules!$E$2:$E$60,$D353)))</f>
        <v>2</v>
      </c>
      <c r="Q353" s="0" t="n">
        <f aca="false">SUMPRODUCT((Rules!$A$2:$A$60=Q$1)*Rules!$C$2:$C$60*ISNUMBER(SEARCH(Rules!$E$2:$E$60,$D353)))</f>
        <v>0</v>
      </c>
      <c r="R353" s="0" t="str">
        <f aca="false">IF(OR(MAX(L353:Q353)&lt;Rules!$H$1,MAX(L353:Q353)-LARGE(L353:Q353,2)&lt;Rules!$H$2),"No label",INDEX($L$1:$Q$1,MATCH(MAX(L353:Q353),L353:Q353,0)))</f>
        <v>No label</v>
      </c>
      <c r="S353" s="0" t="n">
        <f aca="false">SUMPRODUCT(ISNUMBER(SEARCH(" "&amp;Terms!$A$3:$A$821&amp;" ",$D353))*Terms!B$3:B$821)+Terms!B$2</f>
        <v>-0.507297978999855</v>
      </c>
      <c r="T353" s="0" t="n">
        <f aca="false">SUMPRODUCT(ISNUMBER(SEARCH(" "&amp;Terms!$A$3:$A$821&amp;" ",$D353))*Terms!C$3:C$821)+Terms!C$2</f>
        <v>-5.23630011302708</v>
      </c>
      <c r="U353" s="0" t="n">
        <f aca="false">SUMPRODUCT(ISNUMBER(SEARCH(" "&amp;Terms!$A$3:$A$821&amp;" ",$D353))*Terms!D$3:D$821)+Terms!D$2</f>
        <v>6.40075052241581</v>
      </c>
      <c r="V353" s="0" t="n">
        <f aca="false">SUMPRODUCT(ISNUMBER(SEARCH(" "&amp;Terms!$A$3:$A$821&amp;" ",$D353))*Terms!E$3:E$821)+Terms!E$2</f>
        <v>6.20589206494283</v>
      </c>
      <c r="W353" s="0" t="n">
        <f aca="false">SUMPRODUCT(ISNUMBER(SEARCH(" "&amp;Terms!$A$3:$A$821&amp;" ",$D353))*Terms!F$3:F$821)+Terms!F$2</f>
        <v>-1.16478040651362</v>
      </c>
      <c r="X353" s="0" t="n">
        <f aca="false">SUMPRODUCT(ISNUMBER(SEARCH(" "&amp;Terms!$A$3:$A$821&amp;" ",$D353))*Terms!G$3:G$821)+Terms!G$2</f>
        <v>-5.698264088818</v>
      </c>
      <c r="Y353" s="0" t="str">
        <f aca="false">INDEX($S$1:$X$1,MATCH(MAX(S353:X353),S353:X353,0))</f>
        <v>Delays &amp; Processing</v>
      </c>
      <c r="Z353" s="0" t="s">
        <v>2607</v>
      </c>
    </row>
    <row r="354" customFormat="false" ht="15" hidden="false" customHeight="false" outlineLevel="0" collapsed="false">
      <c r="A354" s="0" t="str">
        <f aca="false">Complaints!A354</f>
        <v>C0353</v>
      </c>
      <c r="B354" s="0" t="str">
        <f aca="false">Complaints!B354</f>
        <v>Please look into what happened on my account. I want this put right.</v>
      </c>
      <c r="C354" s="0" t="str">
        <f aca="false">Complaints!C354</f>
        <v>Fraud &amp; Scams</v>
      </c>
      <c r="D354" s="0" t="str">
        <f aca="false">" "&amp;TRIM(SUBSTITUTE(SUBSTITUTE(SUBSTITUTE(SUBSTITUTE(SUBSTITUTE(SUBSTITUTE(SUBSTITUTE(SUBSTITUTE(SUBSTITUTE(SUBSTITUTE(SUBSTITUTE(SUBSTITUTE(SUBSTITUTE(SUBSTITUTE(SUBSTITUTE(SUBSTITUTE(LOWER(B354),"."," "),","," "),"'"," "),"’"," "),"!"," "),"?"," "),";"," "),":"," "),"-"," "),"("," "),")"," "),"""", " "),"£"," "),"&amp;"," "),"/"," "),"%"," "))&amp;" "</f>
        <v> please look into what happened on my account i want this put right </v>
      </c>
      <c r="E354" s="0" t="n">
        <f aca="false">SUMPRODUCT((Rules!$A$2:$A$60=E$1)*Rules!$C$2:$C$60*ISNUMBER(SEARCH(Rules!$D$2:$D$60,$D354)))</f>
        <v>0</v>
      </c>
      <c r="F354" s="0" t="n">
        <f aca="false">SUMPRODUCT((Rules!$A$2:$A$60=F$1)*Rules!$C$2:$C$60*ISNUMBER(SEARCH(Rules!$D$2:$D$60,$D354)))</f>
        <v>0</v>
      </c>
      <c r="G354" s="0" t="n">
        <f aca="false">SUMPRODUCT((Rules!$A$2:$A$60=G$1)*Rules!$C$2:$C$60*ISNUMBER(SEARCH(Rules!$D$2:$D$60,$D354)))</f>
        <v>0</v>
      </c>
      <c r="H354" s="0" t="n">
        <f aca="false">SUMPRODUCT((Rules!$A$2:$A$60=H$1)*Rules!$C$2:$C$60*ISNUMBER(SEARCH(Rules!$D$2:$D$60,$D354)))</f>
        <v>0</v>
      </c>
      <c r="I354" s="0" t="n">
        <f aca="false">SUMPRODUCT((Rules!$A$2:$A$60=I$1)*Rules!$C$2:$C$60*ISNUMBER(SEARCH(Rules!$D$2:$D$60,$D354)))</f>
        <v>0</v>
      </c>
      <c r="J354" s="0" t="n">
        <f aca="false">SUMPRODUCT((Rules!$A$2:$A$60=J$1)*Rules!$C$2:$C$60*ISNUMBER(SEARCH(Rules!$D$2:$D$60,$D354)))</f>
        <v>0</v>
      </c>
      <c r="K354" s="0" t="str">
        <f aca="false">IF(OR(MAX(E354:J354)&lt;Rules!$H$1,MAX(E354:J354)-LARGE(E354:J354,2)&lt;Rules!$H$2),"No label",INDEX($E$1:$J$1,MATCH(MAX(E354:J354),E354:J354,0)))</f>
        <v>No label</v>
      </c>
      <c r="L354" s="0" t="n">
        <f aca="false">SUMPRODUCT((Rules!$A$2:$A$60=L$1)*Rules!$C$2:$C$60*ISNUMBER(SEARCH(Rules!$E$2:$E$60,$D354)))</f>
        <v>0</v>
      </c>
      <c r="M354" s="0" t="n">
        <f aca="false">SUMPRODUCT((Rules!$A$2:$A$60=M$1)*Rules!$C$2:$C$60*ISNUMBER(SEARCH(Rules!$E$2:$E$60,$D354)))</f>
        <v>0</v>
      </c>
      <c r="N354" s="0" t="n">
        <f aca="false">SUMPRODUCT((Rules!$A$2:$A$60=N$1)*Rules!$C$2:$C$60*ISNUMBER(SEARCH(Rules!$E$2:$E$60,$D354)))</f>
        <v>0</v>
      </c>
      <c r="O354" s="0" t="n">
        <f aca="false">SUMPRODUCT((Rules!$A$2:$A$60=O$1)*Rules!$C$2:$C$60*ISNUMBER(SEARCH(Rules!$E$2:$E$60,$D354)))</f>
        <v>0</v>
      </c>
      <c r="P354" s="0" t="n">
        <f aca="false">SUMPRODUCT((Rules!$A$2:$A$60=P$1)*Rules!$C$2:$C$60*ISNUMBER(SEARCH(Rules!$E$2:$E$60,$D354)))</f>
        <v>0</v>
      </c>
      <c r="Q354" s="0" t="n">
        <f aca="false">SUMPRODUCT((Rules!$A$2:$A$60=Q$1)*Rules!$C$2:$C$60*ISNUMBER(SEARCH(Rules!$E$2:$E$60,$D354)))</f>
        <v>0</v>
      </c>
      <c r="R354" s="0" t="str">
        <f aca="false">IF(OR(MAX(L354:Q354)&lt;Rules!$H$1,MAX(L354:Q354)-LARGE(L354:Q354,2)&lt;Rules!$H$2),"No label",INDEX($L$1:$Q$1,MATCH(MAX(L354:Q354),L354:Q354,0)))</f>
        <v>No label</v>
      </c>
      <c r="S354" s="0" t="n">
        <f aca="false">SUMPRODUCT(ISNUMBER(SEARCH(" "&amp;Terms!$A$3:$A$821&amp;" ",$D354))*Terms!B$3:B$821)+Terms!B$2</f>
        <v>0.0742231344735324</v>
      </c>
      <c r="T354" s="0" t="n">
        <f aca="false">SUMPRODUCT(ISNUMBER(SEARCH(" "&amp;Terms!$A$3:$A$821&amp;" ",$D354))*Terms!C$3:C$821)+Terms!C$2</f>
        <v>-3.45284006685514</v>
      </c>
      <c r="U354" s="0" t="n">
        <f aca="false">SUMPRODUCT(ISNUMBER(SEARCH(" "&amp;Terms!$A$3:$A$821&amp;" ",$D354))*Terms!D$3:D$821)+Terms!D$2</f>
        <v>1.89891585009819</v>
      </c>
      <c r="V354" s="0" t="n">
        <f aca="false">SUMPRODUCT(ISNUMBER(SEARCH(" "&amp;Terms!$A$3:$A$821&amp;" ",$D354))*Terms!E$3:E$821)+Terms!E$2</f>
        <v>1.02062640523138</v>
      </c>
      <c r="W354" s="0" t="n">
        <f aca="false">SUMPRODUCT(ISNUMBER(SEARCH(" "&amp;Terms!$A$3:$A$821&amp;" ",$D354))*Terms!F$3:F$821)+Terms!F$2</f>
        <v>2.13921163880538</v>
      </c>
      <c r="X354" s="0" t="n">
        <f aca="false">SUMPRODUCT(ISNUMBER(SEARCH(" "&amp;Terms!$A$3:$A$821&amp;" ",$D354))*Terms!G$3:G$821)+Terms!G$2</f>
        <v>-1.68013696175326</v>
      </c>
      <c r="Y354" s="0" t="str">
        <f aca="false">INDEX($S$1:$X$1,MATCH(MAX(S354:X354),S354:X354,0))</f>
        <v>Fraud &amp; Scams</v>
      </c>
      <c r="Z354" s="0" t="s">
        <v>2607</v>
      </c>
    </row>
    <row r="355" customFormat="false" ht="15" hidden="false" customHeight="false" outlineLevel="0" collapsed="false">
      <c r="A355" s="0" t="str">
        <f aca="false">Complaints!A355</f>
        <v>C0354</v>
      </c>
      <c r="B355" s="0" t="str">
        <f aca="false">Complaints!B355</f>
        <v>The website will not let me register for online access. I want this put right.</v>
      </c>
      <c r="C355" s="0" t="str">
        <f aca="false">Complaints!C355</f>
        <v>Account Access</v>
      </c>
      <c r="D355" s="0" t="str">
        <f aca="false">" "&amp;TRIM(SUBSTITUTE(SUBSTITUTE(SUBSTITUTE(SUBSTITUTE(SUBSTITUTE(SUBSTITUTE(SUBSTITUTE(SUBSTITUTE(SUBSTITUTE(SUBSTITUTE(SUBSTITUTE(SUBSTITUTE(SUBSTITUTE(SUBSTITUTE(SUBSTITUTE(SUBSTITUTE(LOWER(B355),"."," "),","," "),"'"," "),"’"," "),"!"," "),"?"," "),";"," "),":"," "),"-"," "),"("," "),")"," "),"""", " "),"£"," "),"&amp;"," "),"/"," "),"%"," "))&amp;" "</f>
        <v> the website will not let me register for online access i want this put right </v>
      </c>
      <c r="E355" s="0" t="n">
        <f aca="false">SUMPRODUCT((Rules!$A$2:$A$60=E$1)*Rules!$C$2:$C$60*ISNUMBER(SEARCH(Rules!$D$2:$D$60,$D355)))</f>
        <v>0</v>
      </c>
      <c r="F355" s="0" t="n">
        <f aca="false">SUMPRODUCT((Rules!$A$2:$A$60=F$1)*Rules!$C$2:$C$60*ISNUMBER(SEARCH(Rules!$D$2:$D$60,$D355)))</f>
        <v>0</v>
      </c>
      <c r="G355" s="0" t="n">
        <f aca="false">SUMPRODUCT((Rules!$A$2:$A$60=G$1)*Rules!$C$2:$C$60*ISNUMBER(SEARCH(Rules!$D$2:$D$60,$D355)))</f>
        <v>1</v>
      </c>
      <c r="H355" s="0" t="n">
        <f aca="false">SUMPRODUCT((Rules!$A$2:$A$60=H$1)*Rules!$C$2:$C$60*ISNUMBER(SEARCH(Rules!$D$2:$D$60,$D355)))</f>
        <v>0</v>
      </c>
      <c r="I355" s="0" t="n">
        <f aca="false">SUMPRODUCT((Rules!$A$2:$A$60=I$1)*Rules!$C$2:$C$60*ISNUMBER(SEARCH(Rules!$D$2:$D$60,$D355)))</f>
        <v>0</v>
      </c>
      <c r="J355" s="0" t="n">
        <f aca="false">SUMPRODUCT((Rules!$A$2:$A$60=J$1)*Rules!$C$2:$C$60*ISNUMBER(SEARCH(Rules!$D$2:$D$60,$D355)))</f>
        <v>0</v>
      </c>
      <c r="K355" s="0" t="str">
        <f aca="false">IF(OR(MAX(E355:J355)&lt;Rules!$H$1,MAX(E355:J355)-LARGE(E355:J355,2)&lt;Rules!$H$2),"No label",INDEX($E$1:$J$1,MATCH(MAX(E355:J355),E355:J355,0)))</f>
        <v>No label</v>
      </c>
      <c r="L355" s="0" t="n">
        <f aca="false">SUMPRODUCT((Rules!$A$2:$A$60=L$1)*Rules!$C$2:$C$60*ISNUMBER(SEARCH(Rules!$E$2:$E$60,$D355)))</f>
        <v>0</v>
      </c>
      <c r="M355" s="0" t="n">
        <f aca="false">SUMPRODUCT((Rules!$A$2:$A$60=M$1)*Rules!$C$2:$C$60*ISNUMBER(SEARCH(Rules!$E$2:$E$60,$D355)))</f>
        <v>0</v>
      </c>
      <c r="N355" s="0" t="n">
        <f aca="false">SUMPRODUCT((Rules!$A$2:$A$60=N$1)*Rules!$C$2:$C$60*ISNUMBER(SEARCH(Rules!$E$2:$E$60,$D355)))</f>
        <v>1</v>
      </c>
      <c r="O355" s="0" t="n">
        <f aca="false">SUMPRODUCT((Rules!$A$2:$A$60=O$1)*Rules!$C$2:$C$60*ISNUMBER(SEARCH(Rules!$E$2:$E$60,$D355)))</f>
        <v>0</v>
      </c>
      <c r="P355" s="0" t="n">
        <f aca="false">SUMPRODUCT((Rules!$A$2:$A$60=P$1)*Rules!$C$2:$C$60*ISNUMBER(SEARCH(Rules!$E$2:$E$60,$D355)))</f>
        <v>0</v>
      </c>
      <c r="Q355" s="0" t="n">
        <f aca="false">SUMPRODUCT((Rules!$A$2:$A$60=Q$1)*Rules!$C$2:$C$60*ISNUMBER(SEARCH(Rules!$E$2:$E$60,$D355)))</f>
        <v>0</v>
      </c>
      <c r="R355" s="0" t="str">
        <f aca="false">IF(OR(MAX(L355:Q355)&lt;Rules!$H$1,MAX(L355:Q355)-LARGE(L355:Q355,2)&lt;Rules!$H$2),"No label",INDEX($L$1:$Q$1,MATCH(MAX(L355:Q355),L355:Q355,0)))</f>
        <v>No label</v>
      </c>
      <c r="S355" s="0" t="n">
        <f aca="false">SUMPRODUCT(ISNUMBER(SEARCH(" "&amp;Terms!$A$3:$A$821&amp;" ",$D355))*Terms!B$3:B$821)+Terms!B$2</f>
        <v>8.49858951394556</v>
      </c>
      <c r="T355" s="0" t="n">
        <f aca="false">SUMPRODUCT(ISNUMBER(SEARCH(" "&amp;Terms!$A$3:$A$821&amp;" ",$D355))*Terms!C$3:C$821)+Terms!C$2</f>
        <v>-5.81521474145098</v>
      </c>
      <c r="U355" s="0" t="n">
        <f aca="false">SUMPRODUCT(ISNUMBER(SEARCH(" "&amp;Terms!$A$3:$A$821&amp;" ",$D355))*Terms!D$3:D$821)+Terms!D$2</f>
        <v>-2.42153366004056</v>
      </c>
      <c r="V355" s="0" t="n">
        <f aca="false">SUMPRODUCT(ISNUMBER(SEARCH(" "&amp;Terms!$A$3:$A$821&amp;" ",$D355))*Terms!E$3:E$821)+Terms!E$2</f>
        <v>-1.33738945216282</v>
      </c>
      <c r="W355" s="0" t="n">
        <f aca="false">SUMPRODUCT(ISNUMBER(SEARCH(" "&amp;Terms!$A$3:$A$821&amp;" ",$D355))*Terms!F$3:F$821)+Terms!F$2</f>
        <v>0.652308244955234</v>
      </c>
      <c r="X355" s="0" t="n">
        <f aca="false">SUMPRODUCT(ISNUMBER(SEARCH(" "&amp;Terms!$A$3:$A$821&amp;" ",$D355))*Terms!G$3:G$821)+Terms!G$2</f>
        <v>0.423240094753652</v>
      </c>
      <c r="Y355" s="0" t="str">
        <f aca="false">INDEX($S$1:$X$1,MATCH(MAX(S355:X355),S355:X355,0))</f>
        <v>Account Access</v>
      </c>
      <c r="Z355" s="0" t="s">
        <v>2607</v>
      </c>
    </row>
    <row r="356" customFormat="false" ht="15" hidden="false" customHeight="false" outlineLevel="0" collapsed="false">
      <c r="A356" s="0" t="str">
        <f aca="false">Complaints!A356</f>
        <v>C0355</v>
      </c>
      <c r="B356" s="0" t="str">
        <f aca="false">Complaints!B356</f>
        <v>Hello, Nobody explained the foreign transaction charges before my holiday. Also, nobody has responded to my emails despite three reminders. I expect compensation.</v>
      </c>
      <c r="C356" s="0" t="str">
        <f aca="false">Complaints!C356</f>
        <v>Fees &amp; Charges</v>
      </c>
      <c r="D356" s="0" t="str">
        <f aca="false">" "&amp;TRIM(SUBSTITUTE(SUBSTITUTE(SUBSTITUTE(SUBSTITUTE(SUBSTITUTE(SUBSTITUTE(SUBSTITUTE(SUBSTITUTE(SUBSTITUTE(SUBSTITUTE(SUBSTITUTE(SUBSTITUTE(SUBSTITUTE(SUBSTITUTE(SUBSTITUTE(SUBSTITUTE(LOWER(B356),"."," "),","," "),"'"," "),"’"," "),"!"," "),"?"," "),";"," "),":"," "),"-"," "),"("," "),")"," "),"""", " "),"£"," "),"&amp;"," "),"/"," "),"%"," "))&amp;" "</f>
        <v> hello nobody explained the foreign transaction charges before my holiday also nobody has responded to my emails despite three reminders i expect compensation </v>
      </c>
      <c r="E356" s="0" t="n">
        <f aca="false">SUMPRODUCT((Rules!$A$2:$A$60=E$1)*Rules!$C$2:$C$60*ISNUMBER(SEARCH(Rules!$D$2:$D$60,$D356)))</f>
        <v>0</v>
      </c>
      <c r="F356" s="0" t="n">
        <f aca="false">SUMPRODUCT((Rules!$A$2:$A$60=F$1)*Rules!$C$2:$C$60*ISNUMBER(SEARCH(Rules!$D$2:$D$60,$D356)))</f>
        <v>0</v>
      </c>
      <c r="G356" s="0" t="n">
        <f aca="false">SUMPRODUCT((Rules!$A$2:$A$60=G$1)*Rules!$C$2:$C$60*ISNUMBER(SEARCH(Rules!$D$2:$D$60,$D356)))</f>
        <v>0</v>
      </c>
      <c r="H356" s="0" t="n">
        <f aca="false">SUMPRODUCT((Rules!$A$2:$A$60=H$1)*Rules!$C$2:$C$60*ISNUMBER(SEARCH(Rules!$D$2:$D$60,$D356)))</f>
        <v>0</v>
      </c>
      <c r="I356" s="0" t="n">
        <f aca="false">SUMPRODUCT((Rules!$A$2:$A$60=I$1)*Rules!$C$2:$C$60*ISNUMBER(SEARCH(Rules!$D$2:$D$60,$D356)))</f>
        <v>0</v>
      </c>
      <c r="J356" s="0" t="n">
        <f aca="false">SUMPRODUCT((Rules!$A$2:$A$60=J$1)*Rules!$C$2:$C$60*ISNUMBER(SEARCH(Rules!$D$2:$D$60,$D356)))</f>
        <v>2</v>
      </c>
      <c r="K356" s="0" t="str">
        <f aca="false">IF(OR(MAX(E356:J356)&lt;Rules!$H$1,MAX(E356:J356)-LARGE(E356:J356,2)&lt;Rules!$H$2),"No label",INDEX($E$1:$J$1,MATCH(MAX(E356:J356),E356:J356,0)))</f>
        <v>No label</v>
      </c>
      <c r="L356" s="0" t="n">
        <f aca="false">SUMPRODUCT((Rules!$A$2:$A$60=L$1)*Rules!$C$2:$C$60*ISNUMBER(SEARCH(Rules!$E$2:$E$60,$D356)))</f>
        <v>0</v>
      </c>
      <c r="M356" s="0" t="n">
        <f aca="false">SUMPRODUCT((Rules!$A$2:$A$60=M$1)*Rules!$C$2:$C$60*ISNUMBER(SEARCH(Rules!$E$2:$E$60,$D356)))</f>
        <v>0</v>
      </c>
      <c r="N356" s="0" t="n">
        <f aca="false">SUMPRODUCT((Rules!$A$2:$A$60=N$1)*Rules!$C$2:$C$60*ISNUMBER(SEARCH(Rules!$E$2:$E$60,$D356)))</f>
        <v>0</v>
      </c>
      <c r="O356" s="0" t="n">
        <f aca="false">SUMPRODUCT((Rules!$A$2:$A$60=O$1)*Rules!$C$2:$C$60*ISNUMBER(SEARCH(Rules!$E$2:$E$60,$D356)))</f>
        <v>4</v>
      </c>
      <c r="P356" s="0" t="n">
        <f aca="false">SUMPRODUCT((Rules!$A$2:$A$60=P$1)*Rules!$C$2:$C$60*ISNUMBER(SEARCH(Rules!$E$2:$E$60,$D356)))</f>
        <v>0</v>
      </c>
      <c r="Q356" s="0" t="n">
        <f aca="false">SUMPRODUCT((Rules!$A$2:$A$60=Q$1)*Rules!$C$2:$C$60*ISNUMBER(SEARCH(Rules!$E$2:$E$60,$D356)))</f>
        <v>2</v>
      </c>
      <c r="R356" s="0" t="str">
        <f aca="false">IF(OR(MAX(L356:Q356)&lt;Rules!$H$1,MAX(L356:Q356)-LARGE(L356:Q356,2)&lt;Rules!$H$2),"No label",INDEX($L$1:$Q$1,MATCH(MAX(L356:Q356),L356:Q356,0)))</f>
        <v>Fees &amp; Charges</v>
      </c>
      <c r="S356" s="0" t="n">
        <f aca="false">SUMPRODUCT(ISNUMBER(SEARCH(" "&amp;Terms!$A$3:$A$821&amp;" ",$D356))*Terms!B$3:B$821)+Terms!B$2</f>
        <v>-1.72571696962581</v>
      </c>
      <c r="T356" s="0" t="n">
        <f aca="false">SUMPRODUCT(ISNUMBER(SEARCH(" "&amp;Terms!$A$3:$A$821&amp;" ",$D356))*Terms!C$3:C$821)+Terms!C$2</f>
        <v>7.74401417186463</v>
      </c>
      <c r="U356" s="0" t="n">
        <f aca="false">SUMPRODUCT(ISNUMBER(SEARCH(" "&amp;Terms!$A$3:$A$821&amp;" ",$D356))*Terms!D$3:D$821)+Terms!D$2</f>
        <v>-6.66178662206937</v>
      </c>
      <c r="V356" s="0" t="n">
        <f aca="false">SUMPRODUCT(ISNUMBER(SEARCH(" "&amp;Terms!$A$3:$A$821&amp;" ",$D356))*Terms!E$3:E$821)+Terms!E$2</f>
        <v>10.0304295607401</v>
      </c>
      <c r="W356" s="0" t="n">
        <f aca="false">SUMPRODUCT(ISNUMBER(SEARCH(" "&amp;Terms!$A$3:$A$821&amp;" ",$D356))*Terms!F$3:F$821)+Terms!F$2</f>
        <v>-3.62470916744637</v>
      </c>
      <c r="X356" s="0" t="n">
        <f aca="false">SUMPRODUCT(ISNUMBER(SEARCH(" "&amp;Terms!$A$3:$A$821&amp;" ",$D356))*Terms!G$3:G$821)+Terms!G$2</f>
        <v>-5.76223097346307</v>
      </c>
      <c r="Y356" s="0" t="str">
        <f aca="false">INDEX($S$1:$X$1,MATCH(MAX(S356:X356),S356:X356,0))</f>
        <v>Fees &amp; Charges</v>
      </c>
      <c r="Z356" s="0" t="s">
        <v>2607</v>
      </c>
    </row>
    <row r="357" customFormat="false" ht="15" hidden="false" customHeight="false" outlineLevel="0" collapsed="false">
      <c r="A357" s="0" t="str">
        <f aca="false">Complaints!A357</f>
        <v>C0356</v>
      </c>
      <c r="B357" s="0" t="str">
        <f aca="false">Complaints!B357</f>
        <v>This is the second time I have raised this. Nobody has responded to my emails despite three reminders. Also, i was hit with a penalty charge for a payment I made on time. Please escalate this.</v>
      </c>
      <c r="C357" s="0" t="str">
        <f aca="false">Complaints!C357</f>
        <v>Customer Service</v>
      </c>
      <c r="D357" s="0" t="str">
        <f aca="false">" "&amp;TRIM(SUBSTITUTE(SUBSTITUTE(SUBSTITUTE(SUBSTITUTE(SUBSTITUTE(SUBSTITUTE(SUBSTITUTE(SUBSTITUTE(SUBSTITUTE(SUBSTITUTE(SUBSTITUTE(SUBSTITUTE(SUBSTITUTE(SUBSTITUTE(SUBSTITUTE(SUBSTITUTE(LOWER(B357),"."," "),","," "),"'"," "),"’"," "),"!"," "),"?"," "),";"," "),":"," "),"-"," "),"("," "),")"," "),"""", " "),"£"," "),"&amp;"," "),"/"," "),"%"," "))&amp;" "</f>
        <v> this is the second time i have raised this nobody has responded to my emails despite three reminders also i was hit with a penalty charge for a payment i made on time please escalate this </v>
      </c>
      <c r="E357" s="0" t="n">
        <f aca="false">SUMPRODUCT((Rules!$A$2:$A$60=E$1)*Rules!$C$2:$C$60*ISNUMBER(SEARCH(Rules!$D$2:$D$60,$D357)))</f>
        <v>0</v>
      </c>
      <c r="F357" s="0" t="n">
        <f aca="false">SUMPRODUCT((Rules!$A$2:$A$60=F$1)*Rules!$C$2:$C$60*ISNUMBER(SEARCH(Rules!$D$2:$D$60,$D357)))</f>
        <v>0</v>
      </c>
      <c r="G357" s="0" t="n">
        <f aca="false">SUMPRODUCT((Rules!$A$2:$A$60=G$1)*Rules!$C$2:$C$60*ISNUMBER(SEARCH(Rules!$D$2:$D$60,$D357)))</f>
        <v>0</v>
      </c>
      <c r="H357" s="0" t="n">
        <f aca="false">SUMPRODUCT((Rules!$A$2:$A$60=H$1)*Rules!$C$2:$C$60*ISNUMBER(SEARCH(Rules!$D$2:$D$60,$D357)))</f>
        <v>4</v>
      </c>
      <c r="I357" s="0" t="n">
        <f aca="false">SUMPRODUCT((Rules!$A$2:$A$60=I$1)*Rules!$C$2:$C$60*ISNUMBER(SEARCH(Rules!$D$2:$D$60,$D357)))</f>
        <v>0</v>
      </c>
      <c r="J357" s="0" t="n">
        <f aca="false">SUMPRODUCT((Rules!$A$2:$A$60=J$1)*Rules!$C$2:$C$60*ISNUMBER(SEARCH(Rules!$D$2:$D$60,$D357)))</f>
        <v>2</v>
      </c>
      <c r="K357" s="0" t="str">
        <f aca="false">IF(OR(MAX(E357:J357)&lt;Rules!$H$1,MAX(E357:J357)-LARGE(E357:J357,2)&lt;Rules!$H$2),"No label",INDEX($E$1:$J$1,MATCH(MAX(E357:J357),E357:J357,0)))</f>
        <v>Fees &amp; Charges</v>
      </c>
      <c r="L357" s="0" t="n">
        <f aca="false">SUMPRODUCT((Rules!$A$2:$A$60=L$1)*Rules!$C$2:$C$60*ISNUMBER(SEARCH(Rules!$E$2:$E$60,$D357)))</f>
        <v>0</v>
      </c>
      <c r="M357" s="0" t="n">
        <f aca="false">SUMPRODUCT((Rules!$A$2:$A$60=M$1)*Rules!$C$2:$C$60*ISNUMBER(SEARCH(Rules!$E$2:$E$60,$D357)))</f>
        <v>0</v>
      </c>
      <c r="N357" s="0" t="n">
        <f aca="false">SUMPRODUCT((Rules!$A$2:$A$60=N$1)*Rules!$C$2:$C$60*ISNUMBER(SEARCH(Rules!$E$2:$E$60,$D357)))</f>
        <v>0</v>
      </c>
      <c r="O357" s="0" t="n">
        <f aca="false">SUMPRODUCT((Rules!$A$2:$A$60=O$1)*Rules!$C$2:$C$60*ISNUMBER(SEARCH(Rules!$E$2:$E$60,$D357)))</f>
        <v>6</v>
      </c>
      <c r="P357" s="0" t="n">
        <f aca="false">SUMPRODUCT((Rules!$A$2:$A$60=P$1)*Rules!$C$2:$C$60*ISNUMBER(SEARCH(Rules!$E$2:$E$60,$D357)))</f>
        <v>0</v>
      </c>
      <c r="Q357" s="0" t="n">
        <f aca="false">SUMPRODUCT((Rules!$A$2:$A$60=Q$1)*Rules!$C$2:$C$60*ISNUMBER(SEARCH(Rules!$E$2:$E$60,$D357)))</f>
        <v>2</v>
      </c>
      <c r="R357" s="0" t="str">
        <f aca="false">IF(OR(MAX(L357:Q357)&lt;Rules!$H$1,MAX(L357:Q357)-LARGE(L357:Q357,2)&lt;Rules!$H$2),"No label",INDEX($L$1:$Q$1,MATCH(MAX(L357:Q357),L357:Q357,0)))</f>
        <v>Fees &amp; Charges</v>
      </c>
      <c r="S357" s="0" t="n">
        <f aca="false">SUMPRODUCT(ISNUMBER(SEARCH(" "&amp;Terms!$A$3:$A$821&amp;" ",$D357))*Terms!B$3:B$821)+Terms!B$2</f>
        <v>-8.97211946235553</v>
      </c>
      <c r="T357" s="0" t="n">
        <f aca="false">SUMPRODUCT(ISNUMBER(SEARCH(" "&amp;Terms!$A$3:$A$821&amp;" ",$D357))*Terms!C$3:C$821)+Terms!C$2</f>
        <v>11.0545566268372</v>
      </c>
      <c r="U357" s="0" t="n">
        <f aca="false">SUMPRODUCT(ISNUMBER(SEARCH(" "&amp;Terms!$A$3:$A$821&amp;" ",$D357))*Terms!D$3:D$821)+Terms!D$2</f>
        <v>-3.51079803588883</v>
      </c>
      <c r="V357" s="0" t="n">
        <f aca="false">SUMPRODUCT(ISNUMBER(SEARCH(" "&amp;Terms!$A$3:$A$821&amp;" ",$D357))*Terms!E$3:E$821)+Terms!E$2</f>
        <v>8.24717651249468</v>
      </c>
      <c r="W357" s="0" t="n">
        <f aca="false">SUMPRODUCT(ISNUMBER(SEARCH(" "&amp;Terms!$A$3:$A$821&amp;" ",$D357))*Terms!F$3:F$821)+Terms!F$2</f>
        <v>-2.3203119954433</v>
      </c>
      <c r="X357" s="0" t="n">
        <f aca="false">SUMPRODUCT(ISNUMBER(SEARCH(" "&amp;Terms!$A$3:$A$821&amp;" ",$D357))*Terms!G$3:G$821)+Terms!G$2</f>
        <v>-4.49850364564413</v>
      </c>
      <c r="Y357" s="0" t="str">
        <f aca="false">INDEX($S$1:$X$1,MATCH(MAX(S357:X357),S357:X357,0))</f>
        <v>Customer Service</v>
      </c>
      <c r="Z357" s="0" t="s">
        <v>2607</v>
      </c>
    </row>
    <row r="358" customFormat="false" ht="15" hidden="false" customHeight="false" outlineLevel="0" collapsed="false">
      <c r="A358" s="0" t="str">
        <f aca="false">Complaints!A358</f>
        <v>C0357</v>
      </c>
      <c r="B358" s="0" t="str">
        <f aca="false">Complaints!B358</f>
        <v>I feel I was treated badly because of my age.</v>
      </c>
      <c r="C358" s="0" t="str">
        <f aca="false">Complaints!C358</f>
        <v>Customer Service</v>
      </c>
      <c r="D358" s="0" t="str">
        <f aca="false">" "&amp;TRIM(SUBSTITUTE(SUBSTITUTE(SUBSTITUTE(SUBSTITUTE(SUBSTITUTE(SUBSTITUTE(SUBSTITUTE(SUBSTITUTE(SUBSTITUTE(SUBSTITUTE(SUBSTITUTE(SUBSTITUTE(SUBSTITUTE(SUBSTITUTE(SUBSTITUTE(SUBSTITUTE(LOWER(B358),"."," "),","," "),"'"," "),"’"," "),"!"," "),"?"," "),";"," "),":"," "),"-"," "),"("," "),")"," "),"""", " "),"£"," "),"&amp;"," "),"/"," "),"%"," "))&amp;" "</f>
        <v> i feel i was treated badly because of my age </v>
      </c>
      <c r="E358" s="0" t="n">
        <f aca="false">SUMPRODUCT((Rules!$A$2:$A$60=E$1)*Rules!$C$2:$C$60*ISNUMBER(SEARCH(Rules!$D$2:$D$60,$D358)))</f>
        <v>0</v>
      </c>
      <c r="F358" s="0" t="n">
        <f aca="false">SUMPRODUCT((Rules!$A$2:$A$60=F$1)*Rules!$C$2:$C$60*ISNUMBER(SEARCH(Rules!$D$2:$D$60,$D358)))</f>
        <v>0</v>
      </c>
      <c r="G358" s="0" t="n">
        <f aca="false">SUMPRODUCT((Rules!$A$2:$A$60=G$1)*Rules!$C$2:$C$60*ISNUMBER(SEARCH(Rules!$D$2:$D$60,$D358)))</f>
        <v>0</v>
      </c>
      <c r="H358" s="0" t="n">
        <f aca="false">SUMPRODUCT((Rules!$A$2:$A$60=H$1)*Rules!$C$2:$C$60*ISNUMBER(SEARCH(Rules!$D$2:$D$60,$D358)))</f>
        <v>0</v>
      </c>
      <c r="I358" s="0" t="n">
        <f aca="false">SUMPRODUCT((Rules!$A$2:$A$60=I$1)*Rules!$C$2:$C$60*ISNUMBER(SEARCH(Rules!$D$2:$D$60,$D358)))</f>
        <v>0</v>
      </c>
      <c r="J358" s="0" t="n">
        <f aca="false">SUMPRODUCT((Rules!$A$2:$A$60=J$1)*Rules!$C$2:$C$60*ISNUMBER(SEARCH(Rules!$D$2:$D$60,$D358)))</f>
        <v>3</v>
      </c>
      <c r="K358" s="0" t="str">
        <f aca="false">IF(OR(MAX(E358:J358)&lt;Rules!$H$1,MAX(E358:J358)-LARGE(E358:J358,2)&lt;Rules!$H$2),"No label",INDEX($E$1:$J$1,MATCH(MAX(E358:J358),E358:J358,0)))</f>
        <v>Customer Service</v>
      </c>
      <c r="L358" s="0" t="n">
        <f aca="false">SUMPRODUCT((Rules!$A$2:$A$60=L$1)*Rules!$C$2:$C$60*ISNUMBER(SEARCH(Rules!$E$2:$E$60,$D358)))</f>
        <v>0</v>
      </c>
      <c r="M358" s="0" t="n">
        <f aca="false">SUMPRODUCT((Rules!$A$2:$A$60=M$1)*Rules!$C$2:$C$60*ISNUMBER(SEARCH(Rules!$E$2:$E$60,$D358)))</f>
        <v>0</v>
      </c>
      <c r="N358" s="0" t="n">
        <f aca="false">SUMPRODUCT((Rules!$A$2:$A$60=N$1)*Rules!$C$2:$C$60*ISNUMBER(SEARCH(Rules!$E$2:$E$60,$D358)))</f>
        <v>0</v>
      </c>
      <c r="O358" s="0" t="n">
        <f aca="false">SUMPRODUCT((Rules!$A$2:$A$60=O$1)*Rules!$C$2:$C$60*ISNUMBER(SEARCH(Rules!$E$2:$E$60,$D358)))</f>
        <v>0</v>
      </c>
      <c r="P358" s="0" t="n">
        <f aca="false">SUMPRODUCT((Rules!$A$2:$A$60=P$1)*Rules!$C$2:$C$60*ISNUMBER(SEARCH(Rules!$E$2:$E$60,$D358)))</f>
        <v>0</v>
      </c>
      <c r="Q358" s="0" t="n">
        <f aca="false">SUMPRODUCT((Rules!$A$2:$A$60=Q$1)*Rules!$C$2:$C$60*ISNUMBER(SEARCH(Rules!$E$2:$E$60,$D358)))</f>
        <v>3</v>
      </c>
      <c r="R358" s="0" t="str">
        <f aca="false">IF(OR(MAX(L358:Q358)&lt;Rules!$H$1,MAX(L358:Q358)-LARGE(L358:Q358,2)&lt;Rules!$H$2),"No label",INDEX($L$1:$Q$1,MATCH(MAX(L358:Q358),L358:Q358,0)))</f>
        <v>Customer Service</v>
      </c>
      <c r="S358" s="0" t="n">
        <f aca="false">SUMPRODUCT(ISNUMBER(SEARCH(" "&amp;Terms!$A$3:$A$821&amp;" ",$D358))*Terms!B$3:B$821)+Terms!B$2</f>
        <v>-0.0907034220303899</v>
      </c>
      <c r="T358" s="0" t="n">
        <f aca="false">SUMPRODUCT(ISNUMBER(SEARCH(" "&amp;Terms!$A$3:$A$821&amp;" ",$D358))*Terms!C$3:C$821)+Terms!C$2</f>
        <v>8.8689746475802</v>
      </c>
      <c r="U358" s="0" t="n">
        <f aca="false">SUMPRODUCT(ISNUMBER(SEARCH(" "&amp;Terms!$A$3:$A$821&amp;" ",$D358))*Terms!D$3:D$821)+Terms!D$2</f>
        <v>-3.23726593665695</v>
      </c>
      <c r="V358" s="0" t="n">
        <f aca="false">SUMPRODUCT(ISNUMBER(SEARCH(" "&amp;Terms!$A$3:$A$821&amp;" ",$D358))*Terms!E$3:E$821)+Terms!E$2</f>
        <v>-3.21845980985427</v>
      </c>
      <c r="W358" s="0" t="n">
        <f aca="false">SUMPRODUCT(ISNUMBER(SEARCH(" "&amp;Terms!$A$3:$A$821&amp;" ",$D358))*Terms!F$3:F$821)+Terms!F$2</f>
        <v>-1.89803584063372</v>
      </c>
      <c r="X358" s="0" t="n">
        <f aca="false">SUMPRODUCT(ISNUMBER(SEARCH(" "&amp;Terms!$A$3:$A$821&amp;" ",$D358))*Terms!G$3:G$821)+Terms!G$2</f>
        <v>-0.424509638404761</v>
      </c>
      <c r="Y358" s="0" t="str">
        <f aca="false">INDEX($S$1:$X$1,MATCH(MAX(S358:X358),S358:X358,0))</f>
        <v>Customer Service</v>
      </c>
      <c r="Z358" s="0" t="s">
        <v>2608</v>
      </c>
    </row>
    <row r="359" customFormat="false" ht="15" hidden="false" customHeight="false" outlineLevel="0" collapsed="false">
      <c r="A359" s="0" t="str">
        <f aca="false">Complaints!A359</f>
        <v>C0358</v>
      </c>
      <c r="B359" s="0" t="str">
        <f aca="false">Complaints!B359</f>
        <v>I have been a customer for years. My online banking is locked and the reset link never arrives. I expect compensation.</v>
      </c>
      <c r="C359" s="0" t="str">
        <f aca="false">Complaints!C359</f>
        <v>Account Access</v>
      </c>
      <c r="D359" s="0" t="str">
        <f aca="false">" "&amp;TRIM(SUBSTITUTE(SUBSTITUTE(SUBSTITUTE(SUBSTITUTE(SUBSTITUTE(SUBSTITUTE(SUBSTITUTE(SUBSTITUTE(SUBSTITUTE(SUBSTITUTE(SUBSTITUTE(SUBSTITUTE(SUBSTITUTE(SUBSTITUTE(SUBSTITUTE(SUBSTITUTE(LOWER(B359),"."," "),","," "),"'"," "),"’"," "),"!"," "),"?"," "),";"," "),":"," "),"-"," "),"("," "),")"," "),"""", " "),"£"," "),"&amp;"," "),"/"," "),"%"," "))&amp;" "</f>
        <v> i have been a customer for years my online banking is locked and the reset link never arrives i expect compensation </v>
      </c>
      <c r="E359" s="0" t="n">
        <f aca="false">SUMPRODUCT((Rules!$A$2:$A$60=E$1)*Rules!$C$2:$C$60*ISNUMBER(SEARCH(Rules!$D$2:$D$60,$D359)))</f>
        <v>0</v>
      </c>
      <c r="F359" s="0" t="n">
        <f aca="false">SUMPRODUCT((Rules!$A$2:$A$60=F$1)*Rules!$C$2:$C$60*ISNUMBER(SEARCH(Rules!$D$2:$D$60,$D359)))</f>
        <v>0</v>
      </c>
      <c r="G359" s="0" t="n">
        <f aca="false">SUMPRODUCT((Rules!$A$2:$A$60=G$1)*Rules!$C$2:$C$60*ISNUMBER(SEARCH(Rules!$D$2:$D$60,$D359)))</f>
        <v>5</v>
      </c>
      <c r="H359" s="0" t="n">
        <f aca="false">SUMPRODUCT((Rules!$A$2:$A$60=H$1)*Rules!$C$2:$C$60*ISNUMBER(SEARCH(Rules!$D$2:$D$60,$D359)))</f>
        <v>0</v>
      </c>
      <c r="I359" s="0" t="n">
        <f aca="false">SUMPRODUCT((Rules!$A$2:$A$60=I$1)*Rules!$C$2:$C$60*ISNUMBER(SEARCH(Rules!$D$2:$D$60,$D359)))</f>
        <v>0</v>
      </c>
      <c r="J359" s="0" t="n">
        <f aca="false">SUMPRODUCT((Rules!$A$2:$A$60=J$1)*Rules!$C$2:$C$60*ISNUMBER(SEARCH(Rules!$D$2:$D$60,$D359)))</f>
        <v>0</v>
      </c>
      <c r="K359" s="0" t="str">
        <f aca="false">IF(OR(MAX(E359:J359)&lt;Rules!$H$1,MAX(E359:J359)-LARGE(E359:J359,2)&lt;Rules!$H$2),"No label",INDEX($E$1:$J$1,MATCH(MAX(E359:J359),E359:J359,0)))</f>
        <v>Account Access</v>
      </c>
      <c r="L359" s="0" t="n">
        <f aca="false">SUMPRODUCT((Rules!$A$2:$A$60=L$1)*Rules!$C$2:$C$60*ISNUMBER(SEARCH(Rules!$E$2:$E$60,$D359)))</f>
        <v>0</v>
      </c>
      <c r="M359" s="0" t="n">
        <f aca="false">SUMPRODUCT((Rules!$A$2:$A$60=M$1)*Rules!$C$2:$C$60*ISNUMBER(SEARCH(Rules!$E$2:$E$60,$D359)))</f>
        <v>0</v>
      </c>
      <c r="N359" s="0" t="n">
        <f aca="false">SUMPRODUCT((Rules!$A$2:$A$60=N$1)*Rules!$C$2:$C$60*ISNUMBER(SEARCH(Rules!$E$2:$E$60,$D359)))</f>
        <v>5</v>
      </c>
      <c r="O359" s="0" t="n">
        <f aca="false">SUMPRODUCT((Rules!$A$2:$A$60=O$1)*Rules!$C$2:$C$60*ISNUMBER(SEARCH(Rules!$E$2:$E$60,$D359)))</f>
        <v>0</v>
      </c>
      <c r="P359" s="0" t="n">
        <f aca="false">SUMPRODUCT((Rules!$A$2:$A$60=P$1)*Rules!$C$2:$C$60*ISNUMBER(SEARCH(Rules!$E$2:$E$60,$D359)))</f>
        <v>0</v>
      </c>
      <c r="Q359" s="0" t="n">
        <f aca="false">SUMPRODUCT((Rules!$A$2:$A$60=Q$1)*Rules!$C$2:$C$60*ISNUMBER(SEARCH(Rules!$E$2:$E$60,$D359)))</f>
        <v>0</v>
      </c>
      <c r="R359" s="0" t="str">
        <f aca="false">IF(OR(MAX(L359:Q359)&lt;Rules!$H$1,MAX(L359:Q359)-LARGE(L359:Q359,2)&lt;Rules!$H$2),"No label",INDEX($L$1:$Q$1,MATCH(MAX(L359:Q359),L359:Q359,0)))</f>
        <v>Account Access</v>
      </c>
      <c r="S359" s="0" t="n">
        <f aca="false">SUMPRODUCT(ISNUMBER(SEARCH(" "&amp;Terms!$A$3:$A$821&amp;" ",$D359))*Terms!B$3:B$821)+Terms!B$2</f>
        <v>13.3241140309885</v>
      </c>
      <c r="T359" s="0" t="n">
        <f aca="false">SUMPRODUCT(ISNUMBER(SEARCH(" "&amp;Terms!$A$3:$A$821&amp;" ",$D359))*Terms!C$3:C$821)+Terms!C$2</f>
        <v>-5.1714152061719</v>
      </c>
      <c r="U359" s="0" t="n">
        <f aca="false">SUMPRODUCT(ISNUMBER(SEARCH(" "&amp;Terms!$A$3:$A$821&amp;" ",$D359))*Terms!D$3:D$821)+Terms!D$2</f>
        <v>-2.76477763509047</v>
      </c>
      <c r="V359" s="0" t="n">
        <f aca="false">SUMPRODUCT(ISNUMBER(SEARCH(" "&amp;Terms!$A$3:$A$821&amp;" ",$D359))*Terms!E$3:E$821)+Terms!E$2</f>
        <v>-1.3875432742082</v>
      </c>
      <c r="W359" s="0" t="n">
        <f aca="false">SUMPRODUCT(ISNUMBER(SEARCH(" "&amp;Terms!$A$3:$A$821&amp;" ",$D359))*Terms!F$3:F$821)+Terms!F$2</f>
        <v>-2.05004664397381</v>
      </c>
      <c r="X359" s="0" t="n">
        <f aca="false">SUMPRODUCT(ISNUMBER(SEARCH(" "&amp;Terms!$A$3:$A$821&amp;" ",$D359))*Terms!G$3:G$821)+Terms!G$2</f>
        <v>-1.95033127154405</v>
      </c>
      <c r="Y359" s="0" t="str">
        <f aca="false">INDEX($S$1:$X$1,MATCH(MAX(S359:X359),S359:X359,0))</f>
        <v>Account Access</v>
      </c>
      <c r="Z359" s="0" t="s">
        <v>2607</v>
      </c>
    </row>
    <row r="360" customFormat="false" ht="15" hidden="false" customHeight="false" outlineLevel="0" collapsed="false">
      <c r="A360" s="0" t="str">
        <f aca="false">Complaints!A360</f>
        <v>C0359</v>
      </c>
      <c r="B360" s="0" t="str">
        <f aca="false">Complaints!B360</f>
        <v>The costs keep creeping up and my balance is lower than it should be. I would like a response in writing.</v>
      </c>
      <c r="C360" s="0" t="str">
        <f aca="false">Complaints!C360</f>
        <v>Fees &amp; Charges</v>
      </c>
      <c r="D360" s="0" t="str">
        <f aca="false">" "&amp;TRIM(SUBSTITUTE(SUBSTITUTE(SUBSTITUTE(SUBSTITUTE(SUBSTITUTE(SUBSTITUTE(SUBSTITUTE(SUBSTITUTE(SUBSTITUTE(SUBSTITUTE(SUBSTITUTE(SUBSTITUTE(SUBSTITUTE(SUBSTITUTE(SUBSTITUTE(SUBSTITUTE(LOWER(B360),"."," "),","," "),"'"," "),"’"," "),"!"," "),"?"," "),";"," "),":"," "),"-"," "),"("," "),")"," "),"""", " "),"£"," "),"&amp;"," "),"/"," "),"%"," "))&amp;" "</f>
        <v> the costs keep creeping up and my balance is lower than it should be i would like a response in writing </v>
      </c>
      <c r="E360" s="0" t="n">
        <f aca="false">SUMPRODUCT((Rules!$A$2:$A$60=E$1)*Rules!$C$2:$C$60*ISNUMBER(SEARCH(Rules!$D$2:$D$60,$D360)))</f>
        <v>0</v>
      </c>
      <c r="F360" s="0" t="n">
        <f aca="false">SUMPRODUCT((Rules!$A$2:$A$60=F$1)*Rules!$C$2:$C$60*ISNUMBER(SEARCH(Rules!$D$2:$D$60,$D360)))</f>
        <v>0</v>
      </c>
      <c r="G360" s="0" t="n">
        <f aca="false">SUMPRODUCT((Rules!$A$2:$A$60=G$1)*Rules!$C$2:$C$60*ISNUMBER(SEARCH(Rules!$D$2:$D$60,$D360)))</f>
        <v>0</v>
      </c>
      <c r="H360" s="0" t="n">
        <f aca="false">SUMPRODUCT((Rules!$A$2:$A$60=H$1)*Rules!$C$2:$C$60*ISNUMBER(SEARCH(Rules!$D$2:$D$60,$D360)))</f>
        <v>1</v>
      </c>
      <c r="I360" s="0" t="n">
        <f aca="false">SUMPRODUCT((Rules!$A$2:$A$60=I$1)*Rules!$C$2:$C$60*ISNUMBER(SEARCH(Rules!$D$2:$D$60,$D360)))</f>
        <v>0</v>
      </c>
      <c r="J360" s="0" t="n">
        <f aca="false">SUMPRODUCT((Rules!$A$2:$A$60=J$1)*Rules!$C$2:$C$60*ISNUMBER(SEARCH(Rules!$D$2:$D$60,$D360)))</f>
        <v>0</v>
      </c>
      <c r="K360" s="0" t="str">
        <f aca="false">IF(OR(MAX(E360:J360)&lt;Rules!$H$1,MAX(E360:J360)-LARGE(E360:J360,2)&lt;Rules!$H$2),"No label",INDEX($E$1:$J$1,MATCH(MAX(E360:J360),E360:J360,0)))</f>
        <v>No label</v>
      </c>
      <c r="L360" s="0" t="n">
        <f aca="false">SUMPRODUCT((Rules!$A$2:$A$60=L$1)*Rules!$C$2:$C$60*ISNUMBER(SEARCH(Rules!$E$2:$E$60,$D360)))</f>
        <v>0</v>
      </c>
      <c r="M360" s="0" t="n">
        <f aca="false">SUMPRODUCT((Rules!$A$2:$A$60=M$1)*Rules!$C$2:$C$60*ISNUMBER(SEARCH(Rules!$E$2:$E$60,$D360)))</f>
        <v>0</v>
      </c>
      <c r="N360" s="0" t="n">
        <f aca="false">SUMPRODUCT((Rules!$A$2:$A$60=N$1)*Rules!$C$2:$C$60*ISNUMBER(SEARCH(Rules!$E$2:$E$60,$D360)))</f>
        <v>0</v>
      </c>
      <c r="O360" s="0" t="n">
        <f aca="false">SUMPRODUCT((Rules!$A$2:$A$60=O$1)*Rules!$C$2:$C$60*ISNUMBER(SEARCH(Rules!$E$2:$E$60,$D360)))</f>
        <v>1</v>
      </c>
      <c r="P360" s="0" t="n">
        <f aca="false">SUMPRODUCT((Rules!$A$2:$A$60=P$1)*Rules!$C$2:$C$60*ISNUMBER(SEARCH(Rules!$E$2:$E$60,$D360)))</f>
        <v>0</v>
      </c>
      <c r="Q360" s="0" t="n">
        <f aca="false">SUMPRODUCT((Rules!$A$2:$A$60=Q$1)*Rules!$C$2:$C$60*ISNUMBER(SEARCH(Rules!$E$2:$E$60,$D360)))</f>
        <v>0</v>
      </c>
      <c r="R360" s="0" t="str">
        <f aca="false">IF(OR(MAX(L360:Q360)&lt;Rules!$H$1,MAX(L360:Q360)-LARGE(L360:Q360,2)&lt;Rules!$H$2),"No label",INDEX($L$1:$Q$1,MATCH(MAX(L360:Q360),L360:Q360,0)))</f>
        <v>No label</v>
      </c>
      <c r="S360" s="0" t="n">
        <f aca="false">SUMPRODUCT(ISNUMBER(SEARCH(" "&amp;Terms!$A$3:$A$821&amp;" ",$D360))*Terms!B$3:B$821)+Terms!B$2</f>
        <v>0.161955138255669</v>
      </c>
      <c r="T360" s="0" t="n">
        <f aca="false">SUMPRODUCT(ISNUMBER(SEARCH(" "&amp;Terms!$A$3:$A$821&amp;" ",$D360))*Terms!C$3:C$821)+Terms!C$2</f>
        <v>-1.82066178317087</v>
      </c>
      <c r="U360" s="0" t="n">
        <f aca="false">SUMPRODUCT(ISNUMBER(SEARCH(" "&amp;Terms!$A$3:$A$821&amp;" ",$D360))*Terms!D$3:D$821)+Terms!D$2</f>
        <v>-1.3838825913415</v>
      </c>
      <c r="V360" s="0" t="n">
        <f aca="false">SUMPRODUCT(ISNUMBER(SEARCH(" "&amp;Terms!$A$3:$A$821&amp;" ",$D360))*Terms!E$3:E$821)+Terms!E$2</f>
        <v>4.77289014369349</v>
      </c>
      <c r="W360" s="0" t="n">
        <f aca="false">SUMPRODUCT(ISNUMBER(SEARCH(" "&amp;Terms!$A$3:$A$821&amp;" ",$D360))*Terms!F$3:F$821)+Terms!F$2</f>
        <v>-1.11566591175933</v>
      </c>
      <c r="X360" s="0" t="n">
        <f aca="false">SUMPRODUCT(ISNUMBER(SEARCH(" "&amp;Terms!$A$3:$A$821&amp;" ",$D360))*Terms!G$3:G$821)+Terms!G$2</f>
        <v>-0.614634995677365</v>
      </c>
      <c r="Y360" s="0" t="str">
        <f aca="false">INDEX($S$1:$X$1,MATCH(MAX(S360:X360),S360:X360,0))</f>
        <v>Fees &amp; Charges</v>
      </c>
      <c r="Z360" s="0" t="s">
        <v>2607</v>
      </c>
    </row>
    <row r="361" customFormat="false" ht="15" hidden="false" customHeight="false" outlineLevel="0" collapsed="false">
      <c r="A361" s="0" t="str">
        <f aca="false">Complaints!A361</f>
        <v>C0360</v>
      </c>
      <c r="B361" s="0" t="str">
        <f aca="false">Complaints!B361</f>
        <v>This is the second time I have raised this. I was told this policy covered me but my claim was rejected. Also, the website will not let me register for online access.</v>
      </c>
      <c r="C361" s="0" t="str">
        <f aca="false">Complaints!C361</f>
        <v>Mis-selling</v>
      </c>
      <c r="D361" s="0" t="str">
        <f aca="false">" "&amp;TRIM(SUBSTITUTE(SUBSTITUTE(SUBSTITUTE(SUBSTITUTE(SUBSTITUTE(SUBSTITUTE(SUBSTITUTE(SUBSTITUTE(SUBSTITUTE(SUBSTITUTE(SUBSTITUTE(SUBSTITUTE(SUBSTITUTE(SUBSTITUTE(SUBSTITUTE(SUBSTITUTE(LOWER(B361),"."," "),","," "),"'"," "),"’"," "),"!"," "),"?"," "),";"," "),":"," "),"-"," "),"("," "),")"," "),"""", " "),"£"," "),"&amp;"," "),"/"," "),"%"," "))&amp;" "</f>
        <v> this is the second time i have raised this i was told this policy covered me but my claim was rejected also the website will not let me register for online access </v>
      </c>
      <c r="E361" s="0" t="n">
        <f aca="false">SUMPRODUCT((Rules!$A$2:$A$60=E$1)*Rules!$C$2:$C$60*ISNUMBER(SEARCH(Rules!$D$2:$D$60,$D361)))</f>
        <v>0</v>
      </c>
      <c r="F361" s="0" t="n">
        <f aca="false">SUMPRODUCT((Rules!$A$2:$A$60=F$1)*Rules!$C$2:$C$60*ISNUMBER(SEARCH(Rules!$D$2:$D$60,$D361)))</f>
        <v>1</v>
      </c>
      <c r="G361" s="0" t="n">
        <f aca="false">SUMPRODUCT((Rules!$A$2:$A$60=G$1)*Rules!$C$2:$C$60*ISNUMBER(SEARCH(Rules!$D$2:$D$60,$D361)))</f>
        <v>1</v>
      </c>
      <c r="H361" s="0" t="n">
        <f aca="false">SUMPRODUCT((Rules!$A$2:$A$60=H$1)*Rules!$C$2:$C$60*ISNUMBER(SEARCH(Rules!$D$2:$D$60,$D361)))</f>
        <v>0</v>
      </c>
      <c r="I361" s="0" t="n">
        <f aca="false">SUMPRODUCT((Rules!$A$2:$A$60=I$1)*Rules!$C$2:$C$60*ISNUMBER(SEARCH(Rules!$D$2:$D$60,$D361)))</f>
        <v>0</v>
      </c>
      <c r="J361" s="0" t="n">
        <f aca="false">SUMPRODUCT((Rules!$A$2:$A$60=J$1)*Rules!$C$2:$C$60*ISNUMBER(SEARCH(Rules!$D$2:$D$60,$D361)))</f>
        <v>0</v>
      </c>
      <c r="K361" s="0" t="str">
        <f aca="false">IF(OR(MAX(E361:J361)&lt;Rules!$H$1,MAX(E361:J361)-LARGE(E361:J361,2)&lt;Rules!$H$2),"No label",INDEX($E$1:$J$1,MATCH(MAX(E361:J361),E361:J361,0)))</f>
        <v>No label</v>
      </c>
      <c r="L361" s="0" t="n">
        <f aca="false">SUMPRODUCT((Rules!$A$2:$A$60=L$1)*Rules!$C$2:$C$60*ISNUMBER(SEARCH(Rules!$E$2:$E$60,$D361)))</f>
        <v>0</v>
      </c>
      <c r="M361" s="0" t="n">
        <f aca="false">SUMPRODUCT((Rules!$A$2:$A$60=M$1)*Rules!$C$2:$C$60*ISNUMBER(SEARCH(Rules!$E$2:$E$60,$D361)))</f>
        <v>1</v>
      </c>
      <c r="N361" s="0" t="n">
        <f aca="false">SUMPRODUCT((Rules!$A$2:$A$60=N$1)*Rules!$C$2:$C$60*ISNUMBER(SEARCH(Rules!$E$2:$E$60,$D361)))</f>
        <v>1</v>
      </c>
      <c r="O361" s="0" t="n">
        <f aca="false">SUMPRODUCT((Rules!$A$2:$A$60=O$1)*Rules!$C$2:$C$60*ISNUMBER(SEARCH(Rules!$E$2:$E$60,$D361)))</f>
        <v>0</v>
      </c>
      <c r="P361" s="0" t="n">
        <f aca="false">SUMPRODUCT((Rules!$A$2:$A$60=P$1)*Rules!$C$2:$C$60*ISNUMBER(SEARCH(Rules!$E$2:$E$60,$D361)))</f>
        <v>0</v>
      </c>
      <c r="Q361" s="0" t="n">
        <f aca="false">SUMPRODUCT((Rules!$A$2:$A$60=Q$1)*Rules!$C$2:$C$60*ISNUMBER(SEARCH(Rules!$E$2:$E$60,$D361)))</f>
        <v>0</v>
      </c>
      <c r="R361" s="0" t="str">
        <f aca="false">IF(OR(MAX(L361:Q361)&lt;Rules!$H$1,MAX(L361:Q361)-LARGE(L361:Q361,2)&lt;Rules!$H$2),"No label",INDEX($L$1:$Q$1,MATCH(MAX(L361:Q361),L361:Q361,0)))</f>
        <v>No label</v>
      </c>
      <c r="S361" s="0" t="n">
        <f aca="false">SUMPRODUCT(ISNUMBER(SEARCH(" "&amp;Terms!$A$3:$A$821&amp;" ",$D361))*Terms!B$3:B$821)+Terms!B$2</f>
        <v>5.39023370434108</v>
      </c>
      <c r="T361" s="0" t="n">
        <f aca="false">SUMPRODUCT(ISNUMBER(SEARCH(" "&amp;Terms!$A$3:$A$821&amp;" ",$D361))*Terms!C$3:C$821)+Terms!C$2</f>
        <v>-6.44039308604223</v>
      </c>
      <c r="U361" s="0" t="n">
        <f aca="false">SUMPRODUCT(ISNUMBER(SEARCH(" "&amp;Terms!$A$3:$A$821&amp;" ",$D361))*Terms!D$3:D$821)+Terms!D$2</f>
        <v>-1.86737814440952</v>
      </c>
      <c r="V361" s="0" t="n">
        <f aca="false">SUMPRODUCT(ISNUMBER(SEARCH(" "&amp;Terms!$A$3:$A$821&amp;" ",$D361))*Terms!E$3:E$821)+Terms!E$2</f>
        <v>-2.8891882213562</v>
      </c>
      <c r="W361" s="0" t="n">
        <f aca="false">SUMPRODUCT(ISNUMBER(SEARCH(" "&amp;Terms!$A$3:$A$821&amp;" ",$D361))*Terms!F$3:F$821)+Terms!F$2</f>
        <v>-2.62112025128328</v>
      </c>
      <c r="X361" s="0" t="n">
        <f aca="false">SUMPRODUCT(ISNUMBER(SEARCH(" "&amp;Terms!$A$3:$A$821&amp;" ",$D361))*Terms!G$3:G$821)+Terms!G$2</f>
        <v>8.42784599875025</v>
      </c>
      <c r="Y361" s="0" t="str">
        <f aca="false">INDEX($S$1:$X$1,MATCH(MAX(S361:X361),S361:X361,0))</f>
        <v>Mis-selling</v>
      </c>
      <c r="Z361" s="0" t="s">
        <v>2607</v>
      </c>
    </row>
    <row r="362" customFormat="false" ht="15" hidden="false" customHeight="false" outlineLevel="0" collapsed="false">
      <c r="A362" s="0" t="str">
        <f aca="false">Complaints!A362</f>
        <v>C0361</v>
      </c>
      <c r="B362" s="0" t="str">
        <f aca="false">Complaints!B362</f>
        <v>I am writing to complain. My card reader stopped working and I cannot approve payments. Please escalate this.</v>
      </c>
      <c r="C362" s="0" t="str">
        <f aca="false">Complaints!C362</f>
        <v>Account Access</v>
      </c>
      <c r="D362" s="0" t="str">
        <f aca="false">" "&amp;TRIM(SUBSTITUTE(SUBSTITUTE(SUBSTITUTE(SUBSTITUTE(SUBSTITUTE(SUBSTITUTE(SUBSTITUTE(SUBSTITUTE(SUBSTITUTE(SUBSTITUTE(SUBSTITUTE(SUBSTITUTE(SUBSTITUTE(SUBSTITUTE(SUBSTITUTE(SUBSTITUTE(LOWER(B362),"."," "),","," "),"'"," "),"’"," "),"!"," "),"?"," "),";"," "),":"," "),"-"," "),"("," "),")"," "),"""", " "),"£"," "),"&amp;"," "),"/"," "),"%"," "))&amp;" "</f>
        <v> i am writing to complain my card reader stopped working and i cannot approve payments please escalate this </v>
      </c>
      <c r="E362" s="0" t="n">
        <f aca="false">SUMPRODUCT((Rules!$A$2:$A$60=E$1)*Rules!$C$2:$C$60*ISNUMBER(SEARCH(Rules!$D$2:$D$60,$D362)))</f>
        <v>0</v>
      </c>
      <c r="F362" s="0" t="n">
        <f aca="false">SUMPRODUCT((Rules!$A$2:$A$60=F$1)*Rules!$C$2:$C$60*ISNUMBER(SEARCH(Rules!$D$2:$D$60,$D362)))</f>
        <v>0</v>
      </c>
      <c r="G362" s="0" t="n">
        <f aca="false">SUMPRODUCT((Rules!$A$2:$A$60=G$1)*Rules!$C$2:$C$60*ISNUMBER(SEARCH(Rules!$D$2:$D$60,$D362)))</f>
        <v>0</v>
      </c>
      <c r="H362" s="0" t="n">
        <f aca="false">SUMPRODUCT((Rules!$A$2:$A$60=H$1)*Rules!$C$2:$C$60*ISNUMBER(SEARCH(Rules!$D$2:$D$60,$D362)))</f>
        <v>0</v>
      </c>
      <c r="I362" s="0" t="n">
        <f aca="false">SUMPRODUCT((Rules!$A$2:$A$60=I$1)*Rules!$C$2:$C$60*ISNUMBER(SEARCH(Rules!$D$2:$D$60,$D362)))</f>
        <v>0</v>
      </c>
      <c r="J362" s="0" t="n">
        <f aca="false">SUMPRODUCT((Rules!$A$2:$A$60=J$1)*Rules!$C$2:$C$60*ISNUMBER(SEARCH(Rules!$D$2:$D$60,$D362)))</f>
        <v>0</v>
      </c>
      <c r="K362" s="0" t="str">
        <f aca="false">IF(OR(MAX(E362:J362)&lt;Rules!$H$1,MAX(E362:J362)-LARGE(E362:J362,2)&lt;Rules!$H$2),"No label",INDEX($E$1:$J$1,MATCH(MAX(E362:J362),E362:J362,0)))</f>
        <v>No label</v>
      </c>
      <c r="L362" s="0" t="n">
        <f aca="false">SUMPRODUCT((Rules!$A$2:$A$60=L$1)*Rules!$C$2:$C$60*ISNUMBER(SEARCH(Rules!$E$2:$E$60,$D362)))</f>
        <v>0</v>
      </c>
      <c r="M362" s="0" t="n">
        <f aca="false">SUMPRODUCT((Rules!$A$2:$A$60=M$1)*Rules!$C$2:$C$60*ISNUMBER(SEARCH(Rules!$E$2:$E$60,$D362)))</f>
        <v>0</v>
      </c>
      <c r="N362" s="0" t="n">
        <f aca="false">SUMPRODUCT((Rules!$A$2:$A$60=N$1)*Rules!$C$2:$C$60*ISNUMBER(SEARCH(Rules!$E$2:$E$60,$D362)))</f>
        <v>0</v>
      </c>
      <c r="O362" s="0" t="n">
        <f aca="false">SUMPRODUCT((Rules!$A$2:$A$60=O$1)*Rules!$C$2:$C$60*ISNUMBER(SEARCH(Rules!$E$2:$E$60,$D362)))</f>
        <v>0</v>
      </c>
      <c r="P362" s="0" t="n">
        <f aca="false">SUMPRODUCT((Rules!$A$2:$A$60=P$1)*Rules!$C$2:$C$60*ISNUMBER(SEARCH(Rules!$E$2:$E$60,$D362)))</f>
        <v>0</v>
      </c>
      <c r="Q362" s="0" t="n">
        <f aca="false">SUMPRODUCT((Rules!$A$2:$A$60=Q$1)*Rules!$C$2:$C$60*ISNUMBER(SEARCH(Rules!$E$2:$E$60,$D362)))</f>
        <v>0</v>
      </c>
      <c r="R362" s="0" t="str">
        <f aca="false">IF(OR(MAX(L362:Q362)&lt;Rules!$H$1,MAX(L362:Q362)-LARGE(L362:Q362,2)&lt;Rules!$H$2),"No label",INDEX($L$1:$Q$1,MATCH(MAX(L362:Q362),L362:Q362,0)))</f>
        <v>No label</v>
      </c>
      <c r="S362" s="0" t="n">
        <f aca="false">SUMPRODUCT(ISNUMBER(SEARCH(" "&amp;Terms!$A$3:$A$821&amp;" ",$D362))*Terms!B$3:B$821)+Terms!B$2</f>
        <v>15.6470809985715</v>
      </c>
      <c r="T362" s="0" t="n">
        <f aca="false">SUMPRODUCT(ISNUMBER(SEARCH(" "&amp;Terms!$A$3:$A$821&amp;" ",$D362))*Terms!C$3:C$821)+Terms!C$2</f>
        <v>0.83399665579306</v>
      </c>
      <c r="U362" s="0" t="n">
        <f aca="false">SUMPRODUCT(ISNUMBER(SEARCH(" "&amp;Terms!$A$3:$A$821&amp;" ",$D362))*Terms!D$3:D$821)+Terms!D$2</f>
        <v>-1.5534280614892</v>
      </c>
      <c r="V362" s="0" t="n">
        <f aca="false">SUMPRODUCT(ISNUMBER(SEARCH(" "&amp;Terms!$A$3:$A$821&amp;" ",$D362))*Terms!E$3:E$821)+Terms!E$2</f>
        <v>-5.74419198380587</v>
      </c>
      <c r="W362" s="0" t="n">
        <f aca="false">SUMPRODUCT(ISNUMBER(SEARCH(" "&amp;Terms!$A$3:$A$821&amp;" ",$D362))*Terms!F$3:F$821)+Terms!F$2</f>
        <v>-1.23892919697351</v>
      </c>
      <c r="X362" s="0" t="n">
        <f aca="false">SUMPRODUCT(ISNUMBER(SEARCH(" "&amp;Terms!$A$3:$A$821&amp;" ",$D362))*Terms!G$3:G$821)+Terms!G$2</f>
        <v>-7.94452841209592</v>
      </c>
      <c r="Y362" s="0" t="str">
        <f aca="false">INDEX($S$1:$X$1,MATCH(MAX(S362:X362),S362:X362,0))</f>
        <v>Account Access</v>
      </c>
      <c r="Z362" s="0" t="s">
        <v>2607</v>
      </c>
    </row>
    <row r="363" customFormat="false" ht="15" hidden="false" customHeight="false" outlineLevel="0" collapsed="false">
      <c r="A363" s="0" t="str">
        <f aca="false">Complaints!A363</f>
        <v>C0362</v>
      </c>
      <c r="B363" s="0" t="str">
        <f aca="false">Complaints!B363</f>
        <v>This is the second time I have raised this. I reported the unauthorised payment but you refused to reimburse me. I expect compensation.</v>
      </c>
      <c r="C363" s="0" t="str">
        <f aca="false">Complaints!C363</f>
        <v>Fraud &amp; Scams</v>
      </c>
      <c r="D363" s="0" t="str">
        <f aca="false">" "&amp;TRIM(SUBSTITUTE(SUBSTITUTE(SUBSTITUTE(SUBSTITUTE(SUBSTITUTE(SUBSTITUTE(SUBSTITUTE(SUBSTITUTE(SUBSTITUTE(SUBSTITUTE(SUBSTITUTE(SUBSTITUTE(SUBSTITUTE(SUBSTITUTE(SUBSTITUTE(SUBSTITUTE(LOWER(B363),"."," "),","," "),"'"," "),"’"," "),"!"," "),"?"," "),";"," "),":"," "),"-"," "),"("," "),")"," "),"""", " "),"£"," "),"&amp;"," "),"/"," "),"%"," "))&amp;" "</f>
        <v> this is the second time i have raised this i reported the unauthorised payment but you refused to reimburse me i expect compensation </v>
      </c>
      <c r="E363" s="0" t="n">
        <f aca="false">SUMPRODUCT((Rules!$A$2:$A$60=E$1)*Rules!$C$2:$C$60*ISNUMBER(SEARCH(Rules!$D$2:$D$60,$D363)))</f>
        <v>3</v>
      </c>
      <c r="F363" s="0" t="n">
        <f aca="false">SUMPRODUCT((Rules!$A$2:$A$60=F$1)*Rules!$C$2:$C$60*ISNUMBER(SEARCH(Rules!$D$2:$D$60,$D363)))</f>
        <v>0</v>
      </c>
      <c r="G363" s="0" t="n">
        <f aca="false">SUMPRODUCT((Rules!$A$2:$A$60=G$1)*Rules!$C$2:$C$60*ISNUMBER(SEARCH(Rules!$D$2:$D$60,$D363)))</f>
        <v>0</v>
      </c>
      <c r="H363" s="0" t="n">
        <f aca="false">SUMPRODUCT((Rules!$A$2:$A$60=H$1)*Rules!$C$2:$C$60*ISNUMBER(SEARCH(Rules!$D$2:$D$60,$D363)))</f>
        <v>0</v>
      </c>
      <c r="I363" s="0" t="n">
        <f aca="false">SUMPRODUCT((Rules!$A$2:$A$60=I$1)*Rules!$C$2:$C$60*ISNUMBER(SEARCH(Rules!$D$2:$D$60,$D363)))</f>
        <v>0</v>
      </c>
      <c r="J363" s="0" t="n">
        <f aca="false">SUMPRODUCT((Rules!$A$2:$A$60=J$1)*Rules!$C$2:$C$60*ISNUMBER(SEARCH(Rules!$D$2:$D$60,$D363)))</f>
        <v>0</v>
      </c>
      <c r="K363" s="0" t="str">
        <f aca="false">IF(OR(MAX(E363:J363)&lt;Rules!$H$1,MAX(E363:J363)-LARGE(E363:J363,2)&lt;Rules!$H$2),"No label",INDEX($E$1:$J$1,MATCH(MAX(E363:J363),E363:J363,0)))</f>
        <v>Fraud &amp; Scams</v>
      </c>
      <c r="L363" s="0" t="n">
        <f aca="false">SUMPRODUCT((Rules!$A$2:$A$60=L$1)*Rules!$C$2:$C$60*ISNUMBER(SEARCH(Rules!$E$2:$E$60,$D363)))</f>
        <v>3</v>
      </c>
      <c r="M363" s="0" t="n">
        <f aca="false">SUMPRODUCT((Rules!$A$2:$A$60=M$1)*Rules!$C$2:$C$60*ISNUMBER(SEARCH(Rules!$E$2:$E$60,$D363)))</f>
        <v>0</v>
      </c>
      <c r="N363" s="0" t="n">
        <f aca="false">SUMPRODUCT((Rules!$A$2:$A$60=N$1)*Rules!$C$2:$C$60*ISNUMBER(SEARCH(Rules!$E$2:$E$60,$D363)))</f>
        <v>0</v>
      </c>
      <c r="O363" s="0" t="n">
        <f aca="false">SUMPRODUCT((Rules!$A$2:$A$60=O$1)*Rules!$C$2:$C$60*ISNUMBER(SEARCH(Rules!$E$2:$E$60,$D363)))</f>
        <v>0</v>
      </c>
      <c r="P363" s="0" t="n">
        <f aca="false">SUMPRODUCT((Rules!$A$2:$A$60=P$1)*Rules!$C$2:$C$60*ISNUMBER(SEARCH(Rules!$E$2:$E$60,$D363)))</f>
        <v>0</v>
      </c>
      <c r="Q363" s="0" t="n">
        <f aca="false">SUMPRODUCT((Rules!$A$2:$A$60=Q$1)*Rules!$C$2:$C$60*ISNUMBER(SEARCH(Rules!$E$2:$E$60,$D363)))</f>
        <v>0</v>
      </c>
      <c r="R363" s="0" t="str">
        <f aca="false">IF(OR(MAX(L363:Q363)&lt;Rules!$H$1,MAX(L363:Q363)-LARGE(L363:Q363,2)&lt;Rules!$H$2),"No label",INDEX($L$1:$Q$1,MATCH(MAX(L363:Q363),L363:Q363,0)))</f>
        <v>Fraud &amp; Scams</v>
      </c>
      <c r="S363" s="0" t="n">
        <f aca="false">SUMPRODUCT(ISNUMBER(SEARCH(" "&amp;Terms!$A$3:$A$821&amp;" ",$D363))*Terms!B$3:B$821)+Terms!B$2</f>
        <v>0.382461932166665</v>
      </c>
      <c r="T363" s="0" t="n">
        <f aca="false">SUMPRODUCT(ISNUMBER(SEARCH(" "&amp;Terms!$A$3:$A$821&amp;" ",$D363))*Terms!C$3:C$821)+Terms!C$2</f>
        <v>-2.9474901729863</v>
      </c>
      <c r="U363" s="0" t="n">
        <f aca="false">SUMPRODUCT(ISNUMBER(SEARCH(" "&amp;Terms!$A$3:$A$821&amp;" ",$D363))*Terms!D$3:D$821)+Terms!D$2</f>
        <v>-2.18963262303834</v>
      </c>
      <c r="V363" s="0" t="n">
        <f aca="false">SUMPRODUCT(ISNUMBER(SEARCH(" "&amp;Terms!$A$3:$A$821&amp;" ",$D363))*Terms!E$3:E$821)+Terms!E$2</f>
        <v>-1.97257961440724</v>
      </c>
      <c r="W363" s="0" t="n">
        <f aca="false">SUMPRODUCT(ISNUMBER(SEARCH(" "&amp;Terms!$A$3:$A$821&amp;" ",$D363))*Terms!F$3:F$821)+Terms!F$2</f>
        <v>11.3439489869115</v>
      </c>
      <c r="X363" s="0" t="n">
        <f aca="false">SUMPRODUCT(ISNUMBER(SEARCH(" "&amp;Terms!$A$3:$A$821&amp;" ",$D363))*Terms!G$3:G$821)+Terms!G$2</f>
        <v>-4.61670850864616</v>
      </c>
      <c r="Y363" s="0" t="str">
        <f aca="false">INDEX($S$1:$X$1,MATCH(MAX(S363:X363),S363:X363,0))</f>
        <v>Fraud &amp; Scams</v>
      </c>
      <c r="Z363" s="0" t="s">
        <v>2608</v>
      </c>
    </row>
    <row r="364" customFormat="false" ht="15" hidden="false" customHeight="false" outlineLevel="0" collapsed="false">
      <c r="A364" s="0" t="str">
        <f aca="false">Complaints!A364</f>
        <v>C0363</v>
      </c>
      <c r="B364" s="0" t="str">
        <f aca="false">Complaints!B364</f>
        <v>The direct debit setup was delayed and I missed a bill because of it.</v>
      </c>
      <c r="C364" s="0" t="str">
        <f aca="false">Complaints!C364</f>
        <v>Delays &amp; Processing</v>
      </c>
      <c r="D364" s="0" t="str">
        <f aca="false">" "&amp;TRIM(SUBSTITUTE(SUBSTITUTE(SUBSTITUTE(SUBSTITUTE(SUBSTITUTE(SUBSTITUTE(SUBSTITUTE(SUBSTITUTE(SUBSTITUTE(SUBSTITUTE(SUBSTITUTE(SUBSTITUTE(SUBSTITUTE(SUBSTITUTE(SUBSTITUTE(SUBSTITUTE(LOWER(B364),"."," "),","," "),"'"," "),"’"," "),"!"," "),"?"," "),";"," "),":"," "),"-"," "),"("," "),")"," "),"""", " "),"£"," "),"&amp;"," "),"/"," "),"%"," "))&amp;" "</f>
        <v> the direct debit setup was delayed and i missed a bill because of it </v>
      </c>
      <c r="E364" s="0" t="n">
        <f aca="false">SUMPRODUCT((Rules!$A$2:$A$60=E$1)*Rules!$C$2:$C$60*ISNUMBER(SEARCH(Rules!$D$2:$D$60,$D364)))</f>
        <v>0</v>
      </c>
      <c r="F364" s="0" t="n">
        <f aca="false">SUMPRODUCT((Rules!$A$2:$A$60=F$1)*Rules!$C$2:$C$60*ISNUMBER(SEARCH(Rules!$D$2:$D$60,$D364)))</f>
        <v>0</v>
      </c>
      <c r="G364" s="0" t="n">
        <f aca="false">SUMPRODUCT((Rules!$A$2:$A$60=G$1)*Rules!$C$2:$C$60*ISNUMBER(SEARCH(Rules!$D$2:$D$60,$D364)))</f>
        <v>0</v>
      </c>
      <c r="H364" s="0" t="n">
        <f aca="false">SUMPRODUCT((Rules!$A$2:$A$60=H$1)*Rules!$C$2:$C$60*ISNUMBER(SEARCH(Rules!$D$2:$D$60,$D364)))</f>
        <v>0</v>
      </c>
      <c r="I364" s="0" t="n">
        <f aca="false">SUMPRODUCT((Rules!$A$2:$A$60=I$1)*Rules!$C$2:$C$60*ISNUMBER(SEARCH(Rules!$D$2:$D$60,$D364)))</f>
        <v>2</v>
      </c>
      <c r="J364" s="0" t="n">
        <f aca="false">SUMPRODUCT((Rules!$A$2:$A$60=J$1)*Rules!$C$2:$C$60*ISNUMBER(SEARCH(Rules!$D$2:$D$60,$D364)))</f>
        <v>0</v>
      </c>
      <c r="K364" s="0" t="str">
        <f aca="false">IF(OR(MAX(E364:J364)&lt;Rules!$H$1,MAX(E364:J364)-LARGE(E364:J364,2)&lt;Rules!$H$2),"No label",INDEX($E$1:$J$1,MATCH(MAX(E364:J364),E364:J364,0)))</f>
        <v>No label</v>
      </c>
      <c r="L364" s="0" t="n">
        <f aca="false">SUMPRODUCT((Rules!$A$2:$A$60=L$1)*Rules!$C$2:$C$60*ISNUMBER(SEARCH(Rules!$E$2:$E$60,$D364)))</f>
        <v>0</v>
      </c>
      <c r="M364" s="0" t="n">
        <f aca="false">SUMPRODUCT((Rules!$A$2:$A$60=M$1)*Rules!$C$2:$C$60*ISNUMBER(SEARCH(Rules!$E$2:$E$60,$D364)))</f>
        <v>0</v>
      </c>
      <c r="N364" s="0" t="n">
        <f aca="false">SUMPRODUCT((Rules!$A$2:$A$60=N$1)*Rules!$C$2:$C$60*ISNUMBER(SEARCH(Rules!$E$2:$E$60,$D364)))</f>
        <v>0</v>
      </c>
      <c r="O364" s="0" t="n">
        <f aca="false">SUMPRODUCT((Rules!$A$2:$A$60=O$1)*Rules!$C$2:$C$60*ISNUMBER(SEARCH(Rules!$E$2:$E$60,$D364)))</f>
        <v>2</v>
      </c>
      <c r="P364" s="0" t="n">
        <f aca="false">SUMPRODUCT((Rules!$A$2:$A$60=P$1)*Rules!$C$2:$C$60*ISNUMBER(SEARCH(Rules!$E$2:$E$60,$D364)))</f>
        <v>2</v>
      </c>
      <c r="Q364" s="0" t="n">
        <f aca="false">SUMPRODUCT((Rules!$A$2:$A$60=Q$1)*Rules!$C$2:$C$60*ISNUMBER(SEARCH(Rules!$E$2:$E$60,$D364)))</f>
        <v>0</v>
      </c>
      <c r="R364" s="0" t="str">
        <f aca="false">IF(OR(MAX(L364:Q364)&lt;Rules!$H$1,MAX(L364:Q364)-LARGE(L364:Q364,2)&lt;Rules!$H$2),"No label",INDEX($L$1:$Q$1,MATCH(MAX(L364:Q364),L364:Q364,0)))</f>
        <v>No label</v>
      </c>
      <c r="S364" s="0" t="n">
        <f aca="false">SUMPRODUCT(ISNUMBER(SEARCH(" "&amp;Terms!$A$3:$A$821&amp;" ",$D364))*Terms!B$3:B$821)+Terms!B$2</f>
        <v>-3.26989603471962</v>
      </c>
      <c r="T364" s="0" t="n">
        <f aca="false">SUMPRODUCT(ISNUMBER(SEARCH(" "&amp;Terms!$A$3:$A$821&amp;" ",$D364))*Terms!C$3:C$821)+Terms!C$2</f>
        <v>-2.40092444963956</v>
      </c>
      <c r="U364" s="0" t="n">
        <f aca="false">SUMPRODUCT(ISNUMBER(SEARCH(" "&amp;Terms!$A$3:$A$821&amp;" ",$D364))*Terms!D$3:D$821)+Terms!D$2</f>
        <v>11.2240099520887</v>
      </c>
      <c r="V364" s="0" t="n">
        <f aca="false">SUMPRODUCT(ISNUMBER(SEARCH(" "&amp;Terms!$A$3:$A$821&amp;" ",$D364))*Terms!E$3:E$821)+Terms!E$2</f>
        <v>-3.25525238522285</v>
      </c>
      <c r="W364" s="0" t="n">
        <f aca="false">SUMPRODUCT(ISNUMBER(SEARCH(" "&amp;Terms!$A$3:$A$821&amp;" ",$D364))*Terms!F$3:F$821)+Terms!F$2</f>
        <v>-0.133836676241774</v>
      </c>
      <c r="X364" s="0" t="n">
        <f aca="false">SUMPRODUCT(ISNUMBER(SEARCH(" "&amp;Terms!$A$3:$A$821&amp;" ",$D364))*Terms!G$3:G$821)+Terms!G$2</f>
        <v>-2.16410040626478</v>
      </c>
      <c r="Y364" s="0" t="str">
        <f aca="false">INDEX($S$1:$X$1,MATCH(MAX(S364:X364),S364:X364,0))</f>
        <v>Delays &amp; Processing</v>
      </c>
      <c r="Z364" s="0" t="s">
        <v>2607</v>
      </c>
    </row>
    <row r="365" customFormat="false" ht="15" hidden="false" customHeight="false" outlineLevel="0" collapsed="false">
      <c r="A365" s="0" t="str">
        <f aca="false">Complaints!A365</f>
        <v>C0364</v>
      </c>
      <c r="B365" s="0" t="str">
        <f aca="false">Complaints!B365</f>
        <v>The webchat agent ended the conversation without solving anything. I could not log in to check either. I expect compensation.</v>
      </c>
      <c r="C365" s="0" t="str">
        <f aca="false">Complaints!C365</f>
        <v>Customer Service</v>
      </c>
      <c r="D365" s="0" t="str">
        <f aca="false">" "&amp;TRIM(SUBSTITUTE(SUBSTITUTE(SUBSTITUTE(SUBSTITUTE(SUBSTITUTE(SUBSTITUTE(SUBSTITUTE(SUBSTITUTE(SUBSTITUTE(SUBSTITUTE(SUBSTITUTE(SUBSTITUTE(SUBSTITUTE(SUBSTITUTE(SUBSTITUTE(SUBSTITUTE(LOWER(B365),"."," "),","," "),"'"," "),"’"," "),"!"," "),"?"," "),";"," "),":"," "),"-"," "),"("," "),")"," "),"""", " "),"£"," "),"&amp;"," "),"/"," "),"%"," "))&amp;" "</f>
        <v> the webchat agent ended the conversation without solving anything i could not log in to check either i expect compensation </v>
      </c>
      <c r="E365" s="0" t="n">
        <f aca="false">SUMPRODUCT((Rules!$A$2:$A$60=E$1)*Rules!$C$2:$C$60*ISNUMBER(SEARCH(Rules!$D$2:$D$60,$D365)))</f>
        <v>0</v>
      </c>
      <c r="F365" s="0" t="n">
        <f aca="false">SUMPRODUCT((Rules!$A$2:$A$60=F$1)*Rules!$C$2:$C$60*ISNUMBER(SEARCH(Rules!$D$2:$D$60,$D365)))</f>
        <v>0</v>
      </c>
      <c r="G365" s="0" t="n">
        <f aca="false">SUMPRODUCT((Rules!$A$2:$A$60=G$1)*Rules!$C$2:$C$60*ISNUMBER(SEARCH(Rules!$D$2:$D$60,$D365)))</f>
        <v>3</v>
      </c>
      <c r="H365" s="0" t="n">
        <f aca="false">SUMPRODUCT((Rules!$A$2:$A$60=H$1)*Rules!$C$2:$C$60*ISNUMBER(SEARCH(Rules!$D$2:$D$60,$D365)))</f>
        <v>0</v>
      </c>
      <c r="I365" s="0" t="n">
        <f aca="false">SUMPRODUCT((Rules!$A$2:$A$60=I$1)*Rules!$C$2:$C$60*ISNUMBER(SEARCH(Rules!$D$2:$D$60,$D365)))</f>
        <v>0</v>
      </c>
      <c r="J365" s="0" t="n">
        <f aca="false">SUMPRODUCT((Rules!$A$2:$A$60=J$1)*Rules!$C$2:$C$60*ISNUMBER(SEARCH(Rules!$D$2:$D$60,$D365)))</f>
        <v>2</v>
      </c>
      <c r="K365" s="0" t="str">
        <f aca="false">IF(OR(MAX(E365:J365)&lt;Rules!$H$1,MAX(E365:J365)-LARGE(E365:J365,2)&lt;Rules!$H$2),"No label",INDEX($E$1:$J$1,MATCH(MAX(E365:J365),E365:J365,0)))</f>
        <v>No label</v>
      </c>
      <c r="L365" s="0" t="n">
        <f aca="false">SUMPRODUCT((Rules!$A$2:$A$60=L$1)*Rules!$C$2:$C$60*ISNUMBER(SEARCH(Rules!$E$2:$E$60,$D365)))</f>
        <v>0</v>
      </c>
      <c r="M365" s="0" t="n">
        <f aca="false">SUMPRODUCT((Rules!$A$2:$A$60=M$1)*Rules!$C$2:$C$60*ISNUMBER(SEARCH(Rules!$E$2:$E$60,$D365)))</f>
        <v>0</v>
      </c>
      <c r="N365" s="0" t="n">
        <f aca="false">SUMPRODUCT((Rules!$A$2:$A$60=N$1)*Rules!$C$2:$C$60*ISNUMBER(SEARCH(Rules!$E$2:$E$60,$D365)))</f>
        <v>3</v>
      </c>
      <c r="O365" s="0" t="n">
        <f aca="false">SUMPRODUCT((Rules!$A$2:$A$60=O$1)*Rules!$C$2:$C$60*ISNUMBER(SEARCH(Rules!$E$2:$E$60,$D365)))</f>
        <v>0</v>
      </c>
      <c r="P365" s="0" t="n">
        <f aca="false">SUMPRODUCT((Rules!$A$2:$A$60=P$1)*Rules!$C$2:$C$60*ISNUMBER(SEARCH(Rules!$E$2:$E$60,$D365)))</f>
        <v>0</v>
      </c>
      <c r="Q365" s="0" t="n">
        <f aca="false">SUMPRODUCT((Rules!$A$2:$A$60=Q$1)*Rules!$C$2:$C$60*ISNUMBER(SEARCH(Rules!$E$2:$E$60,$D365)))</f>
        <v>2</v>
      </c>
      <c r="R365" s="0" t="str">
        <f aca="false">IF(OR(MAX(L365:Q365)&lt;Rules!$H$1,MAX(L365:Q365)-LARGE(L365:Q365,2)&lt;Rules!$H$2),"No label",INDEX($L$1:$Q$1,MATCH(MAX(L365:Q365),L365:Q365,0)))</f>
        <v>No label</v>
      </c>
      <c r="S365" s="0" t="n">
        <f aca="false">SUMPRODUCT(ISNUMBER(SEARCH(" "&amp;Terms!$A$3:$A$821&amp;" ",$D365))*Terms!B$3:B$821)+Terms!B$2</f>
        <v>0.785272119722749</v>
      </c>
      <c r="T365" s="0" t="n">
        <f aca="false">SUMPRODUCT(ISNUMBER(SEARCH(" "&amp;Terms!$A$3:$A$821&amp;" ",$D365))*Terms!C$3:C$821)+Terms!C$2</f>
        <v>8.84078126224959</v>
      </c>
      <c r="U365" s="0" t="n">
        <f aca="false">SUMPRODUCT(ISNUMBER(SEARCH(" "&amp;Terms!$A$3:$A$821&amp;" ",$D365))*Terms!D$3:D$821)+Terms!D$2</f>
        <v>-2.88102731317658</v>
      </c>
      <c r="V365" s="0" t="n">
        <f aca="false">SUMPRODUCT(ISNUMBER(SEARCH(" "&amp;Terms!$A$3:$A$821&amp;" ",$D365))*Terms!E$3:E$821)+Terms!E$2</f>
        <v>-2.65496216056505</v>
      </c>
      <c r="W365" s="0" t="n">
        <f aca="false">SUMPRODUCT(ISNUMBER(SEARCH(" "&amp;Terms!$A$3:$A$821&amp;" ",$D365))*Terms!F$3:F$821)+Terms!F$2</f>
        <v>-1.01980478936801</v>
      </c>
      <c r="X365" s="0" t="n">
        <f aca="false">SUMPRODUCT(ISNUMBER(SEARCH(" "&amp;Terms!$A$3:$A$821&amp;" ",$D365))*Terms!G$3:G$821)+Terms!G$2</f>
        <v>-3.0702591188626</v>
      </c>
      <c r="Y365" s="0" t="str">
        <f aca="false">INDEX($S$1:$X$1,MATCH(MAX(S365:X365),S365:X365,0))</f>
        <v>Customer Service</v>
      </c>
      <c r="Z365" s="0" t="s">
        <v>2607</v>
      </c>
    </row>
    <row r="366" customFormat="false" ht="15" hidden="false" customHeight="false" outlineLevel="0" collapsed="false">
      <c r="A366" s="0" t="str">
        <f aca="false">Complaints!A366</f>
        <v>C0365</v>
      </c>
      <c r="B366" s="0" t="str">
        <f aca="false">Complaints!B366</f>
        <v>Frankly, My application has been stuck for weeks with no progress.</v>
      </c>
      <c r="C366" s="0" t="str">
        <f aca="false">Complaints!C366</f>
        <v>Delays &amp; Processing</v>
      </c>
      <c r="D366" s="0" t="str">
        <f aca="false">" "&amp;TRIM(SUBSTITUTE(SUBSTITUTE(SUBSTITUTE(SUBSTITUTE(SUBSTITUTE(SUBSTITUTE(SUBSTITUTE(SUBSTITUTE(SUBSTITUTE(SUBSTITUTE(SUBSTITUTE(SUBSTITUTE(SUBSTITUTE(SUBSTITUTE(SUBSTITUTE(SUBSTITUTE(LOWER(B366),"."," "),","," "),"'"," "),"’"," "),"!"," "),"?"," "),";"," "),":"," "),"-"," "),"("," "),")"," "),"""", " "),"£"," "),"&amp;"," "),"/"," "),"%"," "))&amp;" "</f>
        <v> frankly my application has been stuck for weeks with no progress </v>
      </c>
      <c r="E366" s="0" t="n">
        <f aca="false">SUMPRODUCT((Rules!$A$2:$A$60=E$1)*Rules!$C$2:$C$60*ISNUMBER(SEARCH(Rules!$D$2:$D$60,$D366)))</f>
        <v>0</v>
      </c>
      <c r="F366" s="0" t="n">
        <f aca="false">SUMPRODUCT((Rules!$A$2:$A$60=F$1)*Rules!$C$2:$C$60*ISNUMBER(SEARCH(Rules!$D$2:$D$60,$D366)))</f>
        <v>0</v>
      </c>
      <c r="G366" s="0" t="n">
        <f aca="false">SUMPRODUCT((Rules!$A$2:$A$60=G$1)*Rules!$C$2:$C$60*ISNUMBER(SEARCH(Rules!$D$2:$D$60,$D366)))</f>
        <v>0</v>
      </c>
      <c r="H366" s="0" t="n">
        <f aca="false">SUMPRODUCT((Rules!$A$2:$A$60=H$1)*Rules!$C$2:$C$60*ISNUMBER(SEARCH(Rules!$D$2:$D$60,$D366)))</f>
        <v>0</v>
      </c>
      <c r="I366" s="0" t="n">
        <f aca="false">SUMPRODUCT((Rules!$A$2:$A$60=I$1)*Rules!$C$2:$C$60*ISNUMBER(SEARCH(Rules!$D$2:$D$60,$D366)))</f>
        <v>3</v>
      </c>
      <c r="J366" s="0" t="n">
        <f aca="false">SUMPRODUCT((Rules!$A$2:$A$60=J$1)*Rules!$C$2:$C$60*ISNUMBER(SEARCH(Rules!$D$2:$D$60,$D366)))</f>
        <v>0</v>
      </c>
      <c r="K366" s="0" t="str">
        <f aca="false">IF(OR(MAX(E366:J366)&lt;Rules!$H$1,MAX(E366:J366)-LARGE(E366:J366,2)&lt;Rules!$H$2),"No label",INDEX($E$1:$J$1,MATCH(MAX(E366:J366),E366:J366,0)))</f>
        <v>Delays &amp; Processing</v>
      </c>
      <c r="L366" s="0" t="n">
        <f aca="false">SUMPRODUCT((Rules!$A$2:$A$60=L$1)*Rules!$C$2:$C$60*ISNUMBER(SEARCH(Rules!$E$2:$E$60,$D366)))</f>
        <v>0</v>
      </c>
      <c r="M366" s="0" t="n">
        <f aca="false">SUMPRODUCT((Rules!$A$2:$A$60=M$1)*Rules!$C$2:$C$60*ISNUMBER(SEARCH(Rules!$E$2:$E$60,$D366)))</f>
        <v>0</v>
      </c>
      <c r="N366" s="0" t="n">
        <f aca="false">SUMPRODUCT((Rules!$A$2:$A$60=N$1)*Rules!$C$2:$C$60*ISNUMBER(SEARCH(Rules!$E$2:$E$60,$D366)))</f>
        <v>0</v>
      </c>
      <c r="O366" s="0" t="n">
        <f aca="false">SUMPRODUCT((Rules!$A$2:$A$60=O$1)*Rules!$C$2:$C$60*ISNUMBER(SEARCH(Rules!$E$2:$E$60,$D366)))</f>
        <v>0</v>
      </c>
      <c r="P366" s="0" t="n">
        <f aca="false">SUMPRODUCT((Rules!$A$2:$A$60=P$1)*Rules!$C$2:$C$60*ISNUMBER(SEARCH(Rules!$E$2:$E$60,$D366)))</f>
        <v>3</v>
      </c>
      <c r="Q366" s="0" t="n">
        <f aca="false">SUMPRODUCT((Rules!$A$2:$A$60=Q$1)*Rules!$C$2:$C$60*ISNUMBER(SEARCH(Rules!$E$2:$E$60,$D366)))</f>
        <v>0</v>
      </c>
      <c r="R366" s="0" t="str">
        <f aca="false">IF(OR(MAX(L366:Q366)&lt;Rules!$H$1,MAX(L366:Q366)-LARGE(L366:Q366,2)&lt;Rules!$H$2),"No label",INDEX($L$1:$Q$1,MATCH(MAX(L366:Q366),L366:Q366,0)))</f>
        <v>Delays &amp; Processing</v>
      </c>
      <c r="S366" s="0" t="n">
        <f aca="false">SUMPRODUCT(ISNUMBER(SEARCH(" "&amp;Terms!$A$3:$A$821&amp;" ",$D366))*Terms!B$3:B$821)+Terms!B$2</f>
        <v>-3.12553166241089</v>
      </c>
      <c r="T366" s="0" t="n">
        <f aca="false">SUMPRODUCT(ISNUMBER(SEARCH(" "&amp;Terms!$A$3:$A$821&amp;" ",$D366))*Terms!C$3:C$821)+Terms!C$2</f>
        <v>-0.0172593921340412</v>
      </c>
      <c r="U366" s="0" t="n">
        <f aca="false">SUMPRODUCT(ISNUMBER(SEARCH(" "&amp;Terms!$A$3:$A$821&amp;" ",$D366))*Terms!D$3:D$821)+Terms!D$2</f>
        <v>7.84628936602035</v>
      </c>
      <c r="V366" s="0" t="n">
        <f aca="false">SUMPRODUCT(ISNUMBER(SEARCH(" "&amp;Terms!$A$3:$A$821&amp;" ",$D366))*Terms!E$3:E$821)+Terms!E$2</f>
        <v>-0.888620415104608</v>
      </c>
      <c r="W366" s="0" t="n">
        <f aca="false">SUMPRODUCT(ISNUMBER(SEARCH(" "&amp;Terms!$A$3:$A$821&amp;" ",$D366))*Terms!F$3:F$821)+Terms!F$2</f>
        <v>-2.37070601878286</v>
      </c>
      <c r="X366" s="0" t="n">
        <f aca="false">SUMPRODUCT(ISNUMBER(SEARCH(" "&amp;Terms!$A$3:$A$821&amp;" ",$D366))*Terms!G$3:G$821)+Terms!G$2</f>
        <v>-1.44417187758786</v>
      </c>
      <c r="Y366" s="0" t="str">
        <f aca="false">INDEX($S$1:$X$1,MATCH(MAX(S366:X366),S366:X366,0))</f>
        <v>Delays &amp; Processing</v>
      </c>
      <c r="Z366" s="0" t="s">
        <v>2607</v>
      </c>
    </row>
    <row r="367" customFormat="false" ht="15" hidden="false" customHeight="false" outlineLevel="0" collapsed="false">
      <c r="A367" s="0" t="str">
        <f aca="false">Complaints!A367</f>
        <v>C0366</v>
      </c>
      <c r="B367" s="0" t="str">
        <f aca="false">Complaints!B367</f>
        <v>I have been a customer for years. The direct debit setup was delayed and I missed a bill because of it. Also, two factor codes are not being sent to my phone.</v>
      </c>
      <c r="C367" s="0" t="str">
        <f aca="false">Complaints!C367</f>
        <v>Delays &amp; Processing</v>
      </c>
      <c r="D367" s="0" t="str">
        <f aca="false">" "&amp;TRIM(SUBSTITUTE(SUBSTITUTE(SUBSTITUTE(SUBSTITUTE(SUBSTITUTE(SUBSTITUTE(SUBSTITUTE(SUBSTITUTE(SUBSTITUTE(SUBSTITUTE(SUBSTITUTE(SUBSTITUTE(SUBSTITUTE(SUBSTITUTE(SUBSTITUTE(SUBSTITUTE(LOWER(B367),"."," "),","," "),"'"," "),"’"," "),"!"," "),"?"," "),";"," "),":"," "),"-"," "),"("," "),")"," "),"""", " "),"£"," "),"&amp;"," "),"/"," "),"%"," "))&amp;" "</f>
        <v> i have been a customer for years the direct debit setup was delayed and i missed a bill because of it also two factor codes are not being sent to my phone </v>
      </c>
      <c r="E367" s="0" t="n">
        <f aca="false">SUMPRODUCT((Rules!$A$2:$A$60=E$1)*Rules!$C$2:$C$60*ISNUMBER(SEARCH(Rules!$D$2:$D$60,$D367)))</f>
        <v>0</v>
      </c>
      <c r="F367" s="0" t="n">
        <f aca="false">SUMPRODUCT((Rules!$A$2:$A$60=F$1)*Rules!$C$2:$C$60*ISNUMBER(SEARCH(Rules!$D$2:$D$60,$D367)))</f>
        <v>0</v>
      </c>
      <c r="G367" s="0" t="n">
        <f aca="false">SUMPRODUCT((Rules!$A$2:$A$60=G$1)*Rules!$C$2:$C$60*ISNUMBER(SEARCH(Rules!$D$2:$D$60,$D367)))</f>
        <v>3</v>
      </c>
      <c r="H367" s="0" t="n">
        <f aca="false">SUMPRODUCT((Rules!$A$2:$A$60=H$1)*Rules!$C$2:$C$60*ISNUMBER(SEARCH(Rules!$D$2:$D$60,$D367)))</f>
        <v>0</v>
      </c>
      <c r="I367" s="0" t="n">
        <f aca="false">SUMPRODUCT((Rules!$A$2:$A$60=I$1)*Rules!$C$2:$C$60*ISNUMBER(SEARCH(Rules!$D$2:$D$60,$D367)))</f>
        <v>2</v>
      </c>
      <c r="J367" s="0" t="n">
        <f aca="false">SUMPRODUCT((Rules!$A$2:$A$60=J$1)*Rules!$C$2:$C$60*ISNUMBER(SEARCH(Rules!$D$2:$D$60,$D367)))</f>
        <v>0</v>
      </c>
      <c r="K367" s="0" t="str">
        <f aca="false">IF(OR(MAX(E367:J367)&lt;Rules!$H$1,MAX(E367:J367)-LARGE(E367:J367,2)&lt;Rules!$H$2),"No label",INDEX($E$1:$J$1,MATCH(MAX(E367:J367),E367:J367,0)))</f>
        <v>No label</v>
      </c>
      <c r="L367" s="0" t="n">
        <f aca="false">SUMPRODUCT((Rules!$A$2:$A$60=L$1)*Rules!$C$2:$C$60*ISNUMBER(SEARCH(Rules!$E$2:$E$60,$D367)))</f>
        <v>0</v>
      </c>
      <c r="M367" s="0" t="n">
        <f aca="false">SUMPRODUCT((Rules!$A$2:$A$60=M$1)*Rules!$C$2:$C$60*ISNUMBER(SEARCH(Rules!$E$2:$E$60,$D367)))</f>
        <v>0</v>
      </c>
      <c r="N367" s="0" t="n">
        <f aca="false">SUMPRODUCT((Rules!$A$2:$A$60=N$1)*Rules!$C$2:$C$60*ISNUMBER(SEARCH(Rules!$E$2:$E$60,$D367)))</f>
        <v>3</v>
      </c>
      <c r="O367" s="0" t="n">
        <f aca="false">SUMPRODUCT((Rules!$A$2:$A$60=O$1)*Rules!$C$2:$C$60*ISNUMBER(SEARCH(Rules!$E$2:$E$60,$D367)))</f>
        <v>2</v>
      </c>
      <c r="P367" s="0" t="n">
        <f aca="false">SUMPRODUCT((Rules!$A$2:$A$60=P$1)*Rules!$C$2:$C$60*ISNUMBER(SEARCH(Rules!$E$2:$E$60,$D367)))</f>
        <v>2</v>
      </c>
      <c r="Q367" s="0" t="n">
        <f aca="false">SUMPRODUCT((Rules!$A$2:$A$60=Q$1)*Rules!$C$2:$C$60*ISNUMBER(SEARCH(Rules!$E$2:$E$60,$D367)))</f>
        <v>0</v>
      </c>
      <c r="R367" s="0" t="str">
        <f aca="false">IF(OR(MAX(L367:Q367)&lt;Rules!$H$1,MAX(L367:Q367)-LARGE(L367:Q367,2)&lt;Rules!$H$2),"No label",INDEX($L$1:$Q$1,MATCH(MAX(L367:Q367),L367:Q367,0)))</f>
        <v>No label</v>
      </c>
      <c r="S367" s="0" t="n">
        <f aca="false">SUMPRODUCT(ISNUMBER(SEARCH(" "&amp;Terms!$A$3:$A$821&amp;" ",$D367))*Terms!B$3:B$821)+Terms!B$2</f>
        <v>6.38959817803358</v>
      </c>
      <c r="T367" s="0" t="n">
        <f aca="false">SUMPRODUCT(ISNUMBER(SEARCH(" "&amp;Terms!$A$3:$A$821&amp;" ",$D367))*Terms!C$3:C$821)+Terms!C$2</f>
        <v>-4.9225428412907</v>
      </c>
      <c r="U367" s="0" t="n">
        <f aca="false">SUMPRODUCT(ISNUMBER(SEARCH(" "&amp;Terms!$A$3:$A$821&amp;" ",$D367))*Terms!D$3:D$821)+Terms!D$2</f>
        <v>14.6407613189722</v>
      </c>
      <c r="V367" s="0" t="n">
        <f aca="false">SUMPRODUCT(ISNUMBER(SEARCH(" "&amp;Terms!$A$3:$A$821&amp;" ",$D367))*Terms!E$3:E$821)+Terms!E$2</f>
        <v>-5.76351803322698</v>
      </c>
      <c r="W367" s="0" t="n">
        <f aca="false">SUMPRODUCT(ISNUMBER(SEARCH(" "&amp;Terms!$A$3:$A$821&amp;" ",$D367))*Terms!F$3:F$821)+Terms!F$2</f>
        <v>-5.11632648271849</v>
      </c>
      <c r="X367" s="0" t="n">
        <f aca="false">SUMPRODUCT(ISNUMBER(SEARCH(" "&amp;Terms!$A$3:$A$821&amp;" ",$D367))*Terms!G$3:G$821)+Terms!G$2</f>
        <v>-5.22797213976951</v>
      </c>
      <c r="Y367" s="0" t="str">
        <f aca="false">INDEX($S$1:$X$1,MATCH(MAX(S367:X367),S367:X367,0))</f>
        <v>Delays &amp; Processing</v>
      </c>
      <c r="Z367" s="0" t="s">
        <v>2607</v>
      </c>
    </row>
    <row r="368" customFormat="false" ht="15" hidden="false" customHeight="false" outlineLevel="0" collapsed="false">
      <c r="A368" s="0" t="str">
        <f aca="false">Complaints!A368</f>
        <v>C0367</v>
      </c>
      <c r="B368" s="0" t="str">
        <f aca="false">Complaints!B368</f>
        <v>It has taken six weeks to process my claim and nobody has updated me. I am worried it might be fraud.</v>
      </c>
      <c r="C368" s="0" t="str">
        <f aca="false">Complaints!C368</f>
        <v>Delays &amp; Processing</v>
      </c>
      <c r="D368" s="0" t="str">
        <f aca="false">" "&amp;TRIM(SUBSTITUTE(SUBSTITUTE(SUBSTITUTE(SUBSTITUTE(SUBSTITUTE(SUBSTITUTE(SUBSTITUTE(SUBSTITUTE(SUBSTITUTE(SUBSTITUTE(SUBSTITUTE(SUBSTITUTE(SUBSTITUTE(SUBSTITUTE(SUBSTITUTE(SUBSTITUTE(LOWER(B368),"."," "),","," "),"'"," "),"’"," "),"!"," "),"?"," "),";"," "),":"," "),"-"," "),"("," "),")"," "),"""", " "),"£"," "),"&amp;"," "),"/"," "),"%"," "))&amp;" "</f>
        <v> it has taken six weeks to process my claim and nobody has updated me i am worried it might be fraud </v>
      </c>
      <c r="E368" s="0" t="n">
        <f aca="false">SUMPRODUCT((Rules!$A$2:$A$60=E$1)*Rules!$C$2:$C$60*ISNUMBER(SEARCH(Rules!$D$2:$D$60,$D368)))</f>
        <v>3</v>
      </c>
      <c r="F368" s="0" t="n">
        <f aca="false">SUMPRODUCT((Rules!$A$2:$A$60=F$1)*Rules!$C$2:$C$60*ISNUMBER(SEARCH(Rules!$D$2:$D$60,$D368)))</f>
        <v>0</v>
      </c>
      <c r="G368" s="0" t="n">
        <f aca="false">SUMPRODUCT((Rules!$A$2:$A$60=G$1)*Rules!$C$2:$C$60*ISNUMBER(SEARCH(Rules!$D$2:$D$60,$D368)))</f>
        <v>0</v>
      </c>
      <c r="H368" s="0" t="n">
        <f aca="false">SUMPRODUCT((Rules!$A$2:$A$60=H$1)*Rules!$C$2:$C$60*ISNUMBER(SEARCH(Rules!$D$2:$D$60,$D368)))</f>
        <v>0</v>
      </c>
      <c r="I368" s="0" t="n">
        <f aca="false">SUMPRODUCT((Rules!$A$2:$A$60=I$1)*Rules!$C$2:$C$60*ISNUMBER(SEARCH(Rules!$D$2:$D$60,$D368)))</f>
        <v>2</v>
      </c>
      <c r="J368" s="0" t="n">
        <f aca="false">SUMPRODUCT((Rules!$A$2:$A$60=J$1)*Rules!$C$2:$C$60*ISNUMBER(SEARCH(Rules!$D$2:$D$60,$D368)))</f>
        <v>0</v>
      </c>
      <c r="K368" s="0" t="str">
        <f aca="false">IF(OR(MAX(E368:J368)&lt;Rules!$H$1,MAX(E368:J368)-LARGE(E368:J368,2)&lt;Rules!$H$2),"No label",INDEX($E$1:$J$1,MATCH(MAX(E368:J368),E368:J368,0)))</f>
        <v>No label</v>
      </c>
      <c r="L368" s="0" t="n">
        <f aca="false">SUMPRODUCT((Rules!$A$2:$A$60=L$1)*Rules!$C$2:$C$60*ISNUMBER(SEARCH(Rules!$E$2:$E$60,$D368)))</f>
        <v>3</v>
      </c>
      <c r="M368" s="0" t="n">
        <f aca="false">SUMPRODUCT((Rules!$A$2:$A$60=M$1)*Rules!$C$2:$C$60*ISNUMBER(SEARCH(Rules!$E$2:$E$60,$D368)))</f>
        <v>0</v>
      </c>
      <c r="N368" s="0" t="n">
        <f aca="false">SUMPRODUCT((Rules!$A$2:$A$60=N$1)*Rules!$C$2:$C$60*ISNUMBER(SEARCH(Rules!$E$2:$E$60,$D368)))</f>
        <v>0</v>
      </c>
      <c r="O368" s="0" t="n">
        <f aca="false">SUMPRODUCT((Rules!$A$2:$A$60=O$1)*Rules!$C$2:$C$60*ISNUMBER(SEARCH(Rules!$E$2:$E$60,$D368)))</f>
        <v>0</v>
      </c>
      <c r="P368" s="0" t="n">
        <f aca="false">SUMPRODUCT((Rules!$A$2:$A$60=P$1)*Rules!$C$2:$C$60*ISNUMBER(SEARCH(Rules!$E$2:$E$60,$D368)))</f>
        <v>2</v>
      </c>
      <c r="Q368" s="0" t="n">
        <f aca="false">SUMPRODUCT((Rules!$A$2:$A$60=Q$1)*Rules!$C$2:$C$60*ISNUMBER(SEARCH(Rules!$E$2:$E$60,$D368)))</f>
        <v>0</v>
      </c>
      <c r="R368" s="0" t="str">
        <f aca="false">IF(OR(MAX(L368:Q368)&lt;Rules!$H$1,MAX(L368:Q368)-LARGE(L368:Q368,2)&lt;Rules!$H$2),"No label",INDEX($L$1:$Q$1,MATCH(MAX(L368:Q368),L368:Q368,0)))</f>
        <v>No label</v>
      </c>
      <c r="S368" s="0" t="n">
        <f aca="false">SUMPRODUCT(ISNUMBER(SEARCH(" "&amp;Terms!$A$3:$A$821&amp;" ",$D368))*Terms!B$3:B$821)+Terms!B$2</f>
        <v>-1.64020901548843</v>
      </c>
      <c r="T368" s="0" t="n">
        <f aca="false">SUMPRODUCT(ISNUMBER(SEARCH(" "&amp;Terms!$A$3:$A$821&amp;" ",$D368))*Terms!C$3:C$821)+Terms!C$2</f>
        <v>-3.04601875798381</v>
      </c>
      <c r="U368" s="0" t="n">
        <f aca="false">SUMPRODUCT(ISNUMBER(SEARCH(" "&amp;Terms!$A$3:$A$821&amp;" ",$D368))*Terms!D$3:D$821)+Terms!D$2</f>
        <v>7.60132532622128</v>
      </c>
      <c r="V368" s="0" t="n">
        <f aca="false">SUMPRODUCT(ISNUMBER(SEARCH(" "&amp;Terms!$A$3:$A$821&amp;" ",$D368))*Terms!E$3:E$821)+Terms!E$2</f>
        <v>-1.02922767461201</v>
      </c>
      <c r="W368" s="0" t="n">
        <f aca="false">SUMPRODUCT(ISNUMBER(SEARCH(" "&amp;Terms!$A$3:$A$821&amp;" ",$D368))*Terms!F$3:F$821)+Terms!F$2</f>
        <v>-0.687170123323342</v>
      </c>
      <c r="X368" s="0" t="n">
        <f aca="false">SUMPRODUCT(ISNUMBER(SEARCH(" "&amp;Terms!$A$3:$A$821&amp;" ",$D368))*Terms!G$3:G$821)+Terms!G$2</f>
        <v>-1.19869975481359</v>
      </c>
      <c r="Y368" s="0" t="str">
        <f aca="false">INDEX($S$1:$X$1,MATCH(MAX(S368:X368),S368:X368,0))</f>
        <v>Delays &amp; Processing</v>
      </c>
      <c r="Z368" s="0" t="s">
        <v>2607</v>
      </c>
    </row>
    <row r="369" customFormat="false" ht="15" hidden="false" customHeight="false" outlineLevel="0" collapsed="false">
      <c r="A369" s="0" t="str">
        <f aca="false">Complaints!A369</f>
        <v>C0368</v>
      </c>
      <c r="B369" s="0" t="str">
        <f aca="false">Complaints!B369</f>
        <v>Frankly, Two factor codes are not being sent to my phone. I want this put right.</v>
      </c>
      <c r="C369" s="0" t="str">
        <f aca="false">Complaints!C369</f>
        <v>Account Access</v>
      </c>
      <c r="D369" s="0" t="str">
        <f aca="false">" "&amp;TRIM(SUBSTITUTE(SUBSTITUTE(SUBSTITUTE(SUBSTITUTE(SUBSTITUTE(SUBSTITUTE(SUBSTITUTE(SUBSTITUTE(SUBSTITUTE(SUBSTITUTE(SUBSTITUTE(SUBSTITUTE(SUBSTITUTE(SUBSTITUTE(SUBSTITUTE(SUBSTITUTE(LOWER(B369),"."," "),","," "),"'"," "),"’"," "),"!"," "),"?"," "),";"," "),":"," "),"-"," "),"("," "),")"," "),"""", " "),"£"," "),"&amp;"," "),"/"," "),"%"," "))&amp;" "</f>
        <v> frankly two factor codes are not being sent to my phone i want this put right </v>
      </c>
      <c r="E369" s="0" t="n">
        <f aca="false">SUMPRODUCT((Rules!$A$2:$A$60=E$1)*Rules!$C$2:$C$60*ISNUMBER(SEARCH(Rules!$D$2:$D$60,$D369)))</f>
        <v>0</v>
      </c>
      <c r="F369" s="0" t="n">
        <f aca="false">SUMPRODUCT((Rules!$A$2:$A$60=F$1)*Rules!$C$2:$C$60*ISNUMBER(SEARCH(Rules!$D$2:$D$60,$D369)))</f>
        <v>0</v>
      </c>
      <c r="G369" s="0" t="n">
        <f aca="false">SUMPRODUCT((Rules!$A$2:$A$60=G$1)*Rules!$C$2:$C$60*ISNUMBER(SEARCH(Rules!$D$2:$D$60,$D369)))</f>
        <v>3</v>
      </c>
      <c r="H369" s="0" t="n">
        <f aca="false">SUMPRODUCT((Rules!$A$2:$A$60=H$1)*Rules!$C$2:$C$60*ISNUMBER(SEARCH(Rules!$D$2:$D$60,$D369)))</f>
        <v>0</v>
      </c>
      <c r="I369" s="0" t="n">
        <f aca="false">SUMPRODUCT((Rules!$A$2:$A$60=I$1)*Rules!$C$2:$C$60*ISNUMBER(SEARCH(Rules!$D$2:$D$60,$D369)))</f>
        <v>0</v>
      </c>
      <c r="J369" s="0" t="n">
        <f aca="false">SUMPRODUCT((Rules!$A$2:$A$60=J$1)*Rules!$C$2:$C$60*ISNUMBER(SEARCH(Rules!$D$2:$D$60,$D369)))</f>
        <v>0</v>
      </c>
      <c r="K369" s="0" t="str">
        <f aca="false">IF(OR(MAX(E369:J369)&lt;Rules!$H$1,MAX(E369:J369)-LARGE(E369:J369,2)&lt;Rules!$H$2),"No label",INDEX($E$1:$J$1,MATCH(MAX(E369:J369),E369:J369,0)))</f>
        <v>Account Access</v>
      </c>
      <c r="L369" s="0" t="n">
        <f aca="false">SUMPRODUCT((Rules!$A$2:$A$60=L$1)*Rules!$C$2:$C$60*ISNUMBER(SEARCH(Rules!$E$2:$E$60,$D369)))</f>
        <v>0</v>
      </c>
      <c r="M369" s="0" t="n">
        <f aca="false">SUMPRODUCT((Rules!$A$2:$A$60=M$1)*Rules!$C$2:$C$60*ISNUMBER(SEARCH(Rules!$E$2:$E$60,$D369)))</f>
        <v>0</v>
      </c>
      <c r="N369" s="0" t="n">
        <f aca="false">SUMPRODUCT((Rules!$A$2:$A$60=N$1)*Rules!$C$2:$C$60*ISNUMBER(SEARCH(Rules!$E$2:$E$60,$D369)))</f>
        <v>3</v>
      </c>
      <c r="O369" s="0" t="n">
        <f aca="false">SUMPRODUCT((Rules!$A$2:$A$60=O$1)*Rules!$C$2:$C$60*ISNUMBER(SEARCH(Rules!$E$2:$E$60,$D369)))</f>
        <v>0</v>
      </c>
      <c r="P369" s="0" t="n">
        <f aca="false">SUMPRODUCT((Rules!$A$2:$A$60=P$1)*Rules!$C$2:$C$60*ISNUMBER(SEARCH(Rules!$E$2:$E$60,$D369)))</f>
        <v>0</v>
      </c>
      <c r="Q369" s="0" t="n">
        <f aca="false">SUMPRODUCT((Rules!$A$2:$A$60=Q$1)*Rules!$C$2:$C$60*ISNUMBER(SEARCH(Rules!$E$2:$E$60,$D369)))</f>
        <v>0</v>
      </c>
      <c r="R369" s="0" t="str">
        <f aca="false">IF(OR(MAX(L369:Q369)&lt;Rules!$H$1,MAX(L369:Q369)-LARGE(L369:Q369,2)&lt;Rules!$H$2),"No label",INDEX($L$1:$Q$1,MATCH(MAX(L369:Q369),L369:Q369,0)))</f>
        <v>Account Access</v>
      </c>
      <c r="S369" s="0" t="n">
        <f aca="false">SUMPRODUCT(ISNUMBER(SEARCH(" "&amp;Terms!$A$3:$A$821&amp;" ",$D369))*Terms!B$3:B$821)+Terms!B$2</f>
        <v>7.60110476941795</v>
      </c>
      <c r="T369" s="0" t="n">
        <f aca="false">SUMPRODUCT(ISNUMBER(SEARCH(" "&amp;Terms!$A$3:$A$821&amp;" ",$D369))*Terms!C$3:C$821)+Terms!C$2</f>
        <v>-5.01977355649101</v>
      </c>
      <c r="U369" s="0" t="n">
        <f aca="false">SUMPRODUCT(ISNUMBER(SEARCH(" "&amp;Terms!$A$3:$A$821&amp;" ",$D369))*Terms!D$3:D$821)+Terms!D$2</f>
        <v>1.51897670605177</v>
      </c>
      <c r="V369" s="0" t="n">
        <f aca="false">SUMPRODUCT(ISNUMBER(SEARCH(" "&amp;Terms!$A$3:$A$821&amp;" ",$D369))*Terms!E$3:E$821)+Terms!E$2</f>
        <v>0.0359424343090423</v>
      </c>
      <c r="W369" s="0" t="n">
        <f aca="false">SUMPRODUCT(ISNUMBER(SEARCH(" "&amp;Terms!$A$3:$A$821&amp;" ",$D369))*Terms!F$3:F$821)+Terms!F$2</f>
        <v>-1.94601704905849</v>
      </c>
      <c r="X369" s="0" t="n">
        <f aca="false">SUMPRODUCT(ISNUMBER(SEARCH(" "&amp;Terms!$A$3:$A$821&amp;" ",$D369))*Terms!G$3:G$821)+Terms!G$2</f>
        <v>-2.19023330422918</v>
      </c>
      <c r="Y369" s="0" t="str">
        <f aca="false">INDEX($S$1:$X$1,MATCH(MAX(S369:X369),S369:X369,0))</f>
        <v>Account Access</v>
      </c>
      <c r="Z369" s="0" t="s">
        <v>2607</v>
      </c>
    </row>
    <row r="370" customFormat="false" ht="15" hidden="false" customHeight="false" outlineLevel="0" collapsed="false">
      <c r="A370" s="0" t="str">
        <f aca="false">Complaints!A370</f>
        <v>C0369</v>
      </c>
      <c r="B370" s="0" t="str">
        <f aca="false">Complaints!B370</f>
        <v>Frankly, My online banking is locked and the reset link never arrives.</v>
      </c>
      <c r="C370" s="0" t="str">
        <f aca="false">Complaints!C370</f>
        <v>Account Access</v>
      </c>
      <c r="D370" s="0" t="str">
        <f aca="false">" "&amp;TRIM(SUBSTITUTE(SUBSTITUTE(SUBSTITUTE(SUBSTITUTE(SUBSTITUTE(SUBSTITUTE(SUBSTITUTE(SUBSTITUTE(SUBSTITUTE(SUBSTITUTE(SUBSTITUTE(SUBSTITUTE(SUBSTITUTE(SUBSTITUTE(SUBSTITUTE(SUBSTITUTE(LOWER(B370),"."," "),","," "),"'"," "),"’"," "),"!"," "),"?"," "),";"," "),":"," "),"-"," "),"("," "),")"," "),"""", " "),"£"," "),"&amp;"," "),"/"," "),"%"," "))&amp;" "</f>
        <v> frankly my online banking is locked and the reset link never arrives </v>
      </c>
      <c r="E370" s="0" t="n">
        <f aca="false">SUMPRODUCT((Rules!$A$2:$A$60=E$1)*Rules!$C$2:$C$60*ISNUMBER(SEARCH(Rules!$D$2:$D$60,$D370)))</f>
        <v>0</v>
      </c>
      <c r="F370" s="0" t="n">
        <f aca="false">SUMPRODUCT((Rules!$A$2:$A$60=F$1)*Rules!$C$2:$C$60*ISNUMBER(SEARCH(Rules!$D$2:$D$60,$D370)))</f>
        <v>0</v>
      </c>
      <c r="G370" s="0" t="n">
        <f aca="false">SUMPRODUCT((Rules!$A$2:$A$60=G$1)*Rules!$C$2:$C$60*ISNUMBER(SEARCH(Rules!$D$2:$D$60,$D370)))</f>
        <v>5</v>
      </c>
      <c r="H370" s="0" t="n">
        <f aca="false">SUMPRODUCT((Rules!$A$2:$A$60=H$1)*Rules!$C$2:$C$60*ISNUMBER(SEARCH(Rules!$D$2:$D$60,$D370)))</f>
        <v>0</v>
      </c>
      <c r="I370" s="0" t="n">
        <f aca="false">SUMPRODUCT((Rules!$A$2:$A$60=I$1)*Rules!$C$2:$C$60*ISNUMBER(SEARCH(Rules!$D$2:$D$60,$D370)))</f>
        <v>0</v>
      </c>
      <c r="J370" s="0" t="n">
        <f aca="false">SUMPRODUCT((Rules!$A$2:$A$60=J$1)*Rules!$C$2:$C$60*ISNUMBER(SEARCH(Rules!$D$2:$D$60,$D370)))</f>
        <v>0</v>
      </c>
      <c r="K370" s="0" t="str">
        <f aca="false">IF(OR(MAX(E370:J370)&lt;Rules!$H$1,MAX(E370:J370)-LARGE(E370:J370,2)&lt;Rules!$H$2),"No label",INDEX($E$1:$J$1,MATCH(MAX(E370:J370),E370:J370,0)))</f>
        <v>Account Access</v>
      </c>
      <c r="L370" s="0" t="n">
        <f aca="false">SUMPRODUCT((Rules!$A$2:$A$60=L$1)*Rules!$C$2:$C$60*ISNUMBER(SEARCH(Rules!$E$2:$E$60,$D370)))</f>
        <v>0</v>
      </c>
      <c r="M370" s="0" t="n">
        <f aca="false">SUMPRODUCT((Rules!$A$2:$A$60=M$1)*Rules!$C$2:$C$60*ISNUMBER(SEARCH(Rules!$E$2:$E$60,$D370)))</f>
        <v>0</v>
      </c>
      <c r="N370" s="0" t="n">
        <f aca="false">SUMPRODUCT((Rules!$A$2:$A$60=N$1)*Rules!$C$2:$C$60*ISNUMBER(SEARCH(Rules!$E$2:$E$60,$D370)))</f>
        <v>5</v>
      </c>
      <c r="O370" s="0" t="n">
        <f aca="false">SUMPRODUCT((Rules!$A$2:$A$60=O$1)*Rules!$C$2:$C$60*ISNUMBER(SEARCH(Rules!$E$2:$E$60,$D370)))</f>
        <v>0</v>
      </c>
      <c r="P370" s="0" t="n">
        <f aca="false">SUMPRODUCT((Rules!$A$2:$A$60=P$1)*Rules!$C$2:$C$60*ISNUMBER(SEARCH(Rules!$E$2:$E$60,$D370)))</f>
        <v>0</v>
      </c>
      <c r="Q370" s="0" t="n">
        <f aca="false">SUMPRODUCT((Rules!$A$2:$A$60=Q$1)*Rules!$C$2:$C$60*ISNUMBER(SEARCH(Rules!$E$2:$E$60,$D370)))</f>
        <v>0</v>
      </c>
      <c r="R370" s="0" t="str">
        <f aca="false">IF(OR(MAX(L370:Q370)&lt;Rules!$H$1,MAX(L370:Q370)-LARGE(L370:Q370,2)&lt;Rules!$H$2),"No label",INDEX($L$1:$Q$1,MATCH(MAX(L370:Q370),L370:Q370,0)))</f>
        <v>Account Access</v>
      </c>
      <c r="S370" s="0" t="n">
        <f aca="false">SUMPRODUCT(ISNUMBER(SEARCH(" "&amp;Terms!$A$3:$A$821&amp;" ",$D370))*Terms!B$3:B$821)+Terms!B$2</f>
        <v>9.7263718159955</v>
      </c>
      <c r="T370" s="0" t="n">
        <f aca="false">SUMPRODUCT(ISNUMBER(SEARCH(" "&amp;Terms!$A$3:$A$821&amp;" ",$D370))*Terms!C$3:C$821)+Terms!C$2</f>
        <v>-5.27001815676475</v>
      </c>
      <c r="U370" s="0" t="n">
        <f aca="false">SUMPRODUCT(ISNUMBER(SEARCH(" "&amp;Terms!$A$3:$A$821&amp;" ",$D370))*Terms!D$3:D$821)+Terms!D$2</f>
        <v>-3.01400508162356</v>
      </c>
      <c r="V370" s="0" t="n">
        <f aca="false">SUMPRODUCT(ISNUMBER(SEARCH(" "&amp;Terms!$A$3:$A$821&amp;" ",$D370))*Terms!E$3:E$821)+Terms!E$2</f>
        <v>0.637501506015893</v>
      </c>
      <c r="W370" s="0" t="n">
        <f aca="false">SUMPRODUCT(ISNUMBER(SEARCH(" "&amp;Terms!$A$3:$A$821&amp;" ",$D370))*Terms!F$3:F$821)+Terms!F$2</f>
        <v>-2.39898799604314</v>
      </c>
      <c r="X370" s="0" t="n">
        <f aca="false">SUMPRODUCT(ISNUMBER(SEARCH(" "&amp;Terms!$A$3:$A$821&amp;" ",$D370))*Terms!G$3:G$821)+Terms!G$2</f>
        <v>0.319137912420163</v>
      </c>
      <c r="Y370" s="0" t="str">
        <f aca="false">INDEX($S$1:$X$1,MATCH(MAX(S370:X370),S370:X370,0))</f>
        <v>Account Access</v>
      </c>
      <c r="Z370" s="0" t="s">
        <v>2607</v>
      </c>
    </row>
    <row r="371" customFormat="false" ht="15" hidden="false" customHeight="false" outlineLevel="0" collapsed="false">
      <c r="A371" s="0" t="str">
        <f aca="false">Complaints!A371</f>
        <v>C0370</v>
      </c>
      <c r="B371" s="0" t="str">
        <f aca="false">Complaints!B371</f>
        <v>To whom it may concern, I am unable to access my account to see my balance. I also spent ages on hold when I called about it.</v>
      </c>
      <c r="C371" s="0" t="str">
        <f aca="false">Complaints!C371</f>
        <v>Account Access</v>
      </c>
      <c r="D371" s="0" t="str">
        <f aca="false">" "&amp;TRIM(SUBSTITUTE(SUBSTITUTE(SUBSTITUTE(SUBSTITUTE(SUBSTITUTE(SUBSTITUTE(SUBSTITUTE(SUBSTITUTE(SUBSTITUTE(SUBSTITUTE(SUBSTITUTE(SUBSTITUTE(SUBSTITUTE(SUBSTITUTE(SUBSTITUTE(SUBSTITUTE(LOWER(B371),"."," "),","," "),"'"," "),"’"," "),"!"," "),"?"," "),";"," "),":"," "),"-"," "),"("," "),")"," "),"""", " "),"£"," "),"&amp;"," "),"/"," "),"%"," "))&amp;" "</f>
        <v> to whom it may concern i am unable to access my account to see my balance i also spent ages on hold when i called about it </v>
      </c>
      <c r="E371" s="0" t="n">
        <f aca="false">SUMPRODUCT((Rules!$A$2:$A$60=E$1)*Rules!$C$2:$C$60*ISNUMBER(SEARCH(Rules!$D$2:$D$60,$D371)))</f>
        <v>0</v>
      </c>
      <c r="F371" s="0" t="n">
        <f aca="false">SUMPRODUCT((Rules!$A$2:$A$60=F$1)*Rules!$C$2:$C$60*ISNUMBER(SEARCH(Rules!$D$2:$D$60,$D371)))</f>
        <v>0</v>
      </c>
      <c r="G371" s="0" t="n">
        <f aca="false">SUMPRODUCT((Rules!$A$2:$A$60=G$1)*Rules!$C$2:$C$60*ISNUMBER(SEARCH(Rules!$D$2:$D$60,$D371)))</f>
        <v>1</v>
      </c>
      <c r="H371" s="0" t="n">
        <f aca="false">SUMPRODUCT((Rules!$A$2:$A$60=H$1)*Rules!$C$2:$C$60*ISNUMBER(SEARCH(Rules!$D$2:$D$60,$D371)))</f>
        <v>0</v>
      </c>
      <c r="I371" s="0" t="n">
        <f aca="false">SUMPRODUCT((Rules!$A$2:$A$60=I$1)*Rules!$C$2:$C$60*ISNUMBER(SEARCH(Rules!$D$2:$D$60,$D371)))</f>
        <v>0</v>
      </c>
      <c r="J371" s="0" t="n">
        <f aca="false">SUMPRODUCT((Rules!$A$2:$A$60=J$1)*Rules!$C$2:$C$60*ISNUMBER(SEARCH(Rules!$D$2:$D$60,$D371)))</f>
        <v>3</v>
      </c>
      <c r="K371" s="0" t="str">
        <f aca="false">IF(OR(MAX(E371:J371)&lt;Rules!$H$1,MAX(E371:J371)-LARGE(E371:J371,2)&lt;Rules!$H$2),"No label",INDEX($E$1:$J$1,MATCH(MAX(E371:J371),E371:J371,0)))</f>
        <v>Customer Service</v>
      </c>
      <c r="L371" s="0" t="n">
        <f aca="false">SUMPRODUCT((Rules!$A$2:$A$60=L$1)*Rules!$C$2:$C$60*ISNUMBER(SEARCH(Rules!$E$2:$E$60,$D371)))</f>
        <v>0</v>
      </c>
      <c r="M371" s="0" t="n">
        <f aca="false">SUMPRODUCT((Rules!$A$2:$A$60=M$1)*Rules!$C$2:$C$60*ISNUMBER(SEARCH(Rules!$E$2:$E$60,$D371)))</f>
        <v>0</v>
      </c>
      <c r="N371" s="0" t="n">
        <f aca="false">SUMPRODUCT((Rules!$A$2:$A$60=N$1)*Rules!$C$2:$C$60*ISNUMBER(SEARCH(Rules!$E$2:$E$60,$D371)))</f>
        <v>1</v>
      </c>
      <c r="O371" s="0" t="n">
        <f aca="false">SUMPRODUCT((Rules!$A$2:$A$60=O$1)*Rules!$C$2:$C$60*ISNUMBER(SEARCH(Rules!$E$2:$E$60,$D371)))</f>
        <v>0</v>
      </c>
      <c r="P371" s="0" t="n">
        <f aca="false">SUMPRODUCT((Rules!$A$2:$A$60=P$1)*Rules!$C$2:$C$60*ISNUMBER(SEARCH(Rules!$E$2:$E$60,$D371)))</f>
        <v>0</v>
      </c>
      <c r="Q371" s="0" t="n">
        <f aca="false">SUMPRODUCT((Rules!$A$2:$A$60=Q$1)*Rules!$C$2:$C$60*ISNUMBER(SEARCH(Rules!$E$2:$E$60,$D371)))</f>
        <v>3</v>
      </c>
      <c r="R371" s="0" t="str">
        <f aca="false">IF(OR(MAX(L371:Q371)&lt;Rules!$H$1,MAX(L371:Q371)-LARGE(L371:Q371,2)&lt;Rules!$H$2),"No label",INDEX($L$1:$Q$1,MATCH(MAX(L371:Q371),L371:Q371,0)))</f>
        <v>Customer Service</v>
      </c>
      <c r="S371" s="0" t="n">
        <f aca="false">SUMPRODUCT(ISNUMBER(SEARCH(" "&amp;Terms!$A$3:$A$821&amp;" ",$D371))*Terms!B$3:B$821)+Terms!B$2</f>
        <v>6.68576373687031</v>
      </c>
      <c r="T371" s="0" t="n">
        <f aca="false">SUMPRODUCT(ISNUMBER(SEARCH(" "&amp;Terms!$A$3:$A$821&amp;" ",$D371))*Terms!C$3:C$821)+Terms!C$2</f>
        <v>-2.12558315849745</v>
      </c>
      <c r="U371" s="0" t="n">
        <f aca="false">SUMPRODUCT(ISNUMBER(SEARCH(" "&amp;Terms!$A$3:$A$821&amp;" ",$D371))*Terms!D$3:D$821)+Terms!D$2</f>
        <v>0.771017977546082</v>
      </c>
      <c r="V371" s="0" t="n">
        <f aca="false">SUMPRODUCT(ISNUMBER(SEARCH(" "&amp;Terms!$A$3:$A$821&amp;" ",$D371))*Terms!E$3:E$821)+Terms!E$2</f>
        <v>-0.63860665975136</v>
      </c>
      <c r="W371" s="0" t="n">
        <f aca="false">SUMPRODUCT(ISNUMBER(SEARCH(" "&amp;Terms!$A$3:$A$821&amp;" ",$D371))*Terms!F$3:F$821)+Terms!F$2</f>
        <v>-2.04151957241159</v>
      </c>
      <c r="X371" s="0" t="n">
        <f aca="false">SUMPRODUCT(ISNUMBER(SEARCH(" "&amp;Terms!$A$3:$A$821&amp;" ",$D371))*Terms!G$3:G$821)+Terms!G$2</f>
        <v>-2.6510723237559</v>
      </c>
      <c r="Y371" s="0" t="str">
        <f aca="false">INDEX($S$1:$X$1,MATCH(MAX(S371:X371),S371:X371,0))</f>
        <v>Account Access</v>
      </c>
      <c r="Z371" s="0" t="s">
        <v>2607</v>
      </c>
    </row>
    <row r="372" customFormat="false" ht="15" hidden="false" customHeight="false" outlineLevel="0" collapsed="false">
      <c r="A372" s="0" t="str">
        <f aca="false">Complaints!A372</f>
        <v>C0371</v>
      </c>
      <c r="B372" s="0" t="str">
        <f aca="false">Complaints!B372</f>
        <v>The salesperson pushed me into a plan I did not need.</v>
      </c>
      <c r="C372" s="0" t="str">
        <f aca="false">Complaints!C372</f>
        <v>Mis-selling</v>
      </c>
      <c r="D372" s="0" t="str">
        <f aca="false">" "&amp;TRIM(SUBSTITUTE(SUBSTITUTE(SUBSTITUTE(SUBSTITUTE(SUBSTITUTE(SUBSTITUTE(SUBSTITUTE(SUBSTITUTE(SUBSTITUTE(SUBSTITUTE(SUBSTITUTE(SUBSTITUTE(SUBSTITUTE(SUBSTITUTE(SUBSTITUTE(SUBSTITUTE(LOWER(B372),"."," "),","," "),"'"," "),"’"," "),"!"," "),"?"," "),";"," "),":"," "),"-"," "),"("," "),")"," "),"""", " "),"£"," "),"&amp;"," "),"/"," "),"%"," "))&amp;" "</f>
        <v> the salesperson pushed me into a plan i did not need </v>
      </c>
      <c r="E372" s="0" t="n">
        <f aca="false">SUMPRODUCT((Rules!$A$2:$A$60=E$1)*Rules!$C$2:$C$60*ISNUMBER(SEARCH(Rules!$D$2:$D$60,$D372)))</f>
        <v>0</v>
      </c>
      <c r="F372" s="0" t="n">
        <f aca="false">SUMPRODUCT((Rules!$A$2:$A$60=F$1)*Rules!$C$2:$C$60*ISNUMBER(SEARCH(Rules!$D$2:$D$60,$D372)))</f>
        <v>2</v>
      </c>
      <c r="G372" s="0" t="n">
        <f aca="false">SUMPRODUCT((Rules!$A$2:$A$60=G$1)*Rules!$C$2:$C$60*ISNUMBER(SEARCH(Rules!$D$2:$D$60,$D372)))</f>
        <v>0</v>
      </c>
      <c r="H372" s="0" t="n">
        <f aca="false">SUMPRODUCT((Rules!$A$2:$A$60=H$1)*Rules!$C$2:$C$60*ISNUMBER(SEARCH(Rules!$D$2:$D$60,$D372)))</f>
        <v>0</v>
      </c>
      <c r="I372" s="0" t="n">
        <f aca="false">SUMPRODUCT((Rules!$A$2:$A$60=I$1)*Rules!$C$2:$C$60*ISNUMBER(SEARCH(Rules!$D$2:$D$60,$D372)))</f>
        <v>0</v>
      </c>
      <c r="J372" s="0" t="n">
        <f aca="false">SUMPRODUCT((Rules!$A$2:$A$60=J$1)*Rules!$C$2:$C$60*ISNUMBER(SEARCH(Rules!$D$2:$D$60,$D372)))</f>
        <v>0</v>
      </c>
      <c r="K372" s="0" t="str">
        <f aca="false">IF(OR(MAX(E372:J372)&lt;Rules!$H$1,MAX(E372:J372)-LARGE(E372:J372,2)&lt;Rules!$H$2),"No label",INDEX($E$1:$J$1,MATCH(MAX(E372:J372),E372:J372,0)))</f>
        <v>No label</v>
      </c>
      <c r="L372" s="0" t="n">
        <f aca="false">SUMPRODUCT((Rules!$A$2:$A$60=L$1)*Rules!$C$2:$C$60*ISNUMBER(SEARCH(Rules!$E$2:$E$60,$D372)))</f>
        <v>0</v>
      </c>
      <c r="M372" s="0" t="n">
        <f aca="false">SUMPRODUCT((Rules!$A$2:$A$60=M$1)*Rules!$C$2:$C$60*ISNUMBER(SEARCH(Rules!$E$2:$E$60,$D372)))</f>
        <v>2</v>
      </c>
      <c r="N372" s="0" t="n">
        <f aca="false">SUMPRODUCT((Rules!$A$2:$A$60=N$1)*Rules!$C$2:$C$60*ISNUMBER(SEARCH(Rules!$E$2:$E$60,$D372)))</f>
        <v>0</v>
      </c>
      <c r="O372" s="0" t="n">
        <f aca="false">SUMPRODUCT((Rules!$A$2:$A$60=O$1)*Rules!$C$2:$C$60*ISNUMBER(SEARCH(Rules!$E$2:$E$60,$D372)))</f>
        <v>0</v>
      </c>
      <c r="P372" s="0" t="n">
        <f aca="false">SUMPRODUCT((Rules!$A$2:$A$60=P$1)*Rules!$C$2:$C$60*ISNUMBER(SEARCH(Rules!$E$2:$E$60,$D372)))</f>
        <v>0</v>
      </c>
      <c r="Q372" s="0" t="n">
        <f aca="false">SUMPRODUCT((Rules!$A$2:$A$60=Q$1)*Rules!$C$2:$C$60*ISNUMBER(SEARCH(Rules!$E$2:$E$60,$D372)))</f>
        <v>0</v>
      </c>
      <c r="R372" s="0" t="str">
        <f aca="false">IF(OR(MAX(L372:Q372)&lt;Rules!$H$1,MAX(L372:Q372)-LARGE(L372:Q372,2)&lt;Rules!$H$2),"No label",INDEX($L$1:$Q$1,MATCH(MAX(L372:Q372),L372:Q372,0)))</f>
        <v>No label</v>
      </c>
      <c r="S372" s="0" t="n">
        <f aca="false">SUMPRODUCT(ISNUMBER(SEARCH(" "&amp;Terms!$A$3:$A$821&amp;" ",$D372))*Terms!B$3:B$821)+Terms!B$2</f>
        <v>-3.06424904082539</v>
      </c>
      <c r="T372" s="0" t="n">
        <f aca="false">SUMPRODUCT(ISNUMBER(SEARCH(" "&amp;Terms!$A$3:$A$821&amp;" ",$D372))*Terms!C$3:C$821)+Terms!C$2</f>
        <v>0.450204238758021</v>
      </c>
      <c r="U372" s="0" t="n">
        <f aca="false">SUMPRODUCT(ISNUMBER(SEARCH(" "&amp;Terms!$A$3:$A$821&amp;" ",$D372))*Terms!D$3:D$821)+Terms!D$2</f>
        <v>-4.05768230734277</v>
      </c>
      <c r="V372" s="0" t="n">
        <f aca="false">SUMPRODUCT(ISNUMBER(SEARCH(" "&amp;Terms!$A$3:$A$821&amp;" ",$D372))*Terms!E$3:E$821)+Terms!E$2</f>
        <v>-2.28599150380209</v>
      </c>
      <c r="W372" s="0" t="n">
        <f aca="false">SUMPRODUCT(ISNUMBER(SEARCH(" "&amp;Terms!$A$3:$A$821&amp;" ",$D372))*Terms!F$3:F$821)+Terms!F$2</f>
        <v>0.355414035150395</v>
      </c>
      <c r="X372" s="0" t="n">
        <f aca="false">SUMPRODUCT(ISNUMBER(SEARCH(" "&amp;Terms!$A$3:$A$821&amp;" ",$D372))*Terms!G$3:G$821)+Terms!G$2</f>
        <v>8.60230457806194</v>
      </c>
      <c r="Y372" s="0" t="str">
        <f aca="false">INDEX($S$1:$X$1,MATCH(MAX(S372:X372),S372:X372,0))</f>
        <v>Mis-selling</v>
      </c>
      <c r="Z372" s="0" t="s">
        <v>2607</v>
      </c>
    </row>
    <row r="373" customFormat="false" ht="15" hidden="false" customHeight="false" outlineLevel="0" collapsed="false">
      <c r="A373" s="0" t="str">
        <f aca="false">Complaints!A373</f>
        <v>C0372</v>
      </c>
      <c r="B373" s="0" t="str">
        <f aca="false">Complaints!B373</f>
        <v>Frankly, I was charged a monthly fee that nobody told me about.</v>
      </c>
      <c r="C373" s="0" t="str">
        <f aca="false">Complaints!C373</f>
        <v>Fees &amp; Charges</v>
      </c>
      <c r="D373" s="0" t="str">
        <f aca="false">" "&amp;TRIM(SUBSTITUTE(SUBSTITUTE(SUBSTITUTE(SUBSTITUTE(SUBSTITUTE(SUBSTITUTE(SUBSTITUTE(SUBSTITUTE(SUBSTITUTE(SUBSTITUTE(SUBSTITUTE(SUBSTITUTE(SUBSTITUTE(SUBSTITUTE(SUBSTITUTE(SUBSTITUTE(LOWER(B373),"."," "),","," "),"'"," "),"’"," "),"!"," "),"?"," "),";"," "),":"," "),"-"," "),"("," "),")"," "),"""", " "),"£"," "),"&amp;"," "),"/"," "),"%"," "))&amp;" "</f>
        <v> frankly i was charged a monthly fee that nobody told me about </v>
      </c>
      <c r="E373" s="0" t="n">
        <f aca="false">SUMPRODUCT((Rules!$A$2:$A$60=E$1)*Rules!$C$2:$C$60*ISNUMBER(SEARCH(Rules!$D$2:$D$60,$D373)))</f>
        <v>0</v>
      </c>
      <c r="F373" s="0" t="n">
        <f aca="false">SUMPRODUCT((Rules!$A$2:$A$60=F$1)*Rules!$C$2:$C$60*ISNUMBER(SEARCH(Rules!$D$2:$D$60,$D373)))</f>
        <v>0</v>
      </c>
      <c r="G373" s="0" t="n">
        <f aca="false">SUMPRODUCT((Rules!$A$2:$A$60=G$1)*Rules!$C$2:$C$60*ISNUMBER(SEARCH(Rules!$D$2:$D$60,$D373)))</f>
        <v>0</v>
      </c>
      <c r="H373" s="0" t="n">
        <f aca="false">SUMPRODUCT((Rules!$A$2:$A$60=H$1)*Rules!$C$2:$C$60*ISNUMBER(SEARCH(Rules!$D$2:$D$60,$D373)))</f>
        <v>4</v>
      </c>
      <c r="I373" s="0" t="n">
        <f aca="false">SUMPRODUCT((Rules!$A$2:$A$60=I$1)*Rules!$C$2:$C$60*ISNUMBER(SEARCH(Rules!$D$2:$D$60,$D373)))</f>
        <v>0</v>
      </c>
      <c r="J373" s="0" t="n">
        <f aca="false">SUMPRODUCT((Rules!$A$2:$A$60=J$1)*Rules!$C$2:$C$60*ISNUMBER(SEARCH(Rules!$D$2:$D$60,$D373)))</f>
        <v>0</v>
      </c>
      <c r="K373" s="0" t="str">
        <f aca="false">IF(OR(MAX(E373:J373)&lt;Rules!$H$1,MAX(E373:J373)-LARGE(E373:J373,2)&lt;Rules!$H$2),"No label",INDEX($E$1:$J$1,MATCH(MAX(E373:J373),E373:J373,0)))</f>
        <v>Fees &amp; Charges</v>
      </c>
      <c r="L373" s="0" t="n">
        <f aca="false">SUMPRODUCT((Rules!$A$2:$A$60=L$1)*Rules!$C$2:$C$60*ISNUMBER(SEARCH(Rules!$E$2:$E$60,$D373)))</f>
        <v>0</v>
      </c>
      <c r="M373" s="0" t="n">
        <f aca="false">SUMPRODUCT((Rules!$A$2:$A$60=M$1)*Rules!$C$2:$C$60*ISNUMBER(SEARCH(Rules!$E$2:$E$60,$D373)))</f>
        <v>0</v>
      </c>
      <c r="N373" s="0" t="n">
        <f aca="false">SUMPRODUCT((Rules!$A$2:$A$60=N$1)*Rules!$C$2:$C$60*ISNUMBER(SEARCH(Rules!$E$2:$E$60,$D373)))</f>
        <v>0</v>
      </c>
      <c r="O373" s="0" t="n">
        <f aca="false">SUMPRODUCT((Rules!$A$2:$A$60=O$1)*Rules!$C$2:$C$60*ISNUMBER(SEARCH(Rules!$E$2:$E$60,$D373)))</f>
        <v>6</v>
      </c>
      <c r="P373" s="0" t="n">
        <f aca="false">SUMPRODUCT((Rules!$A$2:$A$60=P$1)*Rules!$C$2:$C$60*ISNUMBER(SEARCH(Rules!$E$2:$E$60,$D373)))</f>
        <v>0</v>
      </c>
      <c r="Q373" s="0" t="n">
        <f aca="false">SUMPRODUCT((Rules!$A$2:$A$60=Q$1)*Rules!$C$2:$C$60*ISNUMBER(SEARCH(Rules!$E$2:$E$60,$D373)))</f>
        <v>0</v>
      </c>
      <c r="R373" s="0" t="str">
        <f aca="false">IF(OR(MAX(L373:Q373)&lt;Rules!$H$1,MAX(L373:Q373)-LARGE(L373:Q373,2)&lt;Rules!$H$2),"No label",INDEX($L$1:$Q$1,MATCH(MAX(L373:Q373),L373:Q373,0)))</f>
        <v>Fees &amp; Charges</v>
      </c>
      <c r="S373" s="0" t="n">
        <f aca="false">SUMPRODUCT(ISNUMBER(SEARCH(" "&amp;Terms!$A$3:$A$821&amp;" ",$D373))*Terms!B$3:B$821)+Terms!B$2</f>
        <v>-2.33192228766933</v>
      </c>
      <c r="T373" s="0" t="n">
        <f aca="false">SUMPRODUCT(ISNUMBER(SEARCH(" "&amp;Terms!$A$3:$A$821&amp;" ",$D373))*Terms!C$3:C$821)+Terms!C$2</f>
        <v>-4.47395175649447</v>
      </c>
      <c r="U373" s="0" t="n">
        <f aca="false">SUMPRODUCT(ISNUMBER(SEARCH(" "&amp;Terms!$A$3:$A$821&amp;" ",$D373))*Terms!D$3:D$821)+Terms!D$2</f>
        <v>-2.41076784724781</v>
      </c>
      <c r="V373" s="0" t="n">
        <f aca="false">SUMPRODUCT(ISNUMBER(SEARCH(" "&amp;Terms!$A$3:$A$821&amp;" ",$D373))*Terms!E$3:E$821)+Terms!E$2</f>
        <v>11.634340245253</v>
      </c>
      <c r="W373" s="0" t="n">
        <f aca="false">SUMPRODUCT(ISNUMBER(SEARCH(" "&amp;Terms!$A$3:$A$821&amp;" ",$D373))*Terms!F$3:F$821)+Terms!F$2</f>
        <v>-2.16367894204814</v>
      </c>
      <c r="X373" s="0" t="n">
        <f aca="false">SUMPRODUCT(ISNUMBER(SEARCH(" "&amp;Terms!$A$3:$A$821&amp;" ",$D373))*Terms!G$3:G$821)+Terms!G$2</f>
        <v>-0.254019411793115</v>
      </c>
      <c r="Y373" s="0" t="str">
        <f aca="false">INDEX($S$1:$X$1,MATCH(MAX(S373:X373),S373:X373,0))</f>
        <v>Fees &amp; Charges</v>
      </c>
      <c r="Z373" s="0" t="s">
        <v>2607</v>
      </c>
    </row>
    <row r="374" customFormat="false" ht="15" hidden="false" customHeight="false" outlineLevel="0" collapsed="false">
      <c r="A374" s="0" t="str">
        <f aca="false">Complaints!A374</f>
        <v>C0373</v>
      </c>
      <c r="B374" s="0" t="str">
        <f aca="false">Complaints!B374</f>
        <v>Frankly, I was hit with a penalty charge for a payment I made on time. Also, nobody checked whether I could afford the credit agreement. I want this put right.</v>
      </c>
      <c r="C374" s="0" t="str">
        <f aca="false">Complaints!C374</f>
        <v>Fees &amp; Charges</v>
      </c>
      <c r="D374" s="0" t="str">
        <f aca="false">" "&amp;TRIM(SUBSTITUTE(SUBSTITUTE(SUBSTITUTE(SUBSTITUTE(SUBSTITUTE(SUBSTITUTE(SUBSTITUTE(SUBSTITUTE(SUBSTITUTE(SUBSTITUTE(SUBSTITUTE(SUBSTITUTE(SUBSTITUTE(SUBSTITUTE(SUBSTITUTE(SUBSTITUTE(LOWER(B374),"."," "),","," "),"'"," "),"’"," "),"!"," "),"?"," "),";"," "),":"," "),"-"," "),"("," "),")"," "),"""", " "),"£"," "),"&amp;"," "),"/"," "),"%"," "))&amp;" "</f>
        <v> frankly i was hit with a penalty charge for a payment i made on time also nobody checked whether i could afford the credit agreement i want this put right </v>
      </c>
      <c r="E374" s="0" t="n">
        <f aca="false">SUMPRODUCT((Rules!$A$2:$A$60=E$1)*Rules!$C$2:$C$60*ISNUMBER(SEARCH(Rules!$D$2:$D$60,$D374)))</f>
        <v>0</v>
      </c>
      <c r="F374" s="0" t="n">
        <f aca="false">SUMPRODUCT((Rules!$A$2:$A$60=F$1)*Rules!$C$2:$C$60*ISNUMBER(SEARCH(Rules!$D$2:$D$60,$D374)))</f>
        <v>0</v>
      </c>
      <c r="G374" s="0" t="n">
        <f aca="false">SUMPRODUCT((Rules!$A$2:$A$60=G$1)*Rules!$C$2:$C$60*ISNUMBER(SEARCH(Rules!$D$2:$D$60,$D374)))</f>
        <v>0</v>
      </c>
      <c r="H374" s="0" t="n">
        <f aca="false">SUMPRODUCT((Rules!$A$2:$A$60=H$1)*Rules!$C$2:$C$60*ISNUMBER(SEARCH(Rules!$D$2:$D$60,$D374)))</f>
        <v>4</v>
      </c>
      <c r="I374" s="0" t="n">
        <f aca="false">SUMPRODUCT((Rules!$A$2:$A$60=I$1)*Rules!$C$2:$C$60*ISNUMBER(SEARCH(Rules!$D$2:$D$60,$D374)))</f>
        <v>0</v>
      </c>
      <c r="J374" s="0" t="n">
        <f aca="false">SUMPRODUCT((Rules!$A$2:$A$60=J$1)*Rules!$C$2:$C$60*ISNUMBER(SEARCH(Rules!$D$2:$D$60,$D374)))</f>
        <v>0</v>
      </c>
      <c r="K374" s="0" t="str">
        <f aca="false">IF(OR(MAX(E374:J374)&lt;Rules!$H$1,MAX(E374:J374)-LARGE(E374:J374,2)&lt;Rules!$H$2),"No label",INDEX($E$1:$J$1,MATCH(MAX(E374:J374),E374:J374,0)))</f>
        <v>Fees &amp; Charges</v>
      </c>
      <c r="L374" s="0" t="n">
        <f aca="false">SUMPRODUCT((Rules!$A$2:$A$60=L$1)*Rules!$C$2:$C$60*ISNUMBER(SEARCH(Rules!$E$2:$E$60,$D374)))</f>
        <v>0</v>
      </c>
      <c r="M374" s="0" t="n">
        <f aca="false">SUMPRODUCT((Rules!$A$2:$A$60=M$1)*Rules!$C$2:$C$60*ISNUMBER(SEARCH(Rules!$E$2:$E$60,$D374)))</f>
        <v>0</v>
      </c>
      <c r="N374" s="0" t="n">
        <f aca="false">SUMPRODUCT((Rules!$A$2:$A$60=N$1)*Rules!$C$2:$C$60*ISNUMBER(SEARCH(Rules!$E$2:$E$60,$D374)))</f>
        <v>0</v>
      </c>
      <c r="O374" s="0" t="n">
        <f aca="false">SUMPRODUCT((Rules!$A$2:$A$60=O$1)*Rules!$C$2:$C$60*ISNUMBER(SEARCH(Rules!$E$2:$E$60,$D374)))</f>
        <v>6</v>
      </c>
      <c r="P374" s="0" t="n">
        <f aca="false">SUMPRODUCT((Rules!$A$2:$A$60=P$1)*Rules!$C$2:$C$60*ISNUMBER(SEARCH(Rules!$E$2:$E$60,$D374)))</f>
        <v>0</v>
      </c>
      <c r="Q374" s="0" t="n">
        <f aca="false">SUMPRODUCT((Rules!$A$2:$A$60=Q$1)*Rules!$C$2:$C$60*ISNUMBER(SEARCH(Rules!$E$2:$E$60,$D374)))</f>
        <v>0</v>
      </c>
      <c r="R374" s="0" t="str">
        <f aca="false">IF(OR(MAX(L374:Q374)&lt;Rules!$H$1,MAX(L374:Q374)-LARGE(L374:Q374,2)&lt;Rules!$H$2),"No label",INDEX($L$1:$Q$1,MATCH(MAX(L374:Q374),L374:Q374,0)))</f>
        <v>Fees &amp; Charges</v>
      </c>
      <c r="S374" s="0" t="n">
        <f aca="false">SUMPRODUCT(ISNUMBER(SEARCH(" "&amp;Terms!$A$3:$A$821&amp;" ",$D374))*Terms!B$3:B$821)+Terms!B$2</f>
        <v>-7.69851554686726</v>
      </c>
      <c r="T374" s="0" t="n">
        <f aca="false">SUMPRODUCT(ISNUMBER(SEARCH(" "&amp;Terms!$A$3:$A$821&amp;" ",$D374))*Terms!C$3:C$821)+Terms!C$2</f>
        <v>-4.60042514304334</v>
      </c>
      <c r="U374" s="0" t="n">
        <f aca="false">SUMPRODUCT(ISNUMBER(SEARCH(" "&amp;Terms!$A$3:$A$821&amp;" ",$D374))*Terms!D$3:D$821)+Terms!D$2</f>
        <v>-3.71896555742789</v>
      </c>
      <c r="V374" s="0" t="n">
        <f aca="false">SUMPRODUCT(ISNUMBER(SEARCH(" "&amp;Terms!$A$3:$A$821&amp;" ",$D374))*Terms!E$3:E$821)+Terms!E$2</f>
        <v>11.6048938705509</v>
      </c>
      <c r="W374" s="0" t="n">
        <f aca="false">SUMPRODUCT(ISNUMBER(SEARCH(" "&amp;Terms!$A$3:$A$821&amp;" ",$D374))*Terms!F$3:F$821)+Terms!F$2</f>
        <v>-2.15070443515221</v>
      </c>
      <c r="X374" s="0" t="n">
        <f aca="false">SUMPRODUCT(ISNUMBER(SEARCH(" "&amp;Terms!$A$3:$A$821&amp;" ",$D374))*Terms!G$3:G$821)+Terms!G$2</f>
        <v>6.56371681193988</v>
      </c>
      <c r="Y374" s="0" t="str">
        <f aca="false">INDEX($S$1:$X$1,MATCH(MAX(S374:X374),S374:X374,0))</f>
        <v>Fees &amp; Charges</v>
      </c>
      <c r="Z374" s="0" t="s">
        <v>2607</v>
      </c>
    </row>
    <row r="375" customFormat="false" ht="15" hidden="false" customHeight="false" outlineLevel="0" collapsed="false">
      <c r="A375" s="0" t="str">
        <f aca="false">Complaints!A375</f>
        <v>C0374</v>
      </c>
      <c r="B375" s="0" t="str">
        <f aca="false">Complaints!B375</f>
        <v>I asked for a callback and it never happened. It has also been taking far too long.</v>
      </c>
      <c r="C375" s="0" t="str">
        <f aca="false">Complaints!C375</f>
        <v>Customer Service</v>
      </c>
      <c r="D375" s="0" t="str">
        <f aca="false">" "&amp;TRIM(SUBSTITUTE(SUBSTITUTE(SUBSTITUTE(SUBSTITUTE(SUBSTITUTE(SUBSTITUTE(SUBSTITUTE(SUBSTITUTE(SUBSTITUTE(SUBSTITUTE(SUBSTITUTE(SUBSTITUTE(SUBSTITUTE(SUBSTITUTE(SUBSTITUTE(SUBSTITUTE(LOWER(B375),"."," "),","," "),"'"," "),"’"," "),"!"," "),"?"," "),";"," "),":"," "),"-"," "),"("," "),")"," "),"""", " "),"£"," "),"&amp;"," "),"/"," "),"%"," "))&amp;" "</f>
        <v> i asked for a callback and it never happened it has also been taking far too long </v>
      </c>
      <c r="E375" s="0" t="n">
        <f aca="false">SUMPRODUCT((Rules!$A$2:$A$60=E$1)*Rules!$C$2:$C$60*ISNUMBER(SEARCH(Rules!$D$2:$D$60,$D375)))</f>
        <v>0</v>
      </c>
      <c r="F375" s="0" t="n">
        <f aca="false">SUMPRODUCT((Rules!$A$2:$A$60=F$1)*Rules!$C$2:$C$60*ISNUMBER(SEARCH(Rules!$D$2:$D$60,$D375)))</f>
        <v>0</v>
      </c>
      <c r="G375" s="0" t="n">
        <f aca="false">SUMPRODUCT((Rules!$A$2:$A$60=G$1)*Rules!$C$2:$C$60*ISNUMBER(SEARCH(Rules!$D$2:$D$60,$D375)))</f>
        <v>0</v>
      </c>
      <c r="H375" s="0" t="n">
        <f aca="false">SUMPRODUCT((Rules!$A$2:$A$60=H$1)*Rules!$C$2:$C$60*ISNUMBER(SEARCH(Rules!$D$2:$D$60,$D375)))</f>
        <v>0</v>
      </c>
      <c r="I375" s="0" t="n">
        <f aca="false">SUMPRODUCT((Rules!$A$2:$A$60=I$1)*Rules!$C$2:$C$60*ISNUMBER(SEARCH(Rules!$D$2:$D$60,$D375)))</f>
        <v>0</v>
      </c>
      <c r="J375" s="0" t="n">
        <f aca="false">SUMPRODUCT((Rules!$A$2:$A$60=J$1)*Rules!$C$2:$C$60*ISNUMBER(SEARCH(Rules!$D$2:$D$60,$D375)))</f>
        <v>2</v>
      </c>
      <c r="K375" s="0" t="str">
        <f aca="false">IF(OR(MAX(E375:J375)&lt;Rules!$H$1,MAX(E375:J375)-LARGE(E375:J375,2)&lt;Rules!$H$2),"No label",INDEX($E$1:$J$1,MATCH(MAX(E375:J375),E375:J375,0)))</f>
        <v>No label</v>
      </c>
      <c r="L375" s="0" t="n">
        <f aca="false">SUMPRODUCT((Rules!$A$2:$A$60=L$1)*Rules!$C$2:$C$60*ISNUMBER(SEARCH(Rules!$E$2:$E$60,$D375)))</f>
        <v>0</v>
      </c>
      <c r="M375" s="0" t="n">
        <f aca="false">SUMPRODUCT((Rules!$A$2:$A$60=M$1)*Rules!$C$2:$C$60*ISNUMBER(SEARCH(Rules!$E$2:$E$60,$D375)))</f>
        <v>0</v>
      </c>
      <c r="N375" s="0" t="n">
        <f aca="false">SUMPRODUCT((Rules!$A$2:$A$60=N$1)*Rules!$C$2:$C$60*ISNUMBER(SEARCH(Rules!$E$2:$E$60,$D375)))</f>
        <v>0</v>
      </c>
      <c r="O375" s="0" t="n">
        <f aca="false">SUMPRODUCT((Rules!$A$2:$A$60=O$1)*Rules!$C$2:$C$60*ISNUMBER(SEARCH(Rules!$E$2:$E$60,$D375)))</f>
        <v>0</v>
      </c>
      <c r="P375" s="0" t="n">
        <f aca="false">SUMPRODUCT((Rules!$A$2:$A$60=P$1)*Rules!$C$2:$C$60*ISNUMBER(SEARCH(Rules!$E$2:$E$60,$D375)))</f>
        <v>0</v>
      </c>
      <c r="Q375" s="0" t="n">
        <f aca="false">SUMPRODUCT((Rules!$A$2:$A$60=Q$1)*Rules!$C$2:$C$60*ISNUMBER(SEARCH(Rules!$E$2:$E$60,$D375)))</f>
        <v>2</v>
      </c>
      <c r="R375" s="0" t="str">
        <f aca="false">IF(OR(MAX(L375:Q375)&lt;Rules!$H$1,MAX(L375:Q375)-LARGE(L375:Q375,2)&lt;Rules!$H$2),"No label",INDEX($L$1:$Q$1,MATCH(MAX(L375:Q375),L375:Q375,0)))</f>
        <v>No label</v>
      </c>
      <c r="S375" s="0" t="n">
        <f aca="false">SUMPRODUCT(ISNUMBER(SEARCH(" "&amp;Terms!$A$3:$A$821&amp;" ",$D375))*Terms!B$3:B$821)+Terms!B$2</f>
        <v>-2.10527399564589</v>
      </c>
      <c r="T375" s="0" t="n">
        <f aca="false">SUMPRODUCT(ISNUMBER(SEARCH(" "&amp;Terms!$A$3:$A$821&amp;" ",$D375))*Terms!C$3:C$821)+Terms!C$2</f>
        <v>5.41393211464721</v>
      </c>
      <c r="U375" s="0" t="n">
        <f aca="false">SUMPRODUCT(ISNUMBER(SEARCH(" "&amp;Terms!$A$3:$A$821&amp;" ",$D375))*Terms!D$3:D$821)+Terms!D$2</f>
        <v>-1.78432209057627</v>
      </c>
      <c r="V375" s="0" t="n">
        <f aca="false">SUMPRODUCT(ISNUMBER(SEARCH(" "&amp;Terms!$A$3:$A$821&amp;" ",$D375))*Terms!E$3:E$821)+Terms!E$2</f>
        <v>0.0734413037677396</v>
      </c>
      <c r="W375" s="0" t="n">
        <f aca="false">SUMPRODUCT(ISNUMBER(SEARCH(" "&amp;Terms!$A$3:$A$821&amp;" ",$D375))*Terms!F$3:F$821)+Terms!F$2</f>
        <v>-0.855761929743738</v>
      </c>
      <c r="X375" s="0" t="n">
        <f aca="false">SUMPRODUCT(ISNUMBER(SEARCH(" "&amp;Terms!$A$3:$A$821&amp;" ",$D375))*Terms!G$3:G$821)+Terms!G$2</f>
        <v>-0.742015402448954</v>
      </c>
      <c r="Y375" s="0" t="str">
        <f aca="false">INDEX($S$1:$X$1,MATCH(MAX(S375:X375),S375:X375,0))</f>
        <v>Customer Service</v>
      </c>
      <c r="Z375" s="0" t="s">
        <v>2607</v>
      </c>
    </row>
    <row r="376" customFormat="false" ht="15" hidden="false" customHeight="false" outlineLevel="0" collapsed="false">
      <c r="A376" s="0" t="str">
        <f aca="false">Complaints!A376</f>
        <v>C0375</v>
      </c>
      <c r="B376" s="0" t="str">
        <f aca="false">Complaints!B376</f>
        <v>This has caused me a lot of stress and I want answers.</v>
      </c>
      <c r="C376" s="0" t="str">
        <f aca="false">Complaints!C376</f>
        <v>Delays &amp; Processing</v>
      </c>
      <c r="D376" s="0" t="str">
        <f aca="false">" "&amp;TRIM(SUBSTITUTE(SUBSTITUTE(SUBSTITUTE(SUBSTITUTE(SUBSTITUTE(SUBSTITUTE(SUBSTITUTE(SUBSTITUTE(SUBSTITUTE(SUBSTITUTE(SUBSTITUTE(SUBSTITUTE(SUBSTITUTE(SUBSTITUTE(SUBSTITUTE(SUBSTITUTE(LOWER(B376),"."," "),","," "),"'"," "),"’"," "),"!"," "),"?"," "),";"," "),":"," "),"-"," "),"("," "),")"," "),"""", " "),"£"," "),"&amp;"," "),"/"," "),"%"," "))&amp;" "</f>
        <v> this has caused me a lot of stress and i want answers </v>
      </c>
      <c r="E376" s="0" t="n">
        <f aca="false">SUMPRODUCT((Rules!$A$2:$A$60=E$1)*Rules!$C$2:$C$60*ISNUMBER(SEARCH(Rules!$D$2:$D$60,$D376)))</f>
        <v>0</v>
      </c>
      <c r="F376" s="0" t="n">
        <f aca="false">SUMPRODUCT((Rules!$A$2:$A$60=F$1)*Rules!$C$2:$C$60*ISNUMBER(SEARCH(Rules!$D$2:$D$60,$D376)))</f>
        <v>0</v>
      </c>
      <c r="G376" s="0" t="n">
        <f aca="false">SUMPRODUCT((Rules!$A$2:$A$60=G$1)*Rules!$C$2:$C$60*ISNUMBER(SEARCH(Rules!$D$2:$D$60,$D376)))</f>
        <v>0</v>
      </c>
      <c r="H376" s="0" t="n">
        <f aca="false">SUMPRODUCT((Rules!$A$2:$A$60=H$1)*Rules!$C$2:$C$60*ISNUMBER(SEARCH(Rules!$D$2:$D$60,$D376)))</f>
        <v>0</v>
      </c>
      <c r="I376" s="0" t="n">
        <f aca="false">SUMPRODUCT((Rules!$A$2:$A$60=I$1)*Rules!$C$2:$C$60*ISNUMBER(SEARCH(Rules!$D$2:$D$60,$D376)))</f>
        <v>0</v>
      </c>
      <c r="J376" s="0" t="n">
        <f aca="false">SUMPRODUCT((Rules!$A$2:$A$60=J$1)*Rules!$C$2:$C$60*ISNUMBER(SEARCH(Rules!$D$2:$D$60,$D376)))</f>
        <v>0</v>
      </c>
      <c r="K376" s="0" t="str">
        <f aca="false">IF(OR(MAX(E376:J376)&lt;Rules!$H$1,MAX(E376:J376)-LARGE(E376:J376,2)&lt;Rules!$H$2),"No label",INDEX($E$1:$J$1,MATCH(MAX(E376:J376),E376:J376,0)))</f>
        <v>No label</v>
      </c>
      <c r="L376" s="0" t="n">
        <f aca="false">SUMPRODUCT((Rules!$A$2:$A$60=L$1)*Rules!$C$2:$C$60*ISNUMBER(SEARCH(Rules!$E$2:$E$60,$D376)))</f>
        <v>0</v>
      </c>
      <c r="M376" s="0" t="n">
        <f aca="false">SUMPRODUCT((Rules!$A$2:$A$60=M$1)*Rules!$C$2:$C$60*ISNUMBER(SEARCH(Rules!$E$2:$E$60,$D376)))</f>
        <v>0</v>
      </c>
      <c r="N376" s="0" t="n">
        <f aca="false">SUMPRODUCT((Rules!$A$2:$A$60=N$1)*Rules!$C$2:$C$60*ISNUMBER(SEARCH(Rules!$E$2:$E$60,$D376)))</f>
        <v>0</v>
      </c>
      <c r="O376" s="0" t="n">
        <f aca="false">SUMPRODUCT((Rules!$A$2:$A$60=O$1)*Rules!$C$2:$C$60*ISNUMBER(SEARCH(Rules!$E$2:$E$60,$D376)))</f>
        <v>0</v>
      </c>
      <c r="P376" s="0" t="n">
        <f aca="false">SUMPRODUCT((Rules!$A$2:$A$60=P$1)*Rules!$C$2:$C$60*ISNUMBER(SEARCH(Rules!$E$2:$E$60,$D376)))</f>
        <v>0</v>
      </c>
      <c r="Q376" s="0" t="n">
        <f aca="false">SUMPRODUCT((Rules!$A$2:$A$60=Q$1)*Rules!$C$2:$C$60*ISNUMBER(SEARCH(Rules!$E$2:$E$60,$D376)))</f>
        <v>0</v>
      </c>
      <c r="R376" s="0" t="str">
        <f aca="false">IF(OR(MAX(L376:Q376)&lt;Rules!$H$1,MAX(L376:Q376)-LARGE(L376:Q376,2)&lt;Rules!$H$2),"No label",INDEX($L$1:$Q$1,MATCH(MAX(L376:Q376),L376:Q376,0)))</f>
        <v>No label</v>
      </c>
      <c r="S376" s="0" t="n">
        <f aca="false">SUMPRODUCT(ISNUMBER(SEARCH(" "&amp;Terms!$A$3:$A$821&amp;" ",$D376))*Terms!B$3:B$821)+Terms!B$2</f>
        <v>1.49044053186365</v>
      </c>
      <c r="T376" s="0" t="n">
        <f aca="false">SUMPRODUCT(ISNUMBER(SEARCH(" "&amp;Terms!$A$3:$A$821&amp;" ",$D376))*Terms!C$3:C$821)+Terms!C$2</f>
        <v>1.9499353679781</v>
      </c>
      <c r="U376" s="0" t="n">
        <f aca="false">SUMPRODUCT(ISNUMBER(SEARCH(" "&amp;Terms!$A$3:$A$821&amp;" ",$D376))*Terms!D$3:D$821)+Terms!D$2</f>
        <v>1.44798969661668</v>
      </c>
      <c r="V376" s="0" t="n">
        <f aca="false">SUMPRODUCT(ISNUMBER(SEARCH(" "&amp;Terms!$A$3:$A$821&amp;" ",$D376))*Terms!E$3:E$821)+Terms!E$2</f>
        <v>-1.44550845442653</v>
      </c>
      <c r="W376" s="0" t="n">
        <f aca="false">SUMPRODUCT(ISNUMBER(SEARCH(" "&amp;Terms!$A$3:$A$821&amp;" ",$D376))*Terms!F$3:F$821)+Terms!F$2</f>
        <v>-1.11380748059385</v>
      </c>
      <c r="X376" s="0" t="n">
        <f aca="false">SUMPRODUCT(ISNUMBER(SEARCH(" "&amp;Terms!$A$3:$A$821&amp;" ",$D376))*Terms!G$3:G$821)+Terms!G$2</f>
        <v>-2.32904966143794</v>
      </c>
      <c r="Y376" s="0" t="str">
        <f aca="false">INDEX($S$1:$X$1,MATCH(MAX(S376:X376),S376:X376,0))</f>
        <v>Customer Service</v>
      </c>
      <c r="Z376" s="0" t="s">
        <v>2607</v>
      </c>
    </row>
    <row r="377" customFormat="false" ht="15" hidden="false" customHeight="false" outlineLevel="0" collapsed="false">
      <c r="A377" s="0" t="str">
        <f aca="false">Complaints!A377</f>
        <v>C0376</v>
      </c>
      <c r="B377" s="0" t="str">
        <f aca="false">Complaints!B377</f>
        <v>To whom it may concern, A late payment fee appeared and I want it refunded. Also, i sent the form twice and it seems to have been lost in the system.</v>
      </c>
      <c r="C377" s="0" t="str">
        <f aca="false">Complaints!C377</f>
        <v>Fees &amp; Charges</v>
      </c>
      <c r="D377" s="0" t="str">
        <f aca="false">" "&amp;TRIM(SUBSTITUTE(SUBSTITUTE(SUBSTITUTE(SUBSTITUTE(SUBSTITUTE(SUBSTITUTE(SUBSTITUTE(SUBSTITUTE(SUBSTITUTE(SUBSTITUTE(SUBSTITUTE(SUBSTITUTE(SUBSTITUTE(SUBSTITUTE(SUBSTITUTE(SUBSTITUTE(LOWER(B377),"."," "),","," "),"'"," "),"’"," "),"!"," "),"?"," "),";"," "),":"," "),"-"," "),"("," "),")"," "),"""", " "),"£"," "),"&amp;"," "),"/"," "),"%"," "))&amp;" "</f>
        <v> to whom it may concern a late payment fee appeared and i want it refunded also i sent the form twice and it seems to have been lost in the system </v>
      </c>
      <c r="E377" s="0" t="n">
        <f aca="false">SUMPRODUCT((Rules!$A$2:$A$60=E$1)*Rules!$C$2:$C$60*ISNUMBER(SEARCH(Rules!$D$2:$D$60,$D377)))</f>
        <v>0</v>
      </c>
      <c r="F377" s="0" t="n">
        <f aca="false">SUMPRODUCT((Rules!$A$2:$A$60=F$1)*Rules!$C$2:$C$60*ISNUMBER(SEARCH(Rules!$D$2:$D$60,$D377)))</f>
        <v>0</v>
      </c>
      <c r="G377" s="0" t="n">
        <f aca="false">SUMPRODUCT((Rules!$A$2:$A$60=G$1)*Rules!$C$2:$C$60*ISNUMBER(SEARCH(Rules!$D$2:$D$60,$D377)))</f>
        <v>0</v>
      </c>
      <c r="H377" s="0" t="n">
        <f aca="false">SUMPRODUCT((Rules!$A$2:$A$60=H$1)*Rules!$C$2:$C$60*ISNUMBER(SEARCH(Rules!$D$2:$D$60,$D377)))</f>
        <v>2</v>
      </c>
      <c r="I377" s="0" t="n">
        <f aca="false">SUMPRODUCT((Rules!$A$2:$A$60=I$1)*Rules!$C$2:$C$60*ISNUMBER(SEARCH(Rules!$D$2:$D$60,$D377)))</f>
        <v>0</v>
      </c>
      <c r="J377" s="0" t="n">
        <f aca="false">SUMPRODUCT((Rules!$A$2:$A$60=J$1)*Rules!$C$2:$C$60*ISNUMBER(SEARCH(Rules!$D$2:$D$60,$D377)))</f>
        <v>0</v>
      </c>
      <c r="K377" s="0" t="str">
        <f aca="false">IF(OR(MAX(E377:J377)&lt;Rules!$H$1,MAX(E377:J377)-LARGE(E377:J377,2)&lt;Rules!$H$2),"No label",INDEX($E$1:$J$1,MATCH(MAX(E377:J377),E377:J377,0)))</f>
        <v>No label</v>
      </c>
      <c r="L377" s="0" t="n">
        <f aca="false">SUMPRODUCT((Rules!$A$2:$A$60=L$1)*Rules!$C$2:$C$60*ISNUMBER(SEARCH(Rules!$E$2:$E$60,$D377)))</f>
        <v>0</v>
      </c>
      <c r="M377" s="0" t="n">
        <f aca="false">SUMPRODUCT((Rules!$A$2:$A$60=M$1)*Rules!$C$2:$C$60*ISNUMBER(SEARCH(Rules!$E$2:$E$60,$D377)))</f>
        <v>0</v>
      </c>
      <c r="N377" s="0" t="n">
        <f aca="false">SUMPRODUCT((Rules!$A$2:$A$60=N$1)*Rules!$C$2:$C$60*ISNUMBER(SEARCH(Rules!$E$2:$E$60,$D377)))</f>
        <v>0</v>
      </c>
      <c r="O377" s="0" t="n">
        <f aca="false">SUMPRODUCT((Rules!$A$2:$A$60=O$1)*Rules!$C$2:$C$60*ISNUMBER(SEARCH(Rules!$E$2:$E$60,$D377)))</f>
        <v>2</v>
      </c>
      <c r="P377" s="0" t="n">
        <f aca="false">SUMPRODUCT((Rules!$A$2:$A$60=P$1)*Rules!$C$2:$C$60*ISNUMBER(SEARCH(Rules!$E$2:$E$60,$D377)))</f>
        <v>0</v>
      </c>
      <c r="Q377" s="0" t="n">
        <f aca="false">SUMPRODUCT((Rules!$A$2:$A$60=Q$1)*Rules!$C$2:$C$60*ISNUMBER(SEARCH(Rules!$E$2:$E$60,$D377)))</f>
        <v>0</v>
      </c>
      <c r="R377" s="0" t="str">
        <f aca="false">IF(OR(MAX(L377:Q377)&lt;Rules!$H$1,MAX(L377:Q377)-LARGE(L377:Q377,2)&lt;Rules!$H$2),"No label",INDEX($L$1:$Q$1,MATCH(MAX(L377:Q377),L377:Q377,0)))</f>
        <v>No label</v>
      </c>
      <c r="S377" s="0" t="n">
        <f aca="false">SUMPRODUCT(ISNUMBER(SEARCH(" "&amp;Terms!$A$3:$A$821&amp;" ",$D377))*Terms!B$3:B$821)+Terms!B$2</f>
        <v>-7.08129516895431</v>
      </c>
      <c r="T377" s="0" t="n">
        <f aca="false">SUMPRODUCT(ISNUMBER(SEARCH(" "&amp;Terms!$A$3:$A$821&amp;" ",$D377))*Terms!C$3:C$821)+Terms!C$2</f>
        <v>-7.15961629519111</v>
      </c>
      <c r="U377" s="0" t="n">
        <f aca="false">SUMPRODUCT(ISNUMBER(SEARCH(" "&amp;Terms!$A$3:$A$821&amp;" ",$D377))*Terms!D$3:D$821)+Terms!D$2</f>
        <v>8.6920141843337</v>
      </c>
      <c r="V377" s="0" t="n">
        <f aca="false">SUMPRODUCT(ISNUMBER(SEARCH(" "&amp;Terms!$A$3:$A$821&amp;" ",$D377))*Terms!E$3:E$821)+Terms!E$2</f>
        <v>16.0677758618696</v>
      </c>
      <c r="W377" s="0" t="n">
        <f aca="false">SUMPRODUCT(ISNUMBER(SEARCH(" "&amp;Terms!$A$3:$A$821&amp;" ",$D377))*Terms!F$3:F$821)+Terms!F$2</f>
        <v>-2.93722815767504</v>
      </c>
      <c r="X377" s="0" t="n">
        <f aca="false">SUMPRODUCT(ISNUMBER(SEARCH(" "&amp;Terms!$A$3:$A$821&amp;" ",$D377))*Terms!G$3:G$821)+Terms!G$2</f>
        <v>-7.58165042438279</v>
      </c>
      <c r="Y377" s="0" t="str">
        <f aca="false">INDEX($S$1:$X$1,MATCH(MAX(S377:X377),S377:X377,0))</f>
        <v>Fees &amp; Charges</v>
      </c>
      <c r="Z377" s="0" t="s">
        <v>2607</v>
      </c>
    </row>
    <row r="378" customFormat="false" ht="15" hidden="false" customHeight="false" outlineLevel="0" collapsed="false">
      <c r="A378" s="0" t="str">
        <f aca="false">Complaints!A378</f>
        <v>C0377</v>
      </c>
      <c r="B378" s="0" t="str">
        <f aca="false">Complaints!B378</f>
        <v>I was tricked into moving savings to a safe account that was not safe. Also, the adviser did not explin the risks of the investment. Please sort this out.</v>
      </c>
      <c r="C378" s="0" t="str">
        <f aca="false">Complaints!C378</f>
        <v>Fraud &amp; Scams</v>
      </c>
      <c r="D378" s="0" t="str">
        <f aca="false">" "&amp;TRIM(SUBSTITUTE(SUBSTITUTE(SUBSTITUTE(SUBSTITUTE(SUBSTITUTE(SUBSTITUTE(SUBSTITUTE(SUBSTITUTE(SUBSTITUTE(SUBSTITUTE(SUBSTITUTE(SUBSTITUTE(SUBSTITUTE(SUBSTITUTE(SUBSTITUTE(SUBSTITUTE(LOWER(B378),"."," "),","," "),"'"," "),"’"," "),"!"," "),"?"," "),";"," "),":"," "),"-"," "),"("," "),")"," "),"""", " "),"£"," "),"&amp;"," "),"/"," "),"%"," "))&amp;" "</f>
        <v> i was tricked into moving savings to a safe account that was not safe also the adviser did not explin the risks of the investment please sort this out </v>
      </c>
      <c r="E378" s="0" t="n">
        <f aca="false">SUMPRODUCT((Rules!$A$2:$A$60=E$1)*Rules!$C$2:$C$60*ISNUMBER(SEARCH(Rules!$D$2:$D$60,$D378)))</f>
        <v>2</v>
      </c>
      <c r="F378" s="0" t="n">
        <f aca="false">SUMPRODUCT((Rules!$A$2:$A$60=F$1)*Rules!$C$2:$C$60*ISNUMBER(SEARCH(Rules!$D$2:$D$60,$D378)))</f>
        <v>4</v>
      </c>
      <c r="G378" s="0" t="n">
        <f aca="false">SUMPRODUCT((Rules!$A$2:$A$60=G$1)*Rules!$C$2:$C$60*ISNUMBER(SEARCH(Rules!$D$2:$D$60,$D378)))</f>
        <v>0</v>
      </c>
      <c r="H378" s="0" t="n">
        <f aca="false">SUMPRODUCT((Rules!$A$2:$A$60=H$1)*Rules!$C$2:$C$60*ISNUMBER(SEARCH(Rules!$D$2:$D$60,$D378)))</f>
        <v>0</v>
      </c>
      <c r="I378" s="0" t="n">
        <f aca="false">SUMPRODUCT((Rules!$A$2:$A$60=I$1)*Rules!$C$2:$C$60*ISNUMBER(SEARCH(Rules!$D$2:$D$60,$D378)))</f>
        <v>0</v>
      </c>
      <c r="J378" s="0" t="n">
        <f aca="false">SUMPRODUCT((Rules!$A$2:$A$60=J$1)*Rules!$C$2:$C$60*ISNUMBER(SEARCH(Rules!$D$2:$D$60,$D378)))</f>
        <v>0</v>
      </c>
      <c r="K378" s="0" t="str">
        <f aca="false">IF(OR(MAX(E378:J378)&lt;Rules!$H$1,MAX(E378:J378)-LARGE(E378:J378,2)&lt;Rules!$H$2),"No label",INDEX($E$1:$J$1,MATCH(MAX(E378:J378),E378:J378,0)))</f>
        <v>Mis-selling</v>
      </c>
      <c r="L378" s="0" t="n">
        <f aca="false">SUMPRODUCT((Rules!$A$2:$A$60=L$1)*Rules!$C$2:$C$60*ISNUMBER(SEARCH(Rules!$E$2:$E$60,$D378)))</f>
        <v>2</v>
      </c>
      <c r="M378" s="0" t="n">
        <f aca="false">SUMPRODUCT((Rules!$A$2:$A$60=M$1)*Rules!$C$2:$C$60*ISNUMBER(SEARCH(Rules!$E$2:$E$60,$D378)))</f>
        <v>6</v>
      </c>
      <c r="N378" s="0" t="n">
        <f aca="false">SUMPRODUCT((Rules!$A$2:$A$60=N$1)*Rules!$C$2:$C$60*ISNUMBER(SEARCH(Rules!$E$2:$E$60,$D378)))</f>
        <v>0</v>
      </c>
      <c r="O378" s="0" t="n">
        <f aca="false">SUMPRODUCT((Rules!$A$2:$A$60=O$1)*Rules!$C$2:$C$60*ISNUMBER(SEARCH(Rules!$E$2:$E$60,$D378)))</f>
        <v>0</v>
      </c>
      <c r="P378" s="0" t="n">
        <f aca="false">SUMPRODUCT((Rules!$A$2:$A$60=P$1)*Rules!$C$2:$C$60*ISNUMBER(SEARCH(Rules!$E$2:$E$60,$D378)))</f>
        <v>0</v>
      </c>
      <c r="Q378" s="0" t="n">
        <f aca="false">SUMPRODUCT((Rules!$A$2:$A$60=Q$1)*Rules!$C$2:$C$60*ISNUMBER(SEARCH(Rules!$E$2:$E$60,$D378)))</f>
        <v>1</v>
      </c>
      <c r="R378" s="0" t="str">
        <f aca="false">IF(OR(MAX(L378:Q378)&lt;Rules!$H$1,MAX(L378:Q378)-LARGE(L378:Q378,2)&lt;Rules!$H$2),"No label",INDEX($L$1:$Q$1,MATCH(MAX(L378:Q378),L378:Q378,0)))</f>
        <v>Mis-selling</v>
      </c>
      <c r="S378" s="0" t="n">
        <f aca="false">SUMPRODUCT(ISNUMBER(SEARCH(" "&amp;Terms!$A$3:$A$821&amp;" ",$D378))*Terms!B$3:B$821)+Terms!B$2</f>
        <v>-6.29088859106906</v>
      </c>
      <c r="T378" s="0" t="n">
        <f aca="false">SUMPRODUCT(ISNUMBER(SEARCH(" "&amp;Terms!$A$3:$A$821&amp;" ",$D378))*Terms!C$3:C$821)+Terms!C$2</f>
        <v>-5.37784228518523</v>
      </c>
      <c r="U378" s="0" t="n">
        <f aca="false">SUMPRODUCT(ISNUMBER(SEARCH(" "&amp;Terms!$A$3:$A$821&amp;" ",$D378))*Terms!D$3:D$821)+Terms!D$2</f>
        <v>-1.05922985979261</v>
      </c>
      <c r="V378" s="0" t="n">
        <f aca="false">SUMPRODUCT(ISNUMBER(SEARCH(" "&amp;Terms!$A$3:$A$821&amp;" ",$D378))*Terms!E$3:E$821)+Terms!E$2</f>
        <v>0.332103938314567</v>
      </c>
      <c r="W378" s="0" t="n">
        <f aca="false">SUMPRODUCT(ISNUMBER(SEARCH(" "&amp;Terms!$A$3:$A$821&amp;" ",$D378))*Terms!F$3:F$821)+Terms!F$2</f>
        <v>9.57568669499197</v>
      </c>
      <c r="X378" s="0" t="n">
        <f aca="false">SUMPRODUCT(ISNUMBER(SEARCH(" "&amp;Terms!$A$3:$A$821&amp;" ",$D378))*Terms!G$3:G$821)+Terms!G$2</f>
        <v>2.82017010274044</v>
      </c>
      <c r="Y378" s="0" t="str">
        <f aca="false">INDEX($S$1:$X$1,MATCH(MAX(S378:X378),S378:X378,0))</f>
        <v>Fraud &amp; Scams</v>
      </c>
      <c r="Z378" s="0" t="s">
        <v>2607</v>
      </c>
    </row>
    <row r="379" customFormat="false" ht="15" hidden="false" customHeight="false" outlineLevel="0" collapsed="false">
      <c r="A379" s="0" t="str">
        <f aca="false">Complaints!A379</f>
        <v>C0378</v>
      </c>
      <c r="B379" s="0" t="str">
        <f aca="false">Complaints!B379</f>
        <v>I was advised to take out cover that duplicates what I already had. There was also a fee involved.</v>
      </c>
      <c r="C379" s="0" t="str">
        <f aca="false">Complaints!C379</f>
        <v>Mis-selling</v>
      </c>
      <c r="D379" s="0" t="str">
        <f aca="false">" "&amp;TRIM(SUBSTITUTE(SUBSTITUTE(SUBSTITUTE(SUBSTITUTE(SUBSTITUTE(SUBSTITUTE(SUBSTITUTE(SUBSTITUTE(SUBSTITUTE(SUBSTITUTE(SUBSTITUTE(SUBSTITUTE(SUBSTITUTE(SUBSTITUTE(SUBSTITUTE(SUBSTITUTE(LOWER(B379),"."," "),","," "),"'"," "),"’"," "),"!"," "),"?"," "),";"," "),":"," "),"-"," "),"("," "),")"," "),"""", " "),"£"," "),"&amp;"," "),"/"," "),"%"," "))&amp;" "</f>
        <v> i was advised to take out cover that duplicates what i already had there was also a fee involved </v>
      </c>
      <c r="E379" s="0" t="n">
        <f aca="false">SUMPRODUCT((Rules!$A$2:$A$60=E$1)*Rules!$C$2:$C$60*ISNUMBER(SEARCH(Rules!$D$2:$D$60,$D379)))</f>
        <v>0</v>
      </c>
      <c r="F379" s="0" t="n">
        <f aca="false">SUMPRODUCT((Rules!$A$2:$A$60=F$1)*Rules!$C$2:$C$60*ISNUMBER(SEARCH(Rules!$D$2:$D$60,$D379)))</f>
        <v>0</v>
      </c>
      <c r="G379" s="0" t="n">
        <f aca="false">SUMPRODUCT((Rules!$A$2:$A$60=G$1)*Rules!$C$2:$C$60*ISNUMBER(SEARCH(Rules!$D$2:$D$60,$D379)))</f>
        <v>0</v>
      </c>
      <c r="H379" s="0" t="n">
        <f aca="false">SUMPRODUCT((Rules!$A$2:$A$60=H$1)*Rules!$C$2:$C$60*ISNUMBER(SEARCH(Rules!$D$2:$D$60,$D379)))</f>
        <v>2</v>
      </c>
      <c r="I379" s="0" t="n">
        <f aca="false">SUMPRODUCT((Rules!$A$2:$A$60=I$1)*Rules!$C$2:$C$60*ISNUMBER(SEARCH(Rules!$D$2:$D$60,$D379)))</f>
        <v>0</v>
      </c>
      <c r="J379" s="0" t="n">
        <f aca="false">SUMPRODUCT((Rules!$A$2:$A$60=J$1)*Rules!$C$2:$C$60*ISNUMBER(SEARCH(Rules!$D$2:$D$60,$D379)))</f>
        <v>0</v>
      </c>
      <c r="K379" s="0" t="str">
        <f aca="false">IF(OR(MAX(E379:J379)&lt;Rules!$H$1,MAX(E379:J379)-LARGE(E379:J379,2)&lt;Rules!$H$2),"No label",INDEX($E$1:$J$1,MATCH(MAX(E379:J379),E379:J379,0)))</f>
        <v>No label</v>
      </c>
      <c r="L379" s="0" t="n">
        <f aca="false">SUMPRODUCT((Rules!$A$2:$A$60=L$1)*Rules!$C$2:$C$60*ISNUMBER(SEARCH(Rules!$E$2:$E$60,$D379)))</f>
        <v>0</v>
      </c>
      <c r="M379" s="0" t="n">
        <f aca="false">SUMPRODUCT((Rules!$A$2:$A$60=M$1)*Rules!$C$2:$C$60*ISNUMBER(SEARCH(Rules!$E$2:$E$60,$D379)))</f>
        <v>4</v>
      </c>
      <c r="N379" s="0" t="n">
        <f aca="false">SUMPRODUCT((Rules!$A$2:$A$60=N$1)*Rules!$C$2:$C$60*ISNUMBER(SEARCH(Rules!$E$2:$E$60,$D379)))</f>
        <v>0</v>
      </c>
      <c r="O379" s="0" t="n">
        <f aca="false">SUMPRODUCT((Rules!$A$2:$A$60=O$1)*Rules!$C$2:$C$60*ISNUMBER(SEARCH(Rules!$E$2:$E$60,$D379)))</f>
        <v>2</v>
      </c>
      <c r="P379" s="0" t="n">
        <f aca="false">SUMPRODUCT((Rules!$A$2:$A$60=P$1)*Rules!$C$2:$C$60*ISNUMBER(SEARCH(Rules!$E$2:$E$60,$D379)))</f>
        <v>0</v>
      </c>
      <c r="Q379" s="0" t="n">
        <f aca="false">SUMPRODUCT((Rules!$A$2:$A$60=Q$1)*Rules!$C$2:$C$60*ISNUMBER(SEARCH(Rules!$E$2:$E$60,$D379)))</f>
        <v>1</v>
      </c>
      <c r="R379" s="0" t="str">
        <f aca="false">IF(OR(MAX(L379:Q379)&lt;Rules!$H$1,MAX(L379:Q379)-LARGE(L379:Q379,2)&lt;Rules!$H$2),"No label",INDEX($L$1:$Q$1,MATCH(MAX(L379:Q379),L379:Q379,0)))</f>
        <v>Mis-selling</v>
      </c>
      <c r="S379" s="0" t="n">
        <f aca="false">SUMPRODUCT(ISNUMBER(SEARCH(" "&amp;Terms!$A$3:$A$821&amp;" ",$D379))*Terms!B$3:B$821)+Terms!B$2</f>
        <v>-0.334419027552145</v>
      </c>
      <c r="T379" s="0" t="n">
        <f aca="false">SUMPRODUCT(ISNUMBER(SEARCH(" "&amp;Terms!$A$3:$A$821&amp;" ",$D379))*Terms!C$3:C$821)+Terms!C$2</f>
        <v>-2.10800339448893</v>
      </c>
      <c r="U379" s="0" t="n">
        <f aca="false">SUMPRODUCT(ISNUMBER(SEARCH(" "&amp;Terms!$A$3:$A$821&amp;" ",$D379))*Terms!D$3:D$821)+Terms!D$2</f>
        <v>-1.77520500678428</v>
      </c>
      <c r="V379" s="0" t="n">
        <f aca="false">SUMPRODUCT(ISNUMBER(SEARCH(" "&amp;Terms!$A$3:$A$821&amp;" ",$D379))*Terms!E$3:E$821)+Terms!E$2</f>
        <v>0.528587040458775</v>
      </c>
      <c r="W379" s="0" t="n">
        <f aca="false">SUMPRODUCT(ISNUMBER(SEARCH(" "&amp;Terms!$A$3:$A$821&amp;" ",$D379))*Terms!F$3:F$821)+Terms!F$2</f>
        <v>-1.83472321113267</v>
      </c>
      <c r="X379" s="0" t="n">
        <f aca="false">SUMPRODUCT(ISNUMBER(SEARCH(" "&amp;Terms!$A$3:$A$821&amp;" ",$D379))*Terms!G$3:G$821)+Terms!G$2</f>
        <v>5.52376359949934</v>
      </c>
      <c r="Y379" s="0" t="str">
        <f aca="false">INDEX($S$1:$X$1,MATCH(MAX(S379:X379),S379:X379,0))</f>
        <v>Mis-selling</v>
      </c>
      <c r="Z379" s="0" t="s">
        <v>2607</v>
      </c>
    </row>
    <row r="380" customFormat="false" ht="15" hidden="false" customHeight="false" outlineLevel="0" collapsed="false">
      <c r="A380" s="0" t="str">
        <f aca="false">Complaints!A380</f>
        <v>C0379</v>
      </c>
      <c r="B380" s="0" t="str">
        <f aca="false">Complaints!B380</f>
        <v>Frankly, I was told this policy covered me but my claim was rejected. There was also a fee involved. Please escalate this.</v>
      </c>
      <c r="C380" s="0" t="str">
        <f aca="false">Complaints!C380</f>
        <v>Mis-selling</v>
      </c>
      <c r="D380" s="0" t="str">
        <f aca="false">" "&amp;TRIM(SUBSTITUTE(SUBSTITUTE(SUBSTITUTE(SUBSTITUTE(SUBSTITUTE(SUBSTITUTE(SUBSTITUTE(SUBSTITUTE(SUBSTITUTE(SUBSTITUTE(SUBSTITUTE(SUBSTITUTE(SUBSTITUTE(SUBSTITUTE(SUBSTITUTE(SUBSTITUTE(LOWER(B380),"."," "),","," "),"'"," "),"’"," "),"!"," "),"?"," "),";"," "),":"," "),"-"," "),"("," "),")"," "),"""", " "),"£"," "),"&amp;"," "),"/"," "),"%"," "))&amp;" "</f>
        <v> frankly i was told this policy covered me but my claim was rejected there was also a fee involved please escalate this </v>
      </c>
      <c r="E380" s="0" t="n">
        <f aca="false">SUMPRODUCT((Rules!$A$2:$A$60=E$1)*Rules!$C$2:$C$60*ISNUMBER(SEARCH(Rules!$D$2:$D$60,$D380)))</f>
        <v>0</v>
      </c>
      <c r="F380" s="0" t="n">
        <f aca="false">SUMPRODUCT((Rules!$A$2:$A$60=F$1)*Rules!$C$2:$C$60*ISNUMBER(SEARCH(Rules!$D$2:$D$60,$D380)))</f>
        <v>1</v>
      </c>
      <c r="G380" s="0" t="n">
        <f aca="false">SUMPRODUCT((Rules!$A$2:$A$60=G$1)*Rules!$C$2:$C$60*ISNUMBER(SEARCH(Rules!$D$2:$D$60,$D380)))</f>
        <v>0</v>
      </c>
      <c r="H380" s="0" t="n">
        <f aca="false">SUMPRODUCT((Rules!$A$2:$A$60=H$1)*Rules!$C$2:$C$60*ISNUMBER(SEARCH(Rules!$D$2:$D$60,$D380)))</f>
        <v>2</v>
      </c>
      <c r="I380" s="0" t="n">
        <f aca="false">SUMPRODUCT((Rules!$A$2:$A$60=I$1)*Rules!$C$2:$C$60*ISNUMBER(SEARCH(Rules!$D$2:$D$60,$D380)))</f>
        <v>0</v>
      </c>
      <c r="J380" s="0" t="n">
        <f aca="false">SUMPRODUCT((Rules!$A$2:$A$60=J$1)*Rules!$C$2:$C$60*ISNUMBER(SEARCH(Rules!$D$2:$D$60,$D380)))</f>
        <v>0</v>
      </c>
      <c r="K380" s="0" t="str">
        <f aca="false">IF(OR(MAX(E380:J380)&lt;Rules!$H$1,MAX(E380:J380)-LARGE(E380:J380,2)&lt;Rules!$H$2),"No label",INDEX($E$1:$J$1,MATCH(MAX(E380:J380),E380:J380,0)))</f>
        <v>No label</v>
      </c>
      <c r="L380" s="0" t="n">
        <f aca="false">SUMPRODUCT((Rules!$A$2:$A$60=L$1)*Rules!$C$2:$C$60*ISNUMBER(SEARCH(Rules!$E$2:$E$60,$D380)))</f>
        <v>0</v>
      </c>
      <c r="M380" s="0" t="n">
        <f aca="false">SUMPRODUCT((Rules!$A$2:$A$60=M$1)*Rules!$C$2:$C$60*ISNUMBER(SEARCH(Rules!$E$2:$E$60,$D380)))</f>
        <v>1</v>
      </c>
      <c r="N380" s="0" t="n">
        <f aca="false">SUMPRODUCT((Rules!$A$2:$A$60=N$1)*Rules!$C$2:$C$60*ISNUMBER(SEARCH(Rules!$E$2:$E$60,$D380)))</f>
        <v>0</v>
      </c>
      <c r="O380" s="0" t="n">
        <f aca="false">SUMPRODUCT((Rules!$A$2:$A$60=O$1)*Rules!$C$2:$C$60*ISNUMBER(SEARCH(Rules!$E$2:$E$60,$D380)))</f>
        <v>2</v>
      </c>
      <c r="P380" s="0" t="n">
        <f aca="false">SUMPRODUCT((Rules!$A$2:$A$60=P$1)*Rules!$C$2:$C$60*ISNUMBER(SEARCH(Rules!$E$2:$E$60,$D380)))</f>
        <v>0</v>
      </c>
      <c r="Q380" s="0" t="n">
        <f aca="false">SUMPRODUCT((Rules!$A$2:$A$60=Q$1)*Rules!$C$2:$C$60*ISNUMBER(SEARCH(Rules!$E$2:$E$60,$D380)))</f>
        <v>0</v>
      </c>
      <c r="R380" s="0" t="str">
        <f aca="false">IF(OR(MAX(L380:Q380)&lt;Rules!$H$1,MAX(L380:Q380)-LARGE(L380:Q380,2)&lt;Rules!$H$2),"No label",INDEX($L$1:$Q$1,MATCH(MAX(L380:Q380),L380:Q380,0)))</f>
        <v>No label</v>
      </c>
      <c r="S380" s="0" t="n">
        <f aca="false">SUMPRODUCT(ISNUMBER(SEARCH(" "&amp;Terms!$A$3:$A$821&amp;" ",$D380))*Terms!B$3:B$821)+Terms!B$2</f>
        <v>-1.97039546414562</v>
      </c>
      <c r="T380" s="0" t="n">
        <f aca="false">SUMPRODUCT(ISNUMBER(SEARCH(" "&amp;Terms!$A$3:$A$821&amp;" ",$D380))*Terms!C$3:C$821)+Terms!C$2</f>
        <v>-5.55729274219891</v>
      </c>
      <c r="U380" s="0" t="n">
        <f aca="false">SUMPRODUCT(ISNUMBER(SEARCH(" "&amp;Terms!$A$3:$A$821&amp;" ",$D380))*Terms!D$3:D$821)+Terms!D$2</f>
        <v>-0.325279165473861</v>
      </c>
      <c r="V380" s="0" t="n">
        <f aca="false">SUMPRODUCT(ISNUMBER(SEARCH(" "&amp;Terms!$A$3:$A$821&amp;" ",$D380))*Terms!E$3:E$821)+Terms!E$2</f>
        <v>1.97383912052998</v>
      </c>
      <c r="W380" s="0" t="n">
        <f aca="false">SUMPRODUCT(ISNUMBER(SEARCH(" "&amp;Terms!$A$3:$A$821&amp;" ",$D380))*Terms!F$3:F$821)+Terms!F$2</f>
        <v>-2.87749528538103</v>
      </c>
      <c r="X380" s="0" t="n">
        <f aca="false">SUMPRODUCT(ISNUMBER(SEARCH(" "&amp;Terms!$A$3:$A$821&amp;" ",$D380))*Terms!G$3:G$821)+Terms!G$2</f>
        <v>8.75662353666955</v>
      </c>
      <c r="Y380" s="0" t="str">
        <f aca="false">INDEX($S$1:$X$1,MATCH(MAX(S380:X380),S380:X380,0))</f>
        <v>Mis-selling</v>
      </c>
      <c r="Z380" s="0" t="s">
        <v>2608</v>
      </c>
    </row>
    <row r="381" customFormat="false" ht="15" hidden="false" customHeight="false" outlineLevel="0" collapsed="false">
      <c r="A381" s="0" t="str">
        <f aca="false">Complaints!A381</f>
        <v>C0380</v>
      </c>
      <c r="B381" s="0" t="str">
        <f aca="false">Complaints!B381</f>
        <v>You took an overdraft fee even though I was within my limit. Also, my online banking is locked and the reset link never arrives.</v>
      </c>
      <c r="C381" s="0" t="str">
        <f aca="false">Complaints!C381</f>
        <v>Fees &amp; Charges</v>
      </c>
      <c r="D381" s="0" t="str">
        <f aca="false">" "&amp;TRIM(SUBSTITUTE(SUBSTITUTE(SUBSTITUTE(SUBSTITUTE(SUBSTITUTE(SUBSTITUTE(SUBSTITUTE(SUBSTITUTE(SUBSTITUTE(SUBSTITUTE(SUBSTITUTE(SUBSTITUTE(SUBSTITUTE(SUBSTITUTE(SUBSTITUTE(SUBSTITUTE(LOWER(B381),"."," "),","," "),"'"," "),"’"," "),"!"," "),"?"," "),";"," "),":"," "),"-"," "),"("," "),")"," "),"""", " "),"£"," "),"&amp;"," "),"/"," "),"%"," "))&amp;" "</f>
        <v> you took an overdraft fee even though i was within my limit also my online banking is locked and the reset link never arrives </v>
      </c>
      <c r="E381" s="0" t="n">
        <f aca="false">SUMPRODUCT((Rules!$A$2:$A$60=E$1)*Rules!$C$2:$C$60*ISNUMBER(SEARCH(Rules!$D$2:$D$60,$D381)))</f>
        <v>0</v>
      </c>
      <c r="F381" s="0" t="n">
        <f aca="false">SUMPRODUCT((Rules!$A$2:$A$60=F$1)*Rules!$C$2:$C$60*ISNUMBER(SEARCH(Rules!$D$2:$D$60,$D381)))</f>
        <v>0</v>
      </c>
      <c r="G381" s="0" t="n">
        <f aca="false">SUMPRODUCT((Rules!$A$2:$A$60=G$1)*Rules!$C$2:$C$60*ISNUMBER(SEARCH(Rules!$D$2:$D$60,$D381)))</f>
        <v>5</v>
      </c>
      <c r="H381" s="0" t="n">
        <f aca="false">SUMPRODUCT((Rules!$A$2:$A$60=H$1)*Rules!$C$2:$C$60*ISNUMBER(SEARCH(Rules!$D$2:$D$60,$D381)))</f>
        <v>2</v>
      </c>
      <c r="I381" s="0" t="n">
        <f aca="false">SUMPRODUCT((Rules!$A$2:$A$60=I$1)*Rules!$C$2:$C$60*ISNUMBER(SEARCH(Rules!$D$2:$D$60,$D381)))</f>
        <v>0</v>
      </c>
      <c r="J381" s="0" t="n">
        <f aca="false">SUMPRODUCT((Rules!$A$2:$A$60=J$1)*Rules!$C$2:$C$60*ISNUMBER(SEARCH(Rules!$D$2:$D$60,$D381)))</f>
        <v>0</v>
      </c>
      <c r="K381" s="0" t="str">
        <f aca="false">IF(OR(MAX(E381:J381)&lt;Rules!$H$1,MAX(E381:J381)-LARGE(E381:J381,2)&lt;Rules!$H$2),"No label",INDEX($E$1:$J$1,MATCH(MAX(E381:J381),E381:J381,0)))</f>
        <v>Account Access</v>
      </c>
      <c r="L381" s="0" t="n">
        <f aca="false">SUMPRODUCT((Rules!$A$2:$A$60=L$1)*Rules!$C$2:$C$60*ISNUMBER(SEARCH(Rules!$E$2:$E$60,$D381)))</f>
        <v>0</v>
      </c>
      <c r="M381" s="0" t="n">
        <f aca="false">SUMPRODUCT((Rules!$A$2:$A$60=M$1)*Rules!$C$2:$C$60*ISNUMBER(SEARCH(Rules!$E$2:$E$60,$D381)))</f>
        <v>0</v>
      </c>
      <c r="N381" s="0" t="n">
        <f aca="false">SUMPRODUCT((Rules!$A$2:$A$60=N$1)*Rules!$C$2:$C$60*ISNUMBER(SEARCH(Rules!$E$2:$E$60,$D381)))</f>
        <v>5</v>
      </c>
      <c r="O381" s="0" t="n">
        <f aca="false">SUMPRODUCT((Rules!$A$2:$A$60=O$1)*Rules!$C$2:$C$60*ISNUMBER(SEARCH(Rules!$E$2:$E$60,$D381)))</f>
        <v>2</v>
      </c>
      <c r="P381" s="0" t="n">
        <f aca="false">SUMPRODUCT((Rules!$A$2:$A$60=P$1)*Rules!$C$2:$C$60*ISNUMBER(SEARCH(Rules!$E$2:$E$60,$D381)))</f>
        <v>0</v>
      </c>
      <c r="Q381" s="0" t="n">
        <f aca="false">SUMPRODUCT((Rules!$A$2:$A$60=Q$1)*Rules!$C$2:$C$60*ISNUMBER(SEARCH(Rules!$E$2:$E$60,$D381)))</f>
        <v>0</v>
      </c>
      <c r="R381" s="0" t="str">
        <f aca="false">IF(OR(MAX(L381:Q381)&lt;Rules!$H$1,MAX(L381:Q381)-LARGE(L381:Q381,2)&lt;Rules!$H$2),"No label",INDEX($L$1:$Q$1,MATCH(MAX(L381:Q381),L381:Q381,0)))</f>
        <v>Account Access</v>
      </c>
      <c r="S381" s="0" t="n">
        <f aca="false">SUMPRODUCT(ISNUMBER(SEARCH(" "&amp;Terms!$A$3:$A$821&amp;" ",$D381))*Terms!B$3:B$821)+Terms!B$2</f>
        <v>7.49406812131542</v>
      </c>
      <c r="T381" s="0" t="n">
        <f aca="false">SUMPRODUCT(ISNUMBER(SEARCH(" "&amp;Terms!$A$3:$A$821&amp;" ",$D381))*Terms!C$3:C$821)+Terms!C$2</f>
        <v>-6.18087718528025</v>
      </c>
      <c r="U381" s="0" t="n">
        <f aca="false">SUMPRODUCT(ISNUMBER(SEARCH(" "&amp;Terms!$A$3:$A$821&amp;" ",$D381))*Terms!D$3:D$821)+Terms!D$2</f>
        <v>-6.21658114407205</v>
      </c>
      <c r="V381" s="0" t="n">
        <f aca="false">SUMPRODUCT(ISNUMBER(SEARCH(" "&amp;Terms!$A$3:$A$821&amp;" ",$D381))*Terms!E$3:E$821)+Terms!E$2</f>
        <v>10.7655571169024</v>
      </c>
      <c r="W381" s="0" t="n">
        <f aca="false">SUMPRODUCT(ISNUMBER(SEARCH(" "&amp;Terms!$A$3:$A$821&amp;" ",$D381))*Terms!F$3:F$821)+Terms!F$2</f>
        <v>-4.11019024934715</v>
      </c>
      <c r="X381" s="0" t="n">
        <f aca="false">SUMPRODUCT(ISNUMBER(SEARCH(" "&amp;Terms!$A$3:$A$821&amp;" ",$D381))*Terms!G$3:G$821)+Terms!G$2</f>
        <v>-1.75197665951832</v>
      </c>
      <c r="Y381" s="0" t="str">
        <f aca="false">INDEX($S$1:$X$1,MATCH(MAX(S381:X381),S381:X381,0))</f>
        <v>Fees &amp; Charges</v>
      </c>
      <c r="Z381" s="0" t="s">
        <v>2607</v>
      </c>
    </row>
    <row r="382" customFormat="false" ht="15" hidden="false" customHeight="false" outlineLevel="0" collapsed="false">
      <c r="A382" s="0" t="str">
        <f aca="false">Complaints!A382</f>
        <v>C0381</v>
      </c>
      <c r="B382" s="0" t="str">
        <f aca="false">Complaints!B382</f>
        <v>Nothing has been done and I am losing patience. I expect compensation.</v>
      </c>
      <c r="C382" s="0" t="str">
        <f aca="false">Complaints!C382</f>
        <v>Account Access</v>
      </c>
      <c r="D382" s="0" t="str">
        <f aca="false">" "&amp;TRIM(SUBSTITUTE(SUBSTITUTE(SUBSTITUTE(SUBSTITUTE(SUBSTITUTE(SUBSTITUTE(SUBSTITUTE(SUBSTITUTE(SUBSTITUTE(SUBSTITUTE(SUBSTITUTE(SUBSTITUTE(SUBSTITUTE(SUBSTITUTE(SUBSTITUTE(SUBSTITUTE(LOWER(B382),"."," "),","," "),"'"," "),"’"," "),"!"," "),"?"," "),";"," "),":"," "),"-"," "),"("," "),")"," "),"""", " "),"£"," "),"&amp;"," "),"/"," "),"%"," "))&amp;" "</f>
        <v> nothing has been done and i am losing patience i expect compensation </v>
      </c>
      <c r="E382" s="0" t="n">
        <f aca="false">SUMPRODUCT((Rules!$A$2:$A$60=E$1)*Rules!$C$2:$C$60*ISNUMBER(SEARCH(Rules!$D$2:$D$60,$D382)))</f>
        <v>0</v>
      </c>
      <c r="F382" s="0" t="n">
        <f aca="false">SUMPRODUCT((Rules!$A$2:$A$60=F$1)*Rules!$C$2:$C$60*ISNUMBER(SEARCH(Rules!$D$2:$D$60,$D382)))</f>
        <v>0</v>
      </c>
      <c r="G382" s="0" t="n">
        <f aca="false">SUMPRODUCT((Rules!$A$2:$A$60=G$1)*Rules!$C$2:$C$60*ISNUMBER(SEARCH(Rules!$D$2:$D$60,$D382)))</f>
        <v>0</v>
      </c>
      <c r="H382" s="0" t="n">
        <f aca="false">SUMPRODUCT((Rules!$A$2:$A$60=H$1)*Rules!$C$2:$C$60*ISNUMBER(SEARCH(Rules!$D$2:$D$60,$D382)))</f>
        <v>0</v>
      </c>
      <c r="I382" s="0" t="n">
        <f aca="false">SUMPRODUCT((Rules!$A$2:$A$60=I$1)*Rules!$C$2:$C$60*ISNUMBER(SEARCH(Rules!$D$2:$D$60,$D382)))</f>
        <v>0</v>
      </c>
      <c r="J382" s="0" t="n">
        <f aca="false">SUMPRODUCT((Rules!$A$2:$A$60=J$1)*Rules!$C$2:$C$60*ISNUMBER(SEARCH(Rules!$D$2:$D$60,$D382)))</f>
        <v>0</v>
      </c>
      <c r="K382" s="0" t="str">
        <f aca="false">IF(OR(MAX(E382:J382)&lt;Rules!$H$1,MAX(E382:J382)-LARGE(E382:J382,2)&lt;Rules!$H$2),"No label",INDEX($E$1:$J$1,MATCH(MAX(E382:J382),E382:J382,0)))</f>
        <v>No label</v>
      </c>
      <c r="L382" s="0" t="n">
        <f aca="false">SUMPRODUCT((Rules!$A$2:$A$60=L$1)*Rules!$C$2:$C$60*ISNUMBER(SEARCH(Rules!$E$2:$E$60,$D382)))</f>
        <v>0</v>
      </c>
      <c r="M382" s="0" t="n">
        <f aca="false">SUMPRODUCT((Rules!$A$2:$A$60=M$1)*Rules!$C$2:$C$60*ISNUMBER(SEARCH(Rules!$E$2:$E$60,$D382)))</f>
        <v>0</v>
      </c>
      <c r="N382" s="0" t="n">
        <f aca="false">SUMPRODUCT((Rules!$A$2:$A$60=N$1)*Rules!$C$2:$C$60*ISNUMBER(SEARCH(Rules!$E$2:$E$60,$D382)))</f>
        <v>0</v>
      </c>
      <c r="O382" s="0" t="n">
        <f aca="false">SUMPRODUCT((Rules!$A$2:$A$60=O$1)*Rules!$C$2:$C$60*ISNUMBER(SEARCH(Rules!$E$2:$E$60,$D382)))</f>
        <v>0</v>
      </c>
      <c r="P382" s="0" t="n">
        <f aca="false">SUMPRODUCT((Rules!$A$2:$A$60=P$1)*Rules!$C$2:$C$60*ISNUMBER(SEARCH(Rules!$E$2:$E$60,$D382)))</f>
        <v>0</v>
      </c>
      <c r="Q382" s="0" t="n">
        <f aca="false">SUMPRODUCT((Rules!$A$2:$A$60=Q$1)*Rules!$C$2:$C$60*ISNUMBER(SEARCH(Rules!$E$2:$E$60,$D382)))</f>
        <v>0</v>
      </c>
      <c r="R382" s="0" t="str">
        <f aca="false">IF(OR(MAX(L382:Q382)&lt;Rules!$H$1,MAX(L382:Q382)-LARGE(L382:Q382,2)&lt;Rules!$H$2),"No label",INDEX($L$1:$Q$1,MATCH(MAX(L382:Q382),L382:Q382,0)))</f>
        <v>No label</v>
      </c>
      <c r="S382" s="0" t="n">
        <f aca="false">SUMPRODUCT(ISNUMBER(SEARCH(" "&amp;Terms!$A$3:$A$821&amp;" ",$D382))*Terms!B$3:B$821)+Terms!B$2</f>
        <v>3.85144175699685</v>
      </c>
      <c r="T382" s="0" t="n">
        <f aca="false">SUMPRODUCT(ISNUMBER(SEARCH(" "&amp;Terms!$A$3:$A$821&amp;" ",$D382))*Terms!C$3:C$821)+Terms!C$2</f>
        <v>0.941946126627796</v>
      </c>
      <c r="U382" s="0" t="n">
        <f aca="false">SUMPRODUCT(ISNUMBER(SEARCH(" "&amp;Terms!$A$3:$A$821&amp;" ",$D382))*Terms!D$3:D$821)+Terms!D$2</f>
        <v>-2.85063934206649</v>
      </c>
      <c r="V382" s="0" t="n">
        <f aca="false">SUMPRODUCT(ISNUMBER(SEARCH(" "&amp;Terms!$A$3:$A$821&amp;" ",$D382))*Terms!E$3:E$821)+Terms!E$2</f>
        <v>-2.66382918531803</v>
      </c>
      <c r="W382" s="0" t="n">
        <f aca="false">SUMPRODUCT(ISNUMBER(SEARCH(" "&amp;Terms!$A$3:$A$821&amp;" ",$D382))*Terms!F$3:F$821)+Terms!F$2</f>
        <v>-0.616039535663294</v>
      </c>
      <c r="X382" s="0" t="n">
        <f aca="false">SUMPRODUCT(ISNUMBER(SEARCH(" "&amp;Terms!$A$3:$A$821&amp;" ",$D382))*Terms!G$3:G$821)+Terms!G$2</f>
        <v>1.33712017942326</v>
      </c>
      <c r="Y382" s="0" t="str">
        <f aca="false">INDEX($S$1:$X$1,MATCH(MAX(S382:X382),S382:X382,0))</f>
        <v>Account Access</v>
      </c>
      <c r="Z382" s="0" t="s">
        <v>2607</v>
      </c>
    </row>
    <row r="383" customFormat="false" ht="15" hidden="false" customHeight="false" outlineLevel="0" collapsed="false">
      <c r="A383" s="0" t="str">
        <f aca="false">Complaints!A383</f>
        <v>C0382</v>
      </c>
      <c r="B383" s="0" t="str">
        <f aca="false">Complaints!B383</f>
        <v>Frankly, The pssword reset keeps failing and I am locked out.</v>
      </c>
      <c r="C383" s="0" t="str">
        <f aca="false">Complaints!C383</f>
        <v>Account Access</v>
      </c>
      <c r="D383" s="0" t="str">
        <f aca="false">" "&amp;TRIM(SUBSTITUTE(SUBSTITUTE(SUBSTITUTE(SUBSTITUTE(SUBSTITUTE(SUBSTITUTE(SUBSTITUTE(SUBSTITUTE(SUBSTITUTE(SUBSTITUTE(SUBSTITUTE(SUBSTITUTE(SUBSTITUTE(SUBSTITUTE(SUBSTITUTE(SUBSTITUTE(LOWER(B383),"."," "),","," "),"'"," "),"’"," "),"!"," "),"?"," "),";"," "),":"," "),"-"," "),"("," "),")"," "),"""", " "),"£"," "),"&amp;"," "),"/"," "),"%"," "))&amp;" "</f>
        <v> frankly the pssword reset keeps failing and i am locked out </v>
      </c>
      <c r="E383" s="0" t="n">
        <f aca="false">SUMPRODUCT((Rules!$A$2:$A$60=E$1)*Rules!$C$2:$C$60*ISNUMBER(SEARCH(Rules!$D$2:$D$60,$D383)))</f>
        <v>0</v>
      </c>
      <c r="F383" s="0" t="n">
        <f aca="false">SUMPRODUCT((Rules!$A$2:$A$60=F$1)*Rules!$C$2:$C$60*ISNUMBER(SEARCH(Rules!$D$2:$D$60,$D383)))</f>
        <v>0</v>
      </c>
      <c r="G383" s="0" t="n">
        <f aca="false">SUMPRODUCT((Rules!$A$2:$A$60=G$1)*Rules!$C$2:$C$60*ISNUMBER(SEARCH(Rules!$D$2:$D$60,$D383)))</f>
        <v>5</v>
      </c>
      <c r="H383" s="0" t="n">
        <f aca="false">SUMPRODUCT((Rules!$A$2:$A$60=H$1)*Rules!$C$2:$C$60*ISNUMBER(SEARCH(Rules!$D$2:$D$60,$D383)))</f>
        <v>0</v>
      </c>
      <c r="I383" s="0" t="n">
        <f aca="false">SUMPRODUCT((Rules!$A$2:$A$60=I$1)*Rules!$C$2:$C$60*ISNUMBER(SEARCH(Rules!$D$2:$D$60,$D383)))</f>
        <v>0</v>
      </c>
      <c r="J383" s="0" t="n">
        <f aca="false">SUMPRODUCT((Rules!$A$2:$A$60=J$1)*Rules!$C$2:$C$60*ISNUMBER(SEARCH(Rules!$D$2:$D$60,$D383)))</f>
        <v>0</v>
      </c>
      <c r="K383" s="0" t="str">
        <f aca="false">IF(OR(MAX(E383:J383)&lt;Rules!$H$1,MAX(E383:J383)-LARGE(E383:J383,2)&lt;Rules!$H$2),"No label",INDEX($E$1:$J$1,MATCH(MAX(E383:J383),E383:J383,0)))</f>
        <v>Account Access</v>
      </c>
      <c r="L383" s="0" t="n">
        <f aca="false">SUMPRODUCT((Rules!$A$2:$A$60=L$1)*Rules!$C$2:$C$60*ISNUMBER(SEARCH(Rules!$E$2:$E$60,$D383)))</f>
        <v>0</v>
      </c>
      <c r="M383" s="0" t="n">
        <f aca="false">SUMPRODUCT((Rules!$A$2:$A$60=M$1)*Rules!$C$2:$C$60*ISNUMBER(SEARCH(Rules!$E$2:$E$60,$D383)))</f>
        <v>0</v>
      </c>
      <c r="N383" s="0" t="n">
        <f aca="false">SUMPRODUCT((Rules!$A$2:$A$60=N$1)*Rules!$C$2:$C$60*ISNUMBER(SEARCH(Rules!$E$2:$E$60,$D383)))</f>
        <v>5</v>
      </c>
      <c r="O383" s="0" t="n">
        <f aca="false">SUMPRODUCT((Rules!$A$2:$A$60=O$1)*Rules!$C$2:$C$60*ISNUMBER(SEARCH(Rules!$E$2:$E$60,$D383)))</f>
        <v>0</v>
      </c>
      <c r="P383" s="0" t="n">
        <f aca="false">SUMPRODUCT((Rules!$A$2:$A$60=P$1)*Rules!$C$2:$C$60*ISNUMBER(SEARCH(Rules!$E$2:$E$60,$D383)))</f>
        <v>0</v>
      </c>
      <c r="Q383" s="0" t="n">
        <f aca="false">SUMPRODUCT((Rules!$A$2:$A$60=Q$1)*Rules!$C$2:$C$60*ISNUMBER(SEARCH(Rules!$E$2:$E$60,$D383)))</f>
        <v>0</v>
      </c>
      <c r="R383" s="0" t="str">
        <f aca="false">IF(OR(MAX(L383:Q383)&lt;Rules!$H$1,MAX(L383:Q383)-LARGE(L383:Q383,2)&lt;Rules!$H$2),"No label",INDEX($L$1:$Q$1,MATCH(MAX(L383:Q383),L383:Q383,0)))</f>
        <v>Account Access</v>
      </c>
      <c r="S383" s="0" t="n">
        <f aca="false">SUMPRODUCT(ISNUMBER(SEARCH(" "&amp;Terms!$A$3:$A$821&amp;" ",$D383))*Terms!B$3:B$821)+Terms!B$2</f>
        <v>8.66119127590671</v>
      </c>
      <c r="T383" s="0" t="n">
        <f aca="false">SUMPRODUCT(ISNUMBER(SEARCH(" "&amp;Terms!$A$3:$A$821&amp;" ",$D383))*Terms!C$3:C$821)+Terms!C$2</f>
        <v>-3.95626807414761</v>
      </c>
      <c r="U383" s="0" t="n">
        <f aca="false">SUMPRODUCT(ISNUMBER(SEARCH(" "&amp;Terms!$A$3:$A$821&amp;" ",$D383))*Terms!D$3:D$821)+Terms!D$2</f>
        <v>-2.18837195336953</v>
      </c>
      <c r="V383" s="0" t="n">
        <f aca="false">SUMPRODUCT(ISNUMBER(SEARCH(" "&amp;Terms!$A$3:$A$821&amp;" ",$D383))*Terms!E$3:E$821)+Terms!E$2</f>
        <v>-0.718979128942845</v>
      </c>
      <c r="W383" s="0" t="n">
        <f aca="false">SUMPRODUCT(ISNUMBER(SEARCH(" "&amp;Terms!$A$3:$A$821&amp;" ",$D383))*Terms!F$3:F$821)+Terms!F$2</f>
        <v>-1.58053104412841</v>
      </c>
      <c r="X383" s="0" t="n">
        <f aca="false">SUMPRODUCT(ISNUMBER(SEARCH(" "&amp;Terms!$A$3:$A$821&amp;" ",$D383))*Terms!G$3:G$821)+Terms!G$2</f>
        <v>-0.217041075318206</v>
      </c>
      <c r="Y383" s="0" t="str">
        <f aca="false">INDEX($S$1:$X$1,MATCH(MAX(S383:X383),S383:X383,0))</f>
        <v>Account Access</v>
      </c>
      <c r="Z383" s="0" t="s">
        <v>2607</v>
      </c>
    </row>
    <row r="384" customFormat="false" ht="15" hidden="false" customHeight="false" outlineLevel="0" collapsed="false">
      <c r="A384" s="0" t="str">
        <f aca="false">Complaints!A384</f>
        <v>C0383</v>
      </c>
      <c r="B384" s="0" t="str">
        <f aca="false">Complaints!B384</f>
        <v>To whom it may concern, I was charged a monthly fee that nobody told me about. Also, the staff member was rude and dismissive when I called. I expect compensation.</v>
      </c>
      <c r="C384" s="0" t="str">
        <f aca="false">Complaints!C384</f>
        <v>Fees &amp; Charges</v>
      </c>
      <c r="D384" s="0" t="str">
        <f aca="false">" "&amp;TRIM(SUBSTITUTE(SUBSTITUTE(SUBSTITUTE(SUBSTITUTE(SUBSTITUTE(SUBSTITUTE(SUBSTITUTE(SUBSTITUTE(SUBSTITUTE(SUBSTITUTE(SUBSTITUTE(SUBSTITUTE(SUBSTITUTE(SUBSTITUTE(SUBSTITUTE(SUBSTITUTE(LOWER(B384),"."," "),","," "),"'"," "),"’"," "),"!"," "),"?"," "),";"," "),":"," "),"-"," "),"("," "),")"," "),"""", " "),"£"," "),"&amp;"," "),"/"," "),"%"," "))&amp;" "</f>
        <v> to whom it may concern i was charged a monthly fee that nobody told me about also the staff member was rude and dismissive when i called i expect compensation </v>
      </c>
      <c r="E384" s="0" t="n">
        <f aca="false">SUMPRODUCT((Rules!$A$2:$A$60=E$1)*Rules!$C$2:$C$60*ISNUMBER(SEARCH(Rules!$D$2:$D$60,$D384)))</f>
        <v>0</v>
      </c>
      <c r="F384" s="0" t="n">
        <f aca="false">SUMPRODUCT((Rules!$A$2:$A$60=F$1)*Rules!$C$2:$C$60*ISNUMBER(SEARCH(Rules!$D$2:$D$60,$D384)))</f>
        <v>0</v>
      </c>
      <c r="G384" s="0" t="n">
        <f aca="false">SUMPRODUCT((Rules!$A$2:$A$60=G$1)*Rules!$C$2:$C$60*ISNUMBER(SEARCH(Rules!$D$2:$D$60,$D384)))</f>
        <v>0</v>
      </c>
      <c r="H384" s="0" t="n">
        <f aca="false">SUMPRODUCT((Rules!$A$2:$A$60=H$1)*Rules!$C$2:$C$60*ISNUMBER(SEARCH(Rules!$D$2:$D$60,$D384)))</f>
        <v>4</v>
      </c>
      <c r="I384" s="0" t="n">
        <f aca="false">SUMPRODUCT((Rules!$A$2:$A$60=I$1)*Rules!$C$2:$C$60*ISNUMBER(SEARCH(Rules!$D$2:$D$60,$D384)))</f>
        <v>0</v>
      </c>
      <c r="J384" s="0" t="n">
        <f aca="false">SUMPRODUCT((Rules!$A$2:$A$60=J$1)*Rules!$C$2:$C$60*ISNUMBER(SEARCH(Rules!$D$2:$D$60,$D384)))</f>
        <v>4</v>
      </c>
      <c r="K384" s="0" t="str">
        <f aca="false">IF(OR(MAX(E384:J384)&lt;Rules!$H$1,MAX(E384:J384)-LARGE(E384:J384,2)&lt;Rules!$H$2),"No label",INDEX($E$1:$J$1,MATCH(MAX(E384:J384),E384:J384,0)))</f>
        <v>No label</v>
      </c>
      <c r="L384" s="0" t="n">
        <f aca="false">SUMPRODUCT((Rules!$A$2:$A$60=L$1)*Rules!$C$2:$C$60*ISNUMBER(SEARCH(Rules!$E$2:$E$60,$D384)))</f>
        <v>0</v>
      </c>
      <c r="M384" s="0" t="n">
        <f aca="false">SUMPRODUCT((Rules!$A$2:$A$60=M$1)*Rules!$C$2:$C$60*ISNUMBER(SEARCH(Rules!$E$2:$E$60,$D384)))</f>
        <v>0</v>
      </c>
      <c r="N384" s="0" t="n">
        <f aca="false">SUMPRODUCT((Rules!$A$2:$A$60=N$1)*Rules!$C$2:$C$60*ISNUMBER(SEARCH(Rules!$E$2:$E$60,$D384)))</f>
        <v>0</v>
      </c>
      <c r="O384" s="0" t="n">
        <f aca="false">SUMPRODUCT((Rules!$A$2:$A$60=O$1)*Rules!$C$2:$C$60*ISNUMBER(SEARCH(Rules!$E$2:$E$60,$D384)))</f>
        <v>6</v>
      </c>
      <c r="P384" s="0" t="n">
        <f aca="false">SUMPRODUCT((Rules!$A$2:$A$60=P$1)*Rules!$C$2:$C$60*ISNUMBER(SEARCH(Rules!$E$2:$E$60,$D384)))</f>
        <v>0</v>
      </c>
      <c r="Q384" s="0" t="n">
        <f aca="false">SUMPRODUCT((Rules!$A$2:$A$60=Q$1)*Rules!$C$2:$C$60*ISNUMBER(SEARCH(Rules!$E$2:$E$60,$D384)))</f>
        <v>4</v>
      </c>
      <c r="R384" s="0" t="str">
        <f aca="false">IF(OR(MAX(L384:Q384)&lt;Rules!$H$1,MAX(L384:Q384)-LARGE(L384:Q384,2)&lt;Rules!$H$2),"No label",INDEX($L$1:$Q$1,MATCH(MAX(L384:Q384),L384:Q384,0)))</f>
        <v>Fees &amp; Charges</v>
      </c>
      <c r="S384" s="0" t="n">
        <f aca="false">SUMPRODUCT(ISNUMBER(SEARCH(" "&amp;Terms!$A$3:$A$821&amp;" ",$D384))*Terms!B$3:B$821)+Terms!B$2</f>
        <v>-3.3901275299612</v>
      </c>
      <c r="T384" s="0" t="n">
        <f aca="false">SUMPRODUCT(ISNUMBER(SEARCH(" "&amp;Terms!$A$3:$A$821&amp;" ",$D384))*Terms!C$3:C$821)+Terms!C$2</f>
        <v>4.26799227453874</v>
      </c>
      <c r="U384" s="0" t="n">
        <f aca="false">SUMPRODUCT(ISNUMBER(SEARCH(" "&amp;Terms!$A$3:$A$821&amp;" ",$D384))*Terms!D$3:D$821)+Terms!D$2</f>
        <v>-4.02087135905742</v>
      </c>
      <c r="V384" s="0" t="n">
        <f aca="false">SUMPRODUCT(ISNUMBER(SEARCH(" "&amp;Terms!$A$3:$A$821&amp;" ",$D384))*Terms!E$3:E$821)+Terms!E$2</f>
        <v>12.0413644483558</v>
      </c>
      <c r="W384" s="0" t="n">
        <f aca="false">SUMPRODUCT(ISNUMBER(SEARCH(" "&amp;Terms!$A$3:$A$821&amp;" ",$D384))*Terms!F$3:F$821)+Terms!F$2</f>
        <v>-3.48822460357204</v>
      </c>
      <c r="X384" s="0" t="n">
        <f aca="false">SUMPRODUCT(ISNUMBER(SEARCH(" "&amp;Terms!$A$3:$A$821&amp;" ",$D384))*Terms!G$3:G$821)+Terms!G$2</f>
        <v>-5.41013323030376</v>
      </c>
      <c r="Y384" s="0" t="str">
        <f aca="false">INDEX($S$1:$X$1,MATCH(MAX(S384:X384),S384:X384,0))</f>
        <v>Fees &amp; Charges</v>
      </c>
      <c r="Z384" s="0" t="s">
        <v>2607</v>
      </c>
    </row>
    <row r="385" customFormat="false" ht="15" hidden="false" customHeight="false" outlineLevel="0" collapsed="false">
      <c r="A385" s="0" t="str">
        <f aca="false">Complaints!A385</f>
        <v>C0384</v>
      </c>
      <c r="B385" s="0" t="str">
        <f aca="false">Complaints!B385</f>
        <v>I am writing to complain. My application has been stuck for weeks with no progress. Also, a late payment fee appeared and I want it refunded.</v>
      </c>
      <c r="C385" s="0" t="str">
        <f aca="false">Complaints!C385</f>
        <v>Delays &amp; Processing</v>
      </c>
      <c r="D385" s="0" t="str">
        <f aca="false">" "&amp;TRIM(SUBSTITUTE(SUBSTITUTE(SUBSTITUTE(SUBSTITUTE(SUBSTITUTE(SUBSTITUTE(SUBSTITUTE(SUBSTITUTE(SUBSTITUTE(SUBSTITUTE(SUBSTITUTE(SUBSTITUTE(SUBSTITUTE(SUBSTITUTE(SUBSTITUTE(SUBSTITUTE(LOWER(B385),"."," "),","," "),"'"," "),"’"," "),"!"," "),"?"," "),";"," "),":"," "),"-"," "),"("," "),")"," "),"""", " "),"£"," "),"&amp;"," "),"/"," "),"%"," "))&amp;" "</f>
        <v> i am writing to complain my application has been stuck for weeks with no progress also a late payment fee appeared and i want it refunded </v>
      </c>
      <c r="E385" s="0" t="n">
        <f aca="false">SUMPRODUCT((Rules!$A$2:$A$60=E$1)*Rules!$C$2:$C$60*ISNUMBER(SEARCH(Rules!$D$2:$D$60,$D385)))</f>
        <v>0</v>
      </c>
      <c r="F385" s="0" t="n">
        <f aca="false">SUMPRODUCT((Rules!$A$2:$A$60=F$1)*Rules!$C$2:$C$60*ISNUMBER(SEARCH(Rules!$D$2:$D$60,$D385)))</f>
        <v>0</v>
      </c>
      <c r="G385" s="0" t="n">
        <f aca="false">SUMPRODUCT((Rules!$A$2:$A$60=G$1)*Rules!$C$2:$C$60*ISNUMBER(SEARCH(Rules!$D$2:$D$60,$D385)))</f>
        <v>0</v>
      </c>
      <c r="H385" s="0" t="n">
        <f aca="false">SUMPRODUCT((Rules!$A$2:$A$60=H$1)*Rules!$C$2:$C$60*ISNUMBER(SEARCH(Rules!$D$2:$D$60,$D385)))</f>
        <v>2</v>
      </c>
      <c r="I385" s="0" t="n">
        <f aca="false">SUMPRODUCT((Rules!$A$2:$A$60=I$1)*Rules!$C$2:$C$60*ISNUMBER(SEARCH(Rules!$D$2:$D$60,$D385)))</f>
        <v>3</v>
      </c>
      <c r="J385" s="0" t="n">
        <f aca="false">SUMPRODUCT((Rules!$A$2:$A$60=J$1)*Rules!$C$2:$C$60*ISNUMBER(SEARCH(Rules!$D$2:$D$60,$D385)))</f>
        <v>0</v>
      </c>
      <c r="K385" s="0" t="str">
        <f aca="false">IF(OR(MAX(E385:J385)&lt;Rules!$H$1,MAX(E385:J385)-LARGE(E385:J385,2)&lt;Rules!$H$2),"No label",INDEX($E$1:$J$1,MATCH(MAX(E385:J385),E385:J385,0)))</f>
        <v>No label</v>
      </c>
      <c r="L385" s="0" t="n">
        <f aca="false">SUMPRODUCT((Rules!$A$2:$A$60=L$1)*Rules!$C$2:$C$60*ISNUMBER(SEARCH(Rules!$E$2:$E$60,$D385)))</f>
        <v>0</v>
      </c>
      <c r="M385" s="0" t="n">
        <f aca="false">SUMPRODUCT((Rules!$A$2:$A$60=M$1)*Rules!$C$2:$C$60*ISNUMBER(SEARCH(Rules!$E$2:$E$60,$D385)))</f>
        <v>0</v>
      </c>
      <c r="N385" s="0" t="n">
        <f aca="false">SUMPRODUCT((Rules!$A$2:$A$60=N$1)*Rules!$C$2:$C$60*ISNUMBER(SEARCH(Rules!$E$2:$E$60,$D385)))</f>
        <v>0</v>
      </c>
      <c r="O385" s="0" t="n">
        <f aca="false">SUMPRODUCT((Rules!$A$2:$A$60=O$1)*Rules!$C$2:$C$60*ISNUMBER(SEARCH(Rules!$E$2:$E$60,$D385)))</f>
        <v>2</v>
      </c>
      <c r="P385" s="0" t="n">
        <f aca="false">SUMPRODUCT((Rules!$A$2:$A$60=P$1)*Rules!$C$2:$C$60*ISNUMBER(SEARCH(Rules!$E$2:$E$60,$D385)))</f>
        <v>3</v>
      </c>
      <c r="Q385" s="0" t="n">
        <f aca="false">SUMPRODUCT((Rules!$A$2:$A$60=Q$1)*Rules!$C$2:$C$60*ISNUMBER(SEARCH(Rules!$E$2:$E$60,$D385)))</f>
        <v>0</v>
      </c>
      <c r="R385" s="0" t="str">
        <f aca="false">IF(OR(MAX(L385:Q385)&lt;Rules!$H$1,MAX(L385:Q385)-LARGE(L385:Q385,2)&lt;Rules!$H$2),"No label",INDEX($L$1:$Q$1,MATCH(MAX(L385:Q385),L385:Q385,0)))</f>
        <v>No label</v>
      </c>
      <c r="S385" s="0" t="n">
        <f aca="false">SUMPRODUCT(ISNUMBER(SEARCH(" "&amp;Terms!$A$3:$A$821&amp;" ",$D385))*Terms!B$3:B$821)+Terms!B$2</f>
        <v>-6.65764680122958</v>
      </c>
      <c r="T385" s="0" t="n">
        <f aca="false">SUMPRODUCT(ISNUMBER(SEARCH(" "&amp;Terms!$A$3:$A$821&amp;" ",$D385))*Terms!C$3:C$821)+Terms!C$2</f>
        <v>-5.67851057590144</v>
      </c>
      <c r="U385" s="0" t="n">
        <f aca="false">SUMPRODUCT(ISNUMBER(SEARCH(" "&amp;Terms!$A$3:$A$821&amp;" ",$D385))*Terms!D$3:D$821)+Terms!D$2</f>
        <v>9.82972124645162</v>
      </c>
      <c r="V385" s="0" t="n">
        <f aca="false">SUMPRODUCT(ISNUMBER(SEARCH(" "&amp;Terms!$A$3:$A$821&amp;" ",$D385))*Terms!E$3:E$821)+Terms!E$2</f>
        <v>12.0894691962332</v>
      </c>
      <c r="W385" s="0" t="n">
        <f aca="false">SUMPRODUCT(ISNUMBER(SEARCH(" "&amp;Terms!$A$3:$A$821&amp;" ",$D385))*Terms!F$3:F$821)+Terms!F$2</f>
        <v>-2.48307117497918</v>
      </c>
      <c r="X385" s="0" t="n">
        <f aca="false">SUMPRODUCT(ISNUMBER(SEARCH(" "&amp;Terms!$A$3:$A$821&amp;" ",$D385))*Terms!G$3:G$821)+Terms!G$2</f>
        <v>-7.09996189057455</v>
      </c>
      <c r="Y385" s="0" t="str">
        <f aca="false">INDEX($S$1:$X$1,MATCH(MAX(S385:X385),S385:X385,0))</f>
        <v>Fees &amp; Charges</v>
      </c>
      <c r="Z385" s="0" t="s">
        <v>2607</v>
      </c>
    </row>
    <row r="386" customFormat="false" ht="15" hidden="false" customHeight="false" outlineLevel="0" collapsed="false">
      <c r="A386" s="0" t="str">
        <f aca="false">Complaints!A386</f>
        <v>C0385</v>
      </c>
      <c r="B386" s="0" t="str">
        <f aca="false">Complaints!B386</f>
        <v>Frankly, I feel I was treated badly because of my age. I expect compensation.</v>
      </c>
      <c r="C386" s="0" t="str">
        <f aca="false">Complaints!C386</f>
        <v>Customer Service</v>
      </c>
      <c r="D386" s="0" t="str">
        <f aca="false">" "&amp;TRIM(SUBSTITUTE(SUBSTITUTE(SUBSTITUTE(SUBSTITUTE(SUBSTITUTE(SUBSTITUTE(SUBSTITUTE(SUBSTITUTE(SUBSTITUTE(SUBSTITUTE(SUBSTITUTE(SUBSTITUTE(SUBSTITUTE(SUBSTITUTE(SUBSTITUTE(SUBSTITUTE(LOWER(B386),"."," "),","," "),"'"," "),"’"," "),"!"," "),"?"," "),";"," "),":"," "),"-"," "),"("," "),")"," "),"""", " "),"£"," "),"&amp;"," "),"/"," "),"%"," "))&amp;" "</f>
        <v> frankly i feel i was treated badly because of my age i expect compensation </v>
      </c>
      <c r="E386" s="0" t="n">
        <f aca="false">SUMPRODUCT((Rules!$A$2:$A$60=E$1)*Rules!$C$2:$C$60*ISNUMBER(SEARCH(Rules!$D$2:$D$60,$D386)))</f>
        <v>0</v>
      </c>
      <c r="F386" s="0" t="n">
        <f aca="false">SUMPRODUCT((Rules!$A$2:$A$60=F$1)*Rules!$C$2:$C$60*ISNUMBER(SEARCH(Rules!$D$2:$D$60,$D386)))</f>
        <v>0</v>
      </c>
      <c r="G386" s="0" t="n">
        <f aca="false">SUMPRODUCT((Rules!$A$2:$A$60=G$1)*Rules!$C$2:$C$60*ISNUMBER(SEARCH(Rules!$D$2:$D$60,$D386)))</f>
        <v>0</v>
      </c>
      <c r="H386" s="0" t="n">
        <f aca="false">SUMPRODUCT((Rules!$A$2:$A$60=H$1)*Rules!$C$2:$C$60*ISNUMBER(SEARCH(Rules!$D$2:$D$60,$D386)))</f>
        <v>0</v>
      </c>
      <c r="I386" s="0" t="n">
        <f aca="false">SUMPRODUCT((Rules!$A$2:$A$60=I$1)*Rules!$C$2:$C$60*ISNUMBER(SEARCH(Rules!$D$2:$D$60,$D386)))</f>
        <v>0</v>
      </c>
      <c r="J386" s="0" t="n">
        <f aca="false">SUMPRODUCT((Rules!$A$2:$A$60=J$1)*Rules!$C$2:$C$60*ISNUMBER(SEARCH(Rules!$D$2:$D$60,$D386)))</f>
        <v>3</v>
      </c>
      <c r="K386" s="0" t="str">
        <f aca="false">IF(OR(MAX(E386:J386)&lt;Rules!$H$1,MAX(E386:J386)-LARGE(E386:J386,2)&lt;Rules!$H$2),"No label",INDEX($E$1:$J$1,MATCH(MAX(E386:J386),E386:J386,0)))</f>
        <v>Customer Service</v>
      </c>
      <c r="L386" s="0" t="n">
        <f aca="false">SUMPRODUCT((Rules!$A$2:$A$60=L$1)*Rules!$C$2:$C$60*ISNUMBER(SEARCH(Rules!$E$2:$E$60,$D386)))</f>
        <v>0</v>
      </c>
      <c r="M386" s="0" t="n">
        <f aca="false">SUMPRODUCT((Rules!$A$2:$A$60=M$1)*Rules!$C$2:$C$60*ISNUMBER(SEARCH(Rules!$E$2:$E$60,$D386)))</f>
        <v>0</v>
      </c>
      <c r="N386" s="0" t="n">
        <f aca="false">SUMPRODUCT((Rules!$A$2:$A$60=N$1)*Rules!$C$2:$C$60*ISNUMBER(SEARCH(Rules!$E$2:$E$60,$D386)))</f>
        <v>0</v>
      </c>
      <c r="O386" s="0" t="n">
        <f aca="false">SUMPRODUCT((Rules!$A$2:$A$60=O$1)*Rules!$C$2:$C$60*ISNUMBER(SEARCH(Rules!$E$2:$E$60,$D386)))</f>
        <v>0</v>
      </c>
      <c r="P386" s="0" t="n">
        <f aca="false">SUMPRODUCT((Rules!$A$2:$A$60=P$1)*Rules!$C$2:$C$60*ISNUMBER(SEARCH(Rules!$E$2:$E$60,$D386)))</f>
        <v>0</v>
      </c>
      <c r="Q386" s="0" t="n">
        <f aca="false">SUMPRODUCT((Rules!$A$2:$A$60=Q$1)*Rules!$C$2:$C$60*ISNUMBER(SEARCH(Rules!$E$2:$E$60,$D386)))</f>
        <v>3</v>
      </c>
      <c r="R386" s="0" t="str">
        <f aca="false">IF(OR(MAX(L386:Q386)&lt;Rules!$H$1,MAX(L386:Q386)-LARGE(L386:Q386,2)&lt;Rules!$H$2),"No label",INDEX($L$1:$Q$1,MATCH(MAX(L386:Q386),L386:Q386,0)))</f>
        <v>Customer Service</v>
      </c>
      <c r="S386" s="0" t="n">
        <f aca="false">SUMPRODUCT(ISNUMBER(SEARCH(" "&amp;Terms!$A$3:$A$821&amp;" ",$D386))*Terms!B$3:B$821)+Terms!B$2</f>
        <v>1.93034602212287</v>
      </c>
      <c r="T386" s="0" t="n">
        <f aca="false">SUMPRODUCT(ISNUMBER(SEARCH(" "&amp;Terms!$A$3:$A$821&amp;" ",$D386))*Terms!C$3:C$821)+Terms!C$2</f>
        <v>8.03077629804623</v>
      </c>
      <c r="U386" s="0" t="n">
        <f aca="false">SUMPRODUCT(ISNUMBER(SEARCH(" "&amp;Terms!$A$3:$A$821&amp;" ",$D386))*Terms!D$3:D$821)+Terms!D$2</f>
        <v>-4.62022947774771</v>
      </c>
      <c r="V386" s="0" t="n">
        <f aca="false">SUMPRODUCT(ISNUMBER(SEARCH(" "&amp;Terms!$A$3:$A$821&amp;" ",$D386))*Terms!E$3:E$821)+Terms!E$2</f>
        <v>-3.25752019919443</v>
      </c>
      <c r="W386" s="0" t="n">
        <f aca="false">SUMPRODUCT(ISNUMBER(SEARCH(" "&amp;Terms!$A$3:$A$821&amp;" ",$D386))*Terms!F$3:F$821)+Terms!F$2</f>
        <v>-0.231608664562766</v>
      </c>
      <c r="X386" s="0" t="n">
        <f aca="false">SUMPRODUCT(ISNUMBER(SEARCH(" "&amp;Terms!$A$3:$A$821&amp;" ",$D386))*Terms!G$3:G$821)+Terms!G$2</f>
        <v>-1.85176397866408</v>
      </c>
      <c r="Y386" s="0" t="str">
        <f aca="false">INDEX($S$1:$X$1,MATCH(MAX(S386:X386),S386:X386,0))</f>
        <v>Customer Service</v>
      </c>
      <c r="Z386" s="0" t="s">
        <v>2607</v>
      </c>
    </row>
    <row r="387" customFormat="false" ht="15" hidden="false" customHeight="false" outlineLevel="0" collapsed="false">
      <c r="A387" s="0" t="str">
        <f aca="false">Complaints!A387</f>
        <v>C0386</v>
      </c>
      <c r="B387" s="0" t="str">
        <f aca="false">Complaints!B387</f>
        <v>I think I was the victim of a scam and sent money to a fraudster. Please escalate this.</v>
      </c>
      <c r="C387" s="0" t="str">
        <f aca="false">Complaints!C387</f>
        <v>Fraud &amp; Scams</v>
      </c>
      <c r="D387" s="0" t="str">
        <f aca="false">" "&amp;TRIM(SUBSTITUTE(SUBSTITUTE(SUBSTITUTE(SUBSTITUTE(SUBSTITUTE(SUBSTITUTE(SUBSTITUTE(SUBSTITUTE(SUBSTITUTE(SUBSTITUTE(SUBSTITUTE(SUBSTITUTE(SUBSTITUTE(SUBSTITUTE(SUBSTITUTE(SUBSTITUTE(LOWER(B387),"."," "),","," "),"'"," "),"’"," "),"!"," "),"?"," "),";"," "),":"," "),"-"," "),"("," "),")"," "),"""", " "),"£"," "),"&amp;"," "),"/"," "),"%"," "))&amp;" "</f>
        <v> i think i was the victim of a scam and sent money to a fraudster please escalate this </v>
      </c>
      <c r="E387" s="0" t="n">
        <f aca="false">SUMPRODUCT((Rules!$A$2:$A$60=E$1)*Rules!$C$2:$C$60*ISNUMBER(SEARCH(Rules!$D$2:$D$60,$D387)))</f>
        <v>6</v>
      </c>
      <c r="F387" s="0" t="n">
        <f aca="false">SUMPRODUCT((Rules!$A$2:$A$60=F$1)*Rules!$C$2:$C$60*ISNUMBER(SEARCH(Rules!$D$2:$D$60,$D387)))</f>
        <v>0</v>
      </c>
      <c r="G387" s="0" t="n">
        <f aca="false">SUMPRODUCT((Rules!$A$2:$A$60=G$1)*Rules!$C$2:$C$60*ISNUMBER(SEARCH(Rules!$D$2:$D$60,$D387)))</f>
        <v>0</v>
      </c>
      <c r="H387" s="0" t="n">
        <f aca="false">SUMPRODUCT((Rules!$A$2:$A$60=H$1)*Rules!$C$2:$C$60*ISNUMBER(SEARCH(Rules!$D$2:$D$60,$D387)))</f>
        <v>0</v>
      </c>
      <c r="I387" s="0" t="n">
        <f aca="false">SUMPRODUCT((Rules!$A$2:$A$60=I$1)*Rules!$C$2:$C$60*ISNUMBER(SEARCH(Rules!$D$2:$D$60,$D387)))</f>
        <v>0</v>
      </c>
      <c r="J387" s="0" t="n">
        <f aca="false">SUMPRODUCT((Rules!$A$2:$A$60=J$1)*Rules!$C$2:$C$60*ISNUMBER(SEARCH(Rules!$D$2:$D$60,$D387)))</f>
        <v>0</v>
      </c>
      <c r="K387" s="0" t="str">
        <f aca="false">IF(OR(MAX(E387:J387)&lt;Rules!$H$1,MAX(E387:J387)-LARGE(E387:J387,2)&lt;Rules!$H$2),"No label",INDEX($E$1:$J$1,MATCH(MAX(E387:J387),E387:J387,0)))</f>
        <v>Fraud &amp; Scams</v>
      </c>
      <c r="L387" s="0" t="n">
        <f aca="false">SUMPRODUCT((Rules!$A$2:$A$60=L$1)*Rules!$C$2:$C$60*ISNUMBER(SEARCH(Rules!$E$2:$E$60,$D387)))</f>
        <v>6</v>
      </c>
      <c r="M387" s="0" t="n">
        <f aca="false">SUMPRODUCT((Rules!$A$2:$A$60=M$1)*Rules!$C$2:$C$60*ISNUMBER(SEARCH(Rules!$E$2:$E$60,$D387)))</f>
        <v>0</v>
      </c>
      <c r="N387" s="0" t="n">
        <f aca="false">SUMPRODUCT((Rules!$A$2:$A$60=N$1)*Rules!$C$2:$C$60*ISNUMBER(SEARCH(Rules!$E$2:$E$60,$D387)))</f>
        <v>0</v>
      </c>
      <c r="O387" s="0" t="n">
        <f aca="false">SUMPRODUCT((Rules!$A$2:$A$60=O$1)*Rules!$C$2:$C$60*ISNUMBER(SEARCH(Rules!$E$2:$E$60,$D387)))</f>
        <v>0</v>
      </c>
      <c r="P387" s="0" t="n">
        <f aca="false">SUMPRODUCT((Rules!$A$2:$A$60=P$1)*Rules!$C$2:$C$60*ISNUMBER(SEARCH(Rules!$E$2:$E$60,$D387)))</f>
        <v>0</v>
      </c>
      <c r="Q387" s="0" t="n">
        <f aca="false">SUMPRODUCT((Rules!$A$2:$A$60=Q$1)*Rules!$C$2:$C$60*ISNUMBER(SEARCH(Rules!$E$2:$E$60,$D387)))</f>
        <v>0</v>
      </c>
      <c r="R387" s="0" t="str">
        <f aca="false">IF(OR(MAX(L387:Q387)&lt;Rules!$H$1,MAX(L387:Q387)-LARGE(L387:Q387,2)&lt;Rules!$H$2),"No label",INDEX($L$1:$Q$1,MATCH(MAX(L387:Q387),L387:Q387,0)))</f>
        <v>Fraud &amp; Scams</v>
      </c>
      <c r="S387" s="0" t="n">
        <f aca="false">SUMPRODUCT(ISNUMBER(SEARCH(" "&amp;Terms!$A$3:$A$821&amp;" ",$D387))*Terms!B$3:B$821)+Terms!B$2</f>
        <v>-0.0397966082133778</v>
      </c>
      <c r="T387" s="0" t="n">
        <f aca="false">SUMPRODUCT(ISNUMBER(SEARCH(" "&amp;Terms!$A$3:$A$821&amp;" ",$D387))*Terms!C$3:C$821)+Terms!C$2</f>
        <v>-3.93928005195188</v>
      </c>
      <c r="U387" s="0" t="n">
        <f aca="false">SUMPRODUCT(ISNUMBER(SEARCH(" "&amp;Terms!$A$3:$A$821&amp;" ",$D387))*Terms!D$3:D$821)+Terms!D$2</f>
        <v>-0.719493611725208</v>
      </c>
      <c r="V387" s="0" t="n">
        <f aca="false">SUMPRODUCT(ISNUMBER(SEARCH(" "&amp;Terms!$A$3:$A$821&amp;" ",$D387))*Terms!E$3:E$821)+Terms!E$2</f>
        <v>-2.09505529450791</v>
      </c>
      <c r="W387" s="0" t="n">
        <f aca="false">SUMPRODUCT(ISNUMBER(SEARCH(" "&amp;Terms!$A$3:$A$821&amp;" ",$D387))*Terms!F$3:F$821)+Terms!F$2</f>
        <v>8.6906509581713</v>
      </c>
      <c r="X387" s="0" t="n">
        <f aca="false">SUMPRODUCT(ISNUMBER(SEARCH(" "&amp;Terms!$A$3:$A$821&amp;" ",$D387))*Terms!G$3:G$821)+Terms!G$2</f>
        <v>-1.89702539177283</v>
      </c>
      <c r="Y387" s="0" t="str">
        <f aca="false">INDEX($S$1:$X$1,MATCH(MAX(S387:X387),S387:X387,0))</f>
        <v>Fraud &amp; Scams</v>
      </c>
      <c r="Z387" s="0" t="s">
        <v>2607</v>
      </c>
    </row>
    <row r="388" customFormat="false" ht="15" hidden="false" customHeight="false" outlineLevel="0" collapsed="false">
      <c r="A388" s="0" t="str">
        <f aca="false">Complaints!A388</f>
        <v>C0387</v>
      </c>
      <c r="B388" s="0" t="str">
        <f aca="false">Complaints!B388</f>
        <v>Hello, I was misled about what the insurance actually included. I would like a response in writing.</v>
      </c>
      <c r="C388" s="0" t="str">
        <f aca="false">Complaints!C388</f>
        <v>Mis-selling</v>
      </c>
      <c r="D388" s="0" t="str">
        <f aca="false">" "&amp;TRIM(SUBSTITUTE(SUBSTITUTE(SUBSTITUTE(SUBSTITUTE(SUBSTITUTE(SUBSTITUTE(SUBSTITUTE(SUBSTITUTE(SUBSTITUTE(SUBSTITUTE(SUBSTITUTE(SUBSTITUTE(SUBSTITUTE(SUBSTITUTE(SUBSTITUTE(SUBSTITUTE(LOWER(B388),"."," "),","," "),"'"," "),"’"," "),"!"," "),"?"," "),";"," "),":"," "),"-"," "),"("," "),")"," "),"""", " "),"£"," "),"&amp;"," "),"/"," "),"%"," "))&amp;" "</f>
        <v> hello i was misled about what the insurance actually included i would like a response in writing </v>
      </c>
      <c r="E388" s="0" t="n">
        <f aca="false">SUMPRODUCT((Rules!$A$2:$A$60=E$1)*Rules!$C$2:$C$60*ISNUMBER(SEARCH(Rules!$D$2:$D$60,$D388)))</f>
        <v>0</v>
      </c>
      <c r="F388" s="0" t="n">
        <f aca="false">SUMPRODUCT((Rules!$A$2:$A$60=F$1)*Rules!$C$2:$C$60*ISNUMBER(SEARCH(Rules!$D$2:$D$60,$D388)))</f>
        <v>4</v>
      </c>
      <c r="G388" s="0" t="n">
        <f aca="false">SUMPRODUCT((Rules!$A$2:$A$60=G$1)*Rules!$C$2:$C$60*ISNUMBER(SEARCH(Rules!$D$2:$D$60,$D388)))</f>
        <v>0</v>
      </c>
      <c r="H388" s="0" t="n">
        <f aca="false">SUMPRODUCT((Rules!$A$2:$A$60=H$1)*Rules!$C$2:$C$60*ISNUMBER(SEARCH(Rules!$D$2:$D$60,$D388)))</f>
        <v>0</v>
      </c>
      <c r="I388" s="0" t="n">
        <f aca="false">SUMPRODUCT((Rules!$A$2:$A$60=I$1)*Rules!$C$2:$C$60*ISNUMBER(SEARCH(Rules!$D$2:$D$60,$D388)))</f>
        <v>0</v>
      </c>
      <c r="J388" s="0" t="n">
        <f aca="false">SUMPRODUCT((Rules!$A$2:$A$60=J$1)*Rules!$C$2:$C$60*ISNUMBER(SEARCH(Rules!$D$2:$D$60,$D388)))</f>
        <v>0</v>
      </c>
      <c r="K388" s="0" t="str">
        <f aca="false">IF(OR(MAX(E388:J388)&lt;Rules!$H$1,MAX(E388:J388)-LARGE(E388:J388,2)&lt;Rules!$H$2),"No label",INDEX($E$1:$J$1,MATCH(MAX(E388:J388),E388:J388,0)))</f>
        <v>Mis-selling</v>
      </c>
      <c r="L388" s="0" t="n">
        <f aca="false">SUMPRODUCT((Rules!$A$2:$A$60=L$1)*Rules!$C$2:$C$60*ISNUMBER(SEARCH(Rules!$E$2:$E$60,$D388)))</f>
        <v>0</v>
      </c>
      <c r="M388" s="0" t="n">
        <f aca="false">SUMPRODUCT((Rules!$A$2:$A$60=M$1)*Rules!$C$2:$C$60*ISNUMBER(SEARCH(Rules!$E$2:$E$60,$D388)))</f>
        <v>4</v>
      </c>
      <c r="N388" s="0" t="n">
        <f aca="false">SUMPRODUCT((Rules!$A$2:$A$60=N$1)*Rules!$C$2:$C$60*ISNUMBER(SEARCH(Rules!$E$2:$E$60,$D388)))</f>
        <v>0</v>
      </c>
      <c r="O388" s="0" t="n">
        <f aca="false">SUMPRODUCT((Rules!$A$2:$A$60=O$1)*Rules!$C$2:$C$60*ISNUMBER(SEARCH(Rules!$E$2:$E$60,$D388)))</f>
        <v>0</v>
      </c>
      <c r="P388" s="0" t="n">
        <f aca="false">SUMPRODUCT((Rules!$A$2:$A$60=P$1)*Rules!$C$2:$C$60*ISNUMBER(SEARCH(Rules!$E$2:$E$60,$D388)))</f>
        <v>0</v>
      </c>
      <c r="Q388" s="0" t="n">
        <f aca="false">SUMPRODUCT((Rules!$A$2:$A$60=Q$1)*Rules!$C$2:$C$60*ISNUMBER(SEARCH(Rules!$E$2:$E$60,$D388)))</f>
        <v>0</v>
      </c>
      <c r="R388" s="0" t="str">
        <f aca="false">IF(OR(MAX(L388:Q388)&lt;Rules!$H$1,MAX(L388:Q388)-LARGE(L388:Q388,2)&lt;Rules!$H$2),"No label",INDEX($L$1:$Q$1,MATCH(MAX(L388:Q388),L388:Q388,0)))</f>
        <v>Mis-selling</v>
      </c>
      <c r="S388" s="0" t="n">
        <f aca="false">SUMPRODUCT(ISNUMBER(SEARCH(" "&amp;Terms!$A$3:$A$821&amp;" ",$D388))*Terms!B$3:B$821)+Terms!B$2</f>
        <v>-1.55991590876015</v>
      </c>
      <c r="T388" s="0" t="n">
        <f aca="false">SUMPRODUCT(ISNUMBER(SEARCH(" "&amp;Terms!$A$3:$A$821&amp;" ",$D388))*Terms!C$3:C$821)+Terms!C$2</f>
        <v>-3.61086276626595</v>
      </c>
      <c r="U388" s="0" t="n">
        <f aca="false">SUMPRODUCT(ISNUMBER(SEARCH(" "&amp;Terms!$A$3:$A$821&amp;" ",$D388))*Terms!D$3:D$821)+Terms!D$2</f>
        <v>-2.3991030362852</v>
      </c>
      <c r="V388" s="0" t="n">
        <f aca="false">SUMPRODUCT(ISNUMBER(SEARCH(" "&amp;Terms!$A$3:$A$821&amp;" ",$D388))*Terms!E$3:E$821)+Terms!E$2</f>
        <v>-0.703808822224967</v>
      </c>
      <c r="W388" s="0" t="n">
        <f aca="false">SUMPRODUCT(ISNUMBER(SEARCH(" "&amp;Terms!$A$3:$A$821&amp;" ",$D388))*Terms!F$3:F$821)+Terms!F$2</f>
        <v>-5.86961388776747</v>
      </c>
      <c r="X388" s="0" t="n">
        <f aca="false">SUMPRODUCT(ISNUMBER(SEARCH(" "&amp;Terms!$A$3:$A$821&amp;" ",$D388))*Terms!G$3:G$821)+Terms!G$2</f>
        <v>14.1433044213038</v>
      </c>
      <c r="Y388" s="0" t="str">
        <f aca="false">INDEX($S$1:$X$1,MATCH(MAX(S388:X388),S388:X388,0))</f>
        <v>Mis-selling</v>
      </c>
      <c r="Z388" s="0" t="s">
        <v>2607</v>
      </c>
    </row>
    <row r="389" customFormat="false" ht="15" hidden="false" customHeight="false" outlineLevel="0" collapsed="false">
      <c r="A389" s="0" t="str">
        <f aca="false">Complaints!A389</f>
        <v>C0388</v>
      </c>
      <c r="B389" s="0" t="str">
        <f aca="false">Complaints!B389</f>
        <v>I am writing to complain. The payment still has not arrived in my account. I could not log in to check either. Please escalate this.</v>
      </c>
      <c r="C389" s="0" t="str">
        <f aca="false">Complaints!C389</f>
        <v>Delays &amp; Processing</v>
      </c>
      <c r="D389" s="0" t="str">
        <f aca="false">" "&amp;TRIM(SUBSTITUTE(SUBSTITUTE(SUBSTITUTE(SUBSTITUTE(SUBSTITUTE(SUBSTITUTE(SUBSTITUTE(SUBSTITUTE(SUBSTITUTE(SUBSTITUTE(SUBSTITUTE(SUBSTITUTE(SUBSTITUTE(SUBSTITUTE(SUBSTITUTE(SUBSTITUTE(LOWER(B389),"."," "),","," "),"'"," "),"’"," "),"!"," "),"?"," "),";"," "),":"," "),"-"," "),"("," "),")"," "),"""", " "),"£"," "),"&amp;"," "),"/"," "),"%"," "))&amp;" "</f>
        <v> i am writing to complain the payment still has not arrived in my account i could not log in to check either please escalate this </v>
      </c>
      <c r="E389" s="0" t="n">
        <f aca="false">SUMPRODUCT((Rules!$A$2:$A$60=E$1)*Rules!$C$2:$C$60*ISNUMBER(SEARCH(Rules!$D$2:$D$60,$D389)))</f>
        <v>0</v>
      </c>
      <c r="F389" s="0" t="n">
        <f aca="false">SUMPRODUCT((Rules!$A$2:$A$60=F$1)*Rules!$C$2:$C$60*ISNUMBER(SEARCH(Rules!$D$2:$D$60,$D389)))</f>
        <v>0</v>
      </c>
      <c r="G389" s="0" t="n">
        <f aca="false">SUMPRODUCT((Rules!$A$2:$A$60=G$1)*Rules!$C$2:$C$60*ISNUMBER(SEARCH(Rules!$D$2:$D$60,$D389)))</f>
        <v>3</v>
      </c>
      <c r="H389" s="0" t="n">
        <f aca="false">SUMPRODUCT((Rules!$A$2:$A$60=H$1)*Rules!$C$2:$C$60*ISNUMBER(SEARCH(Rules!$D$2:$D$60,$D389)))</f>
        <v>0</v>
      </c>
      <c r="I389" s="0" t="n">
        <f aca="false">SUMPRODUCT((Rules!$A$2:$A$60=I$1)*Rules!$C$2:$C$60*ISNUMBER(SEARCH(Rules!$D$2:$D$60,$D389)))</f>
        <v>2</v>
      </c>
      <c r="J389" s="0" t="n">
        <f aca="false">SUMPRODUCT((Rules!$A$2:$A$60=J$1)*Rules!$C$2:$C$60*ISNUMBER(SEARCH(Rules!$D$2:$D$60,$D389)))</f>
        <v>0</v>
      </c>
      <c r="K389" s="0" t="str">
        <f aca="false">IF(OR(MAX(E389:J389)&lt;Rules!$H$1,MAX(E389:J389)-LARGE(E389:J389,2)&lt;Rules!$H$2),"No label",INDEX($E$1:$J$1,MATCH(MAX(E389:J389),E389:J389,0)))</f>
        <v>No label</v>
      </c>
      <c r="L389" s="0" t="n">
        <f aca="false">SUMPRODUCT((Rules!$A$2:$A$60=L$1)*Rules!$C$2:$C$60*ISNUMBER(SEARCH(Rules!$E$2:$E$60,$D389)))</f>
        <v>0</v>
      </c>
      <c r="M389" s="0" t="n">
        <f aca="false">SUMPRODUCT((Rules!$A$2:$A$60=M$1)*Rules!$C$2:$C$60*ISNUMBER(SEARCH(Rules!$E$2:$E$60,$D389)))</f>
        <v>0</v>
      </c>
      <c r="N389" s="0" t="n">
        <f aca="false">SUMPRODUCT((Rules!$A$2:$A$60=N$1)*Rules!$C$2:$C$60*ISNUMBER(SEARCH(Rules!$E$2:$E$60,$D389)))</f>
        <v>3</v>
      </c>
      <c r="O389" s="0" t="n">
        <f aca="false">SUMPRODUCT((Rules!$A$2:$A$60=O$1)*Rules!$C$2:$C$60*ISNUMBER(SEARCH(Rules!$E$2:$E$60,$D389)))</f>
        <v>0</v>
      </c>
      <c r="P389" s="0" t="n">
        <f aca="false">SUMPRODUCT((Rules!$A$2:$A$60=P$1)*Rules!$C$2:$C$60*ISNUMBER(SEARCH(Rules!$E$2:$E$60,$D389)))</f>
        <v>2</v>
      </c>
      <c r="Q389" s="0" t="n">
        <f aca="false">SUMPRODUCT((Rules!$A$2:$A$60=Q$1)*Rules!$C$2:$C$60*ISNUMBER(SEARCH(Rules!$E$2:$E$60,$D389)))</f>
        <v>0</v>
      </c>
      <c r="R389" s="0" t="str">
        <f aca="false">IF(OR(MAX(L389:Q389)&lt;Rules!$H$1,MAX(L389:Q389)-LARGE(L389:Q389,2)&lt;Rules!$H$2),"No label",INDEX($L$1:$Q$1,MATCH(MAX(L389:Q389),L389:Q389,0)))</f>
        <v>No label</v>
      </c>
      <c r="S389" s="0" t="n">
        <f aca="false">SUMPRODUCT(ISNUMBER(SEARCH(" "&amp;Terms!$A$3:$A$821&amp;" ",$D389))*Terms!B$3:B$821)+Terms!B$2</f>
        <v>0.158089049351798</v>
      </c>
      <c r="T389" s="0" t="n">
        <f aca="false">SUMPRODUCT(ISNUMBER(SEARCH(" "&amp;Terms!$A$3:$A$821&amp;" ",$D389))*Terms!C$3:C$821)+Terms!C$2</f>
        <v>-2.45226098252629</v>
      </c>
      <c r="U389" s="0" t="n">
        <f aca="false">SUMPRODUCT(ISNUMBER(SEARCH(" "&amp;Terms!$A$3:$A$821&amp;" ",$D389))*Terms!D$3:D$821)+Terms!D$2</f>
        <v>8.25287012104482</v>
      </c>
      <c r="V389" s="0" t="n">
        <f aca="false">SUMPRODUCT(ISNUMBER(SEARCH(" "&amp;Terms!$A$3:$A$821&amp;" ",$D389))*Terms!E$3:E$821)+Terms!E$2</f>
        <v>-1.07919921943868</v>
      </c>
      <c r="W389" s="0" t="n">
        <f aca="false">SUMPRODUCT(ISNUMBER(SEARCH(" "&amp;Terms!$A$3:$A$821&amp;" ",$D389))*Terms!F$3:F$821)+Terms!F$2</f>
        <v>-1.47227574490136</v>
      </c>
      <c r="X389" s="0" t="n">
        <f aca="false">SUMPRODUCT(ISNUMBER(SEARCH(" "&amp;Terms!$A$3:$A$821&amp;" ",$D389))*Terms!G$3:G$821)+Terms!G$2</f>
        <v>-3.4072232235302</v>
      </c>
      <c r="Y389" s="0" t="str">
        <f aca="false">INDEX($S$1:$X$1,MATCH(MAX(S389:X389),S389:X389,0))</f>
        <v>Delays &amp; Processing</v>
      </c>
      <c r="Z389" s="0" t="s">
        <v>2608</v>
      </c>
    </row>
    <row r="390" customFormat="false" ht="15" hidden="false" customHeight="false" outlineLevel="0" collapsed="false">
      <c r="A390" s="0" t="str">
        <f aca="false">Complaints!A390</f>
        <v>C0389</v>
      </c>
      <c r="B390" s="0" t="str">
        <f aca="false">Complaints!B390</f>
        <v>This is the second time I have raised this. Your advisor gave me different answers on two separate calls. Please escalate this.</v>
      </c>
      <c r="C390" s="0" t="str">
        <f aca="false">Complaints!C390</f>
        <v>Customer Service</v>
      </c>
      <c r="D390" s="0" t="str">
        <f aca="false">" "&amp;TRIM(SUBSTITUTE(SUBSTITUTE(SUBSTITUTE(SUBSTITUTE(SUBSTITUTE(SUBSTITUTE(SUBSTITUTE(SUBSTITUTE(SUBSTITUTE(SUBSTITUTE(SUBSTITUTE(SUBSTITUTE(SUBSTITUTE(SUBSTITUTE(SUBSTITUTE(SUBSTITUTE(LOWER(B390),"."," "),","," "),"'"," "),"’"," "),"!"," "),"?"," "),";"," "),":"," "),"-"," "),"("," "),")"," "),"""", " "),"£"," "),"&amp;"," "),"/"," "),"%"," "))&amp;" "</f>
        <v> this is the second time i have raised this your advisor gave me different answers on two separate calls please escalate this </v>
      </c>
      <c r="E390" s="0" t="n">
        <f aca="false">SUMPRODUCT((Rules!$A$2:$A$60=E$1)*Rules!$C$2:$C$60*ISNUMBER(SEARCH(Rules!$D$2:$D$60,$D390)))</f>
        <v>0</v>
      </c>
      <c r="F390" s="0" t="n">
        <f aca="false">SUMPRODUCT((Rules!$A$2:$A$60=F$1)*Rules!$C$2:$C$60*ISNUMBER(SEARCH(Rules!$D$2:$D$60,$D390)))</f>
        <v>0</v>
      </c>
      <c r="G390" s="0" t="n">
        <f aca="false">SUMPRODUCT((Rules!$A$2:$A$60=G$1)*Rules!$C$2:$C$60*ISNUMBER(SEARCH(Rules!$D$2:$D$60,$D390)))</f>
        <v>0</v>
      </c>
      <c r="H390" s="0" t="n">
        <f aca="false">SUMPRODUCT((Rules!$A$2:$A$60=H$1)*Rules!$C$2:$C$60*ISNUMBER(SEARCH(Rules!$D$2:$D$60,$D390)))</f>
        <v>0</v>
      </c>
      <c r="I390" s="0" t="n">
        <f aca="false">SUMPRODUCT((Rules!$A$2:$A$60=I$1)*Rules!$C$2:$C$60*ISNUMBER(SEARCH(Rules!$D$2:$D$60,$D390)))</f>
        <v>0</v>
      </c>
      <c r="J390" s="0" t="n">
        <f aca="false">SUMPRODUCT((Rules!$A$2:$A$60=J$1)*Rules!$C$2:$C$60*ISNUMBER(SEARCH(Rules!$D$2:$D$60,$D390)))</f>
        <v>1</v>
      </c>
      <c r="K390" s="0" t="str">
        <f aca="false">IF(OR(MAX(E390:J390)&lt;Rules!$H$1,MAX(E390:J390)-LARGE(E390:J390,2)&lt;Rules!$H$2),"No label",INDEX($E$1:$J$1,MATCH(MAX(E390:J390),E390:J390,0)))</f>
        <v>No label</v>
      </c>
      <c r="L390" s="0" t="n">
        <f aca="false">SUMPRODUCT((Rules!$A$2:$A$60=L$1)*Rules!$C$2:$C$60*ISNUMBER(SEARCH(Rules!$E$2:$E$60,$D390)))</f>
        <v>0</v>
      </c>
      <c r="M390" s="0" t="n">
        <f aca="false">SUMPRODUCT((Rules!$A$2:$A$60=M$1)*Rules!$C$2:$C$60*ISNUMBER(SEARCH(Rules!$E$2:$E$60,$D390)))</f>
        <v>4</v>
      </c>
      <c r="N390" s="0" t="n">
        <f aca="false">SUMPRODUCT((Rules!$A$2:$A$60=N$1)*Rules!$C$2:$C$60*ISNUMBER(SEARCH(Rules!$E$2:$E$60,$D390)))</f>
        <v>0</v>
      </c>
      <c r="O390" s="0" t="n">
        <f aca="false">SUMPRODUCT((Rules!$A$2:$A$60=O$1)*Rules!$C$2:$C$60*ISNUMBER(SEARCH(Rules!$E$2:$E$60,$D390)))</f>
        <v>0</v>
      </c>
      <c r="P390" s="0" t="n">
        <f aca="false">SUMPRODUCT((Rules!$A$2:$A$60=P$1)*Rules!$C$2:$C$60*ISNUMBER(SEARCH(Rules!$E$2:$E$60,$D390)))</f>
        <v>0</v>
      </c>
      <c r="Q390" s="0" t="n">
        <f aca="false">SUMPRODUCT((Rules!$A$2:$A$60=Q$1)*Rules!$C$2:$C$60*ISNUMBER(SEARCH(Rules!$E$2:$E$60,$D390)))</f>
        <v>1</v>
      </c>
      <c r="R390" s="0" t="str">
        <f aca="false">IF(OR(MAX(L390:Q390)&lt;Rules!$H$1,MAX(L390:Q390)-LARGE(L390:Q390,2)&lt;Rules!$H$2),"No label",INDEX($L$1:$Q$1,MATCH(MAX(L390:Q390),L390:Q390,0)))</f>
        <v>Mis-selling</v>
      </c>
      <c r="S390" s="0" t="n">
        <f aca="false">SUMPRODUCT(ISNUMBER(SEARCH(" "&amp;Terms!$A$3:$A$821&amp;" ",$D390))*Terms!B$3:B$821)+Terms!B$2</f>
        <v>-1.76358347538552</v>
      </c>
      <c r="T390" s="0" t="n">
        <f aca="false">SUMPRODUCT(ISNUMBER(SEARCH(" "&amp;Terms!$A$3:$A$821&amp;" ",$D390))*Terms!C$3:C$821)+Terms!C$2</f>
        <v>14.1778779022</v>
      </c>
      <c r="U390" s="0" t="n">
        <f aca="false">SUMPRODUCT(ISNUMBER(SEARCH(" "&amp;Terms!$A$3:$A$821&amp;" ",$D390))*Terms!D$3:D$821)+Terms!D$2</f>
        <v>-3.76368982733813</v>
      </c>
      <c r="V390" s="0" t="n">
        <f aca="false">SUMPRODUCT(ISNUMBER(SEARCH(" "&amp;Terms!$A$3:$A$821&amp;" ",$D390))*Terms!E$3:E$821)+Terms!E$2</f>
        <v>-4.31370926173893</v>
      </c>
      <c r="W390" s="0" t="n">
        <f aca="false">SUMPRODUCT(ISNUMBER(SEARCH(" "&amp;Terms!$A$3:$A$821&amp;" ",$D390))*Terms!F$3:F$821)+Terms!F$2</f>
        <v>-1.56521849208611</v>
      </c>
      <c r="X390" s="0" t="n">
        <f aca="false">SUMPRODUCT(ISNUMBER(SEARCH(" "&amp;Terms!$A$3:$A$821&amp;" ",$D390))*Terms!G$3:G$821)+Terms!G$2</f>
        <v>-2.77167684565117</v>
      </c>
      <c r="Y390" s="0" t="str">
        <f aca="false">INDEX($S$1:$X$1,MATCH(MAX(S390:X390),S390:X390,0))</f>
        <v>Customer Service</v>
      </c>
      <c r="Z390" s="0" t="s">
        <v>2608</v>
      </c>
    </row>
    <row r="391" customFormat="false" ht="15" hidden="false" customHeight="false" outlineLevel="0" collapsed="false">
      <c r="A391" s="0" t="str">
        <f aca="false">Complaints!A391</f>
        <v>C0390</v>
      </c>
      <c r="B391" s="0" t="str">
        <f aca="false">Complaints!B391</f>
        <v>I am writing to complain. The staff member was rude and dismissive when I called. I could not log in to check either. Please sort this out.</v>
      </c>
      <c r="C391" s="0" t="str">
        <f aca="false">Complaints!C391</f>
        <v>Customer Service</v>
      </c>
      <c r="D391" s="0" t="str">
        <f aca="false">" "&amp;TRIM(SUBSTITUTE(SUBSTITUTE(SUBSTITUTE(SUBSTITUTE(SUBSTITUTE(SUBSTITUTE(SUBSTITUTE(SUBSTITUTE(SUBSTITUTE(SUBSTITUTE(SUBSTITUTE(SUBSTITUTE(SUBSTITUTE(SUBSTITUTE(SUBSTITUTE(SUBSTITUTE(LOWER(B391),"."," "),","," "),"'"," "),"’"," "),"!"," "),"?"," "),";"," "),":"," "),"-"," "),"("," "),")"," "),"""", " "),"£"," "),"&amp;"," "),"/"," "),"%"," "))&amp;" "</f>
        <v> i am writing to complain the staff member was rude and dismissive when i called i could not log in to check either please sort this out </v>
      </c>
      <c r="E391" s="0" t="n">
        <f aca="false">SUMPRODUCT((Rules!$A$2:$A$60=E$1)*Rules!$C$2:$C$60*ISNUMBER(SEARCH(Rules!$D$2:$D$60,$D391)))</f>
        <v>0</v>
      </c>
      <c r="F391" s="0" t="n">
        <f aca="false">SUMPRODUCT((Rules!$A$2:$A$60=F$1)*Rules!$C$2:$C$60*ISNUMBER(SEARCH(Rules!$D$2:$D$60,$D391)))</f>
        <v>0</v>
      </c>
      <c r="G391" s="0" t="n">
        <f aca="false">SUMPRODUCT((Rules!$A$2:$A$60=G$1)*Rules!$C$2:$C$60*ISNUMBER(SEARCH(Rules!$D$2:$D$60,$D391)))</f>
        <v>3</v>
      </c>
      <c r="H391" s="0" t="n">
        <f aca="false">SUMPRODUCT((Rules!$A$2:$A$60=H$1)*Rules!$C$2:$C$60*ISNUMBER(SEARCH(Rules!$D$2:$D$60,$D391)))</f>
        <v>0</v>
      </c>
      <c r="I391" s="0" t="n">
        <f aca="false">SUMPRODUCT((Rules!$A$2:$A$60=I$1)*Rules!$C$2:$C$60*ISNUMBER(SEARCH(Rules!$D$2:$D$60,$D391)))</f>
        <v>0</v>
      </c>
      <c r="J391" s="0" t="n">
        <f aca="false">SUMPRODUCT((Rules!$A$2:$A$60=J$1)*Rules!$C$2:$C$60*ISNUMBER(SEARCH(Rules!$D$2:$D$60,$D391)))</f>
        <v>4</v>
      </c>
      <c r="K391" s="0" t="str">
        <f aca="false">IF(OR(MAX(E391:J391)&lt;Rules!$H$1,MAX(E391:J391)-LARGE(E391:J391,2)&lt;Rules!$H$2),"No label",INDEX($E$1:$J$1,MATCH(MAX(E391:J391),E391:J391,0)))</f>
        <v>No label</v>
      </c>
      <c r="L391" s="0" t="n">
        <f aca="false">SUMPRODUCT((Rules!$A$2:$A$60=L$1)*Rules!$C$2:$C$60*ISNUMBER(SEARCH(Rules!$E$2:$E$60,$D391)))</f>
        <v>0</v>
      </c>
      <c r="M391" s="0" t="n">
        <f aca="false">SUMPRODUCT((Rules!$A$2:$A$60=M$1)*Rules!$C$2:$C$60*ISNUMBER(SEARCH(Rules!$E$2:$E$60,$D391)))</f>
        <v>0</v>
      </c>
      <c r="N391" s="0" t="n">
        <f aca="false">SUMPRODUCT((Rules!$A$2:$A$60=N$1)*Rules!$C$2:$C$60*ISNUMBER(SEARCH(Rules!$E$2:$E$60,$D391)))</f>
        <v>3</v>
      </c>
      <c r="O391" s="0" t="n">
        <f aca="false">SUMPRODUCT((Rules!$A$2:$A$60=O$1)*Rules!$C$2:$C$60*ISNUMBER(SEARCH(Rules!$E$2:$E$60,$D391)))</f>
        <v>0</v>
      </c>
      <c r="P391" s="0" t="n">
        <f aca="false">SUMPRODUCT((Rules!$A$2:$A$60=P$1)*Rules!$C$2:$C$60*ISNUMBER(SEARCH(Rules!$E$2:$E$60,$D391)))</f>
        <v>0</v>
      </c>
      <c r="Q391" s="0" t="n">
        <f aca="false">SUMPRODUCT((Rules!$A$2:$A$60=Q$1)*Rules!$C$2:$C$60*ISNUMBER(SEARCH(Rules!$E$2:$E$60,$D391)))</f>
        <v>4</v>
      </c>
      <c r="R391" s="0" t="str">
        <f aca="false">IF(OR(MAX(L391:Q391)&lt;Rules!$H$1,MAX(L391:Q391)-LARGE(L391:Q391,2)&lt;Rules!$H$2),"No label",INDEX($L$1:$Q$1,MATCH(MAX(L391:Q391),L391:Q391,0)))</f>
        <v>No label</v>
      </c>
      <c r="S391" s="0" t="n">
        <f aca="false">SUMPRODUCT(ISNUMBER(SEARCH(" "&amp;Terms!$A$3:$A$821&amp;" ",$D391))*Terms!B$3:B$821)+Terms!B$2</f>
        <v>-6.23552225276744</v>
      </c>
      <c r="T391" s="0" t="n">
        <f aca="false">SUMPRODUCT(ISNUMBER(SEARCH(" "&amp;Terms!$A$3:$A$821&amp;" ",$D391))*Terms!C$3:C$821)+Terms!C$2</f>
        <v>10.6840089529701</v>
      </c>
      <c r="U391" s="0" t="n">
        <f aca="false">SUMPRODUCT(ISNUMBER(SEARCH(" "&amp;Terms!$A$3:$A$821&amp;" ",$D391))*Terms!D$3:D$821)+Terms!D$2</f>
        <v>1.65306991002121</v>
      </c>
      <c r="V391" s="0" t="n">
        <f aca="false">SUMPRODUCT(ISNUMBER(SEARCH(" "&amp;Terms!$A$3:$A$821&amp;" ",$D391))*Terms!E$3:E$821)+Terms!E$2</f>
        <v>0.946960580599097</v>
      </c>
      <c r="W391" s="0" t="n">
        <f aca="false">SUMPRODUCT(ISNUMBER(SEARCH(" "&amp;Terms!$A$3:$A$821&amp;" ",$D391))*Terms!F$3:F$821)+Terms!F$2</f>
        <v>-3.17955755127569</v>
      </c>
      <c r="X391" s="0" t="n">
        <f aca="false">SUMPRODUCT(ISNUMBER(SEARCH(" "&amp;Terms!$A$3:$A$821&amp;" ",$D391))*Terms!G$3:G$821)+Terms!G$2</f>
        <v>-3.86895963954716</v>
      </c>
      <c r="Y391" s="0" t="str">
        <f aca="false">INDEX($S$1:$X$1,MATCH(MAX(S391:X391),S391:X391,0))</f>
        <v>Customer Service</v>
      </c>
      <c r="Z391" s="0" t="s">
        <v>2607</v>
      </c>
    </row>
    <row r="392" customFormat="false" ht="15" hidden="false" customHeight="false" outlineLevel="0" collapsed="false">
      <c r="A392" s="0" t="str">
        <f aca="false">Complaints!A392</f>
        <v>C0391</v>
      </c>
      <c r="B392" s="0" t="str">
        <f aca="false">Complaints!B392</f>
        <v>I am writing to complain. I was tricked into moving savings to a safe account that was not safe. This is not acceptable.</v>
      </c>
      <c r="C392" s="0" t="str">
        <f aca="false">Complaints!C392</f>
        <v>Fraud &amp; Scams</v>
      </c>
      <c r="D392" s="0" t="str">
        <f aca="false">" "&amp;TRIM(SUBSTITUTE(SUBSTITUTE(SUBSTITUTE(SUBSTITUTE(SUBSTITUTE(SUBSTITUTE(SUBSTITUTE(SUBSTITUTE(SUBSTITUTE(SUBSTITUTE(SUBSTITUTE(SUBSTITUTE(SUBSTITUTE(SUBSTITUTE(SUBSTITUTE(SUBSTITUTE(LOWER(B392),"."," "),","," "),"'"," "),"’"," "),"!"," "),"?"," "),";"," "),":"," "),"-"," "),"("," "),")"," "),"""", " "),"£"," "),"&amp;"," "),"/"," "),"%"," "))&amp;" "</f>
        <v> i am writing to complain i was tricked into moving savings to a safe account that was not safe this is not acceptable </v>
      </c>
      <c r="E392" s="0" t="n">
        <f aca="false">SUMPRODUCT((Rules!$A$2:$A$60=E$1)*Rules!$C$2:$C$60*ISNUMBER(SEARCH(Rules!$D$2:$D$60,$D392)))</f>
        <v>2</v>
      </c>
      <c r="F392" s="0" t="n">
        <f aca="false">SUMPRODUCT((Rules!$A$2:$A$60=F$1)*Rules!$C$2:$C$60*ISNUMBER(SEARCH(Rules!$D$2:$D$60,$D392)))</f>
        <v>0</v>
      </c>
      <c r="G392" s="0" t="n">
        <f aca="false">SUMPRODUCT((Rules!$A$2:$A$60=G$1)*Rules!$C$2:$C$60*ISNUMBER(SEARCH(Rules!$D$2:$D$60,$D392)))</f>
        <v>0</v>
      </c>
      <c r="H392" s="0" t="n">
        <f aca="false">SUMPRODUCT((Rules!$A$2:$A$60=H$1)*Rules!$C$2:$C$60*ISNUMBER(SEARCH(Rules!$D$2:$D$60,$D392)))</f>
        <v>0</v>
      </c>
      <c r="I392" s="0" t="n">
        <f aca="false">SUMPRODUCT((Rules!$A$2:$A$60=I$1)*Rules!$C$2:$C$60*ISNUMBER(SEARCH(Rules!$D$2:$D$60,$D392)))</f>
        <v>0</v>
      </c>
      <c r="J392" s="0" t="n">
        <f aca="false">SUMPRODUCT((Rules!$A$2:$A$60=J$1)*Rules!$C$2:$C$60*ISNUMBER(SEARCH(Rules!$D$2:$D$60,$D392)))</f>
        <v>0</v>
      </c>
      <c r="K392" s="0" t="str">
        <f aca="false">IF(OR(MAX(E392:J392)&lt;Rules!$H$1,MAX(E392:J392)-LARGE(E392:J392,2)&lt;Rules!$H$2),"No label",INDEX($E$1:$J$1,MATCH(MAX(E392:J392),E392:J392,0)))</f>
        <v>No label</v>
      </c>
      <c r="L392" s="0" t="n">
        <f aca="false">SUMPRODUCT((Rules!$A$2:$A$60=L$1)*Rules!$C$2:$C$60*ISNUMBER(SEARCH(Rules!$E$2:$E$60,$D392)))</f>
        <v>2</v>
      </c>
      <c r="M392" s="0" t="n">
        <f aca="false">SUMPRODUCT((Rules!$A$2:$A$60=M$1)*Rules!$C$2:$C$60*ISNUMBER(SEARCH(Rules!$E$2:$E$60,$D392)))</f>
        <v>0</v>
      </c>
      <c r="N392" s="0" t="n">
        <f aca="false">SUMPRODUCT((Rules!$A$2:$A$60=N$1)*Rules!$C$2:$C$60*ISNUMBER(SEARCH(Rules!$E$2:$E$60,$D392)))</f>
        <v>1</v>
      </c>
      <c r="O392" s="0" t="n">
        <f aca="false">SUMPRODUCT((Rules!$A$2:$A$60=O$1)*Rules!$C$2:$C$60*ISNUMBER(SEARCH(Rules!$E$2:$E$60,$D392)))</f>
        <v>0</v>
      </c>
      <c r="P392" s="0" t="n">
        <f aca="false">SUMPRODUCT((Rules!$A$2:$A$60=P$1)*Rules!$C$2:$C$60*ISNUMBER(SEARCH(Rules!$E$2:$E$60,$D392)))</f>
        <v>0</v>
      </c>
      <c r="Q392" s="0" t="n">
        <f aca="false">SUMPRODUCT((Rules!$A$2:$A$60=Q$1)*Rules!$C$2:$C$60*ISNUMBER(SEARCH(Rules!$E$2:$E$60,$D392)))</f>
        <v>0</v>
      </c>
      <c r="R392" s="0" t="str">
        <f aca="false">IF(OR(MAX(L392:Q392)&lt;Rules!$H$1,MAX(L392:Q392)-LARGE(L392:Q392,2)&lt;Rules!$H$2),"No label",INDEX($L$1:$Q$1,MATCH(MAX(L392:Q392),L392:Q392,0)))</f>
        <v>No label</v>
      </c>
      <c r="S392" s="0" t="n">
        <f aca="false">SUMPRODUCT(ISNUMBER(SEARCH(" "&amp;Terms!$A$3:$A$821&amp;" ",$D392))*Terms!B$3:B$821)+Terms!B$2</f>
        <v>-0.626805647839064</v>
      </c>
      <c r="T392" s="0" t="n">
        <f aca="false">SUMPRODUCT(ISNUMBER(SEARCH(" "&amp;Terms!$A$3:$A$821&amp;" ",$D392))*Terms!C$3:C$821)+Terms!C$2</f>
        <v>-6.05116367511666</v>
      </c>
      <c r="U392" s="0" t="n">
        <f aca="false">SUMPRODUCT(ISNUMBER(SEARCH(" "&amp;Terms!$A$3:$A$821&amp;" ",$D392))*Terms!D$3:D$821)+Terms!D$2</f>
        <v>4.46240140595164</v>
      </c>
      <c r="V392" s="0" t="n">
        <f aca="false">SUMPRODUCT(ISNUMBER(SEARCH(" "&amp;Terms!$A$3:$A$821&amp;" ",$D392))*Terms!E$3:E$821)+Terms!E$2</f>
        <v>-2.97594955266238</v>
      </c>
      <c r="W392" s="0" t="n">
        <f aca="false">SUMPRODUCT(ISNUMBER(SEARCH(" "&amp;Terms!$A$3:$A$821&amp;" ",$D392))*Terms!F$3:F$821)+Terms!F$2</f>
        <v>9.23090963368594</v>
      </c>
      <c r="X392" s="0" t="n">
        <f aca="false">SUMPRODUCT(ISNUMBER(SEARCH(" "&amp;Terms!$A$3:$A$821&amp;" ",$D392))*Terms!G$3:G$821)+Terms!G$2</f>
        <v>-4.0393921640194</v>
      </c>
      <c r="Y392" s="0" t="str">
        <f aca="false">INDEX($S$1:$X$1,MATCH(MAX(S392:X392),S392:X392,0))</f>
        <v>Fraud &amp; Scams</v>
      </c>
      <c r="Z392" s="0" t="s">
        <v>2607</v>
      </c>
    </row>
    <row r="393" customFormat="false" ht="15" hidden="false" customHeight="false" outlineLevel="0" collapsed="false">
      <c r="A393" s="0" t="str">
        <f aca="false">Complaints!A393</f>
        <v>C0392</v>
      </c>
      <c r="B393" s="0" t="str">
        <f aca="false">Complaints!B393</f>
        <v>Please look into what happened on my account.</v>
      </c>
      <c r="C393" s="0" t="str">
        <f aca="false">Complaints!C393</f>
        <v>Account Access</v>
      </c>
      <c r="D393" s="0" t="str">
        <f aca="false">" "&amp;TRIM(SUBSTITUTE(SUBSTITUTE(SUBSTITUTE(SUBSTITUTE(SUBSTITUTE(SUBSTITUTE(SUBSTITUTE(SUBSTITUTE(SUBSTITUTE(SUBSTITUTE(SUBSTITUTE(SUBSTITUTE(SUBSTITUTE(SUBSTITUTE(SUBSTITUTE(SUBSTITUTE(LOWER(B393),"."," "),","," "),"'"," "),"’"," "),"!"," "),"?"," "),";"," "),":"," "),"-"," "),"("," "),")"," "),"""", " "),"£"," "),"&amp;"," "),"/"," "),"%"," "))&amp;" "</f>
        <v> please look into what happened on my account </v>
      </c>
      <c r="E393" s="0" t="n">
        <f aca="false">SUMPRODUCT((Rules!$A$2:$A$60=E$1)*Rules!$C$2:$C$60*ISNUMBER(SEARCH(Rules!$D$2:$D$60,$D393)))</f>
        <v>0</v>
      </c>
      <c r="F393" s="0" t="n">
        <f aca="false">SUMPRODUCT((Rules!$A$2:$A$60=F$1)*Rules!$C$2:$C$60*ISNUMBER(SEARCH(Rules!$D$2:$D$60,$D393)))</f>
        <v>0</v>
      </c>
      <c r="G393" s="0" t="n">
        <f aca="false">SUMPRODUCT((Rules!$A$2:$A$60=G$1)*Rules!$C$2:$C$60*ISNUMBER(SEARCH(Rules!$D$2:$D$60,$D393)))</f>
        <v>0</v>
      </c>
      <c r="H393" s="0" t="n">
        <f aca="false">SUMPRODUCT((Rules!$A$2:$A$60=H$1)*Rules!$C$2:$C$60*ISNUMBER(SEARCH(Rules!$D$2:$D$60,$D393)))</f>
        <v>0</v>
      </c>
      <c r="I393" s="0" t="n">
        <f aca="false">SUMPRODUCT((Rules!$A$2:$A$60=I$1)*Rules!$C$2:$C$60*ISNUMBER(SEARCH(Rules!$D$2:$D$60,$D393)))</f>
        <v>0</v>
      </c>
      <c r="J393" s="0" t="n">
        <f aca="false">SUMPRODUCT((Rules!$A$2:$A$60=J$1)*Rules!$C$2:$C$60*ISNUMBER(SEARCH(Rules!$D$2:$D$60,$D393)))</f>
        <v>0</v>
      </c>
      <c r="K393" s="0" t="str">
        <f aca="false">IF(OR(MAX(E393:J393)&lt;Rules!$H$1,MAX(E393:J393)-LARGE(E393:J393,2)&lt;Rules!$H$2),"No label",INDEX($E$1:$J$1,MATCH(MAX(E393:J393),E393:J393,0)))</f>
        <v>No label</v>
      </c>
      <c r="L393" s="0" t="n">
        <f aca="false">SUMPRODUCT((Rules!$A$2:$A$60=L$1)*Rules!$C$2:$C$60*ISNUMBER(SEARCH(Rules!$E$2:$E$60,$D393)))</f>
        <v>0</v>
      </c>
      <c r="M393" s="0" t="n">
        <f aca="false">SUMPRODUCT((Rules!$A$2:$A$60=M$1)*Rules!$C$2:$C$60*ISNUMBER(SEARCH(Rules!$E$2:$E$60,$D393)))</f>
        <v>0</v>
      </c>
      <c r="N393" s="0" t="n">
        <f aca="false">SUMPRODUCT((Rules!$A$2:$A$60=N$1)*Rules!$C$2:$C$60*ISNUMBER(SEARCH(Rules!$E$2:$E$60,$D393)))</f>
        <v>0</v>
      </c>
      <c r="O393" s="0" t="n">
        <f aca="false">SUMPRODUCT((Rules!$A$2:$A$60=O$1)*Rules!$C$2:$C$60*ISNUMBER(SEARCH(Rules!$E$2:$E$60,$D393)))</f>
        <v>0</v>
      </c>
      <c r="P393" s="0" t="n">
        <f aca="false">SUMPRODUCT((Rules!$A$2:$A$60=P$1)*Rules!$C$2:$C$60*ISNUMBER(SEARCH(Rules!$E$2:$E$60,$D393)))</f>
        <v>0</v>
      </c>
      <c r="Q393" s="0" t="n">
        <f aca="false">SUMPRODUCT((Rules!$A$2:$A$60=Q$1)*Rules!$C$2:$C$60*ISNUMBER(SEARCH(Rules!$E$2:$E$60,$D393)))</f>
        <v>0</v>
      </c>
      <c r="R393" s="0" t="str">
        <f aca="false">IF(OR(MAX(L393:Q393)&lt;Rules!$H$1,MAX(L393:Q393)-LARGE(L393:Q393,2)&lt;Rules!$H$2),"No label",INDEX($L$1:$Q$1,MATCH(MAX(L393:Q393),L393:Q393,0)))</f>
        <v>No label</v>
      </c>
      <c r="S393" s="0" t="n">
        <f aca="false">SUMPRODUCT(ISNUMBER(SEARCH(" "&amp;Terms!$A$3:$A$821&amp;" ",$D393))*Terms!B$3:B$821)+Terms!B$2</f>
        <v>1.07444821585597</v>
      </c>
      <c r="T393" s="0" t="n">
        <f aca="false">SUMPRODUCT(ISNUMBER(SEARCH(" "&amp;Terms!$A$3:$A$821&amp;" ",$D393))*Terms!C$3:C$821)+Terms!C$2</f>
        <v>-1.72377259405027</v>
      </c>
      <c r="U393" s="0" t="n">
        <f aca="false">SUMPRODUCT(ISNUMBER(SEARCH(" "&amp;Terms!$A$3:$A$821&amp;" ",$D393))*Terms!D$3:D$821)+Terms!D$2</f>
        <v>2.63959400079799</v>
      </c>
      <c r="V393" s="0" t="n">
        <f aca="false">SUMPRODUCT(ISNUMBER(SEARCH(" "&amp;Terms!$A$3:$A$821&amp;" ",$D393))*Terms!E$3:E$821)+Terms!E$2</f>
        <v>-0.253164180834213</v>
      </c>
      <c r="W393" s="0" t="n">
        <f aca="false">SUMPRODUCT(ISNUMBER(SEARCH(" "&amp;Terms!$A$3:$A$821&amp;" ",$D393))*Terms!F$3:F$821)+Terms!F$2</f>
        <v>-0.0495019588002887</v>
      </c>
      <c r="X393" s="0" t="n">
        <f aca="false">SUMPRODUCT(ISNUMBER(SEARCH(" "&amp;Terms!$A$3:$A$821&amp;" ",$D393))*Terms!G$3:G$821)+Terms!G$2</f>
        <v>-1.68760348296909</v>
      </c>
      <c r="Y393" s="0" t="str">
        <f aca="false">INDEX($S$1:$X$1,MATCH(MAX(S393:X393),S393:X393,0))</f>
        <v>Delays &amp; Processing</v>
      </c>
      <c r="Z393" s="0" t="s">
        <v>2607</v>
      </c>
    </row>
    <row r="394" customFormat="false" ht="15" hidden="false" customHeight="false" outlineLevel="0" collapsed="false">
      <c r="A394" s="0" t="str">
        <f aca="false">Complaints!A394</f>
        <v>C0393</v>
      </c>
      <c r="B394" s="0" t="str">
        <f aca="false">Complaints!B394</f>
        <v>My card reader stopped working and I cannot approve payments. I also spent ages on hold when I called about it.</v>
      </c>
      <c r="C394" s="0" t="str">
        <f aca="false">Complaints!C394</f>
        <v>Account Access</v>
      </c>
      <c r="D394" s="0" t="str">
        <f aca="false">" "&amp;TRIM(SUBSTITUTE(SUBSTITUTE(SUBSTITUTE(SUBSTITUTE(SUBSTITUTE(SUBSTITUTE(SUBSTITUTE(SUBSTITUTE(SUBSTITUTE(SUBSTITUTE(SUBSTITUTE(SUBSTITUTE(SUBSTITUTE(SUBSTITUTE(SUBSTITUTE(SUBSTITUTE(LOWER(B394),"."," "),","," "),"'"," "),"’"," "),"!"," "),"?"," "),";"," "),":"," "),"-"," "),"("," "),")"," "),"""", " "),"£"," "),"&amp;"," "),"/"," "),"%"," "))&amp;" "</f>
        <v> my card reader stopped working and i cannot approve payments i also spent ages on hold when i called about it </v>
      </c>
      <c r="E394" s="0" t="n">
        <f aca="false">SUMPRODUCT((Rules!$A$2:$A$60=E$1)*Rules!$C$2:$C$60*ISNUMBER(SEARCH(Rules!$D$2:$D$60,$D394)))</f>
        <v>0</v>
      </c>
      <c r="F394" s="0" t="n">
        <f aca="false">SUMPRODUCT((Rules!$A$2:$A$60=F$1)*Rules!$C$2:$C$60*ISNUMBER(SEARCH(Rules!$D$2:$D$60,$D394)))</f>
        <v>0</v>
      </c>
      <c r="G394" s="0" t="n">
        <f aca="false">SUMPRODUCT((Rules!$A$2:$A$60=G$1)*Rules!$C$2:$C$60*ISNUMBER(SEARCH(Rules!$D$2:$D$60,$D394)))</f>
        <v>0</v>
      </c>
      <c r="H394" s="0" t="n">
        <f aca="false">SUMPRODUCT((Rules!$A$2:$A$60=H$1)*Rules!$C$2:$C$60*ISNUMBER(SEARCH(Rules!$D$2:$D$60,$D394)))</f>
        <v>0</v>
      </c>
      <c r="I394" s="0" t="n">
        <f aca="false">SUMPRODUCT((Rules!$A$2:$A$60=I$1)*Rules!$C$2:$C$60*ISNUMBER(SEARCH(Rules!$D$2:$D$60,$D394)))</f>
        <v>0</v>
      </c>
      <c r="J394" s="0" t="n">
        <f aca="false">SUMPRODUCT((Rules!$A$2:$A$60=J$1)*Rules!$C$2:$C$60*ISNUMBER(SEARCH(Rules!$D$2:$D$60,$D394)))</f>
        <v>3</v>
      </c>
      <c r="K394" s="0" t="str">
        <f aca="false">IF(OR(MAX(E394:J394)&lt;Rules!$H$1,MAX(E394:J394)-LARGE(E394:J394,2)&lt;Rules!$H$2),"No label",INDEX($E$1:$J$1,MATCH(MAX(E394:J394),E394:J394,0)))</f>
        <v>Customer Service</v>
      </c>
      <c r="L394" s="0" t="n">
        <f aca="false">SUMPRODUCT((Rules!$A$2:$A$60=L$1)*Rules!$C$2:$C$60*ISNUMBER(SEARCH(Rules!$E$2:$E$60,$D394)))</f>
        <v>0</v>
      </c>
      <c r="M394" s="0" t="n">
        <f aca="false">SUMPRODUCT((Rules!$A$2:$A$60=M$1)*Rules!$C$2:$C$60*ISNUMBER(SEARCH(Rules!$E$2:$E$60,$D394)))</f>
        <v>0</v>
      </c>
      <c r="N394" s="0" t="n">
        <f aca="false">SUMPRODUCT((Rules!$A$2:$A$60=N$1)*Rules!$C$2:$C$60*ISNUMBER(SEARCH(Rules!$E$2:$E$60,$D394)))</f>
        <v>0</v>
      </c>
      <c r="O394" s="0" t="n">
        <f aca="false">SUMPRODUCT((Rules!$A$2:$A$60=O$1)*Rules!$C$2:$C$60*ISNUMBER(SEARCH(Rules!$E$2:$E$60,$D394)))</f>
        <v>0</v>
      </c>
      <c r="P394" s="0" t="n">
        <f aca="false">SUMPRODUCT((Rules!$A$2:$A$60=P$1)*Rules!$C$2:$C$60*ISNUMBER(SEARCH(Rules!$E$2:$E$60,$D394)))</f>
        <v>0</v>
      </c>
      <c r="Q394" s="0" t="n">
        <f aca="false">SUMPRODUCT((Rules!$A$2:$A$60=Q$1)*Rules!$C$2:$C$60*ISNUMBER(SEARCH(Rules!$E$2:$E$60,$D394)))</f>
        <v>3</v>
      </c>
      <c r="R394" s="0" t="str">
        <f aca="false">IF(OR(MAX(L394:Q394)&lt;Rules!$H$1,MAX(L394:Q394)-LARGE(L394:Q394,2)&lt;Rules!$H$2),"No label",INDEX($L$1:$Q$1,MATCH(MAX(L394:Q394),L394:Q394,0)))</f>
        <v>Customer Service</v>
      </c>
      <c r="S394" s="0" t="n">
        <f aca="false">SUMPRODUCT(ISNUMBER(SEARCH(" "&amp;Terms!$A$3:$A$821&amp;" ",$D394))*Terms!B$3:B$821)+Terms!B$2</f>
        <v>15.4879632356169</v>
      </c>
      <c r="T394" s="0" t="n">
        <f aca="false">SUMPRODUCT(ISNUMBER(SEARCH(" "&amp;Terms!$A$3:$A$821&amp;" ",$D394))*Terms!C$3:C$821)+Terms!C$2</f>
        <v>1.50418139574517</v>
      </c>
      <c r="U394" s="0" t="n">
        <f aca="false">SUMPRODUCT(ISNUMBER(SEARCH(" "&amp;Terms!$A$3:$A$821&amp;" ",$D394))*Terms!D$3:D$821)+Terms!D$2</f>
        <v>-3.42325799724758</v>
      </c>
      <c r="V394" s="0" t="n">
        <f aca="false">SUMPRODUCT(ISNUMBER(SEARCH(" "&amp;Terms!$A$3:$A$821&amp;" ",$D394))*Terms!E$3:E$821)+Terms!E$2</f>
        <v>-5.54234907286495</v>
      </c>
      <c r="W394" s="0" t="n">
        <f aca="false">SUMPRODUCT(ISNUMBER(SEARCH(" "&amp;Terms!$A$3:$A$821&amp;" ",$D394))*Terms!F$3:F$821)+Terms!F$2</f>
        <v>-0.696604130538846</v>
      </c>
      <c r="X394" s="0" t="n">
        <f aca="false">SUMPRODUCT(ISNUMBER(SEARCH(" "&amp;Terms!$A$3:$A$821&amp;" ",$D394))*Terms!G$3:G$821)+Terms!G$2</f>
        <v>-7.32993343071065</v>
      </c>
      <c r="Y394" s="0" t="str">
        <f aca="false">INDEX($S$1:$X$1,MATCH(MAX(S394:X394),S394:X394,0))</f>
        <v>Account Access</v>
      </c>
      <c r="Z394" s="0" t="s">
        <v>2608</v>
      </c>
    </row>
    <row r="395" customFormat="false" ht="15" hidden="false" customHeight="false" outlineLevel="0" collapsed="false">
      <c r="A395" s="0" t="str">
        <f aca="false">Complaints!A395</f>
        <v>C0394</v>
      </c>
      <c r="B395" s="0" t="str">
        <f aca="false">Complaints!B395</f>
        <v>I have been a customer for years. You took an overdraft fee even though I was within my limit. I do not think it was explained properly when I bought it. Please sort this out.</v>
      </c>
      <c r="C395" s="0" t="str">
        <f aca="false">Complaints!C395</f>
        <v>Fees &amp; Charges</v>
      </c>
      <c r="D395" s="0" t="str">
        <f aca="false">" "&amp;TRIM(SUBSTITUTE(SUBSTITUTE(SUBSTITUTE(SUBSTITUTE(SUBSTITUTE(SUBSTITUTE(SUBSTITUTE(SUBSTITUTE(SUBSTITUTE(SUBSTITUTE(SUBSTITUTE(SUBSTITUTE(SUBSTITUTE(SUBSTITUTE(SUBSTITUTE(SUBSTITUTE(LOWER(B395),"."," "),","," "),"'"," "),"’"," "),"!"," "),"?"," "),";"," "),":"," "),"-"," "),"("," "),")"," "),"""", " "),"£"," "),"&amp;"," "),"/"," "),"%"," "))&amp;" "</f>
        <v> i have been a customer for years you took an overdraft fee even though i was within my limit i do not think it was explained properly when i bought it please sort this out </v>
      </c>
      <c r="E395" s="0" t="n">
        <f aca="false">SUMPRODUCT((Rules!$A$2:$A$60=E$1)*Rules!$C$2:$C$60*ISNUMBER(SEARCH(Rules!$D$2:$D$60,$D395)))</f>
        <v>0</v>
      </c>
      <c r="F395" s="0" t="n">
        <f aca="false">SUMPRODUCT((Rules!$A$2:$A$60=F$1)*Rules!$C$2:$C$60*ISNUMBER(SEARCH(Rules!$D$2:$D$60,$D395)))</f>
        <v>0</v>
      </c>
      <c r="G395" s="0" t="n">
        <f aca="false">SUMPRODUCT((Rules!$A$2:$A$60=G$1)*Rules!$C$2:$C$60*ISNUMBER(SEARCH(Rules!$D$2:$D$60,$D395)))</f>
        <v>0</v>
      </c>
      <c r="H395" s="0" t="n">
        <f aca="false">SUMPRODUCT((Rules!$A$2:$A$60=H$1)*Rules!$C$2:$C$60*ISNUMBER(SEARCH(Rules!$D$2:$D$60,$D395)))</f>
        <v>2</v>
      </c>
      <c r="I395" s="0" t="n">
        <f aca="false">SUMPRODUCT((Rules!$A$2:$A$60=I$1)*Rules!$C$2:$C$60*ISNUMBER(SEARCH(Rules!$D$2:$D$60,$D395)))</f>
        <v>0</v>
      </c>
      <c r="J395" s="0" t="n">
        <f aca="false">SUMPRODUCT((Rules!$A$2:$A$60=J$1)*Rules!$C$2:$C$60*ISNUMBER(SEARCH(Rules!$D$2:$D$60,$D395)))</f>
        <v>0</v>
      </c>
      <c r="K395" s="0" t="str">
        <f aca="false">IF(OR(MAX(E395:J395)&lt;Rules!$H$1,MAX(E395:J395)-LARGE(E395:J395,2)&lt;Rules!$H$2),"No label",INDEX($E$1:$J$1,MATCH(MAX(E395:J395),E395:J395,0)))</f>
        <v>No label</v>
      </c>
      <c r="L395" s="0" t="n">
        <f aca="false">SUMPRODUCT((Rules!$A$2:$A$60=L$1)*Rules!$C$2:$C$60*ISNUMBER(SEARCH(Rules!$E$2:$E$60,$D395)))</f>
        <v>0</v>
      </c>
      <c r="M395" s="0" t="n">
        <f aca="false">SUMPRODUCT((Rules!$A$2:$A$60=M$1)*Rules!$C$2:$C$60*ISNUMBER(SEARCH(Rules!$E$2:$E$60,$D395)))</f>
        <v>0</v>
      </c>
      <c r="N395" s="0" t="n">
        <f aca="false">SUMPRODUCT((Rules!$A$2:$A$60=N$1)*Rules!$C$2:$C$60*ISNUMBER(SEARCH(Rules!$E$2:$E$60,$D395)))</f>
        <v>0</v>
      </c>
      <c r="O395" s="0" t="n">
        <f aca="false">SUMPRODUCT((Rules!$A$2:$A$60=O$1)*Rules!$C$2:$C$60*ISNUMBER(SEARCH(Rules!$E$2:$E$60,$D395)))</f>
        <v>2</v>
      </c>
      <c r="P395" s="0" t="n">
        <f aca="false">SUMPRODUCT((Rules!$A$2:$A$60=P$1)*Rules!$C$2:$C$60*ISNUMBER(SEARCH(Rules!$E$2:$E$60,$D395)))</f>
        <v>0</v>
      </c>
      <c r="Q395" s="0" t="n">
        <f aca="false">SUMPRODUCT((Rules!$A$2:$A$60=Q$1)*Rules!$C$2:$C$60*ISNUMBER(SEARCH(Rules!$E$2:$E$60,$D395)))</f>
        <v>0</v>
      </c>
      <c r="R395" s="0" t="str">
        <f aca="false">IF(OR(MAX(L395:Q395)&lt;Rules!$H$1,MAX(L395:Q395)-LARGE(L395:Q395,2)&lt;Rules!$H$2),"No label",INDEX($L$1:$Q$1,MATCH(MAX(L395:Q395),L395:Q395,0)))</f>
        <v>No label</v>
      </c>
      <c r="S395" s="0" t="n">
        <f aca="false">SUMPRODUCT(ISNUMBER(SEARCH(" "&amp;Terms!$A$3:$A$821&amp;" ",$D395))*Terms!B$3:B$821)+Terms!B$2</f>
        <v>-4.01502502198902</v>
      </c>
      <c r="T395" s="0" t="n">
        <f aca="false">SUMPRODUCT(ISNUMBER(SEARCH(" "&amp;Terms!$A$3:$A$821&amp;" ",$D395))*Terms!C$3:C$821)+Terms!C$2</f>
        <v>0.548358873432673</v>
      </c>
      <c r="U395" s="0" t="n">
        <f aca="false">SUMPRODUCT(ISNUMBER(SEARCH(" "&amp;Terms!$A$3:$A$821&amp;" ",$D395))*Terms!D$3:D$821)+Terms!D$2</f>
        <v>-3.45723337676005</v>
      </c>
      <c r="V395" s="0" t="n">
        <f aca="false">SUMPRODUCT(ISNUMBER(SEARCH(" "&amp;Terms!$A$3:$A$821&amp;" ",$D395))*Terms!E$3:E$821)+Terms!E$2</f>
        <v>13.4302638116869</v>
      </c>
      <c r="W395" s="0" t="n">
        <f aca="false">SUMPRODUCT(ISNUMBER(SEARCH(" "&amp;Terms!$A$3:$A$821&amp;" ",$D395))*Terms!F$3:F$821)+Terms!F$2</f>
        <v>-0.577158547468268</v>
      </c>
      <c r="X395" s="0" t="n">
        <f aca="false">SUMPRODUCT(ISNUMBER(SEARCH(" "&amp;Terms!$A$3:$A$821&amp;" ",$D395))*Terms!G$3:G$821)+Terms!G$2</f>
        <v>-5.92920573890216</v>
      </c>
      <c r="Y395" s="0" t="str">
        <f aca="false">INDEX($S$1:$X$1,MATCH(MAX(S395:X395),S395:X395,0))</f>
        <v>Fees &amp; Charges</v>
      </c>
      <c r="Z395" s="0" t="s">
        <v>2607</v>
      </c>
    </row>
    <row r="396" customFormat="false" ht="15" hidden="false" customHeight="false" outlineLevel="0" collapsed="false">
      <c r="A396" s="0" t="str">
        <f aca="false">Complaints!A396</f>
        <v>C0395</v>
      </c>
      <c r="B396" s="0" t="str">
        <f aca="false">Complaints!B396</f>
        <v>Why has my interest rate gone up without notice, it is costing me more every month. Also, the complaints handler was unhelpful and talked over me. I want this put right.</v>
      </c>
      <c r="C396" s="0" t="str">
        <f aca="false">Complaints!C396</f>
        <v>Fees &amp; Charges</v>
      </c>
      <c r="D396" s="0" t="str">
        <f aca="false">" "&amp;TRIM(SUBSTITUTE(SUBSTITUTE(SUBSTITUTE(SUBSTITUTE(SUBSTITUTE(SUBSTITUTE(SUBSTITUTE(SUBSTITUTE(SUBSTITUTE(SUBSTITUTE(SUBSTITUTE(SUBSTITUTE(SUBSTITUTE(SUBSTITUTE(SUBSTITUTE(SUBSTITUTE(LOWER(B396),"."," "),","," "),"'"," "),"’"," "),"!"," "),"?"," "),";"," "),":"," "),"-"," "),"("," "),")"," "),"""", " "),"£"," "),"&amp;"," "),"/"," "),"%"," "))&amp;" "</f>
        <v> why has my interest rate gone up without notice it is costing me more every month also the complaints handler was unhelpful and talked over me i want this put right </v>
      </c>
      <c r="E396" s="0" t="n">
        <f aca="false">SUMPRODUCT((Rules!$A$2:$A$60=E$1)*Rules!$C$2:$C$60*ISNUMBER(SEARCH(Rules!$D$2:$D$60,$D396)))</f>
        <v>0</v>
      </c>
      <c r="F396" s="0" t="n">
        <f aca="false">SUMPRODUCT((Rules!$A$2:$A$60=F$1)*Rules!$C$2:$C$60*ISNUMBER(SEARCH(Rules!$D$2:$D$60,$D396)))</f>
        <v>0</v>
      </c>
      <c r="G396" s="0" t="n">
        <f aca="false">SUMPRODUCT((Rules!$A$2:$A$60=G$1)*Rules!$C$2:$C$60*ISNUMBER(SEARCH(Rules!$D$2:$D$60,$D396)))</f>
        <v>0</v>
      </c>
      <c r="H396" s="0" t="n">
        <f aca="false">SUMPRODUCT((Rules!$A$2:$A$60=H$1)*Rules!$C$2:$C$60*ISNUMBER(SEARCH(Rules!$D$2:$D$60,$D396)))</f>
        <v>2</v>
      </c>
      <c r="I396" s="0" t="n">
        <f aca="false">SUMPRODUCT((Rules!$A$2:$A$60=I$1)*Rules!$C$2:$C$60*ISNUMBER(SEARCH(Rules!$D$2:$D$60,$D396)))</f>
        <v>0</v>
      </c>
      <c r="J396" s="0" t="n">
        <f aca="false">SUMPRODUCT((Rules!$A$2:$A$60=J$1)*Rules!$C$2:$C$60*ISNUMBER(SEARCH(Rules!$D$2:$D$60,$D396)))</f>
        <v>2</v>
      </c>
      <c r="K396" s="0" t="str">
        <f aca="false">IF(OR(MAX(E396:J396)&lt;Rules!$H$1,MAX(E396:J396)-LARGE(E396:J396,2)&lt;Rules!$H$2),"No label",INDEX($E$1:$J$1,MATCH(MAX(E396:J396),E396:J396,0)))</f>
        <v>No label</v>
      </c>
      <c r="L396" s="0" t="n">
        <f aca="false">SUMPRODUCT((Rules!$A$2:$A$60=L$1)*Rules!$C$2:$C$60*ISNUMBER(SEARCH(Rules!$E$2:$E$60,$D396)))</f>
        <v>0</v>
      </c>
      <c r="M396" s="0" t="n">
        <f aca="false">SUMPRODUCT((Rules!$A$2:$A$60=M$1)*Rules!$C$2:$C$60*ISNUMBER(SEARCH(Rules!$E$2:$E$60,$D396)))</f>
        <v>0</v>
      </c>
      <c r="N396" s="0" t="n">
        <f aca="false">SUMPRODUCT((Rules!$A$2:$A$60=N$1)*Rules!$C$2:$C$60*ISNUMBER(SEARCH(Rules!$E$2:$E$60,$D396)))</f>
        <v>0</v>
      </c>
      <c r="O396" s="0" t="n">
        <f aca="false">SUMPRODUCT((Rules!$A$2:$A$60=O$1)*Rules!$C$2:$C$60*ISNUMBER(SEARCH(Rules!$E$2:$E$60,$D396)))</f>
        <v>2</v>
      </c>
      <c r="P396" s="0" t="n">
        <f aca="false">SUMPRODUCT((Rules!$A$2:$A$60=P$1)*Rules!$C$2:$C$60*ISNUMBER(SEARCH(Rules!$E$2:$E$60,$D396)))</f>
        <v>0</v>
      </c>
      <c r="Q396" s="0" t="n">
        <f aca="false">SUMPRODUCT((Rules!$A$2:$A$60=Q$1)*Rules!$C$2:$C$60*ISNUMBER(SEARCH(Rules!$E$2:$E$60,$D396)))</f>
        <v>2</v>
      </c>
      <c r="R396" s="0" t="str">
        <f aca="false">IF(OR(MAX(L396:Q396)&lt;Rules!$H$1,MAX(L396:Q396)-LARGE(L396:Q396,2)&lt;Rules!$H$2),"No label",INDEX($L$1:$Q$1,MATCH(MAX(L396:Q396),L396:Q396,0)))</f>
        <v>No label</v>
      </c>
      <c r="S396" s="0" t="n">
        <f aca="false">SUMPRODUCT(ISNUMBER(SEARCH(" "&amp;Terms!$A$3:$A$821&amp;" ",$D396))*Terms!B$3:B$821)+Terms!B$2</f>
        <v>-3.09416785695128</v>
      </c>
      <c r="T396" s="0" t="n">
        <f aca="false">SUMPRODUCT(ISNUMBER(SEARCH(" "&amp;Terms!$A$3:$A$821&amp;" ",$D396))*Terms!C$3:C$821)+Terms!C$2</f>
        <v>4.29036685337802</v>
      </c>
      <c r="U396" s="0" t="n">
        <f aca="false">SUMPRODUCT(ISNUMBER(SEARCH(" "&amp;Terms!$A$3:$A$821&amp;" ",$D396))*Terms!D$3:D$821)+Terms!D$2</f>
        <v>-4.14513325675021</v>
      </c>
      <c r="V396" s="0" t="n">
        <f aca="false">SUMPRODUCT(ISNUMBER(SEARCH(" "&amp;Terms!$A$3:$A$821&amp;" ",$D396))*Terms!E$3:E$821)+Terms!E$2</f>
        <v>7.12794380021612</v>
      </c>
      <c r="W396" s="0" t="n">
        <f aca="false">SUMPRODUCT(ISNUMBER(SEARCH(" "&amp;Terms!$A$3:$A$821&amp;" ",$D396))*Terms!F$3:F$821)+Terms!F$2</f>
        <v>-1.49988522746743</v>
      </c>
      <c r="X396" s="0" t="n">
        <f aca="false">SUMPRODUCT(ISNUMBER(SEARCH(" "&amp;Terms!$A$3:$A$821&amp;" ",$D396))*Terms!G$3:G$821)+Terms!G$2</f>
        <v>-2.67912431242511</v>
      </c>
      <c r="Y396" s="0" t="str">
        <f aca="false">INDEX($S$1:$X$1,MATCH(MAX(S396:X396),S396:X396,0))</f>
        <v>Fees &amp; Charges</v>
      </c>
      <c r="Z396" s="0" t="s">
        <v>2607</v>
      </c>
    </row>
    <row r="397" customFormat="false" ht="15" hidden="false" customHeight="false" outlineLevel="0" collapsed="false">
      <c r="A397" s="0" t="str">
        <f aca="false">Complaints!A397</f>
        <v>C0396</v>
      </c>
      <c r="B397" s="0" t="str">
        <f aca="false">Complaints!B397</f>
        <v>A late payment fee appeared and I want it refunded. Also, i asked for a callback and it never happened.</v>
      </c>
      <c r="C397" s="0" t="str">
        <f aca="false">Complaints!C397</f>
        <v>Fees &amp; Charges</v>
      </c>
      <c r="D397" s="0" t="str">
        <f aca="false">" "&amp;TRIM(SUBSTITUTE(SUBSTITUTE(SUBSTITUTE(SUBSTITUTE(SUBSTITUTE(SUBSTITUTE(SUBSTITUTE(SUBSTITUTE(SUBSTITUTE(SUBSTITUTE(SUBSTITUTE(SUBSTITUTE(SUBSTITUTE(SUBSTITUTE(SUBSTITUTE(SUBSTITUTE(LOWER(B397),"."," "),","," "),"'"," "),"’"," "),"!"," "),"?"," "),";"," "),":"," "),"-"," "),"("," "),")"," "),"""", " "),"£"," "),"&amp;"," "),"/"," "),"%"," "))&amp;" "</f>
        <v> a late payment fee appeared and i want it refunded also i asked for a callback and it never happened </v>
      </c>
      <c r="E397" s="0" t="n">
        <f aca="false">SUMPRODUCT((Rules!$A$2:$A$60=E$1)*Rules!$C$2:$C$60*ISNUMBER(SEARCH(Rules!$D$2:$D$60,$D397)))</f>
        <v>0</v>
      </c>
      <c r="F397" s="0" t="n">
        <f aca="false">SUMPRODUCT((Rules!$A$2:$A$60=F$1)*Rules!$C$2:$C$60*ISNUMBER(SEARCH(Rules!$D$2:$D$60,$D397)))</f>
        <v>0</v>
      </c>
      <c r="G397" s="0" t="n">
        <f aca="false">SUMPRODUCT((Rules!$A$2:$A$60=G$1)*Rules!$C$2:$C$60*ISNUMBER(SEARCH(Rules!$D$2:$D$60,$D397)))</f>
        <v>0</v>
      </c>
      <c r="H397" s="0" t="n">
        <f aca="false">SUMPRODUCT((Rules!$A$2:$A$60=H$1)*Rules!$C$2:$C$60*ISNUMBER(SEARCH(Rules!$D$2:$D$60,$D397)))</f>
        <v>2</v>
      </c>
      <c r="I397" s="0" t="n">
        <f aca="false">SUMPRODUCT((Rules!$A$2:$A$60=I$1)*Rules!$C$2:$C$60*ISNUMBER(SEARCH(Rules!$D$2:$D$60,$D397)))</f>
        <v>0</v>
      </c>
      <c r="J397" s="0" t="n">
        <f aca="false">SUMPRODUCT((Rules!$A$2:$A$60=J$1)*Rules!$C$2:$C$60*ISNUMBER(SEARCH(Rules!$D$2:$D$60,$D397)))</f>
        <v>2</v>
      </c>
      <c r="K397" s="0" t="str">
        <f aca="false">IF(OR(MAX(E397:J397)&lt;Rules!$H$1,MAX(E397:J397)-LARGE(E397:J397,2)&lt;Rules!$H$2),"No label",INDEX($E$1:$J$1,MATCH(MAX(E397:J397),E397:J397,0)))</f>
        <v>No label</v>
      </c>
      <c r="L397" s="0" t="n">
        <f aca="false">SUMPRODUCT((Rules!$A$2:$A$60=L$1)*Rules!$C$2:$C$60*ISNUMBER(SEARCH(Rules!$E$2:$E$60,$D397)))</f>
        <v>0</v>
      </c>
      <c r="M397" s="0" t="n">
        <f aca="false">SUMPRODUCT((Rules!$A$2:$A$60=M$1)*Rules!$C$2:$C$60*ISNUMBER(SEARCH(Rules!$E$2:$E$60,$D397)))</f>
        <v>0</v>
      </c>
      <c r="N397" s="0" t="n">
        <f aca="false">SUMPRODUCT((Rules!$A$2:$A$60=N$1)*Rules!$C$2:$C$60*ISNUMBER(SEARCH(Rules!$E$2:$E$60,$D397)))</f>
        <v>0</v>
      </c>
      <c r="O397" s="0" t="n">
        <f aca="false">SUMPRODUCT((Rules!$A$2:$A$60=O$1)*Rules!$C$2:$C$60*ISNUMBER(SEARCH(Rules!$E$2:$E$60,$D397)))</f>
        <v>2</v>
      </c>
      <c r="P397" s="0" t="n">
        <f aca="false">SUMPRODUCT((Rules!$A$2:$A$60=P$1)*Rules!$C$2:$C$60*ISNUMBER(SEARCH(Rules!$E$2:$E$60,$D397)))</f>
        <v>0</v>
      </c>
      <c r="Q397" s="0" t="n">
        <f aca="false">SUMPRODUCT((Rules!$A$2:$A$60=Q$1)*Rules!$C$2:$C$60*ISNUMBER(SEARCH(Rules!$E$2:$E$60,$D397)))</f>
        <v>2</v>
      </c>
      <c r="R397" s="0" t="str">
        <f aca="false">IF(OR(MAX(L397:Q397)&lt;Rules!$H$1,MAX(L397:Q397)-LARGE(L397:Q397,2)&lt;Rules!$H$2),"No label",INDEX($L$1:$Q$1,MATCH(MAX(L397:Q397),L397:Q397,0)))</f>
        <v>No label</v>
      </c>
      <c r="S397" s="0" t="n">
        <f aca="false">SUMPRODUCT(ISNUMBER(SEARCH(" "&amp;Terms!$A$3:$A$821&amp;" ",$D397))*Terms!B$3:B$821)+Terms!B$2</f>
        <v>-5.13268141652844</v>
      </c>
      <c r="T397" s="0" t="n">
        <f aca="false">SUMPRODUCT(ISNUMBER(SEARCH(" "&amp;Terms!$A$3:$A$821&amp;" ",$D397))*Terms!C$3:C$821)+Terms!C$2</f>
        <v>-1.14247069254194</v>
      </c>
      <c r="U397" s="0" t="n">
        <f aca="false">SUMPRODUCT(ISNUMBER(SEARCH(" "&amp;Terms!$A$3:$A$821&amp;" ",$D397))*Terms!D$3:D$821)+Terms!D$2</f>
        <v>-2.34382012068828</v>
      </c>
      <c r="V397" s="0" t="n">
        <f aca="false">SUMPRODUCT(ISNUMBER(SEARCH(" "&amp;Terms!$A$3:$A$821&amp;" ",$D397))*Terms!E$3:E$821)+Terms!E$2</f>
        <v>14.13353437446</v>
      </c>
      <c r="W397" s="0" t="n">
        <f aca="false">SUMPRODUCT(ISNUMBER(SEARCH(" "&amp;Terms!$A$3:$A$821&amp;" ",$D397))*Terms!F$3:F$821)+Terms!F$2</f>
        <v>0.00155546152966377</v>
      </c>
      <c r="X397" s="0" t="n">
        <f aca="false">SUMPRODUCT(ISNUMBER(SEARCH(" "&amp;Terms!$A$3:$A$821&amp;" ",$D397))*Terms!G$3:G$821)+Terms!G$2</f>
        <v>-5.51611760623094</v>
      </c>
      <c r="Y397" s="0" t="str">
        <f aca="false">INDEX($S$1:$X$1,MATCH(MAX(S397:X397),S397:X397,0))</f>
        <v>Fees &amp; Charges</v>
      </c>
      <c r="Z397" s="0" t="s">
        <v>2607</v>
      </c>
    </row>
    <row r="398" customFormat="false" ht="15" hidden="false" customHeight="false" outlineLevel="0" collapsed="false">
      <c r="A398" s="0" t="str">
        <f aca="false">Complaints!A398</f>
        <v>C0397</v>
      </c>
      <c r="B398" s="0" t="str">
        <f aca="false">Complaints!B398</f>
        <v>I have been a customer for years. The complaints handler was unhelpful and talked over me. I expect compensation.</v>
      </c>
      <c r="C398" s="0" t="str">
        <f aca="false">Complaints!C398</f>
        <v>Customer Service</v>
      </c>
      <c r="D398" s="0" t="str">
        <f aca="false">" "&amp;TRIM(SUBSTITUTE(SUBSTITUTE(SUBSTITUTE(SUBSTITUTE(SUBSTITUTE(SUBSTITUTE(SUBSTITUTE(SUBSTITUTE(SUBSTITUTE(SUBSTITUTE(SUBSTITUTE(SUBSTITUTE(SUBSTITUTE(SUBSTITUTE(SUBSTITUTE(SUBSTITUTE(LOWER(B398),"."," "),","," "),"'"," "),"’"," "),"!"," "),"?"," "),";"," "),":"," "),"-"," "),"("," "),")"," "),"""", " "),"£"," "),"&amp;"," "),"/"," "),"%"," "))&amp;" "</f>
        <v> i have been a customer for years the complaints handler was unhelpful and talked over me i expect compensation </v>
      </c>
      <c r="E398" s="0" t="n">
        <f aca="false">SUMPRODUCT((Rules!$A$2:$A$60=E$1)*Rules!$C$2:$C$60*ISNUMBER(SEARCH(Rules!$D$2:$D$60,$D398)))</f>
        <v>0</v>
      </c>
      <c r="F398" s="0" t="n">
        <f aca="false">SUMPRODUCT((Rules!$A$2:$A$60=F$1)*Rules!$C$2:$C$60*ISNUMBER(SEARCH(Rules!$D$2:$D$60,$D398)))</f>
        <v>0</v>
      </c>
      <c r="G398" s="0" t="n">
        <f aca="false">SUMPRODUCT((Rules!$A$2:$A$60=G$1)*Rules!$C$2:$C$60*ISNUMBER(SEARCH(Rules!$D$2:$D$60,$D398)))</f>
        <v>0</v>
      </c>
      <c r="H398" s="0" t="n">
        <f aca="false">SUMPRODUCT((Rules!$A$2:$A$60=H$1)*Rules!$C$2:$C$60*ISNUMBER(SEARCH(Rules!$D$2:$D$60,$D398)))</f>
        <v>0</v>
      </c>
      <c r="I398" s="0" t="n">
        <f aca="false">SUMPRODUCT((Rules!$A$2:$A$60=I$1)*Rules!$C$2:$C$60*ISNUMBER(SEARCH(Rules!$D$2:$D$60,$D398)))</f>
        <v>0</v>
      </c>
      <c r="J398" s="0" t="n">
        <f aca="false">SUMPRODUCT((Rules!$A$2:$A$60=J$1)*Rules!$C$2:$C$60*ISNUMBER(SEARCH(Rules!$D$2:$D$60,$D398)))</f>
        <v>2</v>
      </c>
      <c r="K398" s="0" t="str">
        <f aca="false">IF(OR(MAX(E398:J398)&lt;Rules!$H$1,MAX(E398:J398)-LARGE(E398:J398,2)&lt;Rules!$H$2),"No label",INDEX($E$1:$J$1,MATCH(MAX(E398:J398),E398:J398,0)))</f>
        <v>No label</v>
      </c>
      <c r="L398" s="0" t="n">
        <f aca="false">SUMPRODUCT((Rules!$A$2:$A$60=L$1)*Rules!$C$2:$C$60*ISNUMBER(SEARCH(Rules!$E$2:$E$60,$D398)))</f>
        <v>0</v>
      </c>
      <c r="M398" s="0" t="n">
        <f aca="false">SUMPRODUCT((Rules!$A$2:$A$60=M$1)*Rules!$C$2:$C$60*ISNUMBER(SEARCH(Rules!$E$2:$E$60,$D398)))</f>
        <v>0</v>
      </c>
      <c r="N398" s="0" t="n">
        <f aca="false">SUMPRODUCT((Rules!$A$2:$A$60=N$1)*Rules!$C$2:$C$60*ISNUMBER(SEARCH(Rules!$E$2:$E$60,$D398)))</f>
        <v>0</v>
      </c>
      <c r="O398" s="0" t="n">
        <f aca="false">SUMPRODUCT((Rules!$A$2:$A$60=O$1)*Rules!$C$2:$C$60*ISNUMBER(SEARCH(Rules!$E$2:$E$60,$D398)))</f>
        <v>0</v>
      </c>
      <c r="P398" s="0" t="n">
        <f aca="false">SUMPRODUCT((Rules!$A$2:$A$60=P$1)*Rules!$C$2:$C$60*ISNUMBER(SEARCH(Rules!$E$2:$E$60,$D398)))</f>
        <v>0</v>
      </c>
      <c r="Q398" s="0" t="n">
        <f aca="false">SUMPRODUCT((Rules!$A$2:$A$60=Q$1)*Rules!$C$2:$C$60*ISNUMBER(SEARCH(Rules!$E$2:$E$60,$D398)))</f>
        <v>2</v>
      </c>
      <c r="R398" s="0" t="str">
        <f aca="false">IF(OR(MAX(L398:Q398)&lt;Rules!$H$1,MAX(L398:Q398)-LARGE(L398:Q398,2)&lt;Rules!$H$2),"No label",INDEX($L$1:$Q$1,MATCH(MAX(L398:Q398),L398:Q398,0)))</f>
        <v>No label</v>
      </c>
      <c r="S398" s="0" t="n">
        <f aca="false">SUMPRODUCT(ISNUMBER(SEARCH(" "&amp;Terms!$A$3:$A$821&amp;" ",$D398))*Terms!B$3:B$821)+Terms!B$2</f>
        <v>2.18848196197605</v>
      </c>
      <c r="T398" s="0" t="n">
        <f aca="false">SUMPRODUCT(ISNUMBER(SEARCH(" "&amp;Terms!$A$3:$A$821&amp;" ",$D398))*Terms!C$3:C$821)+Terms!C$2</f>
        <v>8.23889449821593</v>
      </c>
      <c r="U398" s="0" t="n">
        <f aca="false">SUMPRODUCT(ISNUMBER(SEARCH(" "&amp;Terms!$A$3:$A$821&amp;" ",$D398))*Terms!D$3:D$821)+Terms!D$2</f>
        <v>-3.5640937112068</v>
      </c>
      <c r="V398" s="0" t="n">
        <f aca="false">SUMPRODUCT(ISNUMBER(SEARCH(" "&amp;Terms!$A$3:$A$821&amp;" ",$D398))*Terms!E$3:E$821)+Terms!E$2</f>
        <v>-2.37386577350123</v>
      </c>
      <c r="W398" s="0" t="n">
        <f aca="false">SUMPRODUCT(ISNUMBER(SEARCH(" "&amp;Terms!$A$3:$A$821&amp;" ",$D398))*Terms!F$3:F$821)+Terms!F$2</f>
        <v>-1.84579589547485</v>
      </c>
      <c r="X398" s="0" t="n">
        <f aca="false">SUMPRODUCT(ISNUMBER(SEARCH(" "&amp;Terms!$A$3:$A$821&amp;" ",$D398))*Terms!G$3:G$821)+Terms!G$2</f>
        <v>-2.643621080009</v>
      </c>
      <c r="Y398" s="0" t="str">
        <f aca="false">INDEX($S$1:$X$1,MATCH(MAX(S398:X398),S398:X398,0))</f>
        <v>Customer Service</v>
      </c>
      <c r="Z398" s="0" t="s">
        <v>2607</v>
      </c>
    </row>
    <row r="399" customFormat="false" ht="15" hidden="false" customHeight="false" outlineLevel="0" collapsed="false">
      <c r="A399" s="0" t="str">
        <f aca="false">Complaints!A399</f>
        <v>C0398</v>
      </c>
      <c r="B399" s="0" t="str">
        <f aca="false">Complaints!B399</f>
        <v>This is the second time I have raised this. The webchat agent ended the conversation without solving anything. I would like a response in writing.</v>
      </c>
      <c r="C399" s="0" t="str">
        <f aca="false">Complaints!C399</f>
        <v>Customer Service</v>
      </c>
      <c r="D399" s="0" t="str">
        <f aca="false">" "&amp;TRIM(SUBSTITUTE(SUBSTITUTE(SUBSTITUTE(SUBSTITUTE(SUBSTITUTE(SUBSTITUTE(SUBSTITUTE(SUBSTITUTE(SUBSTITUTE(SUBSTITUTE(SUBSTITUTE(SUBSTITUTE(SUBSTITUTE(SUBSTITUTE(SUBSTITUTE(SUBSTITUTE(LOWER(B399),"."," "),","," "),"'"," "),"’"," "),"!"," "),"?"," "),";"," "),":"," "),"-"," "),"("," "),")"," "),"""", " "),"£"," "),"&amp;"," "),"/"," "),"%"," "))&amp;" "</f>
        <v> this is the second time i have raised this the webchat agent ended the conversation without solving anything i would like a response in writing </v>
      </c>
      <c r="E399" s="0" t="n">
        <f aca="false">SUMPRODUCT((Rules!$A$2:$A$60=E$1)*Rules!$C$2:$C$60*ISNUMBER(SEARCH(Rules!$D$2:$D$60,$D399)))</f>
        <v>0</v>
      </c>
      <c r="F399" s="0" t="n">
        <f aca="false">SUMPRODUCT((Rules!$A$2:$A$60=F$1)*Rules!$C$2:$C$60*ISNUMBER(SEARCH(Rules!$D$2:$D$60,$D399)))</f>
        <v>0</v>
      </c>
      <c r="G399" s="0" t="n">
        <f aca="false">SUMPRODUCT((Rules!$A$2:$A$60=G$1)*Rules!$C$2:$C$60*ISNUMBER(SEARCH(Rules!$D$2:$D$60,$D399)))</f>
        <v>0</v>
      </c>
      <c r="H399" s="0" t="n">
        <f aca="false">SUMPRODUCT((Rules!$A$2:$A$60=H$1)*Rules!$C$2:$C$60*ISNUMBER(SEARCH(Rules!$D$2:$D$60,$D399)))</f>
        <v>0</v>
      </c>
      <c r="I399" s="0" t="n">
        <f aca="false">SUMPRODUCT((Rules!$A$2:$A$60=I$1)*Rules!$C$2:$C$60*ISNUMBER(SEARCH(Rules!$D$2:$D$60,$D399)))</f>
        <v>0</v>
      </c>
      <c r="J399" s="0" t="n">
        <f aca="false">SUMPRODUCT((Rules!$A$2:$A$60=J$1)*Rules!$C$2:$C$60*ISNUMBER(SEARCH(Rules!$D$2:$D$60,$D399)))</f>
        <v>2</v>
      </c>
      <c r="K399" s="0" t="str">
        <f aca="false">IF(OR(MAX(E399:J399)&lt;Rules!$H$1,MAX(E399:J399)-LARGE(E399:J399,2)&lt;Rules!$H$2),"No label",INDEX($E$1:$J$1,MATCH(MAX(E399:J399),E399:J399,0)))</f>
        <v>No label</v>
      </c>
      <c r="L399" s="0" t="n">
        <f aca="false">SUMPRODUCT((Rules!$A$2:$A$60=L$1)*Rules!$C$2:$C$60*ISNUMBER(SEARCH(Rules!$E$2:$E$60,$D399)))</f>
        <v>0</v>
      </c>
      <c r="M399" s="0" t="n">
        <f aca="false">SUMPRODUCT((Rules!$A$2:$A$60=M$1)*Rules!$C$2:$C$60*ISNUMBER(SEARCH(Rules!$E$2:$E$60,$D399)))</f>
        <v>0</v>
      </c>
      <c r="N399" s="0" t="n">
        <f aca="false">SUMPRODUCT((Rules!$A$2:$A$60=N$1)*Rules!$C$2:$C$60*ISNUMBER(SEARCH(Rules!$E$2:$E$60,$D399)))</f>
        <v>0</v>
      </c>
      <c r="O399" s="0" t="n">
        <f aca="false">SUMPRODUCT((Rules!$A$2:$A$60=O$1)*Rules!$C$2:$C$60*ISNUMBER(SEARCH(Rules!$E$2:$E$60,$D399)))</f>
        <v>0</v>
      </c>
      <c r="P399" s="0" t="n">
        <f aca="false">SUMPRODUCT((Rules!$A$2:$A$60=P$1)*Rules!$C$2:$C$60*ISNUMBER(SEARCH(Rules!$E$2:$E$60,$D399)))</f>
        <v>0</v>
      </c>
      <c r="Q399" s="0" t="n">
        <f aca="false">SUMPRODUCT((Rules!$A$2:$A$60=Q$1)*Rules!$C$2:$C$60*ISNUMBER(SEARCH(Rules!$E$2:$E$60,$D399)))</f>
        <v>2</v>
      </c>
      <c r="R399" s="0" t="str">
        <f aca="false">IF(OR(MAX(L399:Q399)&lt;Rules!$H$1,MAX(L399:Q399)-LARGE(L399:Q399,2)&lt;Rules!$H$2),"No label",INDEX($L$1:$Q$1,MATCH(MAX(L399:Q399),L399:Q399,0)))</f>
        <v>No label</v>
      </c>
      <c r="S399" s="0" t="n">
        <f aca="false">SUMPRODUCT(ISNUMBER(SEARCH(" "&amp;Terms!$A$3:$A$821&amp;" ",$D399))*Terms!B$3:B$821)+Terms!B$2</f>
        <v>-2.97974371386885</v>
      </c>
      <c r="T399" s="0" t="n">
        <f aca="false">SUMPRODUCT(ISNUMBER(SEARCH(" "&amp;Terms!$A$3:$A$821&amp;" ",$D399))*Terms!C$3:C$821)+Terms!C$2</f>
        <v>11.3760559872532</v>
      </c>
      <c r="U399" s="0" t="n">
        <f aca="false">SUMPRODUCT(ISNUMBER(SEARCH(" "&amp;Terms!$A$3:$A$821&amp;" ",$D399))*Terms!D$3:D$821)+Terms!D$2</f>
        <v>-3.16632020724835</v>
      </c>
      <c r="V399" s="0" t="n">
        <f aca="false">SUMPRODUCT(ISNUMBER(SEARCH(" "&amp;Terms!$A$3:$A$821&amp;" ",$D399))*Terms!E$3:E$821)+Terms!E$2</f>
        <v>-2.53683794173793</v>
      </c>
      <c r="W399" s="0" t="n">
        <f aca="false">SUMPRODUCT(ISNUMBER(SEARCH(" "&amp;Terms!$A$3:$A$821&amp;" ",$D399))*Terms!F$3:F$821)+Terms!F$2</f>
        <v>-2.39227712726671</v>
      </c>
      <c r="X399" s="0" t="n">
        <f aca="false">SUMPRODUCT(ISNUMBER(SEARCH(" "&amp;Terms!$A$3:$A$821&amp;" ",$D399))*Terms!G$3:G$821)+Terms!G$2</f>
        <v>-0.300876997131283</v>
      </c>
      <c r="Y399" s="0" t="str">
        <f aca="false">INDEX($S$1:$X$1,MATCH(MAX(S399:X399),S399:X399,0))</f>
        <v>Customer Service</v>
      </c>
      <c r="Z399" s="0" t="s">
        <v>2607</v>
      </c>
    </row>
    <row r="400" customFormat="false" ht="15" hidden="false" customHeight="false" outlineLevel="0" collapsed="false">
      <c r="A400" s="0" t="str">
        <f aca="false">Complaints!A400</f>
        <v>C0399</v>
      </c>
      <c r="B400" s="0" t="str">
        <f aca="false">Complaints!B400</f>
        <v>Frankly, The staff member was rude and dismissive when I called. Also, the salesperson pushed me into a plan I did not need. I would like a response in writing.</v>
      </c>
      <c r="C400" s="0" t="str">
        <f aca="false">Complaints!C400</f>
        <v>Customer Service</v>
      </c>
      <c r="D400" s="0" t="str">
        <f aca="false">" "&amp;TRIM(SUBSTITUTE(SUBSTITUTE(SUBSTITUTE(SUBSTITUTE(SUBSTITUTE(SUBSTITUTE(SUBSTITUTE(SUBSTITUTE(SUBSTITUTE(SUBSTITUTE(SUBSTITUTE(SUBSTITUTE(SUBSTITUTE(SUBSTITUTE(SUBSTITUTE(SUBSTITUTE(LOWER(B400),"."," "),","," "),"'"," "),"’"," "),"!"," "),"?"," "),";"," "),":"," "),"-"," "),"("," "),")"," "),"""", " "),"£"," "),"&amp;"," "),"/"," "),"%"," "))&amp;" "</f>
        <v> frankly the staff member was rude and dismissive when i called also the salesperson pushed me into a plan i did not need i would like a response in writing </v>
      </c>
      <c r="E400" s="0" t="n">
        <f aca="false">SUMPRODUCT((Rules!$A$2:$A$60=E$1)*Rules!$C$2:$C$60*ISNUMBER(SEARCH(Rules!$D$2:$D$60,$D400)))</f>
        <v>0</v>
      </c>
      <c r="F400" s="0" t="n">
        <f aca="false">SUMPRODUCT((Rules!$A$2:$A$60=F$1)*Rules!$C$2:$C$60*ISNUMBER(SEARCH(Rules!$D$2:$D$60,$D400)))</f>
        <v>2</v>
      </c>
      <c r="G400" s="0" t="n">
        <f aca="false">SUMPRODUCT((Rules!$A$2:$A$60=G$1)*Rules!$C$2:$C$60*ISNUMBER(SEARCH(Rules!$D$2:$D$60,$D400)))</f>
        <v>0</v>
      </c>
      <c r="H400" s="0" t="n">
        <f aca="false">SUMPRODUCT((Rules!$A$2:$A$60=H$1)*Rules!$C$2:$C$60*ISNUMBER(SEARCH(Rules!$D$2:$D$60,$D400)))</f>
        <v>0</v>
      </c>
      <c r="I400" s="0" t="n">
        <f aca="false">SUMPRODUCT((Rules!$A$2:$A$60=I$1)*Rules!$C$2:$C$60*ISNUMBER(SEARCH(Rules!$D$2:$D$60,$D400)))</f>
        <v>0</v>
      </c>
      <c r="J400" s="0" t="n">
        <f aca="false">SUMPRODUCT((Rules!$A$2:$A$60=J$1)*Rules!$C$2:$C$60*ISNUMBER(SEARCH(Rules!$D$2:$D$60,$D400)))</f>
        <v>4</v>
      </c>
      <c r="K400" s="0" t="str">
        <f aca="false">IF(OR(MAX(E400:J400)&lt;Rules!$H$1,MAX(E400:J400)-LARGE(E400:J400,2)&lt;Rules!$H$2),"No label",INDEX($E$1:$J$1,MATCH(MAX(E400:J400),E400:J400,0)))</f>
        <v>Customer Service</v>
      </c>
      <c r="L400" s="0" t="n">
        <f aca="false">SUMPRODUCT((Rules!$A$2:$A$60=L$1)*Rules!$C$2:$C$60*ISNUMBER(SEARCH(Rules!$E$2:$E$60,$D400)))</f>
        <v>0</v>
      </c>
      <c r="M400" s="0" t="n">
        <f aca="false">SUMPRODUCT((Rules!$A$2:$A$60=M$1)*Rules!$C$2:$C$60*ISNUMBER(SEARCH(Rules!$E$2:$E$60,$D400)))</f>
        <v>2</v>
      </c>
      <c r="N400" s="0" t="n">
        <f aca="false">SUMPRODUCT((Rules!$A$2:$A$60=N$1)*Rules!$C$2:$C$60*ISNUMBER(SEARCH(Rules!$E$2:$E$60,$D400)))</f>
        <v>0</v>
      </c>
      <c r="O400" s="0" t="n">
        <f aca="false">SUMPRODUCT((Rules!$A$2:$A$60=O$1)*Rules!$C$2:$C$60*ISNUMBER(SEARCH(Rules!$E$2:$E$60,$D400)))</f>
        <v>0</v>
      </c>
      <c r="P400" s="0" t="n">
        <f aca="false">SUMPRODUCT((Rules!$A$2:$A$60=P$1)*Rules!$C$2:$C$60*ISNUMBER(SEARCH(Rules!$E$2:$E$60,$D400)))</f>
        <v>0</v>
      </c>
      <c r="Q400" s="0" t="n">
        <f aca="false">SUMPRODUCT((Rules!$A$2:$A$60=Q$1)*Rules!$C$2:$C$60*ISNUMBER(SEARCH(Rules!$E$2:$E$60,$D400)))</f>
        <v>4</v>
      </c>
      <c r="R400" s="0" t="str">
        <f aca="false">IF(OR(MAX(L400:Q400)&lt;Rules!$H$1,MAX(L400:Q400)-LARGE(L400:Q400,2)&lt;Rules!$H$2),"No label",INDEX($L$1:$Q$1,MATCH(MAX(L400:Q400),L400:Q400,0)))</f>
        <v>Customer Service</v>
      </c>
      <c r="S400" s="0" t="n">
        <f aca="false">SUMPRODUCT(ISNUMBER(SEARCH(" "&amp;Terms!$A$3:$A$821&amp;" ",$D400))*Terms!B$3:B$821)+Terms!B$2</f>
        <v>-7.12103751468073</v>
      </c>
      <c r="T400" s="0" t="n">
        <f aca="false">SUMPRODUCT(ISNUMBER(SEARCH(" "&amp;Terms!$A$3:$A$821&amp;" ",$D400))*Terms!C$3:C$821)+Terms!C$2</f>
        <v>9.38120359277071</v>
      </c>
      <c r="U400" s="0" t="n">
        <f aca="false">SUMPRODUCT(ISNUMBER(SEARCH(" "&amp;Terms!$A$3:$A$821&amp;" ",$D400))*Terms!D$3:D$821)+Terms!D$2</f>
        <v>-5.33629468832557</v>
      </c>
      <c r="V400" s="0" t="n">
        <f aca="false">SUMPRODUCT(ISNUMBER(SEARCH(" "&amp;Terms!$A$3:$A$821&amp;" ",$D400))*Terms!E$3:E$821)+Terms!E$2</f>
        <v>-1.86783208596029</v>
      </c>
      <c r="W400" s="0" t="n">
        <f aca="false">SUMPRODUCT(ISNUMBER(SEARCH(" "&amp;Terms!$A$3:$A$821&amp;" ",$D400))*Terms!F$3:F$821)+Terms!F$2</f>
        <v>-2.612477920995</v>
      </c>
      <c r="X400" s="0" t="n">
        <f aca="false">SUMPRODUCT(ISNUMBER(SEARCH(" "&amp;Terms!$A$3:$A$821&amp;" ",$D400))*Terms!G$3:G$821)+Terms!G$2</f>
        <v>7.55643861719096</v>
      </c>
      <c r="Y400" s="0" t="str">
        <f aca="false">INDEX($S$1:$X$1,MATCH(MAX(S400:X400),S400:X400,0))</f>
        <v>Customer Service</v>
      </c>
      <c r="Z400" s="0" t="s">
        <v>2607</v>
      </c>
    </row>
    <row r="401" customFormat="false" ht="15" hidden="false" customHeight="false" outlineLevel="0" collapsed="false">
      <c r="A401" s="0" t="str">
        <f aca="false">Complaints!A401</f>
        <v>C0400</v>
      </c>
      <c r="B401" s="0" t="str">
        <f aca="false">Complaints!B401</f>
        <v>Frankly, I was advised to take out cover that duplicates what I already had.</v>
      </c>
      <c r="C401" s="0" t="str">
        <f aca="false">Complaints!C401</f>
        <v>Mis-selling</v>
      </c>
      <c r="D401" s="0" t="str">
        <f aca="false">" "&amp;TRIM(SUBSTITUTE(SUBSTITUTE(SUBSTITUTE(SUBSTITUTE(SUBSTITUTE(SUBSTITUTE(SUBSTITUTE(SUBSTITUTE(SUBSTITUTE(SUBSTITUTE(SUBSTITUTE(SUBSTITUTE(SUBSTITUTE(SUBSTITUTE(SUBSTITUTE(SUBSTITUTE(LOWER(B401),"."," "),","," "),"'"," "),"’"," "),"!"," "),"?"," "),";"," "),":"," "),"-"," "),"("," "),")"," "),"""", " "),"£"," "),"&amp;"," "),"/"," "),"%"," "))&amp;" "</f>
        <v> frankly i was advised to take out cover that duplicates what i already had </v>
      </c>
      <c r="E401" s="0" t="n">
        <f aca="false">SUMPRODUCT((Rules!$A$2:$A$60=E$1)*Rules!$C$2:$C$60*ISNUMBER(SEARCH(Rules!$D$2:$D$60,$D401)))</f>
        <v>0</v>
      </c>
      <c r="F401" s="0" t="n">
        <f aca="false">SUMPRODUCT((Rules!$A$2:$A$60=F$1)*Rules!$C$2:$C$60*ISNUMBER(SEARCH(Rules!$D$2:$D$60,$D401)))</f>
        <v>0</v>
      </c>
      <c r="G401" s="0" t="n">
        <f aca="false">SUMPRODUCT((Rules!$A$2:$A$60=G$1)*Rules!$C$2:$C$60*ISNUMBER(SEARCH(Rules!$D$2:$D$60,$D401)))</f>
        <v>0</v>
      </c>
      <c r="H401" s="0" t="n">
        <f aca="false">SUMPRODUCT((Rules!$A$2:$A$60=H$1)*Rules!$C$2:$C$60*ISNUMBER(SEARCH(Rules!$D$2:$D$60,$D401)))</f>
        <v>0</v>
      </c>
      <c r="I401" s="0" t="n">
        <f aca="false">SUMPRODUCT((Rules!$A$2:$A$60=I$1)*Rules!$C$2:$C$60*ISNUMBER(SEARCH(Rules!$D$2:$D$60,$D401)))</f>
        <v>0</v>
      </c>
      <c r="J401" s="0" t="n">
        <f aca="false">SUMPRODUCT((Rules!$A$2:$A$60=J$1)*Rules!$C$2:$C$60*ISNUMBER(SEARCH(Rules!$D$2:$D$60,$D401)))</f>
        <v>0</v>
      </c>
      <c r="K401" s="0" t="str">
        <f aca="false">IF(OR(MAX(E401:J401)&lt;Rules!$H$1,MAX(E401:J401)-LARGE(E401:J401,2)&lt;Rules!$H$2),"No label",INDEX($E$1:$J$1,MATCH(MAX(E401:J401),E401:J401,0)))</f>
        <v>No label</v>
      </c>
      <c r="L401" s="0" t="n">
        <f aca="false">SUMPRODUCT((Rules!$A$2:$A$60=L$1)*Rules!$C$2:$C$60*ISNUMBER(SEARCH(Rules!$E$2:$E$60,$D401)))</f>
        <v>0</v>
      </c>
      <c r="M401" s="0" t="n">
        <f aca="false">SUMPRODUCT((Rules!$A$2:$A$60=M$1)*Rules!$C$2:$C$60*ISNUMBER(SEARCH(Rules!$E$2:$E$60,$D401)))</f>
        <v>4</v>
      </c>
      <c r="N401" s="0" t="n">
        <f aca="false">SUMPRODUCT((Rules!$A$2:$A$60=N$1)*Rules!$C$2:$C$60*ISNUMBER(SEARCH(Rules!$E$2:$E$60,$D401)))</f>
        <v>0</v>
      </c>
      <c r="O401" s="0" t="n">
        <f aca="false">SUMPRODUCT((Rules!$A$2:$A$60=O$1)*Rules!$C$2:$C$60*ISNUMBER(SEARCH(Rules!$E$2:$E$60,$D401)))</f>
        <v>0</v>
      </c>
      <c r="P401" s="0" t="n">
        <f aca="false">SUMPRODUCT((Rules!$A$2:$A$60=P$1)*Rules!$C$2:$C$60*ISNUMBER(SEARCH(Rules!$E$2:$E$60,$D401)))</f>
        <v>0</v>
      </c>
      <c r="Q401" s="0" t="n">
        <f aca="false">SUMPRODUCT((Rules!$A$2:$A$60=Q$1)*Rules!$C$2:$C$60*ISNUMBER(SEARCH(Rules!$E$2:$E$60,$D401)))</f>
        <v>1</v>
      </c>
      <c r="R401" s="0" t="str">
        <f aca="false">IF(OR(MAX(L401:Q401)&lt;Rules!$H$1,MAX(L401:Q401)-LARGE(L401:Q401,2)&lt;Rules!$H$2),"No label",INDEX($L$1:$Q$1,MATCH(MAX(L401:Q401),L401:Q401,0)))</f>
        <v>Mis-selling</v>
      </c>
      <c r="S401" s="0" t="n">
        <f aca="false">SUMPRODUCT(ISNUMBER(SEARCH(" "&amp;Terms!$A$3:$A$821&amp;" ",$D401))*Terms!B$3:B$821)+Terms!B$2</f>
        <v>-1.32251070841845</v>
      </c>
      <c r="T401" s="0" t="n">
        <f aca="false">SUMPRODUCT(ISNUMBER(SEARCH(" "&amp;Terms!$A$3:$A$821&amp;" ",$D401))*Terms!C$3:C$821)+Terms!C$2</f>
        <v>-0.653002445683957</v>
      </c>
      <c r="U401" s="0" t="n">
        <f aca="false">SUMPRODUCT(ISNUMBER(SEARCH(" "&amp;Terms!$A$3:$A$821&amp;" ",$D401))*Terms!D$3:D$821)+Terms!D$2</f>
        <v>-1.97892127769248</v>
      </c>
      <c r="V401" s="0" t="n">
        <f aca="false">SUMPRODUCT(ISNUMBER(SEARCH(" "&amp;Terms!$A$3:$A$821&amp;" ",$D401))*Terms!E$3:E$821)+Terms!E$2</f>
        <v>-0.754053216470849</v>
      </c>
      <c r="W401" s="0" t="n">
        <f aca="false">SUMPRODUCT(ISNUMBER(SEARCH(" "&amp;Terms!$A$3:$A$821&amp;" ",$D401))*Terms!F$3:F$821)+Terms!F$2</f>
        <v>-1.13737539404457</v>
      </c>
      <c r="X401" s="0" t="n">
        <f aca="false">SUMPRODUCT(ISNUMBER(SEARCH(" "&amp;Terms!$A$3:$A$821&amp;" ",$D401))*Terms!G$3:G$821)+Terms!G$2</f>
        <v>5.84586304231039</v>
      </c>
      <c r="Y401" s="0" t="str">
        <f aca="false">INDEX($S$1:$X$1,MATCH(MAX(S401:X401),S401:X401,0))</f>
        <v>Mis-selling</v>
      </c>
      <c r="Z401" s="0" t="s">
        <v>2607</v>
      </c>
    </row>
    <row r="402" customFormat="false" ht="15" hidden="false" customHeight="false" outlineLevel="0" collapsed="false">
      <c r="A402" s="0" t="str">
        <f aca="false">Complaints!A402</f>
        <v>C0401</v>
      </c>
      <c r="B402" s="0" t="str">
        <f aca="false">Complaints!B402</f>
        <v>This is the second time I have raised this. Your advisor gave me different answers on two separate calls.</v>
      </c>
      <c r="C402" s="0" t="str">
        <f aca="false">Complaints!C402</f>
        <v>Customer Service</v>
      </c>
      <c r="D402" s="0" t="str">
        <f aca="false">" "&amp;TRIM(SUBSTITUTE(SUBSTITUTE(SUBSTITUTE(SUBSTITUTE(SUBSTITUTE(SUBSTITUTE(SUBSTITUTE(SUBSTITUTE(SUBSTITUTE(SUBSTITUTE(SUBSTITUTE(SUBSTITUTE(SUBSTITUTE(SUBSTITUTE(SUBSTITUTE(SUBSTITUTE(LOWER(B402),"."," "),","," "),"'"," "),"’"," "),"!"," "),"?"," "),";"," "),":"," "),"-"," "),"("," "),")"," "),"""", " "),"£"," "),"&amp;"," "),"/"," "),"%"," "))&amp;" "</f>
        <v> this is the second time i have raised this your advisor gave me different answers on two separate calls </v>
      </c>
      <c r="E402" s="0" t="n">
        <f aca="false">SUMPRODUCT((Rules!$A$2:$A$60=E$1)*Rules!$C$2:$C$60*ISNUMBER(SEARCH(Rules!$D$2:$D$60,$D402)))</f>
        <v>0</v>
      </c>
      <c r="F402" s="0" t="n">
        <f aca="false">SUMPRODUCT((Rules!$A$2:$A$60=F$1)*Rules!$C$2:$C$60*ISNUMBER(SEARCH(Rules!$D$2:$D$60,$D402)))</f>
        <v>0</v>
      </c>
      <c r="G402" s="0" t="n">
        <f aca="false">SUMPRODUCT((Rules!$A$2:$A$60=G$1)*Rules!$C$2:$C$60*ISNUMBER(SEARCH(Rules!$D$2:$D$60,$D402)))</f>
        <v>0</v>
      </c>
      <c r="H402" s="0" t="n">
        <f aca="false">SUMPRODUCT((Rules!$A$2:$A$60=H$1)*Rules!$C$2:$C$60*ISNUMBER(SEARCH(Rules!$D$2:$D$60,$D402)))</f>
        <v>0</v>
      </c>
      <c r="I402" s="0" t="n">
        <f aca="false">SUMPRODUCT((Rules!$A$2:$A$60=I$1)*Rules!$C$2:$C$60*ISNUMBER(SEARCH(Rules!$D$2:$D$60,$D402)))</f>
        <v>0</v>
      </c>
      <c r="J402" s="0" t="n">
        <f aca="false">SUMPRODUCT((Rules!$A$2:$A$60=J$1)*Rules!$C$2:$C$60*ISNUMBER(SEARCH(Rules!$D$2:$D$60,$D402)))</f>
        <v>1</v>
      </c>
      <c r="K402" s="0" t="str">
        <f aca="false">IF(OR(MAX(E402:J402)&lt;Rules!$H$1,MAX(E402:J402)-LARGE(E402:J402,2)&lt;Rules!$H$2),"No label",INDEX($E$1:$J$1,MATCH(MAX(E402:J402),E402:J402,0)))</f>
        <v>No label</v>
      </c>
      <c r="L402" s="0" t="n">
        <f aca="false">SUMPRODUCT((Rules!$A$2:$A$60=L$1)*Rules!$C$2:$C$60*ISNUMBER(SEARCH(Rules!$E$2:$E$60,$D402)))</f>
        <v>0</v>
      </c>
      <c r="M402" s="0" t="n">
        <f aca="false">SUMPRODUCT((Rules!$A$2:$A$60=M$1)*Rules!$C$2:$C$60*ISNUMBER(SEARCH(Rules!$E$2:$E$60,$D402)))</f>
        <v>4</v>
      </c>
      <c r="N402" s="0" t="n">
        <f aca="false">SUMPRODUCT((Rules!$A$2:$A$60=N$1)*Rules!$C$2:$C$60*ISNUMBER(SEARCH(Rules!$E$2:$E$60,$D402)))</f>
        <v>0</v>
      </c>
      <c r="O402" s="0" t="n">
        <f aca="false">SUMPRODUCT((Rules!$A$2:$A$60=O$1)*Rules!$C$2:$C$60*ISNUMBER(SEARCH(Rules!$E$2:$E$60,$D402)))</f>
        <v>0</v>
      </c>
      <c r="P402" s="0" t="n">
        <f aca="false">SUMPRODUCT((Rules!$A$2:$A$60=P$1)*Rules!$C$2:$C$60*ISNUMBER(SEARCH(Rules!$E$2:$E$60,$D402)))</f>
        <v>0</v>
      </c>
      <c r="Q402" s="0" t="n">
        <f aca="false">SUMPRODUCT((Rules!$A$2:$A$60=Q$1)*Rules!$C$2:$C$60*ISNUMBER(SEARCH(Rules!$E$2:$E$60,$D402)))</f>
        <v>1</v>
      </c>
      <c r="R402" s="0" t="str">
        <f aca="false">IF(OR(MAX(L402:Q402)&lt;Rules!$H$1,MAX(L402:Q402)-LARGE(L402:Q402,2)&lt;Rules!$H$2),"No label",INDEX($L$1:$Q$1,MATCH(MAX(L402:Q402),L402:Q402,0)))</f>
        <v>Mis-selling</v>
      </c>
      <c r="S402" s="0" t="n">
        <f aca="false">SUMPRODUCT(ISNUMBER(SEARCH(" "&amp;Terms!$A$3:$A$821&amp;" ",$D402))*Terms!B$3:B$821)+Terms!B$2</f>
        <v>-1.79917479835018</v>
      </c>
      <c r="T402" s="0" t="n">
        <f aca="false">SUMPRODUCT(ISNUMBER(SEARCH(" "&amp;Terms!$A$3:$A$821&amp;" ",$D402))*Terms!C$3:C$821)+Terms!C$2</f>
        <v>14.0695024213337</v>
      </c>
      <c r="U402" s="0" t="n">
        <f aca="false">SUMPRODUCT(ISNUMBER(SEARCH(" "&amp;Terms!$A$3:$A$821&amp;" ",$D402))*Terms!D$3:D$821)+Terms!D$2</f>
        <v>-3.54230727010812</v>
      </c>
      <c r="V402" s="0" t="n">
        <f aca="false">SUMPRODUCT(ISNUMBER(SEARCH(" "&amp;Terms!$A$3:$A$821&amp;" ",$D402))*Terms!E$3:E$821)+Terms!E$2</f>
        <v>-4.68108208894608</v>
      </c>
      <c r="W402" s="0" t="n">
        <f aca="false">SUMPRODUCT(ISNUMBER(SEARCH(" "&amp;Terms!$A$3:$A$821&amp;" ",$D402))*Terms!F$3:F$821)+Terms!F$2</f>
        <v>-1.03757943088669</v>
      </c>
      <c r="X402" s="0" t="n">
        <f aca="false">SUMPRODUCT(ISNUMBER(SEARCH(" "&amp;Terms!$A$3:$A$821&amp;" ",$D402))*Terms!G$3:G$821)+Terms!G$2</f>
        <v>-3.00935883304252</v>
      </c>
      <c r="Y402" s="0" t="str">
        <f aca="false">INDEX($S$1:$X$1,MATCH(MAX(S402:X402),S402:X402,0))</f>
        <v>Customer Service</v>
      </c>
      <c r="Z402" s="0" t="s">
        <v>2608</v>
      </c>
    </row>
    <row r="403" customFormat="false" ht="15" hidden="false" customHeight="false" outlineLevel="0" collapsed="false">
      <c r="A403" s="0" t="str">
        <f aca="false">Complaints!A403</f>
        <v>C0402</v>
      </c>
      <c r="B403" s="0" t="str">
        <f aca="false">Complaints!B403</f>
        <v>Frankly, My card was cloned and used abroad. I want this put right.</v>
      </c>
      <c r="C403" s="0" t="str">
        <f aca="false">Complaints!C403</f>
        <v>Fraud &amp; Scams</v>
      </c>
      <c r="D403" s="0" t="str">
        <f aca="false">" "&amp;TRIM(SUBSTITUTE(SUBSTITUTE(SUBSTITUTE(SUBSTITUTE(SUBSTITUTE(SUBSTITUTE(SUBSTITUTE(SUBSTITUTE(SUBSTITUTE(SUBSTITUTE(SUBSTITUTE(SUBSTITUTE(SUBSTITUTE(SUBSTITUTE(SUBSTITUTE(SUBSTITUTE(LOWER(B403),"."," "),","," "),"'"," "),"’"," "),"!"," "),"?"," "),";"," "),":"," "),"-"," "),"("," "),")"," "),"""", " "),"£"," "),"&amp;"," "),"/"," "),"%"," "))&amp;" "</f>
        <v> frankly my card was cloned and used abroad i want this put right </v>
      </c>
      <c r="E403" s="0" t="n">
        <f aca="false">SUMPRODUCT((Rules!$A$2:$A$60=E$1)*Rules!$C$2:$C$60*ISNUMBER(SEARCH(Rules!$D$2:$D$60,$D403)))</f>
        <v>3</v>
      </c>
      <c r="F403" s="0" t="n">
        <f aca="false">SUMPRODUCT((Rules!$A$2:$A$60=F$1)*Rules!$C$2:$C$60*ISNUMBER(SEARCH(Rules!$D$2:$D$60,$D403)))</f>
        <v>0</v>
      </c>
      <c r="G403" s="0" t="n">
        <f aca="false">SUMPRODUCT((Rules!$A$2:$A$60=G$1)*Rules!$C$2:$C$60*ISNUMBER(SEARCH(Rules!$D$2:$D$60,$D403)))</f>
        <v>0</v>
      </c>
      <c r="H403" s="0" t="n">
        <f aca="false">SUMPRODUCT((Rules!$A$2:$A$60=H$1)*Rules!$C$2:$C$60*ISNUMBER(SEARCH(Rules!$D$2:$D$60,$D403)))</f>
        <v>0</v>
      </c>
      <c r="I403" s="0" t="n">
        <f aca="false">SUMPRODUCT((Rules!$A$2:$A$60=I$1)*Rules!$C$2:$C$60*ISNUMBER(SEARCH(Rules!$D$2:$D$60,$D403)))</f>
        <v>0</v>
      </c>
      <c r="J403" s="0" t="n">
        <f aca="false">SUMPRODUCT((Rules!$A$2:$A$60=J$1)*Rules!$C$2:$C$60*ISNUMBER(SEARCH(Rules!$D$2:$D$60,$D403)))</f>
        <v>0</v>
      </c>
      <c r="K403" s="0" t="str">
        <f aca="false">IF(OR(MAX(E403:J403)&lt;Rules!$H$1,MAX(E403:J403)-LARGE(E403:J403,2)&lt;Rules!$H$2),"No label",INDEX($E$1:$J$1,MATCH(MAX(E403:J403),E403:J403,0)))</f>
        <v>Fraud &amp; Scams</v>
      </c>
      <c r="L403" s="0" t="n">
        <f aca="false">SUMPRODUCT((Rules!$A$2:$A$60=L$1)*Rules!$C$2:$C$60*ISNUMBER(SEARCH(Rules!$E$2:$E$60,$D403)))</f>
        <v>3</v>
      </c>
      <c r="M403" s="0" t="n">
        <f aca="false">SUMPRODUCT((Rules!$A$2:$A$60=M$1)*Rules!$C$2:$C$60*ISNUMBER(SEARCH(Rules!$E$2:$E$60,$D403)))</f>
        <v>0</v>
      </c>
      <c r="N403" s="0" t="n">
        <f aca="false">SUMPRODUCT((Rules!$A$2:$A$60=N$1)*Rules!$C$2:$C$60*ISNUMBER(SEARCH(Rules!$E$2:$E$60,$D403)))</f>
        <v>0</v>
      </c>
      <c r="O403" s="0" t="n">
        <f aca="false">SUMPRODUCT((Rules!$A$2:$A$60=O$1)*Rules!$C$2:$C$60*ISNUMBER(SEARCH(Rules!$E$2:$E$60,$D403)))</f>
        <v>0</v>
      </c>
      <c r="P403" s="0" t="n">
        <f aca="false">SUMPRODUCT((Rules!$A$2:$A$60=P$1)*Rules!$C$2:$C$60*ISNUMBER(SEARCH(Rules!$E$2:$E$60,$D403)))</f>
        <v>0</v>
      </c>
      <c r="Q403" s="0" t="n">
        <f aca="false">SUMPRODUCT((Rules!$A$2:$A$60=Q$1)*Rules!$C$2:$C$60*ISNUMBER(SEARCH(Rules!$E$2:$E$60,$D403)))</f>
        <v>0</v>
      </c>
      <c r="R403" s="0" t="str">
        <f aca="false">IF(OR(MAX(L403:Q403)&lt;Rules!$H$1,MAX(L403:Q403)-LARGE(L403:Q403,2)&lt;Rules!$H$2),"No label",INDEX($L$1:$Q$1,MATCH(MAX(L403:Q403),L403:Q403,0)))</f>
        <v>Fraud &amp; Scams</v>
      </c>
      <c r="S403" s="0" t="n">
        <f aca="false">SUMPRODUCT(ISNUMBER(SEARCH(" "&amp;Terms!$A$3:$A$821&amp;" ",$D403))*Terms!B$3:B$821)+Terms!B$2</f>
        <v>-1.75367301482198</v>
      </c>
      <c r="T403" s="0" t="n">
        <f aca="false">SUMPRODUCT(ISNUMBER(SEARCH(" "&amp;Terms!$A$3:$A$821&amp;" ",$D403))*Terms!C$3:C$821)+Terms!C$2</f>
        <v>-3.11809300328666</v>
      </c>
      <c r="U403" s="0" t="n">
        <f aca="false">SUMPRODUCT(ISNUMBER(SEARCH(" "&amp;Terms!$A$3:$A$821&amp;" ",$D403))*Terms!D$3:D$821)+Terms!D$2</f>
        <v>-4.97352650238064</v>
      </c>
      <c r="V403" s="0" t="n">
        <f aca="false">SUMPRODUCT(ISNUMBER(SEARCH(" "&amp;Terms!$A$3:$A$821&amp;" ",$D403))*Terms!E$3:E$821)+Terms!E$2</f>
        <v>-0.0556831881141796</v>
      </c>
      <c r="W403" s="0" t="n">
        <f aca="false">SUMPRODUCT(ISNUMBER(SEARCH(" "&amp;Terms!$A$3:$A$821&amp;" ",$D403))*Terms!F$3:F$821)+Terms!F$2</f>
        <v>12.0059675905827</v>
      </c>
      <c r="X403" s="0" t="n">
        <f aca="false">SUMPRODUCT(ISNUMBER(SEARCH(" "&amp;Terms!$A$3:$A$821&amp;" ",$D403))*Terms!G$3:G$821)+Terms!G$2</f>
        <v>-2.10499188197909</v>
      </c>
      <c r="Y403" s="0" t="str">
        <f aca="false">INDEX($S$1:$X$1,MATCH(MAX(S403:X403),S403:X403,0))</f>
        <v>Fraud &amp; Scams</v>
      </c>
      <c r="Z403" s="0" t="s">
        <v>2607</v>
      </c>
    </row>
    <row r="404" customFormat="false" ht="15" hidden="false" customHeight="false" outlineLevel="0" collapsed="false">
      <c r="A404" s="0" t="str">
        <f aca="false">Complaints!A404</f>
        <v>C0403</v>
      </c>
      <c r="B404" s="0" t="str">
        <f aca="false">Complaints!B404</f>
        <v>This is the second time I have raised this. The branch manager would not listen to my concerns. It has also been taking far too long. Please sort this out.</v>
      </c>
      <c r="C404" s="0" t="str">
        <f aca="false">Complaints!C404</f>
        <v>Customer Service</v>
      </c>
      <c r="D404" s="0" t="str">
        <f aca="false">" "&amp;TRIM(SUBSTITUTE(SUBSTITUTE(SUBSTITUTE(SUBSTITUTE(SUBSTITUTE(SUBSTITUTE(SUBSTITUTE(SUBSTITUTE(SUBSTITUTE(SUBSTITUTE(SUBSTITUTE(SUBSTITUTE(SUBSTITUTE(SUBSTITUTE(SUBSTITUTE(SUBSTITUTE(LOWER(B404),"."," "),","," "),"'"," "),"’"," "),"!"," "),"?"," "),";"," "),":"," "),"-"," "),"("," "),")"," "),"""", " "),"£"," "),"&amp;"," "),"/"," "),"%"," "))&amp;" "</f>
        <v> this is the second time i have raised this the branch manager would not listen to my concerns it has also been taking far too long please sort this out </v>
      </c>
      <c r="E404" s="0" t="n">
        <f aca="false">SUMPRODUCT((Rules!$A$2:$A$60=E$1)*Rules!$C$2:$C$60*ISNUMBER(SEARCH(Rules!$D$2:$D$60,$D404)))</f>
        <v>0</v>
      </c>
      <c r="F404" s="0" t="n">
        <f aca="false">SUMPRODUCT((Rules!$A$2:$A$60=F$1)*Rules!$C$2:$C$60*ISNUMBER(SEARCH(Rules!$D$2:$D$60,$D404)))</f>
        <v>0</v>
      </c>
      <c r="G404" s="0" t="n">
        <f aca="false">SUMPRODUCT((Rules!$A$2:$A$60=G$1)*Rules!$C$2:$C$60*ISNUMBER(SEARCH(Rules!$D$2:$D$60,$D404)))</f>
        <v>0</v>
      </c>
      <c r="H404" s="0" t="n">
        <f aca="false">SUMPRODUCT((Rules!$A$2:$A$60=H$1)*Rules!$C$2:$C$60*ISNUMBER(SEARCH(Rules!$D$2:$D$60,$D404)))</f>
        <v>0</v>
      </c>
      <c r="I404" s="0" t="n">
        <f aca="false">SUMPRODUCT((Rules!$A$2:$A$60=I$1)*Rules!$C$2:$C$60*ISNUMBER(SEARCH(Rules!$D$2:$D$60,$D404)))</f>
        <v>0</v>
      </c>
      <c r="J404" s="0" t="n">
        <f aca="false">SUMPRODUCT((Rules!$A$2:$A$60=J$1)*Rules!$C$2:$C$60*ISNUMBER(SEARCH(Rules!$D$2:$D$60,$D404)))</f>
        <v>0</v>
      </c>
      <c r="K404" s="0" t="str">
        <f aca="false">IF(OR(MAX(E404:J404)&lt;Rules!$H$1,MAX(E404:J404)-LARGE(E404:J404,2)&lt;Rules!$H$2),"No label",INDEX($E$1:$J$1,MATCH(MAX(E404:J404),E404:J404,0)))</f>
        <v>No label</v>
      </c>
      <c r="L404" s="0" t="n">
        <f aca="false">SUMPRODUCT((Rules!$A$2:$A$60=L$1)*Rules!$C$2:$C$60*ISNUMBER(SEARCH(Rules!$E$2:$E$60,$D404)))</f>
        <v>0</v>
      </c>
      <c r="M404" s="0" t="n">
        <f aca="false">SUMPRODUCT((Rules!$A$2:$A$60=M$1)*Rules!$C$2:$C$60*ISNUMBER(SEARCH(Rules!$E$2:$E$60,$D404)))</f>
        <v>0</v>
      </c>
      <c r="N404" s="0" t="n">
        <f aca="false">SUMPRODUCT((Rules!$A$2:$A$60=N$1)*Rules!$C$2:$C$60*ISNUMBER(SEARCH(Rules!$E$2:$E$60,$D404)))</f>
        <v>0</v>
      </c>
      <c r="O404" s="0" t="n">
        <f aca="false">SUMPRODUCT((Rules!$A$2:$A$60=O$1)*Rules!$C$2:$C$60*ISNUMBER(SEARCH(Rules!$E$2:$E$60,$D404)))</f>
        <v>0</v>
      </c>
      <c r="P404" s="0" t="n">
        <f aca="false">SUMPRODUCT((Rules!$A$2:$A$60=P$1)*Rules!$C$2:$C$60*ISNUMBER(SEARCH(Rules!$E$2:$E$60,$D404)))</f>
        <v>0</v>
      </c>
      <c r="Q404" s="0" t="n">
        <f aca="false">SUMPRODUCT((Rules!$A$2:$A$60=Q$1)*Rules!$C$2:$C$60*ISNUMBER(SEARCH(Rules!$E$2:$E$60,$D404)))</f>
        <v>0</v>
      </c>
      <c r="R404" s="0" t="str">
        <f aca="false">IF(OR(MAX(L404:Q404)&lt;Rules!$H$1,MAX(L404:Q404)-LARGE(L404:Q404,2)&lt;Rules!$H$2),"No label",INDEX($L$1:$Q$1,MATCH(MAX(L404:Q404),L404:Q404,0)))</f>
        <v>No label</v>
      </c>
      <c r="S404" s="0" t="n">
        <f aca="false">SUMPRODUCT(ISNUMBER(SEARCH(" "&amp;Terms!$A$3:$A$821&amp;" ",$D404))*Terms!B$3:B$821)+Terms!B$2</f>
        <v>-6.00338213105934</v>
      </c>
      <c r="T404" s="0" t="n">
        <f aca="false">SUMPRODUCT(ISNUMBER(SEARCH(" "&amp;Terms!$A$3:$A$821&amp;" ",$D404))*Terms!C$3:C$821)+Terms!C$2</f>
        <v>12.6958524874256</v>
      </c>
      <c r="U404" s="0" t="n">
        <f aca="false">SUMPRODUCT(ISNUMBER(SEARCH(" "&amp;Terms!$A$3:$A$821&amp;" ",$D404))*Terms!D$3:D$821)+Terms!D$2</f>
        <v>-2.68041317021314</v>
      </c>
      <c r="V404" s="0" t="n">
        <f aca="false">SUMPRODUCT(ISNUMBER(SEARCH(" "&amp;Terms!$A$3:$A$821&amp;" ",$D404))*Terms!E$3:E$821)+Terms!E$2</f>
        <v>1.73057592727747</v>
      </c>
      <c r="W404" s="0" t="n">
        <f aca="false">SUMPRODUCT(ISNUMBER(SEARCH(" "&amp;Terms!$A$3:$A$821&amp;" ",$D404))*Terms!F$3:F$821)+Terms!F$2</f>
        <v>-1.60815270355549</v>
      </c>
      <c r="X404" s="0" t="n">
        <f aca="false">SUMPRODUCT(ISNUMBER(SEARCH(" "&amp;Terms!$A$3:$A$821&amp;" ",$D404))*Terms!G$3:G$821)+Terms!G$2</f>
        <v>-4.13448040987499</v>
      </c>
      <c r="Y404" s="0" t="str">
        <f aca="false">INDEX($S$1:$X$1,MATCH(MAX(S404:X404),S404:X404,0))</f>
        <v>Customer Service</v>
      </c>
      <c r="Z404" s="0" t="s">
        <v>2607</v>
      </c>
    </row>
    <row r="405" customFormat="false" ht="15" hidden="false" customHeight="false" outlineLevel="0" collapsed="false">
      <c r="A405" s="0" t="str">
        <f aca="false">Complaints!A405</f>
        <v>C0404</v>
      </c>
      <c r="B405" s="0" t="str">
        <f aca="false">Complaints!B405</f>
        <v>Frankly, The direct debit setup was delayed and I missed a bill because of it. Please escalate this.</v>
      </c>
      <c r="C405" s="0" t="str">
        <f aca="false">Complaints!C405</f>
        <v>Delays &amp; Processing</v>
      </c>
      <c r="D405" s="0" t="str">
        <f aca="false">" "&amp;TRIM(SUBSTITUTE(SUBSTITUTE(SUBSTITUTE(SUBSTITUTE(SUBSTITUTE(SUBSTITUTE(SUBSTITUTE(SUBSTITUTE(SUBSTITUTE(SUBSTITUTE(SUBSTITUTE(SUBSTITUTE(SUBSTITUTE(SUBSTITUTE(SUBSTITUTE(SUBSTITUTE(LOWER(B405),"."," "),","," "),"'"," "),"’"," "),"!"," "),"?"," "),";"," "),":"," "),"-"," "),"("," "),")"," "),"""", " "),"£"," "),"&amp;"," "),"/"," "),"%"," "))&amp;" "</f>
        <v> frankly the direct debit setup was delayed and i missed a bill because of it please escalate this </v>
      </c>
      <c r="E405" s="0" t="n">
        <f aca="false">SUMPRODUCT((Rules!$A$2:$A$60=E$1)*Rules!$C$2:$C$60*ISNUMBER(SEARCH(Rules!$D$2:$D$60,$D405)))</f>
        <v>0</v>
      </c>
      <c r="F405" s="0" t="n">
        <f aca="false">SUMPRODUCT((Rules!$A$2:$A$60=F$1)*Rules!$C$2:$C$60*ISNUMBER(SEARCH(Rules!$D$2:$D$60,$D405)))</f>
        <v>0</v>
      </c>
      <c r="G405" s="0" t="n">
        <f aca="false">SUMPRODUCT((Rules!$A$2:$A$60=G$1)*Rules!$C$2:$C$60*ISNUMBER(SEARCH(Rules!$D$2:$D$60,$D405)))</f>
        <v>0</v>
      </c>
      <c r="H405" s="0" t="n">
        <f aca="false">SUMPRODUCT((Rules!$A$2:$A$60=H$1)*Rules!$C$2:$C$60*ISNUMBER(SEARCH(Rules!$D$2:$D$60,$D405)))</f>
        <v>0</v>
      </c>
      <c r="I405" s="0" t="n">
        <f aca="false">SUMPRODUCT((Rules!$A$2:$A$60=I$1)*Rules!$C$2:$C$60*ISNUMBER(SEARCH(Rules!$D$2:$D$60,$D405)))</f>
        <v>2</v>
      </c>
      <c r="J405" s="0" t="n">
        <f aca="false">SUMPRODUCT((Rules!$A$2:$A$60=J$1)*Rules!$C$2:$C$60*ISNUMBER(SEARCH(Rules!$D$2:$D$60,$D405)))</f>
        <v>0</v>
      </c>
      <c r="K405" s="0" t="str">
        <f aca="false">IF(OR(MAX(E405:J405)&lt;Rules!$H$1,MAX(E405:J405)-LARGE(E405:J405,2)&lt;Rules!$H$2),"No label",INDEX($E$1:$J$1,MATCH(MAX(E405:J405),E405:J405,0)))</f>
        <v>No label</v>
      </c>
      <c r="L405" s="0" t="n">
        <f aca="false">SUMPRODUCT((Rules!$A$2:$A$60=L$1)*Rules!$C$2:$C$60*ISNUMBER(SEARCH(Rules!$E$2:$E$60,$D405)))</f>
        <v>0</v>
      </c>
      <c r="M405" s="0" t="n">
        <f aca="false">SUMPRODUCT((Rules!$A$2:$A$60=M$1)*Rules!$C$2:$C$60*ISNUMBER(SEARCH(Rules!$E$2:$E$60,$D405)))</f>
        <v>0</v>
      </c>
      <c r="N405" s="0" t="n">
        <f aca="false">SUMPRODUCT((Rules!$A$2:$A$60=N$1)*Rules!$C$2:$C$60*ISNUMBER(SEARCH(Rules!$E$2:$E$60,$D405)))</f>
        <v>0</v>
      </c>
      <c r="O405" s="0" t="n">
        <f aca="false">SUMPRODUCT((Rules!$A$2:$A$60=O$1)*Rules!$C$2:$C$60*ISNUMBER(SEARCH(Rules!$E$2:$E$60,$D405)))</f>
        <v>2</v>
      </c>
      <c r="P405" s="0" t="n">
        <f aca="false">SUMPRODUCT((Rules!$A$2:$A$60=P$1)*Rules!$C$2:$C$60*ISNUMBER(SEARCH(Rules!$E$2:$E$60,$D405)))</f>
        <v>2</v>
      </c>
      <c r="Q405" s="0" t="n">
        <f aca="false">SUMPRODUCT((Rules!$A$2:$A$60=Q$1)*Rules!$C$2:$C$60*ISNUMBER(SEARCH(Rules!$E$2:$E$60,$D405)))</f>
        <v>0</v>
      </c>
      <c r="R405" s="0" t="str">
        <f aca="false">IF(OR(MAX(L405:Q405)&lt;Rules!$H$1,MAX(L405:Q405)-LARGE(L405:Q405,2)&lt;Rules!$H$2),"No label",INDEX($L$1:$Q$1,MATCH(MAX(L405:Q405),L405:Q405,0)))</f>
        <v>No label</v>
      </c>
      <c r="S405" s="0" t="n">
        <f aca="false">SUMPRODUCT(ISNUMBER(SEARCH(" "&amp;Terms!$A$3:$A$821&amp;" ",$D405))*Terms!B$3:B$821)+Terms!B$2</f>
        <v>-3.63969973943322</v>
      </c>
      <c r="T405" s="0" t="n">
        <f aca="false">SUMPRODUCT(ISNUMBER(SEARCH(" "&amp;Terms!$A$3:$A$821&amp;" ",$D405))*Terms!C$3:C$821)+Terms!C$2</f>
        <v>-2.33995824036696</v>
      </c>
      <c r="U405" s="0" t="n">
        <f aca="false">SUMPRODUCT(ISNUMBER(SEARCH(" "&amp;Terms!$A$3:$A$821&amp;" ",$D405))*Terms!D$3:D$821)+Terms!D$2</f>
        <v>10.5951124705949</v>
      </c>
      <c r="V405" s="0" t="n">
        <f aca="false">SUMPRODUCT(ISNUMBER(SEARCH(" "&amp;Terms!$A$3:$A$821&amp;" ",$D405))*Terms!E$3:E$821)+Terms!E$2</f>
        <v>-2.28380161197873</v>
      </c>
      <c r="W405" s="0" t="n">
        <f aca="false">SUMPRODUCT(ISNUMBER(SEARCH(" "&amp;Terms!$A$3:$A$821&amp;" ",$D405))*Terms!F$3:F$821)+Terms!F$2</f>
        <v>-0.424408588599606</v>
      </c>
      <c r="X405" s="0" t="n">
        <f aca="false">SUMPRODUCT(ISNUMBER(SEARCH(" "&amp;Terms!$A$3:$A$821&amp;" ",$D405))*Terms!G$3:G$821)+Terms!G$2</f>
        <v>-1.90724429021628</v>
      </c>
      <c r="Y405" s="0" t="str">
        <f aca="false">INDEX($S$1:$X$1,MATCH(MAX(S405:X405),S405:X405,0))</f>
        <v>Delays &amp; Processing</v>
      </c>
      <c r="Z405" s="0" t="s">
        <v>2607</v>
      </c>
    </row>
    <row r="406" customFormat="false" ht="15" hidden="false" customHeight="false" outlineLevel="0" collapsed="false">
      <c r="A406" s="0" t="str">
        <f aca="false">Complaints!A406</f>
        <v>C0405</v>
      </c>
      <c r="B406" s="0" t="str">
        <f aca="false">Complaints!B406</f>
        <v>My card reader stopped working and I cannot approve payments.</v>
      </c>
      <c r="C406" s="0" t="str">
        <f aca="false">Complaints!C406</f>
        <v>Account Access</v>
      </c>
      <c r="D406" s="0" t="str">
        <f aca="false">" "&amp;TRIM(SUBSTITUTE(SUBSTITUTE(SUBSTITUTE(SUBSTITUTE(SUBSTITUTE(SUBSTITUTE(SUBSTITUTE(SUBSTITUTE(SUBSTITUTE(SUBSTITUTE(SUBSTITUTE(SUBSTITUTE(SUBSTITUTE(SUBSTITUTE(SUBSTITUTE(SUBSTITUTE(LOWER(B406),"."," "),","," "),"'"," "),"’"," "),"!"," "),"?"," "),";"," "),":"," "),"-"," "),"("," "),")"," "),"""", " "),"£"," "),"&amp;"," "),"/"," "),"%"," "))&amp;" "</f>
        <v> my card reader stopped working and i cannot approve payments </v>
      </c>
      <c r="E406" s="0" t="n">
        <f aca="false">SUMPRODUCT((Rules!$A$2:$A$60=E$1)*Rules!$C$2:$C$60*ISNUMBER(SEARCH(Rules!$D$2:$D$60,$D406)))</f>
        <v>0</v>
      </c>
      <c r="F406" s="0" t="n">
        <f aca="false">SUMPRODUCT((Rules!$A$2:$A$60=F$1)*Rules!$C$2:$C$60*ISNUMBER(SEARCH(Rules!$D$2:$D$60,$D406)))</f>
        <v>0</v>
      </c>
      <c r="G406" s="0" t="n">
        <f aca="false">SUMPRODUCT((Rules!$A$2:$A$60=G$1)*Rules!$C$2:$C$60*ISNUMBER(SEARCH(Rules!$D$2:$D$60,$D406)))</f>
        <v>0</v>
      </c>
      <c r="H406" s="0" t="n">
        <f aca="false">SUMPRODUCT((Rules!$A$2:$A$60=H$1)*Rules!$C$2:$C$60*ISNUMBER(SEARCH(Rules!$D$2:$D$60,$D406)))</f>
        <v>0</v>
      </c>
      <c r="I406" s="0" t="n">
        <f aca="false">SUMPRODUCT((Rules!$A$2:$A$60=I$1)*Rules!$C$2:$C$60*ISNUMBER(SEARCH(Rules!$D$2:$D$60,$D406)))</f>
        <v>0</v>
      </c>
      <c r="J406" s="0" t="n">
        <f aca="false">SUMPRODUCT((Rules!$A$2:$A$60=J$1)*Rules!$C$2:$C$60*ISNUMBER(SEARCH(Rules!$D$2:$D$60,$D406)))</f>
        <v>0</v>
      </c>
      <c r="K406" s="0" t="str">
        <f aca="false">IF(OR(MAX(E406:J406)&lt;Rules!$H$1,MAX(E406:J406)-LARGE(E406:J406,2)&lt;Rules!$H$2),"No label",INDEX($E$1:$J$1,MATCH(MAX(E406:J406),E406:J406,0)))</f>
        <v>No label</v>
      </c>
      <c r="L406" s="0" t="n">
        <f aca="false">SUMPRODUCT((Rules!$A$2:$A$60=L$1)*Rules!$C$2:$C$60*ISNUMBER(SEARCH(Rules!$E$2:$E$60,$D406)))</f>
        <v>0</v>
      </c>
      <c r="M406" s="0" t="n">
        <f aca="false">SUMPRODUCT((Rules!$A$2:$A$60=M$1)*Rules!$C$2:$C$60*ISNUMBER(SEARCH(Rules!$E$2:$E$60,$D406)))</f>
        <v>0</v>
      </c>
      <c r="N406" s="0" t="n">
        <f aca="false">SUMPRODUCT((Rules!$A$2:$A$60=N$1)*Rules!$C$2:$C$60*ISNUMBER(SEARCH(Rules!$E$2:$E$60,$D406)))</f>
        <v>0</v>
      </c>
      <c r="O406" s="0" t="n">
        <f aca="false">SUMPRODUCT((Rules!$A$2:$A$60=O$1)*Rules!$C$2:$C$60*ISNUMBER(SEARCH(Rules!$E$2:$E$60,$D406)))</f>
        <v>0</v>
      </c>
      <c r="P406" s="0" t="n">
        <f aca="false">SUMPRODUCT((Rules!$A$2:$A$60=P$1)*Rules!$C$2:$C$60*ISNUMBER(SEARCH(Rules!$E$2:$E$60,$D406)))</f>
        <v>0</v>
      </c>
      <c r="Q406" s="0" t="n">
        <f aca="false">SUMPRODUCT((Rules!$A$2:$A$60=Q$1)*Rules!$C$2:$C$60*ISNUMBER(SEARCH(Rules!$E$2:$E$60,$D406)))</f>
        <v>0</v>
      </c>
      <c r="R406" s="0" t="str">
        <f aca="false">IF(OR(MAX(L406:Q406)&lt;Rules!$H$1,MAX(L406:Q406)-LARGE(L406:Q406,2)&lt;Rules!$H$2),"No label",INDEX($L$1:$Q$1,MATCH(MAX(L406:Q406),L406:Q406,0)))</f>
        <v>No label</v>
      </c>
      <c r="S406" s="0" t="n">
        <f aca="false">SUMPRODUCT(ISNUMBER(SEARCH(" "&amp;Terms!$A$3:$A$821&amp;" ",$D406))*Terms!B$3:B$821)+Terms!B$2</f>
        <v>15.7674903131384</v>
      </c>
      <c r="T406" s="0" t="n">
        <f aca="false">SUMPRODUCT(ISNUMBER(SEARCH(" "&amp;Terms!$A$3:$A$821&amp;" ",$D406))*Terms!C$3:C$821)+Terms!C$2</f>
        <v>0.0367702771529349</v>
      </c>
      <c r="U406" s="0" t="n">
        <f aca="false">SUMPRODUCT(ISNUMBER(SEARCH(" "&amp;Terms!$A$3:$A$821&amp;" ",$D406))*Terms!D$3:D$821)+Terms!D$2</f>
        <v>-2.92257983861843</v>
      </c>
      <c r="V406" s="0" t="n">
        <f aca="false">SUMPRODUCT(ISNUMBER(SEARCH(" "&amp;Terms!$A$3:$A$821&amp;" ",$D406))*Terms!E$3:E$821)+Terms!E$2</f>
        <v>-4.94001252091286</v>
      </c>
      <c r="W406" s="0" t="n">
        <f aca="false">SUMPRODUCT(ISNUMBER(SEARCH(" "&amp;Terms!$A$3:$A$821&amp;" ",$D406))*Terms!F$3:F$821)+Terms!F$2</f>
        <v>-0.0673487189589702</v>
      </c>
      <c r="X406" s="0" t="n">
        <f aca="false">SUMPRODUCT(ISNUMBER(SEARCH(" "&amp;Terms!$A$3:$A$821&amp;" ",$D406))*Terms!G$3:G$821)+Terms!G$2</f>
        <v>-7.87431951180104</v>
      </c>
      <c r="Y406" s="0" t="str">
        <f aca="false">INDEX($S$1:$X$1,MATCH(MAX(S406:X406),S406:X406,0))</f>
        <v>Account Access</v>
      </c>
      <c r="Z406" s="0" t="s">
        <v>2607</v>
      </c>
    </row>
    <row r="407" customFormat="false" ht="15" hidden="false" customHeight="false" outlineLevel="0" collapsed="false">
      <c r="A407" s="0" t="str">
        <f aca="false">Complaints!A407</f>
        <v>C0406</v>
      </c>
      <c r="B407" s="0" t="str">
        <f aca="false">Complaints!B407</f>
        <v>This is the second time I have raised this. The fraud team closed my case without investigating properly. Also, the direct debit setup was delayed and I missed a bill because of it.</v>
      </c>
      <c r="C407" s="0" t="str">
        <f aca="false">Complaints!C407</f>
        <v>Fraud &amp; Scams</v>
      </c>
      <c r="D407" s="0" t="str">
        <f aca="false">" "&amp;TRIM(SUBSTITUTE(SUBSTITUTE(SUBSTITUTE(SUBSTITUTE(SUBSTITUTE(SUBSTITUTE(SUBSTITUTE(SUBSTITUTE(SUBSTITUTE(SUBSTITUTE(SUBSTITUTE(SUBSTITUTE(SUBSTITUTE(SUBSTITUTE(SUBSTITUTE(SUBSTITUTE(LOWER(B407),"."," "),","," "),"'"," "),"’"," "),"!"," "),"?"," "),";"," "),":"," "),"-"," "),"("," "),")"," "),"""", " "),"£"," "),"&amp;"," "),"/"," "),"%"," "))&amp;" "</f>
        <v> this is the second time i have raised this the fraud team closed my case without investigating properly also the direct debit setup was delayed and i missed a bill because of it </v>
      </c>
      <c r="E407" s="0" t="n">
        <f aca="false">SUMPRODUCT((Rules!$A$2:$A$60=E$1)*Rules!$C$2:$C$60*ISNUMBER(SEARCH(Rules!$D$2:$D$60,$D407)))</f>
        <v>3</v>
      </c>
      <c r="F407" s="0" t="n">
        <f aca="false">SUMPRODUCT((Rules!$A$2:$A$60=F$1)*Rules!$C$2:$C$60*ISNUMBER(SEARCH(Rules!$D$2:$D$60,$D407)))</f>
        <v>0</v>
      </c>
      <c r="G407" s="0" t="n">
        <f aca="false">SUMPRODUCT((Rules!$A$2:$A$60=G$1)*Rules!$C$2:$C$60*ISNUMBER(SEARCH(Rules!$D$2:$D$60,$D407)))</f>
        <v>0</v>
      </c>
      <c r="H407" s="0" t="n">
        <f aca="false">SUMPRODUCT((Rules!$A$2:$A$60=H$1)*Rules!$C$2:$C$60*ISNUMBER(SEARCH(Rules!$D$2:$D$60,$D407)))</f>
        <v>0</v>
      </c>
      <c r="I407" s="0" t="n">
        <f aca="false">SUMPRODUCT((Rules!$A$2:$A$60=I$1)*Rules!$C$2:$C$60*ISNUMBER(SEARCH(Rules!$D$2:$D$60,$D407)))</f>
        <v>2</v>
      </c>
      <c r="J407" s="0" t="n">
        <f aca="false">SUMPRODUCT((Rules!$A$2:$A$60=J$1)*Rules!$C$2:$C$60*ISNUMBER(SEARCH(Rules!$D$2:$D$60,$D407)))</f>
        <v>0</v>
      </c>
      <c r="K407" s="0" t="str">
        <f aca="false">IF(OR(MAX(E407:J407)&lt;Rules!$H$1,MAX(E407:J407)-LARGE(E407:J407,2)&lt;Rules!$H$2),"No label",INDEX($E$1:$J$1,MATCH(MAX(E407:J407),E407:J407,0)))</f>
        <v>No label</v>
      </c>
      <c r="L407" s="0" t="n">
        <f aca="false">SUMPRODUCT((Rules!$A$2:$A$60=L$1)*Rules!$C$2:$C$60*ISNUMBER(SEARCH(Rules!$E$2:$E$60,$D407)))</f>
        <v>3</v>
      </c>
      <c r="M407" s="0" t="n">
        <f aca="false">SUMPRODUCT((Rules!$A$2:$A$60=M$1)*Rules!$C$2:$C$60*ISNUMBER(SEARCH(Rules!$E$2:$E$60,$D407)))</f>
        <v>0</v>
      </c>
      <c r="N407" s="0" t="n">
        <f aca="false">SUMPRODUCT((Rules!$A$2:$A$60=N$1)*Rules!$C$2:$C$60*ISNUMBER(SEARCH(Rules!$E$2:$E$60,$D407)))</f>
        <v>0</v>
      </c>
      <c r="O407" s="0" t="n">
        <f aca="false">SUMPRODUCT((Rules!$A$2:$A$60=O$1)*Rules!$C$2:$C$60*ISNUMBER(SEARCH(Rules!$E$2:$E$60,$D407)))</f>
        <v>2</v>
      </c>
      <c r="P407" s="0" t="n">
        <f aca="false">SUMPRODUCT((Rules!$A$2:$A$60=P$1)*Rules!$C$2:$C$60*ISNUMBER(SEARCH(Rules!$E$2:$E$60,$D407)))</f>
        <v>2</v>
      </c>
      <c r="Q407" s="0" t="n">
        <f aca="false">SUMPRODUCT((Rules!$A$2:$A$60=Q$1)*Rules!$C$2:$C$60*ISNUMBER(SEARCH(Rules!$E$2:$E$60,$D407)))</f>
        <v>0</v>
      </c>
      <c r="R407" s="0" t="str">
        <f aca="false">IF(OR(MAX(L407:Q407)&lt;Rules!$H$1,MAX(L407:Q407)-LARGE(L407:Q407,2)&lt;Rules!$H$2),"No label",INDEX($L$1:$Q$1,MATCH(MAX(L407:Q407),L407:Q407,0)))</f>
        <v>No label</v>
      </c>
      <c r="S407" s="0" t="n">
        <f aca="false">SUMPRODUCT(ISNUMBER(SEARCH(" "&amp;Terms!$A$3:$A$821&amp;" ",$D407))*Terms!B$3:B$821)+Terms!B$2</f>
        <v>-8.72621414902138</v>
      </c>
      <c r="T407" s="0" t="n">
        <f aca="false">SUMPRODUCT(ISNUMBER(SEARCH(" "&amp;Terms!$A$3:$A$821&amp;" ",$D407))*Terms!C$3:C$821)+Terms!C$2</f>
        <v>-0.850083186624227</v>
      </c>
      <c r="U407" s="0" t="n">
        <f aca="false">SUMPRODUCT(ISNUMBER(SEARCH(" "&amp;Terms!$A$3:$A$821&amp;" ",$D407))*Terms!D$3:D$821)+Terms!D$2</f>
        <v>8.10372913718079</v>
      </c>
      <c r="V407" s="0" t="n">
        <f aca="false">SUMPRODUCT(ISNUMBER(SEARCH(" "&amp;Terms!$A$3:$A$821&amp;" ",$D407))*Terms!E$3:E$821)+Terms!E$2</f>
        <v>-5.84706958922405</v>
      </c>
      <c r="W407" s="0" t="n">
        <f aca="false">SUMPRODUCT(ISNUMBER(SEARCH(" "&amp;Terms!$A$3:$A$821&amp;" ",$D407))*Terms!F$3:F$821)+Terms!F$2</f>
        <v>12.2053828701456</v>
      </c>
      <c r="X407" s="0" t="n">
        <f aca="false">SUMPRODUCT(ISNUMBER(SEARCH(" "&amp;Terms!$A$3:$A$821&amp;" ",$D407))*Terms!G$3:G$821)+Terms!G$2</f>
        <v>-4.88574508245668</v>
      </c>
      <c r="Y407" s="0" t="str">
        <f aca="false">INDEX($S$1:$X$1,MATCH(MAX(S407:X407),S407:X407,0))</f>
        <v>Fraud &amp; Scams</v>
      </c>
      <c r="Z407" s="0" t="s">
        <v>2607</v>
      </c>
    </row>
    <row r="408" customFormat="false" ht="15" hidden="false" customHeight="false" outlineLevel="0" collapsed="false">
      <c r="A408" s="0" t="str">
        <f aca="false">Complaints!A408</f>
        <v>C0407</v>
      </c>
      <c r="B408" s="0" t="str">
        <f aca="false">Complaints!B408</f>
        <v>To whom it may concern, The adviser did not explain the risks of the investment. There was also a fee involved.</v>
      </c>
      <c r="C408" s="0" t="str">
        <f aca="false">Complaints!C408</f>
        <v>Mis-selling</v>
      </c>
      <c r="D408" s="0" t="str">
        <f aca="false">" "&amp;TRIM(SUBSTITUTE(SUBSTITUTE(SUBSTITUTE(SUBSTITUTE(SUBSTITUTE(SUBSTITUTE(SUBSTITUTE(SUBSTITUTE(SUBSTITUTE(SUBSTITUTE(SUBSTITUTE(SUBSTITUTE(SUBSTITUTE(SUBSTITUTE(SUBSTITUTE(SUBSTITUTE(LOWER(B408),"."," "),","," "),"'"," "),"’"," "),"!"," "),"?"," "),";"," "),":"," "),"-"," "),"("," "),")"," "),"""", " "),"£"," "),"&amp;"," "),"/"," "),"%"," "))&amp;" "</f>
        <v> to whom it may concern the adviser did not explain the risks of the investment there was also a fee involved </v>
      </c>
      <c r="E408" s="0" t="n">
        <f aca="false">SUMPRODUCT((Rules!$A$2:$A$60=E$1)*Rules!$C$2:$C$60*ISNUMBER(SEARCH(Rules!$D$2:$D$60,$D408)))</f>
        <v>0</v>
      </c>
      <c r="F408" s="0" t="n">
        <f aca="false">SUMPRODUCT((Rules!$A$2:$A$60=F$1)*Rules!$C$2:$C$60*ISNUMBER(SEARCH(Rules!$D$2:$D$60,$D408)))</f>
        <v>4</v>
      </c>
      <c r="G408" s="0" t="n">
        <f aca="false">SUMPRODUCT((Rules!$A$2:$A$60=G$1)*Rules!$C$2:$C$60*ISNUMBER(SEARCH(Rules!$D$2:$D$60,$D408)))</f>
        <v>0</v>
      </c>
      <c r="H408" s="0" t="n">
        <f aca="false">SUMPRODUCT((Rules!$A$2:$A$60=H$1)*Rules!$C$2:$C$60*ISNUMBER(SEARCH(Rules!$D$2:$D$60,$D408)))</f>
        <v>2</v>
      </c>
      <c r="I408" s="0" t="n">
        <f aca="false">SUMPRODUCT((Rules!$A$2:$A$60=I$1)*Rules!$C$2:$C$60*ISNUMBER(SEARCH(Rules!$D$2:$D$60,$D408)))</f>
        <v>0</v>
      </c>
      <c r="J408" s="0" t="n">
        <f aca="false">SUMPRODUCT((Rules!$A$2:$A$60=J$1)*Rules!$C$2:$C$60*ISNUMBER(SEARCH(Rules!$D$2:$D$60,$D408)))</f>
        <v>0</v>
      </c>
      <c r="K408" s="0" t="str">
        <f aca="false">IF(OR(MAX(E408:J408)&lt;Rules!$H$1,MAX(E408:J408)-LARGE(E408:J408,2)&lt;Rules!$H$2),"No label",INDEX($E$1:$J$1,MATCH(MAX(E408:J408),E408:J408,0)))</f>
        <v>Mis-selling</v>
      </c>
      <c r="L408" s="0" t="n">
        <f aca="false">SUMPRODUCT((Rules!$A$2:$A$60=L$1)*Rules!$C$2:$C$60*ISNUMBER(SEARCH(Rules!$E$2:$E$60,$D408)))</f>
        <v>0</v>
      </c>
      <c r="M408" s="0" t="n">
        <f aca="false">SUMPRODUCT((Rules!$A$2:$A$60=M$1)*Rules!$C$2:$C$60*ISNUMBER(SEARCH(Rules!$E$2:$E$60,$D408)))</f>
        <v>6</v>
      </c>
      <c r="N408" s="0" t="n">
        <f aca="false">SUMPRODUCT((Rules!$A$2:$A$60=N$1)*Rules!$C$2:$C$60*ISNUMBER(SEARCH(Rules!$E$2:$E$60,$D408)))</f>
        <v>0</v>
      </c>
      <c r="O408" s="0" t="n">
        <f aca="false">SUMPRODUCT((Rules!$A$2:$A$60=O$1)*Rules!$C$2:$C$60*ISNUMBER(SEARCH(Rules!$E$2:$E$60,$D408)))</f>
        <v>2</v>
      </c>
      <c r="P408" s="0" t="n">
        <f aca="false">SUMPRODUCT((Rules!$A$2:$A$60=P$1)*Rules!$C$2:$C$60*ISNUMBER(SEARCH(Rules!$E$2:$E$60,$D408)))</f>
        <v>0</v>
      </c>
      <c r="Q408" s="0" t="n">
        <f aca="false">SUMPRODUCT((Rules!$A$2:$A$60=Q$1)*Rules!$C$2:$C$60*ISNUMBER(SEARCH(Rules!$E$2:$E$60,$D408)))</f>
        <v>1</v>
      </c>
      <c r="R408" s="0" t="str">
        <f aca="false">IF(OR(MAX(L408:Q408)&lt;Rules!$H$1,MAX(L408:Q408)-LARGE(L408:Q408,2)&lt;Rules!$H$2),"No label",INDEX($L$1:$Q$1,MATCH(MAX(L408:Q408),L408:Q408,0)))</f>
        <v>Mis-selling</v>
      </c>
      <c r="S408" s="0" t="n">
        <f aca="false">SUMPRODUCT(ISNUMBER(SEARCH(" "&amp;Terms!$A$3:$A$821&amp;" ",$D408))*Terms!B$3:B$821)+Terms!B$2</f>
        <v>-2.6183339239826</v>
      </c>
      <c r="T408" s="0" t="n">
        <f aca="false">SUMPRODUCT(ISNUMBER(SEARCH(" "&amp;Terms!$A$3:$A$821&amp;" ",$D408))*Terms!C$3:C$821)+Terms!C$2</f>
        <v>-1.83319141539074</v>
      </c>
      <c r="U408" s="0" t="n">
        <f aca="false">SUMPRODUCT(ISNUMBER(SEARCH(" "&amp;Terms!$A$3:$A$821&amp;" ",$D408))*Terms!D$3:D$821)+Terms!D$2</f>
        <v>-4.62607313417241</v>
      </c>
      <c r="V408" s="0" t="n">
        <f aca="false">SUMPRODUCT(ISNUMBER(SEARCH(" "&amp;Terms!$A$3:$A$821&amp;" ",$D408))*Terms!E$3:E$821)+Terms!E$2</f>
        <v>3.03886082629788</v>
      </c>
      <c r="W408" s="0" t="n">
        <f aca="false">SUMPRODUCT(ISNUMBER(SEARCH(" "&amp;Terms!$A$3:$A$821&amp;" ",$D408))*Terms!F$3:F$821)+Terms!F$2</f>
        <v>-2.04293616504752</v>
      </c>
      <c r="X408" s="0" t="n">
        <f aca="false">SUMPRODUCT(ISNUMBER(SEARCH(" "&amp;Terms!$A$3:$A$821&amp;" ",$D408))*Terms!G$3:G$821)+Terms!G$2</f>
        <v>8.08167381229548</v>
      </c>
      <c r="Y408" s="0" t="str">
        <f aca="false">INDEX($S$1:$X$1,MATCH(MAX(S408:X408),S408:X408,0))</f>
        <v>Mis-selling</v>
      </c>
      <c r="Z408" s="0" t="s">
        <v>2607</v>
      </c>
    </row>
    <row r="409" customFormat="false" ht="15" hidden="false" customHeight="false" outlineLevel="0" collapsed="false">
      <c r="A409" s="0" t="str">
        <f aca="false">Complaints!A409</f>
        <v>C0408</v>
      </c>
      <c r="B409" s="0" t="str">
        <f aca="false">Complaints!B409</f>
        <v>I have been a customer for years. The direct debit setup was delayed and I missed a bill because of it. I do not think it was explained properly when I bought it. This is not acceptable.</v>
      </c>
      <c r="C409" s="0" t="str">
        <f aca="false">Complaints!C409</f>
        <v>Delays &amp; Processing</v>
      </c>
      <c r="D409" s="0" t="str">
        <f aca="false">" "&amp;TRIM(SUBSTITUTE(SUBSTITUTE(SUBSTITUTE(SUBSTITUTE(SUBSTITUTE(SUBSTITUTE(SUBSTITUTE(SUBSTITUTE(SUBSTITUTE(SUBSTITUTE(SUBSTITUTE(SUBSTITUTE(SUBSTITUTE(SUBSTITUTE(SUBSTITUTE(SUBSTITUTE(LOWER(B409),"."," "),","," "),"'"," "),"’"," "),"!"," "),"?"," "),";"," "),":"," "),"-"," "),"("," "),")"," "),"""", " "),"£"," "),"&amp;"," "),"/"," "),"%"," "))&amp;" "</f>
        <v> i have been a customer for years the direct debit setup was delayed and i missed a bill because of it i do not think it was explained properly when i bought it this is not acceptable </v>
      </c>
      <c r="E409" s="0" t="n">
        <f aca="false">SUMPRODUCT((Rules!$A$2:$A$60=E$1)*Rules!$C$2:$C$60*ISNUMBER(SEARCH(Rules!$D$2:$D$60,$D409)))</f>
        <v>0</v>
      </c>
      <c r="F409" s="0" t="n">
        <f aca="false">SUMPRODUCT((Rules!$A$2:$A$60=F$1)*Rules!$C$2:$C$60*ISNUMBER(SEARCH(Rules!$D$2:$D$60,$D409)))</f>
        <v>0</v>
      </c>
      <c r="G409" s="0" t="n">
        <f aca="false">SUMPRODUCT((Rules!$A$2:$A$60=G$1)*Rules!$C$2:$C$60*ISNUMBER(SEARCH(Rules!$D$2:$D$60,$D409)))</f>
        <v>0</v>
      </c>
      <c r="H409" s="0" t="n">
        <f aca="false">SUMPRODUCT((Rules!$A$2:$A$60=H$1)*Rules!$C$2:$C$60*ISNUMBER(SEARCH(Rules!$D$2:$D$60,$D409)))</f>
        <v>0</v>
      </c>
      <c r="I409" s="0" t="n">
        <f aca="false">SUMPRODUCT((Rules!$A$2:$A$60=I$1)*Rules!$C$2:$C$60*ISNUMBER(SEARCH(Rules!$D$2:$D$60,$D409)))</f>
        <v>2</v>
      </c>
      <c r="J409" s="0" t="n">
        <f aca="false">SUMPRODUCT((Rules!$A$2:$A$60=J$1)*Rules!$C$2:$C$60*ISNUMBER(SEARCH(Rules!$D$2:$D$60,$D409)))</f>
        <v>0</v>
      </c>
      <c r="K409" s="0" t="str">
        <f aca="false">IF(OR(MAX(E409:J409)&lt;Rules!$H$1,MAX(E409:J409)-LARGE(E409:J409,2)&lt;Rules!$H$2),"No label",INDEX($E$1:$J$1,MATCH(MAX(E409:J409),E409:J409,0)))</f>
        <v>No label</v>
      </c>
      <c r="L409" s="0" t="n">
        <f aca="false">SUMPRODUCT((Rules!$A$2:$A$60=L$1)*Rules!$C$2:$C$60*ISNUMBER(SEARCH(Rules!$E$2:$E$60,$D409)))</f>
        <v>0</v>
      </c>
      <c r="M409" s="0" t="n">
        <f aca="false">SUMPRODUCT((Rules!$A$2:$A$60=M$1)*Rules!$C$2:$C$60*ISNUMBER(SEARCH(Rules!$E$2:$E$60,$D409)))</f>
        <v>0</v>
      </c>
      <c r="N409" s="0" t="n">
        <f aca="false">SUMPRODUCT((Rules!$A$2:$A$60=N$1)*Rules!$C$2:$C$60*ISNUMBER(SEARCH(Rules!$E$2:$E$60,$D409)))</f>
        <v>1</v>
      </c>
      <c r="O409" s="0" t="n">
        <f aca="false">SUMPRODUCT((Rules!$A$2:$A$60=O$1)*Rules!$C$2:$C$60*ISNUMBER(SEARCH(Rules!$E$2:$E$60,$D409)))</f>
        <v>2</v>
      </c>
      <c r="P409" s="0" t="n">
        <f aca="false">SUMPRODUCT((Rules!$A$2:$A$60=P$1)*Rules!$C$2:$C$60*ISNUMBER(SEARCH(Rules!$E$2:$E$60,$D409)))</f>
        <v>2</v>
      </c>
      <c r="Q409" s="0" t="n">
        <f aca="false">SUMPRODUCT((Rules!$A$2:$A$60=Q$1)*Rules!$C$2:$C$60*ISNUMBER(SEARCH(Rules!$E$2:$E$60,$D409)))</f>
        <v>0</v>
      </c>
      <c r="R409" s="0" t="str">
        <f aca="false">IF(OR(MAX(L409:Q409)&lt;Rules!$H$1,MAX(L409:Q409)-LARGE(L409:Q409,2)&lt;Rules!$H$2),"No label",INDEX($L$1:$Q$1,MATCH(MAX(L409:Q409),L409:Q409,0)))</f>
        <v>No label</v>
      </c>
      <c r="S409" s="0" t="n">
        <f aca="false">SUMPRODUCT(ISNUMBER(SEARCH(" "&amp;Terms!$A$3:$A$821&amp;" ",$D409))*Terms!B$3:B$821)+Terms!B$2</f>
        <v>-1.75878768839197</v>
      </c>
      <c r="T409" s="0" t="n">
        <f aca="false">SUMPRODUCT(ISNUMBER(SEARCH(" "&amp;Terms!$A$3:$A$821&amp;" ",$D409))*Terms!C$3:C$821)+Terms!C$2</f>
        <v>-2.92072550319736</v>
      </c>
      <c r="U409" s="0" t="n">
        <f aca="false">SUMPRODUCT(ISNUMBER(SEARCH(" "&amp;Terms!$A$3:$A$821&amp;" ",$D409))*Terms!D$3:D$821)+Terms!D$2</f>
        <v>11.6288099102393</v>
      </c>
      <c r="V409" s="0" t="n">
        <f aca="false">SUMPRODUCT(ISNUMBER(SEARCH(" "&amp;Terms!$A$3:$A$821&amp;" ",$D409))*Terms!E$3:E$821)+Terms!E$2</f>
        <v>-2.6334153458551</v>
      </c>
      <c r="W409" s="0" t="n">
        <f aca="false">SUMPRODUCT(ISNUMBER(SEARCH(" "&amp;Terms!$A$3:$A$821&amp;" ",$D409))*Terms!F$3:F$821)+Terms!F$2</f>
        <v>1.03072534095634</v>
      </c>
      <c r="X409" s="0" t="n">
        <f aca="false">SUMPRODUCT(ISNUMBER(SEARCH(" "&amp;Terms!$A$3:$A$821&amp;" ",$D409))*Terms!G$3:G$821)+Terms!G$2</f>
        <v>-5.34660671375107</v>
      </c>
      <c r="Y409" s="0" t="str">
        <f aca="false">INDEX($S$1:$X$1,MATCH(MAX(S409:X409),S409:X409,0))</f>
        <v>Delays &amp; Processing</v>
      </c>
      <c r="Z409" s="0" t="s">
        <v>2607</v>
      </c>
    </row>
    <row r="410" customFormat="false" ht="15" hidden="false" customHeight="false" outlineLevel="0" collapsed="false">
      <c r="A410" s="0" t="str">
        <f aca="false">Complaints!A410</f>
        <v>C0409</v>
      </c>
      <c r="B410" s="0" t="str">
        <f aca="false">Complaints!B410</f>
        <v>My identity was stolen and a loan was taken out in my name. I could not log in to check either. I expect compensation.</v>
      </c>
      <c r="C410" s="0" t="str">
        <f aca="false">Complaints!C410</f>
        <v>Fraud &amp; Scams</v>
      </c>
      <c r="D410" s="0" t="str">
        <f aca="false">" "&amp;TRIM(SUBSTITUTE(SUBSTITUTE(SUBSTITUTE(SUBSTITUTE(SUBSTITUTE(SUBSTITUTE(SUBSTITUTE(SUBSTITUTE(SUBSTITUTE(SUBSTITUTE(SUBSTITUTE(SUBSTITUTE(SUBSTITUTE(SUBSTITUTE(SUBSTITUTE(SUBSTITUTE(LOWER(B410),"."," "),","," "),"'"," "),"’"," "),"!"," "),"?"," "),";"," "),":"," "),"-"," "),"("," "),")"," "),"""", " "),"£"," "),"&amp;"," "),"/"," "),"%"," "))&amp;" "</f>
        <v> my identity was stolen and a loan was taken out in my name i could not log in to check either i expect compensation </v>
      </c>
      <c r="E410" s="0" t="n">
        <f aca="false">SUMPRODUCT((Rules!$A$2:$A$60=E$1)*Rules!$C$2:$C$60*ISNUMBER(SEARCH(Rules!$D$2:$D$60,$D410)))</f>
        <v>2</v>
      </c>
      <c r="F410" s="0" t="n">
        <f aca="false">SUMPRODUCT((Rules!$A$2:$A$60=F$1)*Rules!$C$2:$C$60*ISNUMBER(SEARCH(Rules!$D$2:$D$60,$D410)))</f>
        <v>0</v>
      </c>
      <c r="G410" s="0" t="n">
        <f aca="false">SUMPRODUCT((Rules!$A$2:$A$60=G$1)*Rules!$C$2:$C$60*ISNUMBER(SEARCH(Rules!$D$2:$D$60,$D410)))</f>
        <v>3</v>
      </c>
      <c r="H410" s="0" t="n">
        <f aca="false">SUMPRODUCT((Rules!$A$2:$A$60=H$1)*Rules!$C$2:$C$60*ISNUMBER(SEARCH(Rules!$D$2:$D$60,$D410)))</f>
        <v>0</v>
      </c>
      <c r="I410" s="0" t="n">
        <f aca="false">SUMPRODUCT((Rules!$A$2:$A$60=I$1)*Rules!$C$2:$C$60*ISNUMBER(SEARCH(Rules!$D$2:$D$60,$D410)))</f>
        <v>0</v>
      </c>
      <c r="J410" s="0" t="n">
        <f aca="false">SUMPRODUCT((Rules!$A$2:$A$60=J$1)*Rules!$C$2:$C$60*ISNUMBER(SEARCH(Rules!$D$2:$D$60,$D410)))</f>
        <v>0</v>
      </c>
      <c r="K410" s="0" t="str">
        <f aca="false">IF(OR(MAX(E410:J410)&lt;Rules!$H$1,MAX(E410:J410)-LARGE(E410:J410,2)&lt;Rules!$H$2),"No label",INDEX($E$1:$J$1,MATCH(MAX(E410:J410),E410:J410,0)))</f>
        <v>No label</v>
      </c>
      <c r="L410" s="0" t="n">
        <f aca="false">SUMPRODUCT((Rules!$A$2:$A$60=L$1)*Rules!$C$2:$C$60*ISNUMBER(SEARCH(Rules!$E$2:$E$60,$D410)))</f>
        <v>2</v>
      </c>
      <c r="M410" s="0" t="n">
        <f aca="false">SUMPRODUCT((Rules!$A$2:$A$60=M$1)*Rules!$C$2:$C$60*ISNUMBER(SEARCH(Rules!$E$2:$E$60,$D410)))</f>
        <v>0</v>
      </c>
      <c r="N410" s="0" t="n">
        <f aca="false">SUMPRODUCT((Rules!$A$2:$A$60=N$1)*Rules!$C$2:$C$60*ISNUMBER(SEARCH(Rules!$E$2:$E$60,$D410)))</f>
        <v>3</v>
      </c>
      <c r="O410" s="0" t="n">
        <f aca="false">SUMPRODUCT((Rules!$A$2:$A$60=O$1)*Rules!$C$2:$C$60*ISNUMBER(SEARCH(Rules!$E$2:$E$60,$D410)))</f>
        <v>0</v>
      </c>
      <c r="P410" s="0" t="n">
        <f aca="false">SUMPRODUCT((Rules!$A$2:$A$60=P$1)*Rules!$C$2:$C$60*ISNUMBER(SEARCH(Rules!$E$2:$E$60,$D410)))</f>
        <v>0</v>
      </c>
      <c r="Q410" s="0" t="n">
        <f aca="false">SUMPRODUCT((Rules!$A$2:$A$60=Q$1)*Rules!$C$2:$C$60*ISNUMBER(SEARCH(Rules!$E$2:$E$60,$D410)))</f>
        <v>0</v>
      </c>
      <c r="R410" s="0" t="str">
        <f aca="false">IF(OR(MAX(L410:Q410)&lt;Rules!$H$1,MAX(L410:Q410)-LARGE(L410:Q410,2)&lt;Rules!$H$2),"No label",INDEX($L$1:$Q$1,MATCH(MAX(L410:Q410),L410:Q410,0)))</f>
        <v>No label</v>
      </c>
      <c r="S410" s="0" t="n">
        <f aca="false">SUMPRODUCT(ISNUMBER(SEARCH(" "&amp;Terms!$A$3:$A$821&amp;" ",$D410))*Terms!B$3:B$821)+Terms!B$2</f>
        <v>1.07073472126953</v>
      </c>
      <c r="T410" s="0" t="n">
        <f aca="false">SUMPRODUCT(ISNUMBER(SEARCH(" "&amp;Terms!$A$3:$A$821&amp;" ",$D410))*Terms!C$3:C$821)+Terms!C$2</f>
        <v>-1.75469673533699</v>
      </c>
      <c r="U410" s="0" t="n">
        <f aca="false">SUMPRODUCT(ISNUMBER(SEARCH(" "&amp;Terms!$A$3:$A$821&amp;" ",$D410))*Terms!D$3:D$821)+Terms!D$2</f>
        <v>-2.82611210162317</v>
      </c>
      <c r="V410" s="0" t="n">
        <f aca="false">SUMPRODUCT(ISNUMBER(SEARCH(" "&amp;Terms!$A$3:$A$821&amp;" ",$D410))*Terms!E$3:E$821)+Terms!E$2</f>
        <v>-0.728182230491406</v>
      </c>
      <c r="W410" s="0" t="n">
        <f aca="false">SUMPRODUCT(ISNUMBER(SEARCH(" "&amp;Terms!$A$3:$A$821&amp;" ",$D410))*Terms!F$3:F$821)+Terms!F$2</f>
        <v>7.58159089267719</v>
      </c>
      <c r="X410" s="0" t="n">
        <f aca="false">SUMPRODUCT(ISNUMBER(SEARCH(" "&amp;Terms!$A$3:$A$821&amp;" ",$D410))*Terms!G$3:G$821)+Terms!G$2</f>
        <v>-3.34333454649505</v>
      </c>
      <c r="Y410" s="0" t="str">
        <f aca="false">INDEX($S$1:$X$1,MATCH(MAX(S410:X410),S410:X410,0))</f>
        <v>Fraud &amp; Scams</v>
      </c>
      <c r="Z410" s="0" t="s">
        <v>2607</v>
      </c>
    </row>
    <row r="411" customFormat="false" ht="15" hidden="false" customHeight="false" outlineLevel="0" collapsed="false">
      <c r="A411" s="0" t="str">
        <f aca="false">Complaints!A411</f>
        <v>C0410</v>
      </c>
      <c r="B411" s="0" t="str">
        <f aca="false">Complaints!B411</f>
        <v>This is the second time I have raised this. The brochure said guaranteed returns and my money has lost value.</v>
      </c>
      <c r="C411" s="0" t="str">
        <f aca="false">Complaints!C411</f>
        <v>Mis-selling</v>
      </c>
      <c r="D411" s="0" t="str">
        <f aca="false">" "&amp;TRIM(SUBSTITUTE(SUBSTITUTE(SUBSTITUTE(SUBSTITUTE(SUBSTITUTE(SUBSTITUTE(SUBSTITUTE(SUBSTITUTE(SUBSTITUTE(SUBSTITUTE(SUBSTITUTE(SUBSTITUTE(SUBSTITUTE(SUBSTITUTE(SUBSTITUTE(SUBSTITUTE(LOWER(B411),"."," "),","," "),"'"," "),"’"," "),"!"," "),"?"," "),";"," "),":"," "),"-"," "),"("," "),")"," "),"""", " "),"£"," "),"&amp;"," "),"/"," "),"%"," "))&amp;" "</f>
        <v> this is the second time i have raised this the brochure said guaranteed returns and my money has lost value </v>
      </c>
      <c r="E411" s="0" t="n">
        <f aca="false">SUMPRODUCT((Rules!$A$2:$A$60=E$1)*Rules!$C$2:$C$60*ISNUMBER(SEARCH(Rules!$D$2:$D$60,$D411)))</f>
        <v>0</v>
      </c>
      <c r="F411" s="0" t="n">
        <f aca="false">SUMPRODUCT((Rules!$A$2:$A$60=F$1)*Rules!$C$2:$C$60*ISNUMBER(SEARCH(Rules!$D$2:$D$60,$D411)))</f>
        <v>2</v>
      </c>
      <c r="G411" s="0" t="n">
        <f aca="false">SUMPRODUCT((Rules!$A$2:$A$60=G$1)*Rules!$C$2:$C$60*ISNUMBER(SEARCH(Rules!$D$2:$D$60,$D411)))</f>
        <v>0</v>
      </c>
      <c r="H411" s="0" t="n">
        <f aca="false">SUMPRODUCT((Rules!$A$2:$A$60=H$1)*Rules!$C$2:$C$60*ISNUMBER(SEARCH(Rules!$D$2:$D$60,$D411)))</f>
        <v>0</v>
      </c>
      <c r="I411" s="0" t="n">
        <f aca="false">SUMPRODUCT((Rules!$A$2:$A$60=I$1)*Rules!$C$2:$C$60*ISNUMBER(SEARCH(Rules!$D$2:$D$60,$D411)))</f>
        <v>0</v>
      </c>
      <c r="J411" s="0" t="n">
        <f aca="false">SUMPRODUCT((Rules!$A$2:$A$60=J$1)*Rules!$C$2:$C$60*ISNUMBER(SEARCH(Rules!$D$2:$D$60,$D411)))</f>
        <v>0</v>
      </c>
      <c r="K411" s="0" t="str">
        <f aca="false">IF(OR(MAX(E411:J411)&lt;Rules!$H$1,MAX(E411:J411)-LARGE(E411:J411,2)&lt;Rules!$H$2),"No label",INDEX($E$1:$J$1,MATCH(MAX(E411:J411),E411:J411,0)))</f>
        <v>No label</v>
      </c>
      <c r="L411" s="0" t="n">
        <f aca="false">SUMPRODUCT((Rules!$A$2:$A$60=L$1)*Rules!$C$2:$C$60*ISNUMBER(SEARCH(Rules!$E$2:$E$60,$D411)))</f>
        <v>0</v>
      </c>
      <c r="M411" s="0" t="n">
        <f aca="false">SUMPRODUCT((Rules!$A$2:$A$60=M$1)*Rules!$C$2:$C$60*ISNUMBER(SEARCH(Rules!$E$2:$E$60,$D411)))</f>
        <v>2</v>
      </c>
      <c r="N411" s="0" t="n">
        <f aca="false">SUMPRODUCT((Rules!$A$2:$A$60=N$1)*Rules!$C$2:$C$60*ISNUMBER(SEARCH(Rules!$E$2:$E$60,$D411)))</f>
        <v>0</v>
      </c>
      <c r="O411" s="0" t="n">
        <f aca="false">SUMPRODUCT((Rules!$A$2:$A$60=O$1)*Rules!$C$2:$C$60*ISNUMBER(SEARCH(Rules!$E$2:$E$60,$D411)))</f>
        <v>0</v>
      </c>
      <c r="P411" s="0" t="n">
        <f aca="false">SUMPRODUCT((Rules!$A$2:$A$60=P$1)*Rules!$C$2:$C$60*ISNUMBER(SEARCH(Rules!$E$2:$E$60,$D411)))</f>
        <v>0</v>
      </c>
      <c r="Q411" s="0" t="n">
        <f aca="false">SUMPRODUCT((Rules!$A$2:$A$60=Q$1)*Rules!$C$2:$C$60*ISNUMBER(SEARCH(Rules!$E$2:$E$60,$D411)))</f>
        <v>0</v>
      </c>
      <c r="R411" s="0" t="str">
        <f aca="false">IF(OR(MAX(L411:Q411)&lt;Rules!$H$1,MAX(L411:Q411)-LARGE(L411:Q411,2)&lt;Rules!$H$2),"No label",INDEX($L$1:$Q$1,MATCH(MAX(L411:Q411),L411:Q411,0)))</f>
        <v>No label</v>
      </c>
      <c r="S411" s="0" t="n">
        <f aca="false">SUMPRODUCT(ISNUMBER(SEARCH(" "&amp;Terms!$A$3:$A$821&amp;" ",$D411))*Terms!B$3:B$821)+Terms!B$2</f>
        <v>-6.18283951611854</v>
      </c>
      <c r="T411" s="0" t="n">
        <f aca="false">SUMPRODUCT(ISNUMBER(SEARCH(" "&amp;Terms!$A$3:$A$821&amp;" ",$D411))*Terms!C$3:C$821)+Terms!C$2</f>
        <v>-2.16330043370623</v>
      </c>
      <c r="U411" s="0" t="n">
        <f aca="false">SUMPRODUCT(ISNUMBER(SEARCH(" "&amp;Terms!$A$3:$A$821&amp;" ",$D411))*Terms!D$3:D$821)+Terms!D$2</f>
        <v>-1.27209376313738</v>
      </c>
      <c r="V411" s="0" t="n">
        <f aca="false">SUMPRODUCT(ISNUMBER(SEARCH(" "&amp;Terms!$A$3:$A$821&amp;" ",$D411))*Terms!E$3:E$821)+Terms!E$2</f>
        <v>-3.8237310034446</v>
      </c>
      <c r="W411" s="0" t="n">
        <f aca="false">SUMPRODUCT(ISNUMBER(SEARCH(" "&amp;Terms!$A$3:$A$821&amp;" ",$D411))*Terms!F$3:F$821)+Terms!F$2</f>
        <v>1.41676101183643</v>
      </c>
      <c r="X411" s="0" t="n">
        <f aca="false">SUMPRODUCT(ISNUMBER(SEARCH(" "&amp;Terms!$A$3:$A$821&amp;" ",$D411))*Terms!G$3:G$821)+Terms!G$2</f>
        <v>12.0252037045704</v>
      </c>
      <c r="Y411" s="0" t="str">
        <f aca="false">INDEX($S$1:$X$1,MATCH(MAX(S411:X411),S411:X411,0))</f>
        <v>Mis-selling</v>
      </c>
      <c r="Z411" s="0" t="s">
        <v>2607</v>
      </c>
    </row>
    <row r="412" customFormat="false" ht="15" hidden="false" customHeight="false" outlineLevel="0" collapsed="false">
      <c r="A412" s="0" t="str">
        <f aca="false">Complaints!A412</f>
        <v>C0411</v>
      </c>
      <c r="B412" s="0" t="str">
        <f aca="false">Complaints!B412</f>
        <v>To whom it may concern, The payment still has not arrived in my account. Please escalate this.</v>
      </c>
      <c r="C412" s="0" t="str">
        <f aca="false">Complaints!C412</f>
        <v>Delays &amp; Processing</v>
      </c>
      <c r="D412" s="0" t="str">
        <f aca="false">" "&amp;TRIM(SUBSTITUTE(SUBSTITUTE(SUBSTITUTE(SUBSTITUTE(SUBSTITUTE(SUBSTITUTE(SUBSTITUTE(SUBSTITUTE(SUBSTITUTE(SUBSTITUTE(SUBSTITUTE(SUBSTITUTE(SUBSTITUTE(SUBSTITUTE(SUBSTITUTE(SUBSTITUTE(LOWER(B412),"."," "),","," "),"'"," "),"’"," "),"!"," "),"?"," "),";"," "),":"," "),"-"," "),"("," "),")"," "),"""", " "),"£"," "),"&amp;"," "),"/"," "),"%"," "))&amp;" "</f>
        <v> to whom it may concern the payment still has not arrived in my account please escalate this </v>
      </c>
      <c r="E412" s="0" t="n">
        <f aca="false">SUMPRODUCT((Rules!$A$2:$A$60=E$1)*Rules!$C$2:$C$60*ISNUMBER(SEARCH(Rules!$D$2:$D$60,$D412)))</f>
        <v>0</v>
      </c>
      <c r="F412" s="0" t="n">
        <f aca="false">SUMPRODUCT((Rules!$A$2:$A$60=F$1)*Rules!$C$2:$C$60*ISNUMBER(SEARCH(Rules!$D$2:$D$60,$D412)))</f>
        <v>0</v>
      </c>
      <c r="G412" s="0" t="n">
        <f aca="false">SUMPRODUCT((Rules!$A$2:$A$60=G$1)*Rules!$C$2:$C$60*ISNUMBER(SEARCH(Rules!$D$2:$D$60,$D412)))</f>
        <v>0</v>
      </c>
      <c r="H412" s="0" t="n">
        <f aca="false">SUMPRODUCT((Rules!$A$2:$A$60=H$1)*Rules!$C$2:$C$60*ISNUMBER(SEARCH(Rules!$D$2:$D$60,$D412)))</f>
        <v>0</v>
      </c>
      <c r="I412" s="0" t="n">
        <f aca="false">SUMPRODUCT((Rules!$A$2:$A$60=I$1)*Rules!$C$2:$C$60*ISNUMBER(SEARCH(Rules!$D$2:$D$60,$D412)))</f>
        <v>2</v>
      </c>
      <c r="J412" s="0" t="n">
        <f aca="false">SUMPRODUCT((Rules!$A$2:$A$60=J$1)*Rules!$C$2:$C$60*ISNUMBER(SEARCH(Rules!$D$2:$D$60,$D412)))</f>
        <v>0</v>
      </c>
      <c r="K412" s="0" t="str">
        <f aca="false">IF(OR(MAX(E412:J412)&lt;Rules!$H$1,MAX(E412:J412)-LARGE(E412:J412,2)&lt;Rules!$H$2),"No label",INDEX($E$1:$J$1,MATCH(MAX(E412:J412),E412:J412,0)))</f>
        <v>No label</v>
      </c>
      <c r="L412" s="0" t="n">
        <f aca="false">SUMPRODUCT((Rules!$A$2:$A$60=L$1)*Rules!$C$2:$C$60*ISNUMBER(SEARCH(Rules!$E$2:$E$60,$D412)))</f>
        <v>0</v>
      </c>
      <c r="M412" s="0" t="n">
        <f aca="false">SUMPRODUCT((Rules!$A$2:$A$60=M$1)*Rules!$C$2:$C$60*ISNUMBER(SEARCH(Rules!$E$2:$E$60,$D412)))</f>
        <v>0</v>
      </c>
      <c r="N412" s="0" t="n">
        <f aca="false">SUMPRODUCT((Rules!$A$2:$A$60=N$1)*Rules!$C$2:$C$60*ISNUMBER(SEARCH(Rules!$E$2:$E$60,$D412)))</f>
        <v>0</v>
      </c>
      <c r="O412" s="0" t="n">
        <f aca="false">SUMPRODUCT((Rules!$A$2:$A$60=O$1)*Rules!$C$2:$C$60*ISNUMBER(SEARCH(Rules!$E$2:$E$60,$D412)))</f>
        <v>0</v>
      </c>
      <c r="P412" s="0" t="n">
        <f aca="false">SUMPRODUCT((Rules!$A$2:$A$60=P$1)*Rules!$C$2:$C$60*ISNUMBER(SEARCH(Rules!$E$2:$E$60,$D412)))</f>
        <v>2</v>
      </c>
      <c r="Q412" s="0" t="n">
        <f aca="false">SUMPRODUCT((Rules!$A$2:$A$60=Q$1)*Rules!$C$2:$C$60*ISNUMBER(SEARCH(Rules!$E$2:$E$60,$D412)))</f>
        <v>0</v>
      </c>
      <c r="R412" s="0" t="str">
        <f aca="false">IF(OR(MAX(L412:Q412)&lt;Rules!$H$1,MAX(L412:Q412)-LARGE(L412:Q412,2)&lt;Rules!$H$2),"No label",INDEX($L$1:$Q$1,MATCH(MAX(L412:Q412),L412:Q412,0)))</f>
        <v>No label</v>
      </c>
      <c r="S412" s="0" t="n">
        <f aca="false">SUMPRODUCT(ISNUMBER(SEARCH(" "&amp;Terms!$A$3:$A$821&amp;" ",$D412))*Terms!B$3:B$821)+Terms!B$2</f>
        <v>0.549026126656909</v>
      </c>
      <c r="T412" s="0" t="n">
        <f aca="false">SUMPRODUCT(ISNUMBER(SEARCH(" "&amp;Terms!$A$3:$A$821&amp;" ",$D412))*Terms!C$3:C$821)+Terms!C$2</f>
        <v>-2.7716182716382</v>
      </c>
      <c r="U412" s="0" t="n">
        <f aca="false">SUMPRODUCT(ISNUMBER(SEARCH(" "&amp;Terms!$A$3:$A$821&amp;" ",$D412))*Terms!D$3:D$821)+Terms!D$2</f>
        <v>5.85688196447556</v>
      </c>
      <c r="V412" s="0" t="n">
        <f aca="false">SUMPRODUCT(ISNUMBER(SEARCH(" "&amp;Terms!$A$3:$A$821&amp;" ",$D412))*Terms!E$3:E$821)+Terms!E$2</f>
        <v>0.912665242869948</v>
      </c>
      <c r="W412" s="0" t="n">
        <f aca="false">SUMPRODUCT(ISNUMBER(SEARCH(" "&amp;Terms!$A$3:$A$821&amp;" ",$D412))*Terms!F$3:F$821)+Terms!F$2</f>
        <v>-0.892594364476647</v>
      </c>
      <c r="X412" s="0" t="n">
        <f aca="false">SUMPRODUCT(ISNUMBER(SEARCH(" "&amp;Terms!$A$3:$A$821&amp;" ",$D412))*Terms!G$3:G$821)+Terms!G$2</f>
        <v>-3.65436069788749</v>
      </c>
      <c r="Y412" s="0" t="str">
        <f aca="false">INDEX($S$1:$X$1,MATCH(MAX(S412:X412),S412:X412,0))</f>
        <v>Delays &amp; Processing</v>
      </c>
      <c r="Z412" s="0" t="s">
        <v>2608</v>
      </c>
    </row>
    <row r="413" customFormat="false" ht="15" hidden="false" customHeight="false" outlineLevel="0" collapsed="false">
      <c r="A413" s="0" t="str">
        <f aca="false">Complaints!A413</f>
        <v>C0412</v>
      </c>
      <c r="B413" s="0" t="str">
        <f aca="false">Complaints!B413</f>
        <v>To whom it may concern, The salesperson pushed me into a plan I did not need. This is not acceptable.</v>
      </c>
      <c r="C413" s="0" t="str">
        <f aca="false">Complaints!C413</f>
        <v>Mis-selling</v>
      </c>
      <c r="D413" s="0" t="str">
        <f aca="false">" "&amp;TRIM(SUBSTITUTE(SUBSTITUTE(SUBSTITUTE(SUBSTITUTE(SUBSTITUTE(SUBSTITUTE(SUBSTITUTE(SUBSTITUTE(SUBSTITUTE(SUBSTITUTE(SUBSTITUTE(SUBSTITUTE(SUBSTITUTE(SUBSTITUTE(SUBSTITUTE(SUBSTITUTE(LOWER(B413),"."," "),","," "),"'"," "),"’"," "),"!"," "),"?"," "),";"," "),":"," "),"-"," "),"("," "),")"," "),"""", " "),"£"," "),"&amp;"," "),"/"," "),"%"," "))&amp;" "</f>
        <v> to whom it may concern the salesperson pushed me into a plan i did not need this is not acceptable </v>
      </c>
      <c r="E413" s="0" t="n">
        <f aca="false">SUMPRODUCT((Rules!$A$2:$A$60=E$1)*Rules!$C$2:$C$60*ISNUMBER(SEARCH(Rules!$D$2:$D$60,$D413)))</f>
        <v>0</v>
      </c>
      <c r="F413" s="0" t="n">
        <f aca="false">SUMPRODUCT((Rules!$A$2:$A$60=F$1)*Rules!$C$2:$C$60*ISNUMBER(SEARCH(Rules!$D$2:$D$60,$D413)))</f>
        <v>2</v>
      </c>
      <c r="G413" s="0" t="n">
        <f aca="false">SUMPRODUCT((Rules!$A$2:$A$60=G$1)*Rules!$C$2:$C$60*ISNUMBER(SEARCH(Rules!$D$2:$D$60,$D413)))</f>
        <v>0</v>
      </c>
      <c r="H413" s="0" t="n">
        <f aca="false">SUMPRODUCT((Rules!$A$2:$A$60=H$1)*Rules!$C$2:$C$60*ISNUMBER(SEARCH(Rules!$D$2:$D$60,$D413)))</f>
        <v>0</v>
      </c>
      <c r="I413" s="0" t="n">
        <f aca="false">SUMPRODUCT((Rules!$A$2:$A$60=I$1)*Rules!$C$2:$C$60*ISNUMBER(SEARCH(Rules!$D$2:$D$60,$D413)))</f>
        <v>0</v>
      </c>
      <c r="J413" s="0" t="n">
        <f aca="false">SUMPRODUCT((Rules!$A$2:$A$60=J$1)*Rules!$C$2:$C$60*ISNUMBER(SEARCH(Rules!$D$2:$D$60,$D413)))</f>
        <v>0</v>
      </c>
      <c r="K413" s="0" t="str">
        <f aca="false">IF(OR(MAX(E413:J413)&lt;Rules!$H$1,MAX(E413:J413)-LARGE(E413:J413,2)&lt;Rules!$H$2),"No label",INDEX($E$1:$J$1,MATCH(MAX(E413:J413),E413:J413,0)))</f>
        <v>No label</v>
      </c>
      <c r="L413" s="0" t="n">
        <f aca="false">SUMPRODUCT((Rules!$A$2:$A$60=L$1)*Rules!$C$2:$C$60*ISNUMBER(SEARCH(Rules!$E$2:$E$60,$D413)))</f>
        <v>0</v>
      </c>
      <c r="M413" s="0" t="n">
        <f aca="false">SUMPRODUCT((Rules!$A$2:$A$60=M$1)*Rules!$C$2:$C$60*ISNUMBER(SEARCH(Rules!$E$2:$E$60,$D413)))</f>
        <v>2</v>
      </c>
      <c r="N413" s="0" t="n">
        <f aca="false">SUMPRODUCT((Rules!$A$2:$A$60=N$1)*Rules!$C$2:$C$60*ISNUMBER(SEARCH(Rules!$E$2:$E$60,$D413)))</f>
        <v>1</v>
      </c>
      <c r="O413" s="0" t="n">
        <f aca="false">SUMPRODUCT((Rules!$A$2:$A$60=O$1)*Rules!$C$2:$C$60*ISNUMBER(SEARCH(Rules!$E$2:$E$60,$D413)))</f>
        <v>0</v>
      </c>
      <c r="P413" s="0" t="n">
        <f aca="false">SUMPRODUCT((Rules!$A$2:$A$60=P$1)*Rules!$C$2:$C$60*ISNUMBER(SEARCH(Rules!$E$2:$E$60,$D413)))</f>
        <v>0</v>
      </c>
      <c r="Q413" s="0" t="n">
        <f aca="false">SUMPRODUCT((Rules!$A$2:$A$60=Q$1)*Rules!$C$2:$C$60*ISNUMBER(SEARCH(Rules!$E$2:$E$60,$D413)))</f>
        <v>0</v>
      </c>
      <c r="R413" s="0" t="str">
        <f aca="false">IF(OR(MAX(L413:Q413)&lt;Rules!$H$1,MAX(L413:Q413)-LARGE(L413:Q413,2)&lt;Rules!$H$2),"No label",INDEX($L$1:$Q$1,MATCH(MAX(L413:Q413),L413:Q413,0)))</f>
        <v>No label</v>
      </c>
      <c r="S413" s="0" t="n">
        <f aca="false">SUMPRODUCT(ISNUMBER(SEARCH(" "&amp;Terms!$A$3:$A$821&amp;" ",$D413))*Terms!B$3:B$821)+Terms!B$2</f>
        <v>-2.19969959606576</v>
      </c>
      <c r="T413" s="0" t="n">
        <f aca="false">SUMPRODUCT(ISNUMBER(SEARCH(" "&amp;Terms!$A$3:$A$821&amp;" ",$D413))*Terms!C$3:C$821)+Terms!C$2</f>
        <v>-0.508856294374578</v>
      </c>
      <c r="U413" s="0" t="n">
        <f aca="false">SUMPRODUCT(ISNUMBER(SEARCH(" "&amp;Terms!$A$3:$A$821&amp;" ",$D413))*Terms!D$3:D$821)+Terms!D$2</f>
        <v>-3.82762325973062</v>
      </c>
      <c r="V413" s="0" t="n">
        <f aca="false">SUMPRODUCT(ISNUMBER(SEARCH(" "&amp;Terms!$A$3:$A$821&amp;" ",$D413))*Terms!E$3:E$821)+Terms!E$2</f>
        <v>-1.9312476566223</v>
      </c>
      <c r="W413" s="0" t="n">
        <f aca="false">SUMPRODUCT(ISNUMBER(SEARCH(" "&amp;Terms!$A$3:$A$821&amp;" ",$D413))*Terms!F$3:F$821)+Terms!F$2</f>
        <v>0.0829925389641376</v>
      </c>
      <c r="X413" s="0" t="n">
        <f aca="false">SUMPRODUCT(ISNUMBER(SEARCH(" "&amp;Terms!$A$3:$A$821&amp;" ",$D413))*Terms!G$3:G$821)+Terms!G$2</f>
        <v>8.38443426782922</v>
      </c>
      <c r="Y413" s="0" t="str">
        <f aca="false">INDEX($S$1:$X$1,MATCH(MAX(S413:X413),S413:X413,0))</f>
        <v>Mis-selling</v>
      </c>
      <c r="Z413" s="0" t="s">
        <v>2607</v>
      </c>
    </row>
    <row r="414" customFormat="false" ht="15" hidden="false" customHeight="false" outlineLevel="0" collapsed="false">
      <c r="A414" s="0" t="str">
        <f aca="false">Complaints!A414</f>
        <v>C0413</v>
      </c>
      <c r="B414" s="0" t="str">
        <f aca="false">Complaints!B414</f>
        <v>Frankly, There are transactions on my card I do not recognise. I want this put right.</v>
      </c>
      <c r="C414" s="0" t="str">
        <f aca="false">Complaints!C414</f>
        <v>Fraud &amp; Scams</v>
      </c>
      <c r="D414" s="0" t="str">
        <f aca="false">" "&amp;TRIM(SUBSTITUTE(SUBSTITUTE(SUBSTITUTE(SUBSTITUTE(SUBSTITUTE(SUBSTITUTE(SUBSTITUTE(SUBSTITUTE(SUBSTITUTE(SUBSTITUTE(SUBSTITUTE(SUBSTITUTE(SUBSTITUTE(SUBSTITUTE(SUBSTITUTE(SUBSTITUTE(LOWER(B414),"."," "),","," "),"'"," "),"’"," "),"!"," "),"?"," "),";"," "),":"," "),"-"," "),"("," "),")"," "),"""", " "),"£"," "),"&amp;"," "),"/"," "),"%"," "))&amp;" "</f>
        <v> frankly there are transactions on my card i do not recognise i want this put right </v>
      </c>
      <c r="E414" s="0" t="n">
        <f aca="false">SUMPRODUCT((Rules!$A$2:$A$60=E$1)*Rules!$C$2:$C$60*ISNUMBER(SEARCH(Rules!$D$2:$D$60,$D414)))</f>
        <v>2</v>
      </c>
      <c r="F414" s="0" t="n">
        <f aca="false">SUMPRODUCT((Rules!$A$2:$A$60=F$1)*Rules!$C$2:$C$60*ISNUMBER(SEARCH(Rules!$D$2:$D$60,$D414)))</f>
        <v>0</v>
      </c>
      <c r="G414" s="0" t="n">
        <f aca="false">SUMPRODUCT((Rules!$A$2:$A$60=G$1)*Rules!$C$2:$C$60*ISNUMBER(SEARCH(Rules!$D$2:$D$60,$D414)))</f>
        <v>0</v>
      </c>
      <c r="H414" s="0" t="n">
        <f aca="false">SUMPRODUCT((Rules!$A$2:$A$60=H$1)*Rules!$C$2:$C$60*ISNUMBER(SEARCH(Rules!$D$2:$D$60,$D414)))</f>
        <v>0</v>
      </c>
      <c r="I414" s="0" t="n">
        <f aca="false">SUMPRODUCT((Rules!$A$2:$A$60=I$1)*Rules!$C$2:$C$60*ISNUMBER(SEARCH(Rules!$D$2:$D$60,$D414)))</f>
        <v>0</v>
      </c>
      <c r="J414" s="0" t="n">
        <f aca="false">SUMPRODUCT((Rules!$A$2:$A$60=J$1)*Rules!$C$2:$C$60*ISNUMBER(SEARCH(Rules!$D$2:$D$60,$D414)))</f>
        <v>0</v>
      </c>
      <c r="K414" s="0" t="str">
        <f aca="false">IF(OR(MAX(E414:J414)&lt;Rules!$H$1,MAX(E414:J414)-LARGE(E414:J414,2)&lt;Rules!$H$2),"No label",INDEX($E$1:$J$1,MATCH(MAX(E414:J414),E414:J414,0)))</f>
        <v>No label</v>
      </c>
      <c r="L414" s="0" t="n">
        <f aca="false">SUMPRODUCT((Rules!$A$2:$A$60=L$1)*Rules!$C$2:$C$60*ISNUMBER(SEARCH(Rules!$E$2:$E$60,$D414)))</f>
        <v>2</v>
      </c>
      <c r="M414" s="0" t="n">
        <f aca="false">SUMPRODUCT((Rules!$A$2:$A$60=M$1)*Rules!$C$2:$C$60*ISNUMBER(SEARCH(Rules!$E$2:$E$60,$D414)))</f>
        <v>0</v>
      </c>
      <c r="N414" s="0" t="n">
        <f aca="false">SUMPRODUCT((Rules!$A$2:$A$60=N$1)*Rules!$C$2:$C$60*ISNUMBER(SEARCH(Rules!$E$2:$E$60,$D414)))</f>
        <v>0</v>
      </c>
      <c r="O414" s="0" t="n">
        <f aca="false">SUMPRODUCT((Rules!$A$2:$A$60=O$1)*Rules!$C$2:$C$60*ISNUMBER(SEARCH(Rules!$E$2:$E$60,$D414)))</f>
        <v>0</v>
      </c>
      <c r="P414" s="0" t="n">
        <f aca="false">SUMPRODUCT((Rules!$A$2:$A$60=P$1)*Rules!$C$2:$C$60*ISNUMBER(SEARCH(Rules!$E$2:$E$60,$D414)))</f>
        <v>0</v>
      </c>
      <c r="Q414" s="0" t="n">
        <f aca="false">SUMPRODUCT((Rules!$A$2:$A$60=Q$1)*Rules!$C$2:$C$60*ISNUMBER(SEARCH(Rules!$E$2:$E$60,$D414)))</f>
        <v>0</v>
      </c>
      <c r="R414" s="0" t="str">
        <f aca="false">IF(OR(MAX(L414:Q414)&lt;Rules!$H$1,MAX(L414:Q414)-LARGE(L414:Q414,2)&lt;Rules!$H$2),"No label",INDEX($L$1:$Q$1,MATCH(MAX(L414:Q414),L414:Q414,0)))</f>
        <v>No label</v>
      </c>
      <c r="S414" s="0" t="n">
        <f aca="false">SUMPRODUCT(ISNUMBER(SEARCH(" "&amp;Terms!$A$3:$A$821&amp;" ",$D414))*Terms!B$3:B$821)+Terms!B$2</f>
        <v>-0.981047617232408</v>
      </c>
      <c r="T414" s="0" t="n">
        <f aca="false">SUMPRODUCT(ISNUMBER(SEARCH(" "&amp;Terms!$A$3:$A$821&amp;" ",$D414))*Terms!C$3:C$821)+Terms!C$2</f>
        <v>-2.16727899264773</v>
      </c>
      <c r="U414" s="0" t="n">
        <f aca="false">SUMPRODUCT(ISNUMBER(SEARCH(" "&amp;Terms!$A$3:$A$821&amp;" ",$D414))*Terms!D$3:D$821)+Terms!D$2</f>
        <v>-2.89533299547277</v>
      </c>
      <c r="V414" s="0" t="n">
        <f aca="false">SUMPRODUCT(ISNUMBER(SEARCH(" "&amp;Terms!$A$3:$A$821&amp;" ",$D414))*Terms!E$3:E$821)+Terms!E$2</f>
        <v>-0.411622515888741</v>
      </c>
      <c r="W414" s="0" t="n">
        <f aca="false">SUMPRODUCT(ISNUMBER(SEARCH(" "&amp;Terms!$A$3:$A$821&amp;" ",$D414))*Terms!F$3:F$821)+Terms!F$2</f>
        <v>8.20110694341513</v>
      </c>
      <c r="X414" s="0" t="n">
        <f aca="false">SUMPRODUCT(ISNUMBER(SEARCH(" "&amp;Terms!$A$3:$A$821&amp;" ",$D414))*Terms!G$3:G$821)+Terms!G$2</f>
        <v>-1.74582482217338</v>
      </c>
      <c r="Y414" s="0" t="str">
        <f aca="false">INDEX($S$1:$X$1,MATCH(MAX(S414:X414),S414:X414,0))</f>
        <v>Fraud &amp; Scams</v>
      </c>
      <c r="Z414" s="0" t="s">
        <v>2607</v>
      </c>
    </row>
    <row r="415" customFormat="false" ht="15" hidden="false" customHeight="false" outlineLevel="0" collapsed="false">
      <c r="A415" s="0" t="str">
        <f aca="false">Complaints!A415</f>
        <v>C0414</v>
      </c>
      <c r="B415" s="0" t="str">
        <f aca="false">Complaints!B415</f>
        <v>The complaints handler was unhelpful and talked over me. Please escalate this.</v>
      </c>
      <c r="C415" s="0" t="str">
        <f aca="false">Complaints!C415</f>
        <v>Customer Service</v>
      </c>
      <c r="D415" s="0" t="str">
        <f aca="false">" "&amp;TRIM(SUBSTITUTE(SUBSTITUTE(SUBSTITUTE(SUBSTITUTE(SUBSTITUTE(SUBSTITUTE(SUBSTITUTE(SUBSTITUTE(SUBSTITUTE(SUBSTITUTE(SUBSTITUTE(SUBSTITUTE(SUBSTITUTE(SUBSTITUTE(SUBSTITUTE(SUBSTITUTE(LOWER(B415),"."," "),","," "),"'"," "),"’"," "),"!"," "),"?"," "),";"," "),":"," "),"-"," "),"("," "),")"," "),"""", " "),"£"," "),"&amp;"," "),"/"," "),"%"," "))&amp;" "</f>
        <v> the complaints handler was unhelpful and talked over me please escalate this </v>
      </c>
      <c r="E415" s="0" t="n">
        <f aca="false">SUMPRODUCT((Rules!$A$2:$A$60=E$1)*Rules!$C$2:$C$60*ISNUMBER(SEARCH(Rules!$D$2:$D$60,$D415)))</f>
        <v>0</v>
      </c>
      <c r="F415" s="0" t="n">
        <f aca="false">SUMPRODUCT((Rules!$A$2:$A$60=F$1)*Rules!$C$2:$C$60*ISNUMBER(SEARCH(Rules!$D$2:$D$60,$D415)))</f>
        <v>0</v>
      </c>
      <c r="G415" s="0" t="n">
        <f aca="false">SUMPRODUCT((Rules!$A$2:$A$60=G$1)*Rules!$C$2:$C$60*ISNUMBER(SEARCH(Rules!$D$2:$D$60,$D415)))</f>
        <v>0</v>
      </c>
      <c r="H415" s="0" t="n">
        <f aca="false">SUMPRODUCT((Rules!$A$2:$A$60=H$1)*Rules!$C$2:$C$60*ISNUMBER(SEARCH(Rules!$D$2:$D$60,$D415)))</f>
        <v>0</v>
      </c>
      <c r="I415" s="0" t="n">
        <f aca="false">SUMPRODUCT((Rules!$A$2:$A$60=I$1)*Rules!$C$2:$C$60*ISNUMBER(SEARCH(Rules!$D$2:$D$60,$D415)))</f>
        <v>0</v>
      </c>
      <c r="J415" s="0" t="n">
        <f aca="false">SUMPRODUCT((Rules!$A$2:$A$60=J$1)*Rules!$C$2:$C$60*ISNUMBER(SEARCH(Rules!$D$2:$D$60,$D415)))</f>
        <v>2</v>
      </c>
      <c r="K415" s="0" t="str">
        <f aca="false">IF(OR(MAX(E415:J415)&lt;Rules!$H$1,MAX(E415:J415)-LARGE(E415:J415,2)&lt;Rules!$H$2),"No label",INDEX($E$1:$J$1,MATCH(MAX(E415:J415),E415:J415,0)))</f>
        <v>No label</v>
      </c>
      <c r="L415" s="0" t="n">
        <f aca="false">SUMPRODUCT((Rules!$A$2:$A$60=L$1)*Rules!$C$2:$C$60*ISNUMBER(SEARCH(Rules!$E$2:$E$60,$D415)))</f>
        <v>0</v>
      </c>
      <c r="M415" s="0" t="n">
        <f aca="false">SUMPRODUCT((Rules!$A$2:$A$60=M$1)*Rules!$C$2:$C$60*ISNUMBER(SEARCH(Rules!$E$2:$E$60,$D415)))</f>
        <v>0</v>
      </c>
      <c r="N415" s="0" t="n">
        <f aca="false">SUMPRODUCT((Rules!$A$2:$A$60=N$1)*Rules!$C$2:$C$60*ISNUMBER(SEARCH(Rules!$E$2:$E$60,$D415)))</f>
        <v>0</v>
      </c>
      <c r="O415" s="0" t="n">
        <f aca="false">SUMPRODUCT((Rules!$A$2:$A$60=O$1)*Rules!$C$2:$C$60*ISNUMBER(SEARCH(Rules!$E$2:$E$60,$D415)))</f>
        <v>0</v>
      </c>
      <c r="P415" s="0" t="n">
        <f aca="false">SUMPRODUCT((Rules!$A$2:$A$60=P$1)*Rules!$C$2:$C$60*ISNUMBER(SEARCH(Rules!$E$2:$E$60,$D415)))</f>
        <v>0</v>
      </c>
      <c r="Q415" s="0" t="n">
        <f aca="false">SUMPRODUCT((Rules!$A$2:$A$60=Q$1)*Rules!$C$2:$C$60*ISNUMBER(SEARCH(Rules!$E$2:$E$60,$D415)))</f>
        <v>2</v>
      </c>
      <c r="R415" s="0" t="str">
        <f aca="false">IF(OR(MAX(L415:Q415)&lt;Rules!$H$1,MAX(L415:Q415)-LARGE(L415:Q415,2)&lt;Rules!$H$2),"No label",INDEX($L$1:$Q$1,MATCH(MAX(L415:Q415),L415:Q415,0)))</f>
        <v>No label</v>
      </c>
      <c r="S415" s="0" t="n">
        <f aca="false">SUMPRODUCT(ISNUMBER(SEARCH(" "&amp;Terms!$A$3:$A$821&amp;" ",$D415))*Terms!B$3:B$821)+Terms!B$2</f>
        <v>-0.96827390237406</v>
      </c>
      <c r="T415" s="0" t="n">
        <f aca="false">SUMPRODUCT(ISNUMBER(SEARCH(" "&amp;Terms!$A$3:$A$821&amp;" ",$D415))*Terms!C$3:C$821)+Terms!C$2</f>
        <v>8.29607630008305</v>
      </c>
      <c r="U415" s="0" t="n">
        <f aca="false">SUMPRODUCT(ISNUMBER(SEARCH(" "&amp;Terms!$A$3:$A$821&amp;" ",$D415))*Terms!D$3:D$821)+Terms!D$2</f>
        <v>-3.62718879070612</v>
      </c>
      <c r="V415" s="0" t="n">
        <f aca="false">SUMPRODUCT(ISNUMBER(SEARCH(" "&amp;Terms!$A$3:$A$821&amp;" ",$D415))*Terms!E$3:E$821)+Terms!E$2</f>
        <v>-0.585526112106965</v>
      </c>
      <c r="W415" s="0" t="n">
        <f aca="false">SUMPRODUCT(ISNUMBER(SEARCH(" "&amp;Terms!$A$3:$A$821&amp;" ",$D415))*Terms!F$3:F$821)+Terms!F$2</f>
        <v>-2.95944345758521</v>
      </c>
      <c r="X415" s="0" t="n">
        <f aca="false">SUMPRODUCT(ISNUMBER(SEARCH(" "&amp;Terms!$A$3:$A$821&amp;" ",$D415))*Terms!G$3:G$821)+Terms!G$2</f>
        <v>-0.155644037310605</v>
      </c>
      <c r="Y415" s="0" t="str">
        <f aca="false">INDEX($S$1:$X$1,MATCH(MAX(S415:X415),S415:X415,0))</f>
        <v>Customer Service</v>
      </c>
      <c r="Z415" s="0" t="s">
        <v>2607</v>
      </c>
    </row>
    <row r="416" customFormat="false" ht="15" hidden="false" customHeight="false" outlineLevel="0" collapsed="false">
      <c r="A416" s="0" t="str">
        <f aca="false">Complaints!A416</f>
        <v>C0415</v>
      </c>
      <c r="B416" s="0" t="str">
        <f aca="false">Complaints!B416</f>
        <v>I have been a customer for years. I sent the form twice and it seems to have been lost in the system. Also, i was told this policy covered me but my claim was rejected. Please escalate this.</v>
      </c>
      <c r="C416" s="0" t="str">
        <f aca="false">Complaints!C416</f>
        <v>Delays &amp; Processing</v>
      </c>
      <c r="D416" s="0" t="str">
        <f aca="false">" "&amp;TRIM(SUBSTITUTE(SUBSTITUTE(SUBSTITUTE(SUBSTITUTE(SUBSTITUTE(SUBSTITUTE(SUBSTITUTE(SUBSTITUTE(SUBSTITUTE(SUBSTITUTE(SUBSTITUTE(SUBSTITUTE(SUBSTITUTE(SUBSTITUTE(SUBSTITUTE(SUBSTITUTE(LOWER(B416),"."," "),","," "),"'"," "),"’"," "),"!"," "),"?"," "),";"," "),":"," "),"-"," "),"("," "),")"," "),"""", " "),"£"," "),"&amp;"," "),"/"," "),"%"," "))&amp;" "</f>
        <v> i have been a customer for years i sent the form twice and it seems to have been lost in the system also i was told this policy covered me but my claim was rejected please escalate this </v>
      </c>
      <c r="E416" s="0" t="n">
        <f aca="false">SUMPRODUCT((Rules!$A$2:$A$60=E$1)*Rules!$C$2:$C$60*ISNUMBER(SEARCH(Rules!$D$2:$D$60,$D416)))</f>
        <v>0</v>
      </c>
      <c r="F416" s="0" t="n">
        <f aca="false">SUMPRODUCT((Rules!$A$2:$A$60=F$1)*Rules!$C$2:$C$60*ISNUMBER(SEARCH(Rules!$D$2:$D$60,$D416)))</f>
        <v>1</v>
      </c>
      <c r="G416" s="0" t="n">
        <f aca="false">SUMPRODUCT((Rules!$A$2:$A$60=G$1)*Rules!$C$2:$C$60*ISNUMBER(SEARCH(Rules!$D$2:$D$60,$D416)))</f>
        <v>0</v>
      </c>
      <c r="H416" s="0" t="n">
        <f aca="false">SUMPRODUCT((Rules!$A$2:$A$60=H$1)*Rules!$C$2:$C$60*ISNUMBER(SEARCH(Rules!$D$2:$D$60,$D416)))</f>
        <v>0</v>
      </c>
      <c r="I416" s="0" t="n">
        <f aca="false">SUMPRODUCT((Rules!$A$2:$A$60=I$1)*Rules!$C$2:$C$60*ISNUMBER(SEARCH(Rules!$D$2:$D$60,$D416)))</f>
        <v>0</v>
      </c>
      <c r="J416" s="0" t="n">
        <f aca="false">SUMPRODUCT((Rules!$A$2:$A$60=J$1)*Rules!$C$2:$C$60*ISNUMBER(SEARCH(Rules!$D$2:$D$60,$D416)))</f>
        <v>0</v>
      </c>
      <c r="K416" s="0" t="str">
        <f aca="false">IF(OR(MAX(E416:J416)&lt;Rules!$H$1,MAX(E416:J416)-LARGE(E416:J416,2)&lt;Rules!$H$2),"No label",INDEX($E$1:$J$1,MATCH(MAX(E416:J416),E416:J416,0)))</f>
        <v>No label</v>
      </c>
      <c r="L416" s="0" t="n">
        <f aca="false">SUMPRODUCT((Rules!$A$2:$A$60=L$1)*Rules!$C$2:$C$60*ISNUMBER(SEARCH(Rules!$E$2:$E$60,$D416)))</f>
        <v>0</v>
      </c>
      <c r="M416" s="0" t="n">
        <f aca="false">SUMPRODUCT((Rules!$A$2:$A$60=M$1)*Rules!$C$2:$C$60*ISNUMBER(SEARCH(Rules!$E$2:$E$60,$D416)))</f>
        <v>1</v>
      </c>
      <c r="N416" s="0" t="n">
        <f aca="false">SUMPRODUCT((Rules!$A$2:$A$60=N$1)*Rules!$C$2:$C$60*ISNUMBER(SEARCH(Rules!$E$2:$E$60,$D416)))</f>
        <v>0</v>
      </c>
      <c r="O416" s="0" t="n">
        <f aca="false">SUMPRODUCT((Rules!$A$2:$A$60=O$1)*Rules!$C$2:$C$60*ISNUMBER(SEARCH(Rules!$E$2:$E$60,$D416)))</f>
        <v>0</v>
      </c>
      <c r="P416" s="0" t="n">
        <f aca="false">SUMPRODUCT((Rules!$A$2:$A$60=P$1)*Rules!$C$2:$C$60*ISNUMBER(SEARCH(Rules!$E$2:$E$60,$D416)))</f>
        <v>0</v>
      </c>
      <c r="Q416" s="0" t="n">
        <f aca="false">SUMPRODUCT((Rules!$A$2:$A$60=Q$1)*Rules!$C$2:$C$60*ISNUMBER(SEARCH(Rules!$E$2:$E$60,$D416)))</f>
        <v>0</v>
      </c>
      <c r="R416" s="0" t="str">
        <f aca="false">IF(OR(MAX(L416:Q416)&lt;Rules!$H$1,MAX(L416:Q416)-LARGE(L416:Q416,2)&lt;Rules!$H$2),"No label",INDEX($L$1:$Q$1,MATCH(MAX(L416:Q416),L416:Q416,0)))</f>
        <v>No label</v>
      </c>
      <c r="S416" s="0" t="n">
        <f aca="false">SUMPRODUCT(ISNUMBER(SEARCH(" "&amp;Terms!$A$3:$A$821&amp;" ",$D416))*Terms!B$3:B$821)+Terms!B$2</f>
        <v>-4.72536862783179</v>
      </c>
      <c r="T416" s="0" t="n">
        <f aca="false">SUMPRODUCT(ISNUMBER(SEARCH(" "&amp;Terms!$A$3:$A$821&amp;" ",$D416))*Terms!C$3:C$821)+Terms!C$2</f>
        <v>-4.23593963931014</v>
      </c>
      <c r="U416" s="0" t="n">
        <f aca="false">SUMPRODUCT(ISNUMBER(SEARCH(" "&amp;Terms!$A$3:$A$821&amp;" ",$D416))*Terms!D$3:D$821)+Terms!D$2</f>
        <v>10.0633824338236</v>
      </c>
      <c r="V416" s="0" t="n">
        <f aca="false">SUMPRODUCT(ISNUMBER(SEARCH(" "&amp;Terms!$A$3:$A$821&amp;" ",$D416))*Terms!E$3:E$821)+Terms!E$2</f>
        <v>-1.01569306847412</v>
      </c>
      <c r="W416" s="0" t="n">
        <f aca="false">SUMPRODUCT(ISNUMBER(SEARCH(" "&amp;Terms!$A$3:$A$821&amp;" ",$D416))*Terms!F$3:F$821)+Terms!F$2</f>
        <v>-6.51387601863158</v>
      </c>
      <c r="X416" s="0" t="n">
        <f aca="false">SUMPRODUCT(ISNUMBER(SEARCH(" "&amp;Terms!$A$3:$A$821&amp;" ",$D416))*Terms!G$3:G$821)+Terms!G$2</f>
        <v>6.42749492042407</v>
      </c>
      <c r="Y416" s="0" t="str">
        <f aca="false">INDEX($S$1:$X$1,MATCH(MAX(S416:X416),S416:X416,0))</f>
        <v>Delays &amp; Processing</v>
      </c>
      <c r="Z416" s="0" t="s">
        <v>2607</v>
      </c>
    </row>
    <row r="417" customFormat="false" ht="15" hidden="false" customHeight="false" outlineLevel="0" collapsed="false">
      <c r="A417" s="0" t="str">
        <f aca="false">Complaints!A417</f>
        <v>C0416</v>
      </c>
      <c r="B417" s="0" t="str">
        <f aca="false">Complaints!B417</f>
        <v>I have been a customer for years. I was passed between four departments and no one took ownership. This is not acceptable.</v>
      </c>
      <c r="C417" s="0" t="str">
        <f aca="false">Complaints!C417</f>
        <v>Customer Service</v>
      </c>
      <c r="D417" s="0" t="str">
        <f aca="false">" "&amp;TRIM(SUBSTITUTE(SUBSTITUTE(SUBSTITUTE(SUBSTITUTE(SUBSTITUTE(SUBSTITUTE(SUBSTITUTE(SUBSTITUTE(SUBSTITUTE(SUBSTITUTE(SUBSTITUTE(SUBSTITUTE(SUBSTITUTE(SUBSTITUTE(SUBSTITUTE(SUBSTITUTE(LOWER(B417),"."," "),","," "),"'"," "),"’"," "),"!"," "),"?"," "),";"," "),":"," "),"-"," "),"("," "),")"," "),"""", " "),"£"," "),"&amp;"," "),"/"," "),"%"," "))&amp;" "</f>
        <v> i have been a customer for years i was passed between four departments and no one took ownership this is not acceptable </v>
      </c>
      <c r="E417" s="0" t="n">
        <f aca="false">SUMPRODUCT((Rules!$A$2:$A$60=E$1)*Rules!$C$2:$C$60*ISNUMBER(SEARCH(Rules!$D$2:$D$60,$D417)))</f>
        <v>0</v>
      </c>
      <c r="F417" s="0" t="n">
        <f aca="false">SUMPRODUCT((Rules!$A$2:$A$60=F$1)*Rules!$C$2:$C$60*ISNUMBER(SEARCH(Rules!$D$2:$D$60,$D417)))</f>
        <v>0</v>
      </c>
      <c r="G417" s="0" t="n">
        <f aca="false">SUMPRODUCT((Rules!$A$2:$A$60=G$1)*Rules!$C$2:$C$60*ISNUMBER(SEARCH(Rules!$D$2:$D$60,$D417)))</f>
        <v>0</v>
      </c>
      <c r="H417" s="0" t="n">
        <f aca="false">SUMPRODUCT((Rules!$A$2:$A$60=H$1)*Rules!$C$2:$C$60*ISNUMBER(SEARCH(Rules!$D$2:$D$60,$D417)))</f>
        <v>0</v>
      </c>
      <c r="I417" s="0" t="n">
        <f aca="false">SUMPRODUCT((Rules!$A$2:$A$60=I$1)*Rules!$C$2:$C$60*ISNUMBER(SEARCH(Rules!$D$2:$D$60,$D417)))</f>
        <v>0</v>
      </c>
      <c r="J417" s="0" t="n">
        <f aca="false">SUMPRODUCT((Rules!$A$2:$A$60=J$1)*Rules!$C$2:$C$60*ISNUMBER(SEARCH(Rules!$D$2:$D$60,$D417)))</f>
        <v>2</v>
      </c>
      <c r="K417" s="0" t="str">
        <f aca="false">IF(OR(MAX(E417:J417)&lt;Rules!$H$1,MAX(E417:J417)-LARGE(E417:J417,2)&lt;Rules!$H$2),"No label",INDEX($E$1:$J$1,MATCH(MAX(E417:J417),E417:J417,0)))</f>
        <v>No label</v>
      </c>
      <c r="L417" s="0" t="n">
        <f aca="false">SUMPRODUCT((Rules!$A$2:$A$60=L$1)*Rules!$C$2:$C$60*ISNUMBER(SEARCH(Rules!$E$2:$E$60,$D417)))</f>
        <v>0</v>
      </c>
      <c r="M417" s="0" t="n">
        <f aca="false">SUMPRODUCT((Rules!$A$2:$A$60=M$1)*Rules!$C$2:$C$60*ISNUMBER(SEARCH(Rules!$E$2:$E$60,$D417)))</f>
        <v>0</v>
      </c>
      <c r="N417" s="0" t="n">
        <f aca="false">SUMPRODUCT((Rules!$A$2:$A$60=N$1)*Rules!$C$2:$C$60*ISNUMBER(SEARCH(Rules!$E$2:$E$60,$D417)))</f>
        <v>1</v>
      </c>
      <c r="O417" s="0" t="n">
        <f aca="false">SUMPRODUCT((Rules!$A$2:$A$60=O$1)*Rules!$C$2:$C$60*ISNUMBER(SEARCH(Rules!$E$2:$E$60,$D417)))</f>
        <v>0</v>
      </c>
      <c r="P417" s="0" t="n">
        <f aca="false">SUMPRODUCT((Rules!$A$2:$A$60=P$1)*Rules!$C$2:$C$60*ISNUMBER(SEARCH(Rules!$E$2:$E$60,$D417)))</f>
        <v>0</v>
      </c>
      <c r="Q417" s="0" t="n">
        <f aca="false">SUMPRODUCT((Rules!$A$2:$A$60=Q$1)*Rules!$C$2:$C$60*ISNUMBER(SEARCH(Rules!$E$2:$E$60,$D417)))</f>
        <v>2</v>
      </c>
      <c r="R417" s="0" t="str">
        <f aca="false">IF(OR(MAX(L417:Q417)&lt;Rules!$H$1,MAX(L417:Q417)-LARGE(L417:Q417,2)&lt;Rules!$H$2),"No label",INDEX($L$1:$Q$1,MATCH(MAX(L417:Q417),L417:Q417,0)))</f>
        <v>No label</v>
      </c>
      <c r="S417" s="0" t="n">
        <f aca="false">SUMPRODUCT(ISNUMBER(SEARCH(" "&amp;Terms!$A$3:$A$821&amp;" ",$D417))*Terms!B$3:B$821)+Terms!B$2</f>
        <v>0.116116258569346</v>
      </c>
      <c r="T417" s="0" t="n">
        <f aca="false">SUMPRODUCT(ISNUMBER(SEARCH(" "&amp;Terms!$A$3:$A$821&amp;" ",$D417))*Terms!C$3:C$821)+Terms!C$2</f>
        <v>8.10239044437886</v>
      </c>
      <c r="U417" s="0" t="n">
        <f aca="false">SUMPRODUCT(ISNUMBER(SEARCH(" "&amp;Terms!$A$3:$A$821&amp;" ",$D417))*Terms!D$3:D$821)+Terms!D$2</f>
        <v>-0.309395462647463</v>
      </c>
      <c r="V417" s="0" t="n">
        <f aca="false">SUMPRODUCT(ISNUMBER(SEARCH(" "&amp;Terms!$A$3:$A$821&amp;" ",$D417))*Terms!E$3:E$821)+Terms!E$2</f>
        <v>-1.89709018186895</v>
      </c>
      <c r="W417" s="0" t="n">
        <f aca="false">SUMPRODUCT(ISNUMBER(SEARCH(" "&amp;Terms!$A$3:$A$821&amp;" ",$D417))*Terms!F$3:F$821)+Terms!F$2</f>
        <v>-3.0924562462489</v>
      </c>
      <c r="X417" s="0" t="n">
        <f aca="false">SUMPRODUCT(ISNUMBER(SEARCH(" "&amp;Terms!$A$3:$A$821&amp;" ",$D417))*Terms!G$3:G$821)+Terms!G$2</f>
        <v>-2.91956481218279</v>
      </c>
      <c r="Y417" s="0" t="str">
        <f aca="false">INDEX($S$1:$X$1,MATCH(MAX(S417:X417),S417:X417,0))</f>
        <v>Customer Service</v>
      </c>
      <c r="Z417" s="0" t="s">
        <v>2607</v>
      </c>
    </row>
    <row r="418" customFormat="false" ht="15" hidden="false" customHeight="false" outlineLevel="0" collapsed="false">
      <c r="A418" s="0" t="str">
        <f aca="false">Complaints!A418</f>
        <v>C0417</v>
      </c>
      <c r="B418" s="0" t="str">
        <f aca="false">Complaints!B418</f>
        <v>Frankly, You took an overdraft fee even though I was within my limit. Also, my application has been stuck for weeks with no progress. I expect compensation.</v>
      </c>
      <c r="C418" s="0" t="str">
        <f aca="false">Complaints!C418</f>
        <v>Fees &amp; Charges</v>
      </c>
      <c r="D418" s="0" t="str">
        <f aca="false">" "&amp;TRIM(SUBSTITUTE(SUBSTITUTE(SUBSTITUTE(SUBSTITUTE(SUBSTITUTE(SUBSTITUTE(SUBSTITUTE(SUBSTITUTE(SUBSTITUTE(SUBSTITUTE(SUBSTITUTE(SUBSTITUTE(SUBSTITUTE(SUBSTITUTE(SUBSTITUTE(SUBSTITUTE(LOWER(B418),"."," "),","," "),"'"," "),"’"," "),"!"," "),"?"," "),";"," "),":"," "),"-"," "),"("," "),")"," "),"""", " "),"£"," "),"&amp;"," "),"/"," "),"%"," "))&amp;" "</f>
        <v> frankly you took an overdraft fee even though i was within my limit also my application has been stuck for weeks with no progress i expect compensation </v>
      </c>
      <c r="E418" s="0" t="n">
        <f aca="false">SUMPRODUCT((Rules!$A$2:$A$60=E$1)*Rules!$C$2:$C$60*ISNUMBER(SEARCH(Rules!$D$2:$D$60,$D418)))</f>
        <v>0</v>
      </c>
      <c r="F418" s="0" t="n">
        <f aca="false">SUMPRODUCT((Rules!$A$2:$A$60=F$1)*Rules!$C$2:$C$60*ISNUMBER(SEARCH(Rules!$D$2:$D$60,$D418)))</f>
        <v>0</v>
      </c>
      <c r="G418" s="0" t="n">
        <f aca="false">SUMPRODUCT((Rules!$A$2:$A$60=G$1)*Rules!$C$2:$C$60*ISNUMBER(SEARCH(Rules!$D$2:$D$60,$D418)))</f>
        <v>0</v>
      </c>
      <c r="H418" s="0" t="n">
        <f aca="false">SUMPRODUCT((Rules!$A$2:$A$60=H$1)*Rules!$C$2:$C$60*ISNUMBER(SEARCH(Rules!$D$2:$D$60,$D418)))</f>
        <v>2</v>
      </c>
      <c r="I418" s="0" t="n">
        <f aca="false">SUMPRODUCT((Rules!$A$2:$A$60=I$1)*Rules!$C$2:$C$60*ISNUMBER(SEARCH(Rules!$D$2:$D$60,$D418)))</f>
        <v>3</v>
      </c>
      <c r="J418" s="0" t="n">
        <f aca="false">SUMPRODUCT((Rules!$A$2:$A$60=J$1)*Rules!$C$2:$C$60*ISNUMBER(SEARCH(Rules!$D$2:$D$60,$D418)))</f>
        <v>0</v>
      </c>
      <c r="K418" s="0" t="str">
        <f aca="false">IF(OR(MAX(E418:J418)&lt;Rules!$H$1,MAX(E418:J418)-LARGE(E418:J418,2)&lt;Rules!$H$2),"No label",INDEX($E$1:$J$1,MATCH(MAX(E418:J418),E418:J418,0)))</f>
        <v>No label</v>
      </c>
      <c r="L418" s="0" t="n">
        <f aca="false">SUMPRODUCT((Rules!$A$2:$A$60=L$1)*Rules!$C$2:$C$60*ISNUMBER(SEARCH(Rules!$E$2:$E$60,$D418)))</f>
        <v>0</v>
      </c>
      <c r="M418" s="0" t="n">
        <f aca="false">SUMPRODUCT((Rules!$A$2:$A$60=M$1)*Rules!$C$2:$C$60*ISNUMBER(SEARCH(Rules!$E$2:$E$60,$D418)))</f>
        <v>0</v>
      </c>
      <c r="N418" s="0" t="n">
        <f aca="false">SUMPRODUCT((Rules!$A$2:$A$60=N$1)*Rules!$C$2:$C$60*ISNUMBER(SEARCH(Rules!$E$2:$E$60,$D418)))</f>
        <v>0</v>
      </c>
      <c r="O418" s="0" t="n">
        <f aca="false">SUMPRODUCT((Rules!$A$2:$A$60=O$1)*Rules!$C$2:$C$60*ISNUMBER(SEARCH(Rules!$E$2:$E$60,$D418)))</f>
        <v>2</v>
      </c>
      <c r="P418" s="0" t="n">
        <f aca="false">SUMPRODUCT((Rules!$A$2:$A$60=P$1)*Rules!$C$2:$C$60*ISNUMBER(SEARCH(Rules!$E$2:$E$60,$D418)))</f>
        <v>3</v>
      </c>
      <c r="Q418" s="0" t="n">
        <f aca="false">SUMPRODUCT((Rules!$A$2:$A$60=Q$1)*Rules!$C$2:$C$60*ISNUMBER(SEARCH(Rules!$E$2:$E$60,$D418)))</f>
        <v>0</v>
      </c>
      <c r="R418" s="0" t="str">
        <f aca="false">IF(OR(MAX(L418:Q418)&lt;Rules!$H$1,MAX(L418:Q418)-LARGE(L418:Q418,2)&lt;Rules!$H$2),"No label",INDEX($L$1:$Q$1,MATCH(MAX(L418:Q418),L418:Q418,0)))</f>
        <v>No label</v>
      </c>
      <c r="S418" s="0" t="n">
        <f aca="false">SUMPRODUCT(ISNUMBER(SEARCH(" "&amp;Terms!$A$3:$A$821&amp;" ",$D418))*Terms!B$3:B$821)+Terms!B$2</f>
        <v>-3.33678591293771</v>
      </c>
      <c r="T418" s="0" t="n">
        <f aca="false">SUMPRODUCT(ISNUMBER(SEARCH(" "&amp;Terms!$A$3:$A$821&amp;" ",$D418))*Terms!C$3:C$821)+Terms!C$2</f>
        <v>-1.7663167701835</v>
      </c>
      <c r="U418" s="0" t="n">
        <f aca="false">SUMPRODUCT(ISNUMBER(SEARCH(" "&amp;Terms!$A$3:$A$821&amp;" ",$D418))*Terms!D$3:D$821)+Terms!D$2</f>
        <v>3.26074976248109</v>
      </c>
      <c r="V418" s="0" t="n">
        <f aca="false">SUMPRODUCT(ISNUMBER(SEARCH(" "&amp;Terms!$A$3:$A$821&amp;" ",$D418))*Terms!E$3:E$821)+Terms!E$2</f>
        <v>9.20037480644178</v>
      </c>
      <c r="W418" s="0" t="n">
        <f aca="false">SUMPRODUCT(ISNUMBER(SEARCH(" "&amp;Terms!$A$3:$A$821&amp;" ",$D418))*Terms!F$3:F$821)+Terms!F$2</f>
        <v>-2.41548109601591</v>
      </c>
      <c r="X418" s="0" t="n">
        <f aca="false">SUMPRODUCT(ISNUMBER(SEARCH(" "&amp;Terms!$A$3:$A$821&amp;" ",$D418))*Terms!G$3:G$821)+Terms!G$2</f>
        <v>-4.94254078978566</v>
      </c>
      <c r="Y418" s="0" t="str">
        <f aca="false">INDEX($S$1:$X$1,MATCH(MAX(S418:X418),S418:X418,0))</f>
        <v>Fees &amp; Charges</v>
      </c>
      <c r="Z418" s="0" t="s">
        <v>2607</v>
      </c>
    </row>
    <row r="419" customFormat="false" ht="15" hidden="false" customHeight="false" outlineLevel="0" collapsed="false">
      <c r="A419" s="0" t="str">
        <f aca="false">Complaints!A419</f>
        <v>C0418</v>
      </c>
      <c r="B419" s="0" t="str">
        <f aca="false">Complaints!B419</f>
        <v>To whom it may concern, I keep getting an error message when I sign in. Also, i have been billed an annual fee I never agreed to. I expect compensation.</v>
      </c>
      <c r="C419" s="0" t="str">
        <f aca="false">Complaints!C419</f>
        <v>Account Access</v>
      </c>
      <c r="D419" s="0" t="str">
        <f aca="false">" "&amp;TRIM(SUBSTITUTE(SUBSTITUTE(SUBSTITUTE(SUBSTITUTE(SUBSTITUTE(SUBSTITUTE(SUBSTITUTE(SUBSTITUTE(SUBSTITUTE(SUBSTITUTE(SUBSTITUTE(SUBSTITUTE(SUBSTITUTE(SUBSTITUTE(SUBSTITUTE(SUBSTITUTE(LOWER(B419),"."," "),","," "),"'"," "),"’"," "),"!"," "),"?"," "),";"," "),":"," "),"-"," "),"("," "),")"," "),"""", " "),"£"," "),"&amp;"," "),"/"," "),"%"," "))&amp;" "</f>
        <v> to whom it may concern i keep getting an error message when i sign in also i have been billed an annual fee i never agreed to i expect compensation </v>
      </c>
      <c r="E419" s="0" t="n">
        <f aca="false">SUMPRODUCT((Rules!$A$2:$A$60=E$1)*Rules!$C$2:$C$60*ISNUMBER(SEARCH(Rules!$D$2:$D$60,$D419)))</f>
        <v>0</v>
      </c>
      <c r="F419" s="0" t="n">
        <f aca="false">SUMPRODUCT((Rules!$A$2:$A$60=F$1)*Rules!$C$2:$C$60*ISNUMBER(SEARCH(Rules!$D$2:$D$60,$D419)))</f>
        <v>0</v>
      </c>
      <c r="G419" s="0" t="n">
        <f aca="false">SUMPRODUCT((Rules!$A$2:$A$60=G$1)*Rules!$C$2:$C$60*ISNUMBER(SEARCH(Rules!$D$2:$D$60,$D419)))</f>
        <v>3</v>
      </c>
      <c r="H419" s="0" t="n">
        <f aca="false">SUMPRODUCT((Rules!$A$2:$A$60=H$1)*Rules!$C$2:$C$60*ISNUMBER(SEARCH(Rules!$D$2:$D$60,$D419)))</f>
        <v>4</v>
      </c>
      <c r="I419" s="0" t="n">
        <f aca="false">SUMPRODUCT((Rules!$A$2:$A$60=I$1)*Rules!$C$2:$C$60*ISNUMBER(SEARCH(Rules!$D$2:$D$60,$D419)))</f>
        <v>0</v>
      </c>
      <c r="J419" s="0" t="n">
        <f aca="false">SUMPRODUCT((Rules!$A$2:$A$60=J$1)*Rules!$C$2:$C$60*ISNUMBER(SEARCH(Rules!$D$2:$D$60,$D419)))</f>
        <v>0</v>
      </c>
      <c r="K419" s="0" t="str">
        <f aca="false">IF(OR(MAX(E419:J419)&lt;Rules!$H$1,MAX(E419:J419)-LARGE(E419:J419,2)&lt;Rules!$H$2),"No label",INDEX($E$1:$J$1,MATCH(MAX(E419:J419),E419:J419,0)))</f>
        <v>No label</v>
      </c>
      <c r="L419" s="0" t="n">
        <f aca="false">SUMPRODUCT((Rules!$A$2:$A$60=L$1)*Rules!$C$2:$C$60*ISNUMBER(SEARCH(Rules!$E$2:$E$60,$D419)))</f>
        <v>0</v>
      </c>
      <c r="M419" s="0" t="n">
        <f aca="false">SUMPRODUCT((Rules!$A$2:$A$60=M$1)*Rules!$C$2:$C$60*ISNUMBER(SEARCH(Rules!$E$2:$E$60,$D419)))</f>
        <v>0</v>
      </c>
      <c r="N419" s="0" t="n">
        <f aca="false">SUMPRODUCT((Rules!$A$2:$A$60=N$1)*Rules!$C$2:$C$60*ISNUMBER(SEARCH(Rules!$E$2:$E$60,$D419)))</f>
        <v>3</v>
      </c>
      <c r="O419" s="0" t="n">
        <f aca="false">SUMPRODUCT((Rules!$A$2:$A$60=O$1)*Rules!$C$2:$C$60*ISNUMBER(SEARCH(Rules!$E$2:$E$60,$D419)))</f>
        <v>4</v>
      </c>
      <c r="P419" s="0" t="n">
        <f aca="false">SUMPRODUCT((Rules!$A$2:$A$60=P$1)*Rules!$C$2:$C$60*ISNUMBER(SEARCH(Rules!$E$2:$E$60,$D419)))</f>
        <v>0</v>
      </c>
      <c r="Q419" s="0" t="n">
        <f aca="false">SUMPRODUCT((Rules!$A$2:$A$60=Q$1)*Rules!$C$2:$C$60*ISNUMBER(SEARCH(Rules!$E$2:$E$60,$D419)))</f>
        <v>0</v>
      </c>
      <c r="R419" s="0" t="str">
        <f aca="false">IF(OR(MAX(L419:Q419)&lt;Rules!$H$1,MAX(L419:Q419)-LARGE(L419:Q419,2)&lt;Rules!$H$2),"No label",INDEX($L$1:$Q$1,MATCH(MAX(L419:Q419),L419:Q419,0)))</f>
        <v>No label</v>
      </c>
      <c r="S419" s="0" t="n">
        <f aca="false">SUMPRODUCT(ISNUMBER(SEARCH(" "&amp;Terms!$A$3:$A$821&amp;" ",$D419))*Terms!B$3:B$821)+Terms!B$2</f>
        <v>11.8165488703757</v>
      </c>
      <c r="T419" s="0" t="n">
        <f aca="false">SUMPRODUCT(ISNUMBER(SEARCH(" "&amp;Terms!$A$3:$A$821&amp;" ",$D419))*Terms!C$3:C$821)+Terms!C$2</f>
        <v>-1.22676260243642</v>
      </c>
      <c r="U419" s="0" t="n">
        <f aca="false">SUMPRODUCT(ISNUMBER(SEARCH(" "&amp;Terms!$A$3:$A$821&amp;" ",$D419))*Terms!D$3:D$821)+Terms!D$2</f>
        <v>-5.54232406170724</v>
      </c>
      <c r="V419" s="0" t="n">
        <f aca="false">SUMPRODUCT(ISNUMBER(SEARCH(" "&amp;Terms!$A$3:$A$821&amp;" ",$D419))*Terms!E$3:E$821)+Terms!E$2</f>
        <v>6.75660078541267</v>
      </c>
      <c r="W419" s="0" t="n">
        <f aca="false">SUMPRODUCT(ISNUMBER(SEARCH(" "&amp;Terms!$A$3:$A$821&amp;" ",$D419))*Terms!F$3:F$821)+Terms!F$2</f>
        <v>-4.54269606905239</v>
      </c>
      <c r="X419" s="0" t="n">
        <f aca="false">SUMPRODUCT(ISNUMBER(SEARCH(" "&amp;Terms!$A$3:$A$821&amp;" ",$D419))*Terms!G$3:G$821)+Terms!G$2</f>
        <v>-7.26136692259224</v>
      </c>
      <c r="Y419" s="0" t="str">
        <f aca="false">INDEX($S$1:$X$1,MATCH(MAX(S419:X419),S419:X419,0))</f>
        <v>Account Access</v>
      </c>
      <c r="Z419" s="0" t="s">
        <v>2607</v>
      </c>
    </row>
    <row r="420" customFormat="false" ht="15" hidden="false" customHeight="false" outlineLevel="0" collapsed="false">
      <c r="A420" s="0" t="str">
        <f aca="false">Complaints!A420</f>
        <v>C0419</v>
      </c>
      <c r="B420" s="0" t="str">
        <f aca="false">Complaints!B420</f>
        <v>I am writing to complain. I keep getting an error message when I sign in. Please escalate this.</v>
      </c>
      <c r="C420" s="0" t="str">
        <f aca="false">Complaints!C420</f>
        <v>Account Access</v>
      </c>
      <c r="D420" s="0" t="str">
        <f aca="false">" "&amp;TRIM(SUBSTITUTE(SUBSTITUTE(SUBSTITUTE(SUBSTITUTE(SUBSTITUTE(SUBSTITUTE(SUBSTITUTE(SUBSTITUTE(SUBSTITUTE(SUBSTITUTE(SUBSTITUTE(SUBSTITUTE(SUBSTITUTE(SUBSTITUTE(SUBSTITUTE(SUBSTITUTE(LOWER(B420),"."," "),","," "),"'"," "),"’"," "),"!"," "),"?"," "),";"," "),":"," "),"-"," "),"("," "),")"," "),"""", " "),"£"," "),"&amp;"," "),"/"," "),"%"," "))&amp;" "</f>
        <v> i am writing to complain i keep getting an error message when i sign in please escalate this </v>
      </c>
      <c r="E420" s="0" t="n">
        <f aca="false">SUMPRODUCT((Rules!$A$2:$A$60=E$1)*Rules!$C$2:$C$60*ISNUMBER(SEARCH(Rules!$D$2:$D$60,$D420)))</f>
        <v>0</v>
      </c>
      <c r="F420" s="0" t="n">
        <f aca="false">SUMPRODUCT((Rules!$A$2:$A$60=F$1)*Rules!$C$2:$C$60*ISNUMBER(SEARCH(Rules!$D$2:$D$60,$D420)))</f>
        <v>0</v>
      </c>
      <c r="G420" s="0" t="n">
        <f aca="false">SUMPRODUCT((Rules!$A$2:$A$60=G$1)*Rules!$C$2:$C$60*ISNUMBER(SEARCH(Rules!$D$2:$D$60,$D420)))</f>
        <v>3</v>
      </c>
      <c r="H420" s="0" t="n">
        <f aca="false">SUMPRODUCT((Rules!$A$2:$A$60=H$1)*Rules!$C$2:$C$60*ISNUMBER(SEARCH(Rules!$D$2:$D$60,$D420)))</f>
        <v>0</v>
      </c>
      <c r="I420" s="0" t="n">
        <f aca="false">SUMPRODUCT((Rules!$A$2:$A$60=I$1)*Rules!$C$2:$C$60*ISNUMBER(SEARCH(Rules!$D$2:$D$60,$D420)))</f>
        <v>0</v>
      </c>
      <c r="J420" s="0" t="n">
        <f aca="false">SUMPRODUCT((Rules!$A$2:$A$60=J$1)*Rules!$C$2:$C$60*ISNUMBER(SEARCH(Rules!$D$2:$D$60,$D420)))</f>
        <v>0</v>
      </c>
      <c r="K420" s="0" t="str">
        <f aca="false">IF(OR(MAX(E420:J420)&lt;Rules!$H$1,MAX(E420:J420)-LARGE(E420:J420,2)&lt;Rules!$H$2),"No label",INDEX($E$1:$J$1,MATCH(MAX(E420:J420),E420:J420,0)))</f>
        <v>Account Access</v>
      </c>
      <c r="L420" s="0" t="n">
        <f aca="false">SUMPRODUCT((Rules!$A$2:$A$60=L$1)*Rules!$C$2:$C$60*ISNUMBER(SEARCH(Rules!$E$2:$E$60,$D420)))</f>
        <v>0</v>
      </c>
      <c r="M420" s="0" t="n">
        <f aca="false">SUMPRODUCT((Rules!$A$2:$A$60=M$1)*Rules!$C$2:$C$60*ISNUMBER(SEARCH(Rules!$E$2:$E$60,$D420)))</f>
        <v>0</v>
      </c>
      <c r="N420" s="0" t="n">
        <f aca="false">SUMPRODUCT((Rules!$A$2:$A$60=N$1)*Rules!$C$2:$C$60*ISNUMBER(SEARCH(Rules!$E$2:$E$60,$D420)))</f>
        <v>3</v>
      </c>
      <c r="O420" s="0" t="n">
        <f aca="false">SUMPRODUCT((Rules!$A$2:$A$60=O$1)*Rules!$C$2:$C$60*ISNUMBER(SEARCH(Rules!$E$2:$E$60,$D420)))</f>
        <v>0</v>
      </c>
      <c r="P420" s="0" t="n">
        <f aca="false">SUMPRODUCT((Rules!$A$2:$A$60=P$1)*Rules!$C$2:$C$60*ISNUMBER(SEARCH(Rules!$E$2:$E$60,$D420)))</f>
        <v>0</v>
      </c>
      <c r="Q420" s="0" t="n">
        <f aca="false">SUMPRODUCT((Rules!$A$2:$A$60=Q$1)*Rules!$C$2:$C$60*ISNUMBER(SEARCH(Rules!$E$2:$E$60,$D420)))</f>
        <v>0</v>
      </c>
      <c r="R420" s="0" t="str">
        <f aca="false">IF(OR(MAX(L420:Q420)&lt;Rules!$H$1,MAX(L420:Q420)-LARGE(L420:Q420,2)&lt;Rules!$H$2),"No label",INDEX($L$1:$Q$1,MATCH(MAX(L420:Q420),L420:Q420,0)))</f>
        <v>Account Access</v>
      </c>
      <c r="S420" s="0" t="n">
        <f aca="false">SUMPRODUCT(ISNUMBER(SEARCH(" "&amp;Terms!$A$3:$A$821&amp;" ",$D420))*Terms!B$3:B$821)+Terms!B$2</f>
        <v>10.019973279752</v>
      </c>
      <c r="T420" s="0" t="n">
        <f aca="false">SUMPRODUCT(ISNUMBER(SEARCH(" "&amp;Terms!$A$3:$A$821&amp;" ",$D420))*Terms!C$3:C$821)+Terms!C$2</f>
        <v>1.87452933459336</v>
      </c>
      <c r="U420" s="0" t="n">
        <f aca="false">SUMPRODUCT(ISNUMBER(SEARCH(" "&amp;Terms!$A$3:$A$821&amp;" ",$D420))*Terms!D$3:D$821)+Terms!D$2</f>
        <v>-0.790930751849118</v>
      </c>
      <c r="V420" s="0" t="n">
        <f aca="false">SUMPRODUCT(ISNUMBER(SEARCH(" "&amp;Terms!$A$3:$A$821&amp;" ",$D420))*Terms!E$3:E$821)+Terms!E$2</f>
        <v>-5.83247659812394</v>
      </c>
      <c r="W420" s="0" t="n">
        <f aca="false">SUMPRODUCT(ISNUMBER(SEARCH(" "&amp;Terms!$A$3:$A$821&amp;" ",$D420))*Terms!F$3:F$821)+Terms!F$2</f>
        <v>-1.79007298992043</v>
      </c>
      <c r="X420" s="0" t="n">
        <f aca="false">SUMPRODUCT(ISNUMBER(SEARCH(" "&amp;Terms!$A$3:$A$821&amp;" ",$D420))*Terms!G$3:G$821)+Terms!G$2</f>
        <v>-3.48102227445176</v>
      </c>
      <c r="Y420" s="0" t="str">
        <f aca="false">INDEX($S$1:$X$1,MATCH(MAX(S420:X420),S420:X420,0))</f>
        <v>Account Access</v>
      </c>
      <c r="Z420" s="0" t="s">
        <v>2608</v>
      </c>
    </row>
    <row r="421" customFormat="false" ht="15" hidden="false" customHeight="false" outlineLevel="0" collapsed="false">
      <c r="A421" s="0" t="str">
        <f aca="false">Complaints!A421</f>
        <v>C0420</v>
      </c>
      <c r="B421" s="0" t="str">
        <f aca="false">Complaints!B421</f>
        <v>I have been a customer for years. I feel I was treated badly because of my age. I would like a response in writing.</v>
      </c>
      <c r="C421" s="0" t="str">
        <f aca="false">Complaints!C421</f>
        <v>Customer Service</v>
      </c>
      <c r="D421" s="0" t="str">
        <f aca="false">" "&amp;TRIM(SUBSTITUTE(SUBSTITUTE(SUBSTITUTE(SUBSTITUTE(SUBSTITUTE(SUBSTITUTE(SUBSTITUTE(SUBSTITUTE(SUBSTITUTE(SUBSTITUTE(SUBSTITUTE(SUBSTITUTE(SUBSTITUTE(SUBSTITUTE(SUBSTITUTE(SUBSTITUTE(LOWER(B421),"."," "),","," "),"'"," "),"’"," "),"!"," "),"?"," "),";"," "),":"," "),"-"," "),"("," "),")"," "),"""", " "),"£"," "),"&amp;"," "),"/"," "),"%"," "))&amp;" "</f>
        <v> i have been a customer for years i feel i was treated badly because of my age i would like a response in writing </v>
      </c>
      <c r="E421" s="0" t="n">
        <f aca="false">SUMPRODUCT((Rules!$A$2:$A$60=E$1)*Rules!$C$2:$C$60*ISNUMBER(SEARCH(Rules!$D$2:$D$60,$D421)))</f>
        <v>0</v>
      </c>
      <c r="F421" s="0" t="n">
        <f aca="false">SUMPRODUCT((Rules!$A$2:$A$60=F$1)*Rules!$C$2:$C$60*ISNUMBER(SEARCH(Rules!$D$2:$D$60,$D421)))</f>
        <v>0</v>
      </c>
      <c r="G421" s="0" t="n">
        <f aca="false">SUMPRODUCT((Rules!$A$2:$A$60=G$1)*Rules!$C$2:$C$60*ISNUMBER(SEARCH(Rules!$D$2:$D$60,$D421)))</f>
        <v>0</v>
      </c>
      <c r="H421" s="0" t="n">
        <f aca="false">SUMPRODUCT((Rules!$A$2:$A$60=H$1)*Rules!$C$2:$C$60*ISNUMBER(SEARCH(Rules!$D$2:$D$60,$D421)))</f>
        <v>0</v>
      </c>
      <c r="I421" s="0" t="n">
        <f aca="false">SUMPRODUCT((Rules!$A$2:$A$60=I$1)*Rules!$C$2:$C$60*ISNUMBER(SEARCH(Rules!$D$2:$D$60,$D421)))</f>
        <v>0</v>
      </c>
      <c r="J421" s="0" t="n">
        <f aca="false">SUMPRODUCT((Rules!$A$2:$A$60=J$1)*Rules!$C$2:$C$60*ISNUMBER(SEARCH(Rules!$D$2:$D$60,$D421)))</f>
        <v>3</v>
      </c>
      <c r="K421" s="0" t="str">
        <f aca="false">IF(OR(MAX(E421:J421)&lt;Rules!$H$1,MAX(E421:J421)-LARGE(E421:J421,2)&lt;Rules!$H$2),"No label",INDEX($E$1:$J$1,MATCH(MAX(E421:J421),E421:J421,0)))</f>
        <v>Customer Service</v>
      </c>
      <c r="L421" s="0" t="n">
        <f aca="false">SUMPRODUCT((Rules!$A$2:$A$60=L$1)*Rules!$C$2:$C$60*ISNUMBER(SEARCH(Rules!$E$2:$E$60,$D421)))</f>
        <v>0</v>
      </c>
      <c r="M421" s="0" t="n">
        <f aca="false">SUMPRODUCT((Rules!$A$2:$A$60=M$1)*Rules!$C$2:$C$60*ISNUMBER(SEARCH(Rules!$E$2:$E$60,$D421)))</f>
        <v>0</v>
      </c>
      <c r="N421" s="0" t="n">
        <f aca="false">SUMPRODUCT((Rules!$A$2:$A$60=N$1)*Rules!$C$2:$C$60*ISNUMBER(SEARCH(Rules!$E$2:$E$60,$D421)))</f>
        <v>0</v>
      </c>
      <c r="O421" s="0" t="n">
        <f aca="false">SUMPRODUCT((Rules!$A$2:$A$60=O$1)*Rules!$C$2:$C$60*ISNUMBER(SEARCH(Rules!$E$2:$E$60,$D421)))</f>
        <v>0</v>
      </c>
      <c r="P421" s="0" t="n">
        <f aca="false">SUMPRODUCT((Rules!$A$2:$A$60=P$1)*Rules!$C$2:$C$60*ISNUMBER(SEARCH(Rules!$E$2:$E$60,$D421)))</f>
        <v>0</v>
      </c>
      <c r="Q421" s="0" t="n">
        <f aca="false">SUMPRODUCT((Rules!$A$2:$A$60=Q$1)*Rules!$C$2:$C$60*ISNUMBER(SEARCH(Rules!$E$2:$E$60,$D421)))</f>
        <v>3</v>
      </c>
      <c r="R421" s="0" t="str">
        <f aca="false">IF(OR(MAX(L421:Q421)&lt;Rules!$H$1,MAX(L421:Q421)-LARGE(L421:Q421,2)&lt;Rules!$H$2),"No label",INDEX($L$1:$Q$1,MATCH(MAX(L421:Q421),L421:Q421,0)))</f>
        <v>Customer Service</v>
      </c>
      <c r="S421" s="0" t="n">
        <f aca="false">SUMPRODUCT(ISNUMBER(SEARCH(" "&amp;Terms!$A$3:$A$821&amp;" ",$D421))*Terms!B$3:B$821)+Terms!B$2</f>
        <v>0.84450582153939</v>
      </c>
      <c r="T421" s="0" t="n">
        <f aca="false">SUMPRODUCT(ISNUMBER(SEARCH(" "&amp;Terms!$A$3:$A$821&amp;" ",$D421))*Terms!C$3:C$821)+Terms!C$2</f>
        <v>9.39208206023493</v>
      </c>
      <c r="U421" s="0" t="n">
        <f aca="false">SUMPRODUCT(ISNUMBER(SEARCH(" "&amp;Terms!$A$3:$A$821&amp;" ",$D421))*Terms!D$3:D$821)+Terms!D$2</f>
        <v>-2.57016730831781</v>
      </c>
      <c r="V421" s="0" t="n">
        <f aca="false">SUMPRODUCT(ISNUMBER(SEARCH(" "&amp;Terms!$A$3:$A$821&amp;" ",$D421))*Terms!E$3:E$821)+Terms!E$2</f>
        <v>-4.68999481719171</v>
      </c>
      <c r="W421" s="0" t="n">
        <f aca="false">SUMPRODUCT(ISNUMBER(SEARCH(" "&amp;Terms!$A$3:$A$821&amp;" ",$D421))*Terms!F$3:F$821)+Terms!F$2</f>
        <v>-3.8864772574784</v>
      </c>
      <c r="X421" s="0" t="n">
        <f aca="false">SUMPRODUCT(ISNUMBER(SEARCH(" "&amp;Terms!$A$3:$A$821&amp;" ",$D421))*Terms!G$3:G$821)+Terms!G$2</f>
        <v>0.91005150121371</v>
      </c>
      <c r="Y421" s="0" t="str">
        <f aca="false">INDEX($S$1:$X$1,MATCH(MAX(S421:X421),S421:X421,0))</f>
        <v>Customer Service</v>
      </c>
      <c r="Z421" s="0" t="s">
        <v>2608</v>
      </c>
    </row>
    <row r="422" customFormat="false" ht="15" hidden="false" customHeight="false" outlineLevel="0" collapsed="false">
      <c r="A422" s="0" t="str">
        <f aca="false">Complaints!A422</f>
        <v>C0421</v>
      </c>
      <c r="B422" s="0" t="str">
        <f aca="false">Complaints!B422</f>
        <v>Nobody explained the foreign transaction charges before my holiday. Also, my card was cloned and used abroad. Please escalate this.</v>
      </c>
      <c r="C422" s="0" t="str">
        <f aca="false">Complaints!C422</f>
        <v>Fees &amp; Charges</v>
      </c>
      <c r="D422" s="0" t="str">
        <f aca="false">" "&amp;TRIM(SUBSTITUTE(SUBSTITUTE(SUBSTITUTE(SUBSTITUTE(SUBSTITUTE(SUBSTITUTE(SUBSTITUTE(SUBSTITUTE(SUBSTITUTE(SUBSTITUTE(SUBSTITUTE(SUBSTITUTE(SUBSTITUTE(SUBSTITUTE(SUBSTITUTE(SUBSTITUTE(LOWER(B422),"."," "),","," "),"'"," "),"’"," "),"!"," "),"?"," "),";"," "),":"," "),"-"," "),"("," "),")"," "),"""", " "),"£"," "),"&amp;"," "),"/"," "),"%"," "))&amp;" "</f>
        <v> nobody explained the foreign transaction charges before my holiday also my card was cloned and used abroad please escalate this </v>
      </c>
      <c r="E422" s="0" t="n">
        <f aca="false">SUMPRODUCT((Rules!$A$2:$A$60=E$1)*Rules!$C$2:$C$60*ISNUMBER(SEARCH(Rules!$D$2:$D$60,$D422)))</f>
        <v>3</v>
      </c>
      <c r="F422" s="0" t="n">
        <f aca="false">SUMPRODUCT((Rules!$A$2:$A$60=F$1)*Rules!$C$2:$C$60*ISNUMBER(SEARCH(Rules!$D$2:$D$60,$D422)))</f>
        <v>0</v>
      </c>
      <c r="G422" s="0" t="n">
        <f aca="false">SUMPRODUCT((Rules!$A$2:$A$60=G$1)*Rules!$C$2:$C$60*ISNUMBER(SEARCH(Rules!$D$2:$D$60,$D422)))</f>
        <v>0</v>
      </c>
      <c r="H422" s="0" t="n">
        <f aca="false">SUMPRODUCT((Rules!$A$2:$A$60=H$1)*Rules!$C$2:$C$60*ISNUMBER(SEARCH(Rules!$D$2:$D$60,$D422)))</f>
        <v>0</v>
      </c>
      <c r="I422" s="0" t="n">
        <f aca="false">SUMPRODUCT((Rules!$A$2:$A$60=I$1)*Rules!$C$2:$C$60*ISNUMBER(SEARCH(Rules!$D$2:$D$60,$D422)))</f>
        <v>0</v>
      </c>
      <c r="J422" s="0" t="n">
        <f aca="false">SUMPRODUCT((Rules!$A$2:$A$60=J$1)*Rules!$C$2:$C$60*ISNUMBER(SEARCH(Rules!$D$2:$D$60,$D422)))</f>
        <v>0</v>
      </c>
      <c r="K422" s="0" t="str">
        <f aca="false">IF(OR(MAX(E422:J422)&lt;Rules!$H$1,MAX(E422:J422)-LARGE(E422:J422,2)&lt;Rules!$H$2),"No label",INDEX($E$1:$J$1,MATCH(MAX(E422:J422),E422:J422,0)))</f>
        <v>Fraud &amp; Scams</v>
      </c>
      <c r="L422" s="0" t="n">
        <f aca="false">SUMPRODUCT((Rules!$A$2:$A$60=L$1)*Rules!$C$2:$C$60*ISNUMBER(SEARCH(Rules!$E$2:$E$60,$D422)))</f>
        <v>3</v>
      </c>
      <c r="M422" s="0" t="n">
        <f aca="false">SUMPRODUCT((Rules!$A$2:$A$60=M$1)*Rules!$C$2:$C$60*ISNUMBER(SEARCH(Rules!$E$2:$E$60,$D422)))</f>
        <v>0</v>
      </c>
      <c r="N422" s="0" t="n">
        <f aca="false">SUMPRODUCT((Rules!$A$2:$A$60=N$1)*Rules!$C$2:$C$60*ISNUMBER(SEARCH(Rules!$E$2:$E$60,$D422)))</f>
        <v>0</v>
      </c>
      <c r="O422" s="0" t="n">
        <f aca="false">SUMPRODUCT((Rules!$A$2:$A$60=O$1)*Rules!$C$2:$C$60*ISNUMBER(SEARCH(Rules!$E$2:$E$60,$D422)))</f>
        <v>4</v>
      </c>
      <c r="P422" s="0" t="n">
        <f aca="false">SUMPRODUCT((Rules!$A$2:$A$60=P$1)*Rules!$C$2:$C$60*ISNUMBER(SEARCH(Rules!$E$2:$E$60,$D422)))</f>
        <v>0</v>
      </c>
      <c r="Q422" s="0" t="n">
        <f aca="false">SUMPRODUCT((Rules!$A$2:$A$60=Q$1)*Rules!$C$2:$C$60*ISNUMBER(SEARCH(Rules!$E$2:$E$60,$D422)))</f>
        <v>0</v>
      </c>
      <c r="R422" s="0" t="str">
        <f aca="false">IF(OR(MAX(L422:Q422)&lt;Rules!$H$1,MAX(L422:Q422)-LARGE(L422:Q422,2)&lt;Rules!$H$2),"No label",INDEX($L$1:$Q$1,MATCH(MAX(L422:Q422),L422:Q422,0)))</f>
        <v>No label</v>
      </c>
      <c r="S422" s="0" t="n">
        <f aca="false">SUMPRODUCT(ISNUMBER(SEARCH(" "&amp;Terms!$A$3:$A$821&amp;" ",$D422))*Terms!B$3:B$821)+Terms!B$2</f>
        <v>-1.6285351085112</v>
      </c>
      <c r="T422" s="0" t="n">
        <f aca="false">SUMPRODUCT(ISNUMBER(SEARCH(" "&amp;Terms!$A$3:$A$821&amp;" ",$D422))*Terms!C$3:C$821)+Terms!C$2</f>
        <v>-2.52282479201829</v>
      </c>
      <c r="U422" s="0" t="n">
        <f aca="false">SUMPRODUCT(ISNUMBER(SEARCH(" "&amp;Terms!$A$3:$A$821&amp;" ",$D422))*Terms!D$3:D$821)+Terms!D$2</f>
        <v>-6.80907008272748</v>
      </c>
      <c r="V422" s="0" t="n">
        <f aca="false">SUMPRODUCT(ISNUMBER(SEARCH(" "&amp;Terms!$A$3:$A$821&amp;" ",$D422))*Terms!E$3:E$821)+Terms!E$2</f>
        <v>9.99332494181972</v>
      </c>
      <c r="W422" s="0" t="n">
        <f aca="false">SUMPRODUCT(ISNUMBER(SEARCH(" "&amp;Terms!$A$3:$A$821&amp;" ",$D422))*Terms!F$3:F$821)+Terms!F$2</f>
        <v>5.95180232548458</v>
      </c>
      <c r="X422" s="0" t="n">
        <f aca="false">SUMPRODUCT(ISNUMBER(SEARCH(" "&amp;Terms!$A$3:$A$821&amp;" ",$D422))*Terms!G$3:G$821)+Terms!G$2</f>
        <v>-4.98469728404723</v>
      </c>
      <c r="Y422" s="0" t="str">
        <f aca="false">INDEX($S$1:$X$1,MATCH(MAX(S422:X422),S422:X422,0))</f>
        <v>Fees &amp; Charges</v>
      </c>
      <c r="Z422" s="0" t="s">
        <v>2607</v>
      </c>
    </row>
    <row r="423" customFormat="false" ht="15" hidden="false" customHeight="false" outlineLevel="0" collapsed="false">
      <c r="A423" s="0" t="str">
        <f aca="false">Complaints!A423</f>
        <v>C0422</v>
      </c>
      <c r="B423" s="0" t="str">
        <f aca="false">Complaints!B423</f>
        <v>Nobody has responded to my emails despite three reminders.</v>
      </c>
      <c r="C423" s="0" t="str">
        <f aca="false">Complaints!C423</f>
        <v>Customer Service</v>
      </c>
      <c r="D423" s="0" t="str">
        <f aca="false">" "&amp;TRIM(SUBSTITUTE(SUBSTITUTE(SUBSTITUTE(SUBSTITUTE(SUBSTITUTE(SUBSTITUTE(SUBSTITUTE(SUBSTITUTE(SUBSTITUTE(SUBSTITUTE(SUBSTITUTE(SUBSTITUTE(SUBSTITUTE(SUBSTITUTE(SUBSTITUTE(SUBSTITUTE(LOWER(B423),"."," "),","," "),"'"," "),"’"," "),"!"," "),"?"," "),";"," "),":"," "),"-"," "),"("," "),")"," "),"""", " "),"£"," "),"&amp;"," "),"/"," "),"%"," "))&amp;" "</f>
        <v> nobody has responded to my emails despite three reminders </v>
      </c>
      <c r="E423" s="0" t="n">
        <f aca="false">SUMPRODUCT((Rules!$A$2:$A$60=E$1)*Rules!$C$2:$C$60*ISNUMBER(SEARCH(Rules!$D$2:$D$60,$D423)))</f>
        <v>0</v>
      </c>
      <c r="F423" s="0" t="n">
        <f aca="false">SUMPRODUCT((Rules!$A$2:$A$60=F$1)*Rules!$C$2:$C$60*ISNUMBER(SEARCH(Rules!$D$2:$D$60,$D423)))</f>
        <v>0</v>
      </c>
      <c r="G423" s="0" t="n">
        <f aca="false">SUMPRODUCT((Rules!$A$2:$A$60=G$1)*Rules!$C$2:$C$60*ISNUMBER(SEARCH(Rules!$D$2:$D$60,$D423)))</f>
        <v>0</v>
      </c>
      <c r="H423" s="0" t="n">
        <f aca="false">SUMPRODUCT((Rules!$A$2:$A$60=H$1)*Rules!$C$2:$C$60*ISNUMBER(SEARCH(Rules!$D$2:$D$60,$D423)))</f>
        <v>0</v>
      </c>
      <c r="I423" s="0" t="n">
        <f aca="false">SUMPRODUCT((Rules!$A$2:$A$60=I$1)*Rules!$C$2:$C$60*ISNUMBER(SEARCH(Rules!$D$2:$D$60,$D423)))</f>
        <v>0</v>
      </c>
      <c r="J423" s="0" t="n">
        <f aca="false">SUMPRODUCT((Rules!$A$2:$A$60=J$1)*Rules!$C$2:$C$60*ISNUMBER(SEARCH(Rules!$D$2:$D$60,$D423)))</f>
        <v>2</v>
      </c>
      <c r="K423" s="0" t="str">
        <f aca="false">IF(OR(MAX(E423:J423)&lt;Rules!$H$1,MAX(E423:J423)-LARGE(E423:J423,2)&lt;Rules!$H$2),"No label",INDEX($E$1:$J$1,MATCH(MAX(E423:J423),E423:J423,0)))</f>
        <v>No label</v>
      </c>
      <c r="L423" s="0" t="n">
        <f aca="false">SUMPRODUCT((Rules!$A$2:$A$60=L$1)*Rules!$C$2:$C$60*ISNUMBER(SEARCH(Rules!$E$2:$E$60,$D423)))</f>
        <v>0</v>
      </c>
      <c r="M423" s="0" t="n">
        <f aca="false">SUMPRODUCT((Rules!$A$2:$A$60=M$1)*Rules!$C$2:$C$60*ISNUMBER(SEARCH(Rules!$E$2:$E$60,$D423)))</f>
        <v>0</v>
      </c>
      <c r="N423" s="0" t="n">
        <f aca="false">SUMPRODUCT((Rules!$A$2:$A$60=N$1)*Rules!$C$2:$C$60*ISNUMBER(SEARCH(Rules!$E$2:$E$60,$D423)))</f>
        <v>0</v>
      </c>
      <c r="O423" s="0" t="n">
        <f aca="false">SUMPRODUCT((Rules!$A$2:$A$60=O$1)*Rules!$C$2:$C$60*ISNUMBER(SEARCH(Rules!$E$2:$E$60,$D423)))</f>
        <v>0</v>
      </c>
      <c r="P423" s="0" t="n">
        <f aca="false">SUMPRODUCT((Rules!$A$2:$A$60=P$1)*Rules!$C$2:$C$60*ISNUMBER(SEARCH(Rules!$E$2:$E$60,$D423)))</f>
        <v>0</v>
      </c>
      <c r="Q423" s="0" t="n">
        <f aca="false">SUMPRODUCT((Rules!$A$2:$A$60=Q$1)*Rules!$C$2:$C$60*ISNUMBER(SEARCH(Rules!$E$2:$E$60,$D423)))</f>
        <v>2</v>
      </c>
      <c r="R423" s="0" t="str">
        <f aca="false">IF(OR(MAX(L423:Q423)&lt;Rules!$H$1,MAX(L423:Q423)-LARGE(L423:Q423,2)&lt;Rules!$H$2),"No label",INDEX($L$1:$Q$1,MATCH(MAX(L423:Q423),L423:Q423,0)))</f>
        <v>No label</v>
      </c>
      <c r="S423" s="0" t="n">
        <f aca="false">SUMPRODUCT(ISNUMBER(SEARCH(" "&amp;Terms!$A$3:$A$821&amp;" ",$D423))*Terms!B$3:B$821)+Terms!B$2</f>
        <v>-3.28292324291933</v>
      </c>
      <c r="T423" s="0" t="n">
        <f aca="false">SUMPRODUCT(ISNUMBER(SEARCH(" "&amp;Terms!$A$3:$A$821&amp;" ",$D423))*Terms!C$3:C$821)+Terms!C$2</f>
        <v>9.37656219920127</v>
      </c>
      <c r="U423" s="0" t="n">
        <f aca="false">SUMPRODUCT(ISNUMBER(SEARCH(" "&amp;Terms!$A$3:$A$821&amp;" ",$D423))*Terms!D$3:D$821)+Terms!D$2</f>
        <v>-1.67336020216156</v>
      </c>
      <c r="V423" s="0" t="n">
        <f aca="false">SUMPRODUCT(ISNUMBER(SEARCH(" "&amp;Terms!$A$3:$A$821&amp;" ",$D423))*Terms!E$3:E$821)+Terms!E$2</f>
        <v>-1.3482776396901</v>
      </c>
      <c r="W423" s="0" t="n">
        <f aca="false">SUMPRODUCT(ISNUMBER(SEARCH(" "&amp;Terms!$A$3:$A$821&amp;" ",$D423))*Terms!F$3:F$821)+Terms!F$2</f>
        <v>-1.75692768219433</v>
      </c>
      <c r="X423" s="0" t="n">
        <f aca="false">SUMPRODUCT(ISNUMBER(SEARCH(" "&amp;Terms!$A$3:$A$821&amp;" ",$D423))*Terms!G$3:G$821)+Terms!G$2</f>
        <v>-1.31507343223585</v>
      </c>
      <c r="Y423" s="0" t="str">
        <f aca="false">INDEX($S$1:$X$1,MATCH(MAX(S423:X423),S423:X423,0))</f>
        <v>Customer Service</v>
      </c>
      <c r="Z423" s="0" t="s">
        <v>2607</v>
      </c>
    </row>
    <row r="424" customFormat="false" ht="15" hidden="false" customHeight="false" outlineLevel="0" collapsed="false">
      <c r="A424" s="0" t="str">
        <f aca="false">Complaints!A424</f>
        <v>C0423</v>
      </c>
      <c r="B424" s="0" t="str">
        <f aca="false">Complaints!B424</f>
        <v>The closure of my old account has dragged on for months. I want this put right.</v>
      </c>
      <c r="C424" s="0" t="str">
        <f aca="false">Complaints!C424</f>
        <v>Delays &amp; Processing</v>
      </c>
      <c r="D424" s="0" t="str">
        <f aca="false">" "&amp;TRIM(SUBSTITUTE(SUBSTITUTE(SUBSTITUTE(SUBSTITUTE(SUBSTITUTE(SUBSTITUTE(SUBSTITUTE(SUBSTITUTE(SUBSTITUTE(SUBSTITUTE(SUBSTITUTE(SUBSTITUTE(SUBSTITUTE(SUBSTITUTE(SUBSTITUTE(SUBSTITUTE(LOWER(B424),"."," "),","," "),"'"," "),"’"," "),"!"," "),"?"," "),";"," "),":"," "),"-"," "),"("," "),")"," "),"""", " "),"£"," "),"&amp;"," "),"/"," "),"%"," "))&amp;" "</f>
        <v> the closure of my old account has dragged on for months i want this put right </v>
      </c>
      <c r="E424" s="0" t="n">
        <f aca="false">SUMPRODUCT((Rules!$A$2:$A$60=E$1)*Rules!$C$2:$C$60*ISNUMBER(SEARCH(Rules!$D$2:$D$60,$D424)))</f>
        <v>0</v>
      </c>
      <c r="F424" s="0" t="n">
        <f aca="false">SUMPRODUCT((Rules!$A$2:$A$60=F$1)*Rules!$C$2:$C$60*ISNUMBER(SEARCH(Rules!$D$2:$D$60,$D424)))</f>
        <v>0</v>
      </c>
      <c r="G424" s="0" t="n">
        <f aca="false">SUMPRODUCT((Rules!$A$2:$A$60=G$1)*Rules!$C$2:$C$60*ISNUMBER(SEARCH(Rules!$D$2:$D$60,$D424)))</f>
        <v>0</v>
      </c>
      <c r="H424" s="0" t="n">
        <f aca="false">SUMPRODUCT((Rules!$A$2:$A$60=H$1)*Rules!$C$2:$C$60*ISNUMBER(SEARCH(Rules!$D$2:$D$60,$D424)))</f>
        <v>0</v>
      </c>
      <c r="I424" s="0" t="n">
        <f aca="false">SUMPRODUCT((Rules!$A$2:$A$60=I$1)*Rules!$C$2:$C$60*ISNUMBER(SEARCH(Rules!$D$2:$D$60,$D424)))</f>
        <v>2</v>
      </c>
      <c r="J424" s="0" t="n">
        <f aca="false">SUMPRODUCT((Rules!$A$2:$A$60=J$1)*Rules!$C$2:$C$60*ISNUMBER(SEARCH(Rules!$D$2:$D$60,$D424)))</f>
        <v>0</v>
      </c>
      <c r="K424" s="0" t="str">
        <f aca="false">IF(OR(MAX(E424:J424)&lt;Rules!$H$1,MAX(E424:J424)-LARGE(E424:J424,2)&lt;Rules!$H$2),"No label",INDEX($E$1:$J$1,MATCH(MAX(E424:J424),E424:J424,0)))</f>
        <v>No label</v>
      </c>
      <c r="L424" s="0" t="n">
        <f aca="false">SUMPRODUCT((Rules!$A$2:$A$60=L$1)*Rules!$C$2:$C$60*ISNUMBER(SEARCH(Rules!$E$2:$E$60,$D424)))</f>
        <v>0</v>
      </c>
      <c r="M424" s="0" t="n">
        <f aca="false">SUMPRODUCT((Rules!$A$2:$A$60=M$1)*Rules!$C$2:$C$60*ISNUMBER(SEARCH(Rules!$E$2:$E$60,$D424)))</f>
        <v>0</v>
      </c>
      <c r="N424" s="0" t="n">
        <f aca="false">SUMPRODUCT((Rules!$A$2:$A$60=N$1)*Rules!$C$2:$C$60*ISNUMBER(SEARCH(Rules!$E$2:$E$60,$D424)))</f>
        <v>0</v>
      </c>
      <c r="O424" s="0" t="n">
        <f aca="false">SUMPRODUCT((Rules!$A$2:$A$60=O$1)*Rules!$C$2:$C$60*ISNUMBER(SEARCH(Rules!$E$2:$E$60,$D424)))</f>
        <v>0</v>
      </c>
      <c r="P424" s="0" t="n">
        <f aca="false">SUMPRODUCT((Rules!$A$2:$A$60=P$1)*Rules!$C$2:$C$60*ISNUMBER(SEARCH(Rules!$E$2:$E$60,$D424)))</f>
        <v>2</v>
      </c>
      <c r="Q424" s="0" t="n">
        <f aca="false">SUMPRODUCT((Rules!$A$2:$A$60=Q$1)*Rules!$C$2:$C$60*ISNUMBER(SEARCH(Rules!$E$2:$E$60,$D424)))</f>
        <v>0</v>
      </c>
      <c r="R424" s="0" t="str">
        <f aca="false">IF(OR(MAX(L424:Q424)&lt;Rules!$H$1,MAX(L424:Q424)-LARGE(L424:Q424,2)&lt;Rules!$H$2),"No label",INDEX($L$1:$Q$1,MATCH(MAX(L424:Q424),L424:Q424,0)))</f>
        <v>No label</v>
      </c>
      <c r="S424" s="0" t="n">
        <f aca="false">SUMPRODUCT(ISNUMBER(SEARCH(" "&amp;Terms!$A$3:$A$821&amp;" ",$D424))*Terms!B$3:B$821)+Terms!B$2</f>
        <v>-1.75273534839637</v>
      </c>
      <c r="T424" s="0" t="n">
        <f aca="false">SUMPRODUCT(ISNUMBER(SEARCH(" "&amp;Terms!$A$3:$A$821&amp;" ",$D424))*Terms!C$3:C$821)+Terms!C$2</f>
        <v>-3.72311045326039</v>
      </c>
      <c r="U424" s="0" t="n">
        <f aca="false">SUMPRODUCT(ISNUMBER(SEARCH(" "&amp;Terms!$A$3:$A$821&amp;" ",$D424))*Terms!D$3:D$821)+Terms!D$2</f>
        <v>8.60468617056968</v>
      </c>
      <c r="V424" s="0" t="n">
        <f aca="false">SUMPRODUCT(ISNUMBER(SEARCH(" "&amp;Terms!$A$3:$A$821&amp;" ",$D424))*Terms!E$3:E$821)+Terms!E$2</f>
        <v>-1.49048447124953</v>
      </c>
      <c r="W424" s="0" t="n">
        <f aca="false">SUMPRODUCT(ISNUMBER(SEARCH(" "&amp;Terms!$A$3:$A$821&amp;" ",$D424))*Terms!F$3:F$821)+Terms!F$2</f>
        <v>1.65594443455848</v>
      </c>
      <c r="X424" s="0" t="n">
        <f aca="false">SUMPRODUCT(ISNUMBER(SEARCH(" "&amp;Terms!$A$3:$A$821&amp;" ",$D424))*Terms!G$3:G$821)+Terms!G$2</f>
        <v>-3.29430033222177</v>
      </c>
      <c r="Y424" s="0" t="str">
        <f aca="false">INDEX($S$1:$X$1,MATCH(MAX(S424:X424),S424:X424,0))</f>
        <v>Delays &amp; Processing</v>
      </c>
      <c r="Z424" s="0" t="s">
        <v>2607</v>
      </c>
    </row>
    <row r="425" customFormat="false" ht="15" hidden="false" customHeight="false" outlineLevel="0" collapsed="false">
      <c r="A425" s="0" t="str">
        <f aca="false">Complaints!A425</f>
        <v>C0424</v>
      </c>
      <c r="B425" s="0" t="str">
        <f aca="false">Complaints!B425</f>
        <v>Hello, A fake text message led me to a website and my money disappeared.</v>
      </c>
      <c r="C425" s="0" t="str">
        <f aca="false">Complaints!C425</f>
        <v>Fraud &amp; Scams</v>
      </c>
      <c r="D425" s="0" t="str">
        <f aca="false">" "&amp;TRIM(SUBSTITUTE(SUBSTITUTE(SUBSTITUTE(SUBSTITUTE(SUBSTITUTE(SUBSTITUTE(SUBSTITUTE(SUBSTITUTE(SUBSTITUTE(SUBSTITUTE(SUBSTITUTE(SUBSTITUTE(SUBSTITUTE(SUBSTITUTE(SUBSTITUTE(SUBSTITUTE(LOWER(B425),"."," "),","," "),"'"," "),"’"," "),"!"," "),"?"," "),";"," "),":"," "),"-"," "),"("," "),")"," "),"""", " "),"£"," "),"&amp;"," "),"/"," "),"%"," "))&amp;" "</f>
        <v> hello a fake text message led me to a website and my money disappeared </v>
      </c>
      <c r="E425" s="0" t="n">
        <f aca="false">SUMPRODUCT((Rules!$A$2:$A$60=E$1)*Rules!$C$2:$C$60*ISNUMBER(SEARCH(Rules!$D$2:$D$60,$D425)))</f>
        <v>2</v>
      </c>
      <c r="F425" s="0" t="n">
        <f aca="false">SUMPRODUCT((Rules!$A$2:$A$60=F$1)*Rules!$C$2:$C$60*ISNUMBER(SEARCH(Rules!$D$2:$D$60,$D425)))</f>
        <v>0</v>
      </c>
      <c r="G425" s="0" t="n">
        <f aca="false">SUMPRODUCT((Rules!$A$2:$A$60=G$1)*Rules!$C$2:$C$60*ISNUMBER(SEARCH(Rules!$D$2:$D$60,$D425)))</f>
        <v>0</v>
      </c>
      <c r="H425" s="0" t="n">
        <f aca="false">SUMPRODUCT((Rules!$A$2:$A$60=H$1)*Rules!$C$2:$C$60*ISNUMBER(SEARCH(Rules!$D$2:$D$60,$D425)))</f>
        <v>0</v>
      </c>
      <c r="I425" s="0" t="n">
        <f aca="false">SUMPRODUCT((Rules!$A$2:$A$60=I$1)*Rules!$C$2:$C$60*ISNUMBER(SEARCH(Rules!$D$2:$D$60,$D425)))</f>
        <v>0</v>
      </c>
      <c r="J425" s="0" t="n">
        <f aca="false">SUMPRODUCT((Rules!$A$2:$A$60=J$1)*Rules!$C$2:$C$60*ISNUMBER(SEARCH(Rules!$D$2:$D$60,$D425)))</f>
        <v>0</v>
      </c>
      <c r="K425" s="0" t="str">
        <f aca="false">IF(OR(MAX(E425:J425)&lt;Rules!$H$1,MAX(E425:J425)-LARGE(E425:J425,2)&lt;Rules!$H$2),"No label",INDEX($E$1:$J$1,MATCH(MAX(E425:J425),E425:J425,0)))</f>
        <v>No label</v>
      </c>
      <c r="L425" s="0" t="n">
        <f aca="false">SUMPRODUCT((Rules!$A$2:$A$60=L$1)*Rules!$C$2:$C$60*ISNUMBER(SEARCH(Rules!$E$2:$E$60,$D425)))</f>
        <v>2</v>
      </c>
      <c r="M425" s="0" t="n">
        <f aca="false">SUMPRODUCT((Rules!$A$2:$A$60=M$1)*Rules!$C$2:$C$60*ISNUMBER(SEARCH(Rules!$E$2:$E$60,$D425)))</f>
        <v>0</v>
      </c>
      <c r="N425" s="0" t="n">
        <f aca="false">SUMPRODUCT((Rules!$A$2:$A$60=N$1)*Rules!$C$2:$C$60*ISNUMBER(SEARCH(Rules!$E$2:$E$60,$D425)))</f>
        <v>0</v>
      </c>
      <c r="O425" s="0" t="n">
        <f aca="false">SUMPRODUCT((Rules!$A$2:$A$60=O$1)*Rules!$C$2:$C$60*ISNUMBER(SEARCH(Rules!$E$2:$E$60,$D425)))</f>
        <v>0</v>
      </c>
      <c r="P425" s="0" t="n">
        <f aca="false">SUMPRODUCT((Rules!$A$2:$A$60=P$1)*Rules!$C$2:$C$60*ISNUMBER(SEARCH(Rules!$E$2:$E$60,$D425)))</f>
        <v>0</v>
      </c>
      <c r="Q425" s="0" t="n">
        <f aca="false">SUMPRODUCT((Rules!$A$2:$A$60=Q$1)*Rules!$C$2:$C$60*ISNUMBER(SEARCH(Rules!$E$2:$E$60,$D425)))</f>
        <v>0</v>
      </c>
      <c r="R425" s="0" t="str">
        <f aca="false">IF(OR(MAX(L425:Q425)&lt;Rules!$H$1,MAX(L425:Q425)-LARGE(L425:Q425,2)&lt;Rules!$H$2),"No label",INDEX($L$1:$Q$1,MATCH(MAX(L425:Q425),L425:Q425,0)))</f>
        <v>No label</v>
      </c>
      <c r="S425" s="0" t="n">
        <f aca="false">SUMPRODUCT(ISNUMBER(SEARCH(" "&amp;Terms!$A$3:$A$821&amp;" ",$D425))*Terms!B$3:B$821)+Terms!B$2</f>
        <v>0.837861674829398</v>
      </c>
      <c r="T425" s="0" t="n">
        <f aca="false">SUMPRODUCT(ISNUMBER(SEARCH(" "&amp;Terms!$A$3:$A$821&amp;" ",$D425))*Terms!C$3:C$821)+Terms!C$2</f>
        <v>-2.44062236571019</v>
      </c>
      <c r="U425" s="0" t="n">
        <f aca="false">SUMPRODUCT(ISNUMBER(SEARCH(" "&amp;Terms!$A$3:$A$821&amp;" ",$D425))*Terms!D$3:D$821)+Terms!D$2</f>
        <v>-2.84313663595842</v>
      </c>
      <c r="V425" s="0" t="n">
        <f aca="false">SUMPRODUCT(ISNUMBER(SEARCH(" "&amp;Terms!$A$3:$A$821&amp;" ",$D425))*Terms!E$3:E$821)+Terms!E$2</f>
        <v>-5.94322286729544</v>
      </c>
      <c r="W425" s="0" t="n">
        <f aca="false">SUMPRODUCT(ISNUMBER(SEARCH(" "&amp;Terms!$A$3:$A$821&amp;" ",$D425))*Terms!F$3:F$821)+Terms!F$2</f>
        <v>10.484423088645</v>
      </c>
      <c r="X425" s="0" t="n">
        <f aca="false">SUMPRODUCT(ISNUMBER(SEARCH(" "&amp;Terms!$A$3:$A$821&amp;" ",$D425))*Terms!G$3:G$821)+Terms!G$2</f>
        <v>-0.0953028945103098</v>
      </c>
      <c r="Y425" s="0" t="str">
        <f aca="false">INDEX($S$1:$X$1,MATCH(MAX(S425:X425),S425:X425,0))</f>
        <v>Fraud &amp; Scams</v>
      </c>
      <c r="Z425" s="0" t="s">
        <v>2607</v>
      </c>
    </row>
    <row r="426" customFormat="false" ht="15" hidden="false" customHeight="false" outlineLevel="0" collapsed="false">
      <c r="A426" s="0" t="str">
        <f aca="false">Complaints!A426</f>
        <v>C0425</v>
      </c>
      <c r="B426" s="0" t="str">
        <f aca="false">Complaints!B426</f>
        <v>Hello, I was tricked into moving savings to a safe account that was not safe. I also spent ages on hold when I called about it. This is not acceptable.</v>
      </c>
      <c r="C426" s="0" t="str">
        <f aca="false">Complaints!C426</f>
        <v>Fraud &amp; Scams</v>
      </c>
      <c r="D426" s="0" t="str">
        <f aca="false">" "&amp;TRIM(SUBSTITUTE(SUBSTITUTE(SUBSTITUTE(SUBSTITUTE(SUBSTITUTE(SUBSTITUTE(SUBSTITUTE(SUBSTITUTE(SUBSTITUTE(SUBSTITUTE(SUBSTITUTE(SUBSTITUTE(SUBSTITUTE(SUBSTITUTE(SUBSTITUTE(SUBSTITUTE(LOWER(B426),"."," "),","," "),"'"," "),"’"," "),"!"," "),"?"," "),";"," "),":"," "),"-"," "),"("," "),")"," "),"""", " "),"£"," "),"&amp;"," "),"/"," "),"%"," "))&amp;" "</f>
        <v> hello i was tricked into moving savings to a safe account that was not safe i also spent ages on hold when i called about it this is not acceptable </v>
      </c>
      <c r="E426" s="0" t="n">
        <f aca="false">SUMPRODUCT((Rules!$A$2:$A$60=E$1)*Rules!$C$2:$C$60*ISNUMBER(SEARCH(Rules!$D$2:$D$60,$D426)))</f>
        <v>2</v>
      </c>
      <c r="F426" s="0" t="n">
        <f aca="false">SUMPRODUCT((Rules!$A$2:$A$60=F$1)*Rules!$C$2:$C$60*ISNUMBER(SEARCH(Rules!$D$2:$D$60,$D426)))</f>
        <v>0</v>
      </c>
      <c r="G426" s="0" t="n">
        <f aca="false">SUMPRODUCT((Rules!$A$2:$A$60=G$1)*Rules!$C$2:$C$60*ISNUMBER(SEARCH(Rules!$D$2:$D$60,$D426)))</f>
        <v>0</v>
      </c>
      <c r="H426" s="0" t="n">
        <f aca="false">SUMPRODUCT((Rules!$A$2:$A$60=H$1)*Rules!$C$2:$C$60*ISNUMBER(SEARCH(Rules!$D$2:$D$60,$D426)))</f>
        <v>0</v>
      </c>
      <c r="I426" s="0" t="n">
        <f aca="false">SUMPRODUCT((Rules!$A$2:$A$60=I$1)*Rules!$C$2:$C$60*ISNUMBER(SEARCH(Rules!$D$2:$D$60,$D426)))</f>
        <v>0</v>
      </c>
      <c r="J426" s="0" t="n">
        <f aca="false">SUMPRODUCT((Rules!$A$2:$A$60=J$1)*Rules!$C$2:$C$60*ISNUMBER(SEARCH(Rules!$D$2:$D$60,$D426)))</f>
        <v>3</v>
      </c>
      <c r="K426" s="0" t="str">
        <f aca="false">IF(OR(MAX(E426:J426)&lt;Rules!$H$1,MAX(E426:J426)-LARGE(E426:J426,2)&lt;Rules!$H$2),"No label",INDEX($E$1:$J$1,MATCH(MAX(E426:J426),E426:J426,0)))</f>
        <v>No label</v>
      </c>
      <c r="L426" s="0" t="n">
        <f aca="false">SUMPRODUCT((Rules!$A$2:$A$60=L$1)*Rules!$C$2:$C$60*ISNUMBER(SEARCH(Rules!$E$2:$E$60,$D426)))</f>
        <v>2</v>
      </c>
      <c r="M426" s="0" t="n">
        <f aca="false">SUMPRODUCT((Rules!$A$2:$A$60=M$1)*Rules!$C$2:$C$60*ISNUMBER(SEARCH(Rules!$E$2:$E$60,$D426)))</f>
        <v>0</v>
      </c>
      <c r="N426" s="0" t="n">
        <f aca="false">SUMPRODUCT((Rules!$A$2:$A$60=N$1)*Rules!$C$2:$C$60*ISNUMBER(SEARCH(Rules!$E$2:$E$60,$D426)))</f>
        <v>1</v>
      </c>
      <c r="O426" s="0" t="n">
        <f aca="false">SUMPRODUCT((Rules!$A$2:$A$60=O$1)*Rules!$C$2:$C$60*ISNUMBER(SEARCH(Rules!$E$2:$E$60,$D426)))</f>
        <v>0</v>
      </c>
      <c r="P426" s="0" t="n">
        <f aca="false">SUMPRODUCT((Rules!$A$2:$A$60=P$1)*Rules!$C$2:$C$60*ISNUMBER(SEARCH(Rules!$E$2:$E$60,$D426)))</f>
        <v>0</v>
      </c>
      <c r="Q426" s="0" t="n">
        <f aca="false">SUMPRODUCT((Rules!$A$2:$A$60=Q$1)*Rules!$C$2:$C$60*ISNUMBER(SEARCH(Rules!$E$2:$E$60,$D426)))</f>
        <v>3</v>
      </c>
      <c r="R426" s="0" t="str">
        <f aca="false">IF(OR(MAX(L426:Q426)&lt;Rules!$H$1,MAX(L426:Q426)-LARGE(L426:Q426,2)&lt;Rules!$H$2),"No label",INDEX($L$1:$Q$1,MATCH(MAX(L426:Q426),L426:Q426,0)))</f>
        <v>No label</v>
      </c>
      <c r="S426" s="0" t="n">
        <f aca="false">SUMPRODUCT(ISNUMBER(SEARCH(" "&amp;Terms!$A$3:$A$821&amp;" ",$D426))*Terms!B$3:B$821)+Terms!B$2</f>
        <v>-0.303496760652411</v>
      </c>
      <c r="T426" s="0" t="n">
        <f aca="false">SUMPRODUCT(ISNUMBER(SEARCH(" "&amp;Terms!$A$3:$A$821&amp;" ",$D426))*Terms!C$3:C$821)+Terms!C$2</f>
        <v>-4.82477838969816</v>
      </c>
      <c r="U426" s="0" t="n">
        <f aca="false">SUMPRODUCT(ISNUMBER(SEARCH(" "&amp;Terms!$A$3:$A$821&amp;" ",$D426))*Terms!D$3:D$821)+Terms!D$2</f>
        <v>1.12056520796283</v>
      </c>
      <c r="V426" s="0" t="n">
        <f aca="false">SUMPRODUCT(ISNUMBER(SEARCH(" "&amp;Terms!$A$3:$A$821&amp;" ",$D426))*Terms!E$3:E$821)+Terms!E$2</f>
        <v>-1.94439211353631</v>
      </c>
      <c r="W426" s="0" t="n">
        <f aca="false">SUMPRODUCT(ISNUMBER(SEARCH(" "&amp;Terms!$A$3:$A$821&amp;" ",$D426))*Terms!F$3:F$821)+Terms!F$2</f>
        <v>9.04919958389117</v>
      </c>
      <c r="X426" s="0" t="n">
        <f aca="false">SUMPRODUCT(ISNUMBER(SEARCH(" "&amp;Terms!$A$3:$A$821&amp;" ",$D426))*Terms!G$3:G$821)+Terms!G$2</f>
        <v>-3.09709752796704</v>
      </c>
      <c r="Y426" s="0" t="str">
        <f aca="false">INDEX($S$1:$X$1,MATCH(MAX(S426:X426),S426:X426,0))</f>
        <v>Fraud &amp; Scams</v>
      </c>
      <c r="Z426" s="0" t="s">
        <v>2608</v>
      </c>
    </row>
    <row r="427" customFormat="false" ht="15" hidden="false" customHeight="false" outlineLevel="0" collapsed="false">
      <c r="A427" s="0" t="str">
        <f aca="false">Complaints!A427</f>
        <v>C0426</v>
      </c>
      <c r="B427" s="0" t="str">
        <f aca="false">Complaints!B427</f>
        <v>Two factor codes are not being sent to my phone. Also, i reported the unauthorised payment but you refused to reimburse me. Please sort this out.</v>
      </c>
      <c r="C427" s="0" t="str">
        <f aca="false">Complaints!C427</f>
        <v>Account Access</v>
      </c>
      <c r="D427" s="0" t="str">
        <f aca="false">" "&amp;TRIM(SUBSTITUTE(SUBSTITUTE(SUBSTITUTE(SUBSTITUTE(SUBSTITUTE(SUBSTITUTE(SUBSTITUTE(SUBSTITUTE(SUBSTITUTE(SUBSTITUTE(SUBSTITUTE(SUBSTITUTE(SUBSTITUTE(SUBSTITUTE(SUBSTITUTE(SUBSTITUTE(LOWER(B427),"."," "),","," "),"'"," "),"’"," "),"!"," "),"?"," "),";"," "),":"," "),"-"," "),"("," "),")"," "),"""", " "),"£"," "),"&amp;"," "),"/"," "),"%"," "))&amp;" "</f>
        <v> two factor codes are not being sent to my phone also i reported the unauthorised payment but you refused to reimburse me please sort this out </v>
      </c>
      <c r="E427" s="0" t="n">
        <f aca="false">SUMPRODUCT((Rules!$A$2:$A$60=E$1)*Rules!$C$2:$C$60*ISNUMBER(SEARCH(Rules!$D$2:$D$60,$D427)))</f>
        <v>3</v>
      </c>
      <c r="F427" s="0" t="n">
        <f aca="false">SUMPRODUCT((Rules!$A$2:$A$60=F$1)*Rules!$C$2:$C$60*ISNUMBER(SEARCH(Rules!$D$2:$D$60,$D427)))</f>
        <v>0</v>
      </c>
      <c r="G427" s="0" t="n">
        <f aca="false">SUMPRODUCT((Rules!$A$2:$A$60=G$1)*Rules!$C$2:$C$60*ISNUMBER(SEARCH(Rules!$D$2:$D$60,$D427)))</f>
        <v>3</v>
      </c>
      <c r="H427" s="0" t="n">
        <f aca="false">SUMPRODUCT((Rules!$A$2:$A$60=H$1)*Rules!$C$2:$C$60*ISNUMBER(SEARCH(Rules!$D$2:$D$60,$D427)))</f>
        <v>0</v>
      </c>
      <c r="I427" s="0" t="n">
        <f aca="false">SUMPRODUCT((Rules!$A$2:$A$60=I$1)*Rules!$C$2:$C$60*ISNUMBER(SEARCH(Rules!$D$2:$D$60,$D427)))</f>
        <v>0</v>
      </c>
      <c r="J427" s="0" t="n">
        <f aca="false">SUMPRODUCT((Rules!$A$2:$A$60=J$1)*Rules!$C$2:$C$60*ISNUMBER(SEARCH(Rules!$D$2:$D$60,$D427)))</f>
        <v>0</v>
      </c>
      <c r="K427" s="0" t="str">
        <f aca="false">IF(OR(MAX(E427:J427)&lt;Rules!$H$1,MAX(E427:J427)-LARGE(E427:J427,2)&lt;Rules!$H$2),"No label",INDEX($E$1:$J$1,MATCH(MAX(E427:J427),E427:J427,0)))</f>
        <v>No label</v>
      </c>
      <c r="L427" s="0" t="n">
        <f aca="false">SUMPRODUCT((Rules!$A$2:$A$60=L$1)*Rules!$C$2:$C$60*ISNUMBER(SEARCH(Rules!$E$2:$E$60,$D427)))</f>
        <v>3</v>
      </c>
      <c r="M427" s="0" t="n">
        <f aca="false">SUMPRODUCT((Rules!$A$2:$A$60=M$1)*Rules!$C$2:$C$60*ISNUMBER(SEARCH(Rules!$E$2:$E$60,$D427)))</f>
        <v>0</v>
      </c>
      <c r="N427" s="0" t="n">
        <f aca="false">SUMPRODUCT((Rules!$A$2:$A$60=N$1)*Rules!$C$2:$C$60*ISNUMBER(SEARCH(Rules!$E$2:$E$60,$D427)))</f>
        <v>3</v>
      </c>
      <c r="O427" s="0" t="n">
        <f aca="false">SUMPRODUCT((Rules!$A$2:$A$60=O$1)*Rules!$C$2:$C$60*ISNUMBER(SEARCH(Rules!$E$2:$E$60,$D427)))</f>
        <v>0</v>
      </c>
      <c r="P427" s="0" t="n">
        <f aca="false">SUMPRODUCT((Rules!$A$2:$A$60=P$1)*Rules!$C$2:$C$60*ISNUMBER(SEARCH(Rules!$E$2:$E$60,$D427)))</f>
        <v>0</v>
      </c>
      <c r="Q427" s="0" t="n">
        <f aca="false">SUMPRODUCT((Rules!$A$2:$A$60=Q$1)*Rules!$C$2:$C$60*ISNUMBER(SEARCH(Rules!$E$2:$E$60,$D427)))</f>
        <v>0</v>
      </c>
      <c r="R427" s="0" t="str">
        <f aca="false">IF(OR(MAX(L427:Q427)&lt;Rules!$H$1,MAX(L427:Q427)-LARGE(L427:Q427,2)&lt;Rules!$H$2),"No label",INDEX($L$1:$Q$1,MATCH(MAX(L427:Q427),L427:Q427,0)))</f>
        <v>No label</v>
      </c>
      <c r="S427" s="0" t="n">
        <f aca="false">SUMPRODUCT(ISNUMBER(SEARCH(" "&amp;Terms!$A$3:$A$821&amp;" ",$D427))*Terms!B$3:B$821)+Terms!B$2</f>
        <v>6.59409423989387</v>
      </c>
      <c r="T427" s="0" t="n">
        <f aca="false">SUMPRODUCT(ISNUMBER(SEARCH(" "&amp;Terms!$A$3:$A$821&amp;" ",$D427))*Terms!C$3:C$821)+Terms!C$2</f>
        <v>-6.64318600383124</v>
      </c>
      <c r="U427" s="0" t="n">
        <f aca="false">SUMPRODUCT(ISNUMBER(SEARCH(" "&amp;Terms!$A$3:$A$821&amp;" ",$D427))*Terms!D$3:D$821)+Terms!D$2</f>
        <v>2.2434382922622</v>
      </c>
      <c r="V427" s="0" t="n">
        <f aca="false">SUMPRODUCT(ISNUMBER(SEARCH(" "&amp;Terms!$A$3:$A$821&amp;" ",$D427))*Terms!E$3:E$821)+Terms!E$2</f>
        <v>-2.15863764518763</v>
      </c>
      <c r="W427" s="0" t="n">
        <f aca="false">SUMPRODUCT(ISNUMBER(SEARCH(" "&amp;Terms!$A$3:$A$821&amp;" ",$D427))*Terms!F$3:F$821)+Terms!F$2</f>
        <v>5.11580427313559</v>
      </c>
      <c r="X427" s="0" t="n">
        <f aca="false">SUMPRODUCT(ISNUMBER(SEARCH(" "&amp;Terms!$A$3:$A$821&amp;" ",$D427))*Terms!G$3:G$821)+Terms!G$2</f>
        <v>-5.15151315627274</v>
      </c>
      <c r="Y427" s="0" t="str">
        <f aca="false">INDEX($S$1:$X$1,MATCH(MAX(S427:X427),S427:X427,0))</f>
        <v>Account Access</v>
      </c>
      <c r="Z427" s="0" t="s">
        <v>2607</v>
      </c>
    </row>
    <row r="428" customFormat="false" ht="15" hidden="false" customHeight="false" outlineLevel="0" collapsed="false">
      <c r="A428" s="0" t="str">
        <f aca="false">Complaints!A428</f>
        <v>C0427</v>
      </c>
      <c r="B428" s="0" t="str">
        <f aca="false">Complaints!B428</f>
        <v>Frankly, The paperwork was submitted a month ago and I am still waiting. I want this put right.</v>
      </c>
      <c r="C428" s="0" t="str">
        <f aca="false">Complaints!C428</f>
        <v>Delays &amp; Processing</v>
      </c>
      <c r="D428" s="0" t="str">
        <f aca="false">" "&amp;TRIM(SUBSTITUTE(SUBSTITUTE(SUBSTITUTE(SUBSTITUTE(SUBSTITUTE(SUBSTITUTE(SUBSTITUTE(SUBSTITUTE(SUBSTITUTE(SUBSTITUTE(SUBSTITUTE(SUBSTITUTE(SUBSTITUTE(SUBSTITUTE(SUBSTITUTE(SUBSTITUTE(LOWER(B428),"."," "),","," "),"'"," "),"’"," "),"!"," "),"?"," "),";"," "),":"," "),"-"," "),"("," "),")"," "),"""", " "),"£"," "),"&amp;"," "),"/"," "),"%"," "))&amp;" "</f>
        <v> frankly the paperwork was submitted a month ago and i am still waiting i want this put right </v>
      </c>
      <c r="E428" s="0" t="n">
        <f aca="false">SUMPRODUCT((Rules!$A$2:$A$60=E$1)*Rules!$C$2:$C$60*ISNUMBER(SEARCH(Rules!$D$2:$D$60,$D428)))</f>
        <v>0</v>
      </c>
      <c r="F428" s="0" t="n">
        <f aca="false">SUMPRODUCT((Rules!$A$2:$A$60=F$1)*Rules!$C$2:$C$60*ISNUMBER(SEARCH(Rules!$D$2:$D$60,$D428)))</f>
        <v>0</v>
      </c>
      <c r="G428" s="0" t="n">
        <f aca="false">SUMPRODUCT((Rules!$A$2:$A$60=G$1)*Rules!$C$2:$C$60*ISNUMBER(SEARCH(Rules!$D$2:$D$60,$D428)))</f>
        <v>0</v>
      </c>
      <c r="H428" s="0" t="n">
        <f aca="false">SUMPRODUCT((Rules!$A$2:$A$60=H$1)*Rules!$C$2:$C$60*ISNUMBER(SEARCH(Rules!$D$2:$D$60,$D428)))</f>
        <v>0</v>
      </c>
      <c r="I428" s="0" t="n">
        <f aca="false">SUMPRODUCT((Rules!$A$2:$A$60=I$1)*Rules!$C$2:$C$60*ISNUMBER(SEARCH(Rules!$D$2:$D$60,$D428)))</f>
        <v>2</v>
      </c>
      <c r="J428" s="0" t="n">
        <f aca="false">SUMPRODUCT((Rules!$A$2:$A$60=J$1)*Rules!$C$2:$C$60*ISNUMBER(SEARCH(Rules!$D$2:$D$60,$D428)))</f>
        <v>0</v>
      </c>
      <c r="K428" s="0" t="str">
        <f aca="false">IF(OR(MAX(E428:J428)&lt;Rules!$H$1,MAX(E428:J428)-LARGE(E428:J428,2)&lt;Rules!$H$2),"No label",INDEX($E$1:$J$1,MATCH(MAX(E428:J428),E428:J428,0)))</f>
        <v>No label</v>
      </c>
      <c r="L428" s="0" t="n">
        <f aca="false">SUMPRODUCT((Rules!$A$2:$A$60=L$1)*Rules!$C$2:$C$60*ISNUMBER(SEARCH(Rules!$E$2:$E$60,$D428)))</f>
        <v>0</v>
      </c>
      <c r="M428" s="0" t="n">
        <f aca="false">SUMPRODUCT((Rules!$A$2:$A$60=M$1)*Rules!$C$2:$C$60*ISNUMBER(SEARCH(Rules!$E$2:$E$60,$D428)))</f>
        <v>0</v>
      </c>
      <c r="N428" s="0" t="n">
        <f aca="false">SUMPRODUCT((Rules!$A$2:$A$60=N$1)*Rules!$C$2:$C$60*ISNUMBER(SEARCH(Rules!$E$2:$E$60,$D428)))</f>
        <v>0</v>
      </c>
      <c r="O428" s="0" t="n">
        <f aca="false">SUMPRODUCT((Rules!$A$2:$A$60=O$1)*Rules!$C$2:$C$60*ISNUMBER(SEARCH(Rules!$E$2:$E$60,$D428)))</f>
        <v>0</v>
      </c>
      <c r="P428" s="0" t="n">
        <f aca="false">SUMPRODUCT((Rules!$A$2:$A$60=P$1)*Rules!$C$2:$C$60*ISNUMBER(SEARCH(Rules!$E$2:$E$60,$D428)))</f>
        <v>2</v>
      </c>
      <c r="Q428" s="0" t="n">
        <f aca="false">SUMPRODUCT((Rules!$A$2:$A$60=Q$1)*Rules!$C$2:$C$60*ISNUMBER(SEARCH(Rules!$E$2:$E$60,$D428)))</f>
        <v>0</v>
      </c>
      <c r="R428" s="0" t="str">
        <f aca="false">IF(OR(MAX(L428:Q428)&lt;Rules!$H$1,MAX(L428:Q428)-LARGE(L428:Q428,2)&lt;Rules!$H$2),"No label",INDEX($L$1:$Q$1,MATCH(MAX(L428:Q428),L428:Q428,0)))</f>
        <v>No label</v>
      </c>
      <c r="S428" s="0" t="n">
        <f aca="false">SUMPRODUCT(ISNUMBER(SEARCH(" "&amp;Terms!$A$3:$A$821&amp;" ",$D428))*Terms!B$3:B$821)+Terms!B$2</f>
        <v>-1.79587443148882</v>
      </c>
      <c r="T428" s="0" t="n">
        <f aca="false">SUMPRODUCT(ISNUMBER(SEARCH(" "&amp;Terms!$A$3:$A$821&amp;" ",$D428))*Terms!C$3:C$821)+Terms!C$2</f>
        <v>-2.74199703214084</v>
      </c>
      <c r="U428" s="0" t="n">
        <f aca="false">SUMPRODUCT(ISNUMBER(SEARCH(" "&amp;Terms!$A$3:$A$821&amp;" ",$D428))*Terms!D$3:D$821)+Terms!D$2</f>
        <v>5.53114700824023</v>
      </c>
      <c r="V428" s="0" t="n">
        <f aca="false">SUMPRODUCT(ISNUMBER(SEARCH(" "&amp;Terms!$A$3:$A$821&amp;" ",$D428))*Terms!E$3:E$821)+Terms!E$2</f>
        <v>1.3157687240055</v>
      </c>
      <c r="W428" s="0" t="n">
        <f aca="false">SUMPRODUCT(ISNUMBER(SEARCH(" "&amp;Terms!$A$3:$A$821&amp;" ",$D428))*Terms!F$3:F$821)+Terms!F$2</f>
        <v>-0.947295406231773</v>
      </c>
      <c r="X428" s="0" t="n">
        <f aca="false">SUMPRODUCT(ISNUMBER(SEARCH(" "&amp;Terms!$A$3:$A$821&amp;" ",$D428))*Terms!G$3:G$821)+Terms!G$2</f>
        <v>-1.36174886238421</v>
      </c>
      <c r="Y428" s="0" t="str">
        <f aca="false">INDEX($S$1:$X$1,MATCH(MAX(S428:X428),S428:X428,0))</f>
        <v>Delays &amp; Processing</v>
      </c>
      <c r="Z428" s="0" t="s">
        <v>2607</v>
      </c>
    </row>
    <row r="429" customFormat="false" ht="15" hidden="false" customHeight="false" outlineLevel="0" collapsed="false">
      <c r="A429" s="0" t="str">
        <f aca="false">Complaints!A429</f>
        <v>C0428</v>
      </c>
      <c r="B429" s="0" t="str">
        <f aca="false">Complaints!B429</f>
        <v>The brochure said guaranteed returns and my money has lost value. I would like a response in writing.</v>
      </c>
      <c r="C429" s="0" t="str">
        <f aca="false">Complaints!C429</f>
        <v>Mis-selling</v>
      </c>
      <c r="D429" s="0" t="str">
        <f aca="false">" "&amp;TRIM(SUBSTITUTE(SUBSTITUTE(SUBSTITUTE(SUBSTITUTE(SUBSTITUTE(SUBSTITUTE(SUBSTITUTE(SUBSTITUTE(SUBSTITUTE(SUBSTITUTE(SUBSTITUTE(SUBSTITUTE(SUBSTITUTE(SUBSTITUTE(SUBSTITUTE(SUBSTITUTE(LOWER(B429),"."," "),","," "),"'"," "),"’"," "),"!"," "),"?"," "),";"," "),":"," "),"-"," "),"("," "),")"," "),"""", " "),"£"," "),"&amp;"," "),"/"," "),"%"," "))&amp;" "</f>
        <v> the brochure said guaranteed returns and my money has lost value i would like a response in writing </v>
      </c>
      <c r="E429" s="0" t="n">
        <f aca="false">SUMPRODUCT((Rules!$A$2:$A$60=E$1)*Rules!$C$2:$C$60*ISNUMBER(SEARCH(Rules!$D$2:$D$60,$D429)))</f>
        <v>0</v>
      </c>
      <c r="F429" s="0" t="n">
        <f aca="false">SUMPRODUCT((Rules!$A$2:$A$60=F$1)*Rules!$C$2:$C$60*ISNUMBER(SEARCH(Rules!$D$2:$D$60,$D429)))</f>
        <v>2</v>
      </c>
      <c r="G429" s="0" t="n">
        <f aca="false">SUMPRODUCT((Rules!$A$2:$A$60=G$1)*Rules!$C$2:$C$60*ISNUMBER(SEARCH(Rules!$D$2:$D$60,$D429)))</f>
        <v>0</v>
      </c>
      <c r="H429" s="0" t="n">
        <f aca="false">SUMPRODUCT((Rules!$A$2:$A$60=H$1)*Rules!$C$2:$C$60*ISNUMBER(SEARCH(Rules!$D$2:$D$60,$D429)))</f>
        <v>0</v>
      </c>
      <c r="I429" s="0" t="n">
        <f aca="false">SUMPRODUCT((Rules!$A$2:$A$60=I$1)*Rules!$C$2:$C$60*ISNUMBER(SEARCH(Rules!$D$2:$D$60,$D429)))</f>
        <v>0</v>
      </c>
      <c r="J429" s="0" t="n">
        <f aca="false">SUMPRODUCT((Rules!$A$2:$A$60=J$1)*Rules!$C$2:$C$60*ISNUMBER(SEARCH(Rules!$D$2:$D$60,$D429)))</f>
        <v>0</v>
      </c>
      <c r="K429" s="0" t="str">
        <f aca="false">IF(OR(MAX(E429:J429)&lt;Rules!$H$1,MAX(E429:J429)-LARGE(E429:J429,2)&lt;Rules!$H$2),"No label",INDEX($E$1:$J$1,MATCH(MAX(E429:J429),E429:J429,0)))</f>
        <v>No label</v>
      </c>
      <c r="L429" s="0" t="n">
        <f aca="false">SUMPRODUCT((Rules!$A$2:$A$60=L$1)*Rules!$C$2:$C$60*ISNUMBER(SEARCH(Rules!$E$2:$E$60,$D429)))</f>
        <v>0</v>
      </c>
      <c r="M429" s="0" t="n">
        <f aca="false">SUMPRODUCT((Rules!$A$2:$A$60=M$1)*Rules!$C$2:$C$60*ISNUMBER(SEARCH(Rules!$E$2:$E$60,$D429)))</f>
        <v>2</v>
      </c>
      <c r="N429" s="0" t="n">
        <f aca="false">SUMPRODUCT((Rules!$A$2:$A$60=N$1)*Rules!$C$2:$C$60*ISNUMBER(SEARCH(Rules!$E$2:$E$60,$D429)))</f>
        <v>0</v>
      </c>
      <c r="O429" s="0" t="n">
        <f aca="false">SUMPRODUCT((Rules!$A$2:$A$60=O$1)*Rules!$C$2:$C$60*ISNUMBER(SEARCH(Rules!$E$2:$E$60,$D429)))</f>
        <v>0</v>
      </c>
      <c r="P429" s="0" t="n">
        <f aca="false">SUMPRODUCT((Rules!$A$2:$A$60=P$1)*Rules!$C$2:$C$60*ISNUMBER(SEARCH(Rules!$E$2:$E$60,$D429)))</f>
        <v>0</v>
      </c>
      <c r="Q429" s="0" t="n">
        <f aca="false">SUMPRODUCT((Rules!$A$2:$A$60=Q$1)*Rules!$C$2:$C$60*ISNUMBER(SEARCH(Rules!$E$2:$E$60,$D429)))</f>
        <v>0</v>
      </c>
      <c r="R429" s="0" t="str">
        <f aca="false">IF(OR(MAX(L429:Q429)&lt;Rules!$H$1,MAX(L429:Q429)-LARGE(L429:Q429,2)&lt;Rules!$H$2),"No label",INDEX($L$1:$Q$1,MATCH(MAX(L429:Q429),L429:Q429,0)))</f>
        <v>No label</v>
      </c>
      <c r="S429" s="0" t="n">
        <f aca="false">SUMPRODUCT(ISNUMBER(SEARCH(" "&amp;Terms!$A$3:$A$821&amp;" ",$D429))*Terms!B$3:B$821)+Terms!B$2</f>
        <v>-4.20137389087386</v>
      </c>
      <c r="T429" s="0" t="n">
        <f aca="false">SUMPRODUCT(ISNUMBER(SEARCH(" "&amp;Terms!$A$3:$A$821&amp;" ",$D429))*Terms!C$3:C$821)+Terms!C$2</f>
        <v>-4.36408302816579</v>
      </c>
      <c r="U429" s="0" t="n">
        <f aca="false">SUMPRODUCT(ISNUMBER(SEARCH(" "&amp;Terms!$A$3:$A$821&amp;" ",$D429))*Terms!D$3:D$821)+Terms!D$2</f>
        <v>-0.795796222678402</v>
      </c>
      <c r="V429" s="0" t="n">
        <f aca="false">SUMPRODUCT(ISNUMBER(SEARCH(" "&amp;Terms!$A$3:$A$821&amp;" ",$D429))*Terms!E$3:E$821)+Terms!E$2</f>
        <v>-5.01227023592564</v>
      </c>
      <c r="W429" s="0" t="n">
        <f aca="false">SUMPRODUCT(ISNUMBER(SEARCH(" "&amp;Terms!$A$3:$A$821&amp;" ",$D429))*Terms!F$3:F$821)+Terms!F$2</f>
        <v>-0.537597169486197</v>
      </c>
      <c r="X429" s="0" t="n">
        <f aca="false">SUMPRODUCT(ISNUMBER(SEARCH(" "&amp;Terms!$A$3:$A$821&amp;" ",$D429))*Terms!G$3:G$821)+Terms!G$2</f>
        <v>14.91112054713</v>
      </c>
      <c r="Y429" s="0" t="str">
        <f aca="false">INDEX($S$1:$X$1,MATCH(MAX(S429:X429),S429:X429,0))</f>
        <v>Mis-selling</v>
      </c>
      <c r="Z429" s="0" t="s">
        <v>2607</v>
      </c>
    </row>
    <row r="430" customFormat="false" ht="15" hidden="false" customHeight="false" outlineLevel="0" collapsed="false">
      <c r="A430" s="0" t="str">
        <f aca="false">Complaints!A430</f>
        <v>C0429</v>
      </c>
      <c r="B430" s="0" t="str">
        <f aca="false">Complaints!B430</f>
        <v>I am writing to complain. I keep getting an error message when I sign in. Also, i have been billed an annual fee I never agreed to. I want this put right.</v>
      </c>
      <c r="C430" s="0" t="str">
        <f aca="false">Complaints!C430</f>
        <v>Account Access</v>
      </c>
      <c r="D430" s="0" t="str">
        <f aca="false">" "&amp;TRIM(SUBSTITUTE(SUBSTITUTE(SUBSTITUTE(SUBSTITUTE(SUBSTITUTE(SUBSTITUTE(SUBSTITUTE(SUBSTITUTE(SUBSTITUTE(SUBSTITUTE(SUBSTITUTE(SUBSTITUTE(SUBSTITUTE(SUBSTITUTE(SUBSTITUTE(SUBSTITUTE(LOWER(B430),"."," "),","," "),"'"," "),"’"," "),"!"," "),"?"," "),";"," "),":"," "),"-"," "),"("," "),")"," "),"""", " "),"£"," "),"&amp;"," "),"/"," "),"%"," "))&amp;" "</f>
        <v> i am writing to complain i keep getting an error message when i sign in also i have been billed an annual fee i never agreed to i want this put right </v>
      </c>
      <c r="E430" s="0" t="n">
        <f aca="false">SUMPRODUCT((Rules!$A$2:$A$60=E$1)*Rules!$C$2:$C$60*ISNUMBER(SEARCH(Rules!$D$2:$D$60,$D430)))</f>
        <v>0</v>
      </c>
      <c r="F430" s="0" t="n">
        <f aca="false">SUMPRODUCT((Rules!$A$2:$A$60=F$1)*Rules!$C$2:$C$60*ISNUMBER(SEARCH(Rules!$D$2:$D$60,$D430)))</f>
        <v>0</v>
      </c>
      <c r="G430" s="0" t="n">
        <f aca="false">SUMPRODUCT((Rules!$A$2:$A$60=G$1)*Rules!$C$2:$C$60*ISNUMBER(SEARCH(Rules!$D$2:$D$60,$D430)))</f>
        <v>3</v>
      </c>
      <c r="H430" s="0" t="n">
        <f aca="false">SUMPRODUCT((Rules!$A$2:$A$60=H$1)*Rules!$C$2:$C$60*ISNUMBER(SEARCH(Rules!$D$2:$D$60,$D430)))</f>
        <v>4</v>
      </c>
      <c r="I430" s="0" t="n">
        <f aca="false">SUMPRODUCT((Rules!$A$2:$A$60=I$1)*Rules!$C$2:$C$60*ISNUMBER(SEARCH(Rules!$D$2:$D$60,$D430)))</f>
        <v>0</v>
      </c>
      <c r="J430" s="0" t="n">
        <f aca="false">SUMPRODUCT((Rules!$A$2:$A$60=J$1)*Rules!$C$2:$C$60*ISNUMBER(SEARCH(Rules!$D$2:$D$60,$D430)))</f>
        <v>0</v>
      </c>
      <c r="K430" s="0" t="str">
        <f aca="false">IF(OR(MAX(E430:J430)&lt;Rules!$H$1,MAX(E430:J430)-LARGE(E430:J430,2)&lt;Rules!$H$2),"No label",INDEX($E$1:$J$1,MATCH(MAX(E430:J430),E430:J430,0)))</f>
        <v>No label</v>
      </c>
      <c r="L430" s="0" t="n">
        <f aca="false">SUMPRODUCT((Rules!$A$2:$A$60=L$1)*Rules!$C$2:$C$60*ISNUMBER(SEARCH(Rules!$E$2:$E$60,$D430)))</f>
        <v>0</v>
      </c>
      <c r="M430" s="0" t="n">
        <f aca="false">SUMPRODUCT((Rules!$A$2:$A$60=M$1)*Rules!$C$2:$C$60*ISNUMBER(SEARCH(Rules!$E$2:$E$60,$D430)))</f>
        <v>0</v>
      </c>
      <c r="N430" s="0" t="n">
        <f aca="false">SUMPRODUCT((Rules!$A$2:$A$60=N$1)*Rules!$C$2:$C$60*ISNUMBER(SEARCH(Rules!$E$2:$E$60,$D430)))</f>
        <v>3</v>
      </c>
      <c r="O430" s="0" t="n">
        <f aca="false">SUMPRODUCT((Rules!$A$2:$A$60=O$1)*Rules!$C$2:$C$60*ISNUMBER(SEARCH(Rules!$E$2:$E$60,$D430)))</f>
        <v>4</v>
      </c>
      <c r="P430" s="0" t="n">
        <f aca="false">SUMPRODUCT((Rules!$A$2:$A$60=P$1)*Rules!$C$2:$C$60*ISNUMBER(SEARCH(Rules!$E$2:$E$60,$D430)))</f>
        <v>0</v>
      </c>
      <c r="Q430" s="0" t="n">
        <f aca="false">SUMPRODUCT((Rules!$A$2:$A$60=Q$1)*Rules!$C$2:$C$60*ISNUMBER(SEARCH(Rules!$E$2:$E$60,$D430)))</f>
        <v>0</v>
      </c>
      <c r="R430" s="0" t="str">
        <f aca="false">IF(OR(MAX(L430:Q430)&lt;Rules!$H$1,MAX(L430:Q430)-LARGE(L430:Q430,2)&lt;Rules!$H$2),"No label",INDEX($L$1:$Q$1,MATCH(MAX(L430:Q430),L430:Q430,0)))</f>
        <v>No label</v>
      </c>
      <c r="S430" s="0" t="n">
        <f aca="false">SUMPRODUCT(ISNUMBER(SEARCH(" "&amp;Terms!$A$3:$A$821&amp;" ",$D430))*Terms!B$3:B$821)+Terms!B$2</f>
        <v>8.3032234471682</v>
      </c>
      <c r="T430" s="0" t="n">
        <f aca="false">SUMPRODUCT(ISNUMBER(SEARCH(" "&amp;Terms!$A$3:$A$821&amp;" ",$D430))*Terms!C$3:C$821)+Terms!C$2</f>
        <v>-1.66422996701588</v>
      </c>
      <c r="U430" s="0" t="n">
        <f aca="false">SUMPRODUCT(ISNUMBER(SEARCH(" "&amp;Terms!$A$3:$A$821&amp;" ",$D430))*Terms!D$3:D$821)+Terms!D$2</f>
        <v>-3.39588438793626</v>
      </c>
      <c r="V430" s="0" t="n">
        <f aca="false">SUMPRODUCT(ISNUMBER(SEARCH(" "&amp;Terms!$A$3:$A$821&amp;" ",$D430))*Terms!E$3:E$821)+Terms!E$2</f>
        <v>6.35552491257063</v>
      </c>
      <c r="W430" s="0" t="n">
        <f aca="false">SUMPRODUCT(ISNUMBER(SEARCH(" "&amp;Terms!$A$3:$A$821&amp;" ",$D430))*Terms!F$3:F$821)+Terms!F$2</f>
        <v>-3.97031459004026</v>
      </c>
      <c r="X430" s="0" t="n">
        <f aca="false">SUMPRODUCT(ISNUMBER(SEARCH(" "&amp;Terms!$A$3:$A$821&amp;" ",$D430))*Terms!G$3:G$821)+Terms!G$2</f>
        <v>-5.62831941474633</v>
      </c>
      <c r="Y430" s="0" t="str">
        <f aca="false">INDEX($S$1:$X$1,MATCH(MAX(S430:X430),S430:X430,0))</f>
        <v>Account Access</v>
      </c>
      <c r="Z430" s="0" t="s">
        <v>2607</v>
      </c>
    </row>
    <row r="431" customFormat="false" ht="15" hidden="false" customHeight="false" outlineLevel="0" collapsed="false">
      <c r="A431" s="0" t="str">
        <f aca="false">Complaints!A431</f>
        <v>C0430</v>
      </c>
      <c r="B431" s="0" t="str">
        <f aca="false">Complaints!B431</f>
        <v>This is the second time I have raised this. The terms were very different from what I was promised at the time of sale. I want this put right.</v>
      </c>
      <c r="C431" s="0" t="str">
        <f aca="false">Complaints!C431</f>
        <v>Mis-selling</v>
      </c>
      <c r="D431" s="0" t="str">
        <f aca="false">" "&amp;TRIM(SUBSTITUTE(SUBSTITUTE(SUBSTITUTE(SUBSTITUTE(SUBSTITUTE(SUBSTITUTE(SUBSTITUTE(SUBSTITUTE(SUBSTITUTE(SUBSTITUTE(SUBSTITUTE(SUBSTITUTE(SUBSTITUTE(SUBSTITUTE(SUBSTITUTE(SUBSTITUTE(LOWER(B431),"."," "),","," "),"'"," "),"’"," "),"!"," "),"?"," "),";"," "),":"," "),"-"," "),"("," "),")"," "),"""", " "),"£"," "),"&amp;"," "),"/"," "),"%"," "))&amp;" "</f>
        <v> this is the second time i have raised this the terms were very different from what i was promised at the time of sale i want this put right </v>
      </c>
      <c r="E431" s="0" t="n">
        <f aca="false">SUMPRODUCT((Rules!$A$2:$A$60=E$1)*Rules!$C$2:$C$60*ISNUMBER(SEARCH(Rules!$D$2:$D$60,$D431)))</f>
        <v>0</v>
      </c>
      <c r="F431" s="0" t="n">
        <f aca="false">SUMPRODUCT((Rules!$A$2:$A$60=F$1)*Rules!$C$2:$C$60*ISNUMBER(SEARCH(Rules!$D$2:$D$60,$D431)))</f>
        <v>1</v>
      </c>
      <c r="G431" s="0" t="n">
        <f aca="false">SUMPRODUCT((Rules!$A$2:$A$60=G$1)*Rules!$C$2:$C$60*ISNUMBER(SEARCH(Rules!$D$2:$D$60,$D431)))</f>
        <v>0</v>
      </c>
      <c r="H431" s="0" t="n">
        <f aca="false">SUMPRODUCT((Rules!$A$2:$A$60=H$1)*Rules!$C$2:$C$60*ISNUMBER(SEARCH(Rules!$D$2:$D$60,$D431)))</f>
        <v>0</v>
      </c>
      <c r="I431" s="0" t="n">
        <f aca="false">SUMPRODUCT((Rules!$A$2:$A$60=I$1)*Rules!$C$2:$C$60*ISNUMBER(SEARCH(Rules!$D$2:$D$60,$D431)))</f>
        <v>0</v>
      </c>
      <c r="J431" s="0" t="n">
        <f aca="false">SUMPRODUCT((Rules!$A$2:$A$60=J$1)*Rules!$C$2:$C$60*ISNUMBER(SEARCH(Rules!$D$2:$D$60,$D431)))</f>
        <v>0</v>
      </c>
      <c r="K431" s="0" t="str">
        <f aca="false">IF(OR(MAX(E431:J431)&lt;Rules!$H$1,MAX(E431:J431)-LARGE(E431:J431,2)&lt;Rules!$H$2),"No label",INDEX($E$1:$J$1,MATCH(MAX(E431:J431),E431:J431,0)))</f>
        <v>No label</v>
      </c>
      <c r="L431" s="0" t="n">
        <f aca="false">SUMPRODUCT((Rules!$A$2:$A$60=L$1)*Rules!$C$2:$C$60*ISNUMBER(SEARCH(Rules!$E$2:$E$60,$D431)))</f>
        <v>0</v>
      </c>
      <c r="M431" s="0" t="n">
        <f aca="false">SUMPRODUCT((Rules!$A$2:$A$60=M$1)*Rules!$C$2:$C$60*ISNUMBER(SEARCH(Rules!$E$2:$E$60,$D431)))</f>
        <v>1</v>
      </c>
      <c r="N431" s="0" t="n">
        <f aca="false">SUMPRODUCT((Rules!$A$2:$A$60=N$1)*Rules!$C$2:$C$60*ISNUMBER(SEARCH(Rules!$E$2:$E$60,$D431)))</f>
        <v>0</v>
      </c>
      <c r="O431" s="0" t="n">
        <f aca="false">SUMPRODUCT((Rules!$A$2:$A$60=O$1)*Rules!$C$2:$C$60*ISNUMBER(SEARCH(Rules!$E$2:$E$60,$D431)))</f>
        <v>0</v>
      </c>
      <c r="P431" s="0" t="n">
        <f aca="false">SUMPRODUCT((Rules!$A$2:$A$60=P$1)*Rules!$C$2:$C$60*ISNUMBER(SEARCH(Rules!$E$2:$E$60,$D431)))</f>
        <v>0</v>
      </c>
      <c r="Q431" s="0" t="n">
        <f aca="false">SUMPRODUCT((Rules!$A$2:$A$60=Q$1)*Rules!$C$2:$C$60*ISNUMBER(SEARCH(Rules!$E$2:$E$60,$D431)))</f>
        <v>0</v>
      </c>
      <c r="R431" s="0" t="str">
        <f aca="false">IF(OR(MAX(L431:Q431)&lt;Rules!$H$1,MAX(L431:Q431)-LARGE(L431:Q431,2)&lt;Rules!$H$2),"No label",INDEX($L$1:$Q$1,MATCH(MAX(L431:Q431),L431:Q431,0)))</f>
        <v>No label</v>
      </c>
      <c r="S431" s="0" t="n">
        <f aca="false">SUMPRODUCT(ISNUMBER(SEARCH(" "&amp;Terms!$A$3:$A$821&amp;" ",$D431))*Terms!B$3:B$821)+Terms!B$2</f>
        <v>-3.97132250323084</v>
      </c>
      <c r="T431" s="0" t="n">
        <f aca="false">SUMPRODUCT(ISNUMBER(SEARCH(" "&amp;Terms!$A$3:$A$821&amp;" ",$D431))*Terms!C$3:C$821)+Terms!C$2</f>
        <v>-1.92652571755043</v>
      </c>
      <c r="U431" s="0" t="n">
        <f aca="false">SUMPRODUCT(ISNUMBER(SEARCH(" "&amp;Terms!$A$3:$A$821&amp;" ",$D431))*Terms!D$3:D$821)+Terms!D$2</f>
        <v>1.15957509795578</v>
      </c>
      <c r="V431" s="0" t="n">
        <f aca="false">SUMPRODUCT(ISNUMBER(SEARCH(" "&amp;Terms!$A$3:$A$821&amp;" ",$D431))*Terms!E$3:E$821)+Terms!E$2</f>
        <v>-1.03314534788512</v>
      </c>
      <c r="W431" s="0" t="n">
        <f aca="false">SUMPRODUCT(ISNUMBER(SEARCH(" "&amp;Terms!$A$3:$A$821&amp;" ",$D431))*Terms!F$3:F$821)+Terms!F$2</f>
        <v>-0.175302989105974</v>
      </c>
      <c r="X431" s="0" t="n">
        <f aca="false">SUMPRODUCT(ISNUMBER(SEARCH(" "&amp;Terms!$A$3:$A$821&amp;" ",$D431))*Terms!G$3:G$821)+Terms!G$2</f>
        <v>5.94672145981667</v>
      </c>
      <c r="Y431" s="0" t="str">
        <f aca="false">INDEX($S$1:$X$1,MATCH(MAX(S431:X431),S431:X431,0))</f>
        <v>Mis-selling</v>
      </c>
      <c r="Z431" s="0" t="s">
        <v>2607</v>
      </c>
    </row>
    <row r="432" customFormat="false" ht="15" hidden="false" customHeight="false" outlineLevel="0" collapsed="false">
      <c r="A432" s="0" t="str">
        <f aca="false">Complaints!A432</f>
        <v>C0431</v>
      </c>
      <c r="B432" s="0" t="str">
        <f aca="false">Complaints!B432</f>
        <v>Frankly, I sent the form twice and it seems to have been lost in the system. Please escalate this.</v>
      </c>
      <c r="C432" s="0" t="str">
        <f aca="false">Complaints!C432</f>
        <v>Delays &amp; Processing</v>
      </c>
      <c r="D432" s="0" t="str">
        <f aca="false">" "&amp;TRIM(SUBSTITUTE(SUBSTITUTE(SUBSTITUTE(SUBSTITUTE(SUBSTITUTE(SUBSTITUTE(SUBSTITUTE(SUBSTITUTE(SUBSTITUTE(SUBSTITUTE(SUBSTITUTE(SUBSTITUTE(SUBSTITUTE(SUBSTITUTE(SUBSTITUTE(SUBSTITUTE(LOWER(B432),"."," "),","," "),"'"," "),"’"," "),"!"," "),"?"," "),";"," "),":"," "),"-"," "),"("," "),")"," "),"""", " "),"£"," "),"&amp;"," "),"/"," "),"%"," "))&amp;" "</f>
        <v> frankly i sent the form twice and it seems to have been lost in the system please escalate this </v>
      </c>
      <c r="E432" s="0" t="n">
        <f aca="false">SUMPRODUCT((Rules!$A$2:$A$60=E$1)*Rules!$C$2:$C$60*ISNUMBER(SEARCH(Rules!$D$2:$D$60,$D432)))</f>
        <v>0</v>
      </c>
      <c r="F432" s="0" t="n">
        <f aca="false">SUMPRODUCT((Rules!$A$2:$A$60=F$1)*Rules!$C$2:$C$60*ISNUMBER(SEARCH(Rules!$D$2:$D$60,$D432)))</f>
        <v>0</v>
      </c>
      <c r="G432" s="0" t="n">
        <f aca="false">SUMPRODUCT((Rules!$A$2:$A$60=G$1)*Rules!$C$2:$C$60*ISNUMBER(SEARCH(Rules!$D$2:$D$60,$D432)))</f>
        <v>0</v>
      </c>
      <c r="H432" s="0" t="n">
        <f aca="false">SUMPRODUCT((Rules!$A$2:$A$60=H$1)*Rules!$C$2:$C$60*ISNUMBER(SEARCH(Rules!$D$2:$D$60,$D432)))</f>
        <v>0</v>
      </c>
      <c r="I432" s="0" t="n">
        <f aca="false">SUMPRODUCT((Rules!$A$2:$A$60=I$1)*Rules!$C$2:$C$60*ISNUMBER(SEARCH(Rules!$D$2:$D$60,$D432)))</f>
        <v>0</v>
      </c>
      <c r="J432" s="0" t="n">
        <f aca="false">SUMPRODUCT((Rules!$A$2:$A$60=J$1)*Rules!$C$2:$C$60*ISNUMBER(SEARCH(Rules!$D$2:$D$60,$D432)))</f>
        <v>0</v>
      </c>
      <c r="K432" s="0" t="str">
        <f aca="false">IF(OR(MAX(E432:J432)&lt;Rules!$H$1,MAX(E432:J432)-LARGE(E432:J432,2)&lt;Rules!$H$2),"No label",INDEX($E$1:$J$1,MATCH(MAX(E432:J432),E432:J432,0)))</f>
        <v>No label</v>
      </c>
      <c r="L432" s="0" t="n">
        <f aca="false">SUMPRODUCT((Rules!$A$2:$A$60=L$1)*Rules!$C$2:$C$60*ISNUMBER(SEARCH(Rules!$E$2:$E$60,$D432)))</f>
        <v>0</v>
      </c>
      <c r="M432" s="0" t="n">
        <f aca="false">SUMPRODUCT((Rules!$A$2:$A$60=M$1)*Rules!$C$2:$C$60*ISNUMBER(SEARCH(Rules!$E$2:$E$60,$D432)))</f>
        <v>0</v>
      </c>
      <c r="N432" s="0" t="n">
        <f aca="false">SUMPRODUCT((Rules!$A$2:$A$60=N$1)*Rules!$C$2:$C$60*ISNUMBER(SEARCH(Rules!$E$2:$E$60,$D432)))</f>
        <v>0</v>
      </c>
      <c r="O432" s="0" t="n">
        <f aca="false">SUMPRODUCT((Rules!$A$2:$A$60=O$1)*Rules!$C$2:$C$60*ISNUMBER(SEARCH(Rules!$E$2:$E$60,$D432)))</f>
        <v>0</v>
      </c>
      <c r="P432" s="0" t="n">
        <f aca="false">SUMPRODUCT((Rules!$A$2:$A$60=P$1)*Rules!$C$2:$C$60*ISNUMBER(SEARCH(Rules!$E$2:$E$60,$D432)))</f>
        <v>0</v>
      </c>
      <c r="Q432" s="0" t="n">
        <f aca="false">SUMPRODUCT((Rules!$A$2:$A$60=Q$1)*Rules!$C$2:$C$60*ISNUMBER(SEARCH(Rules!$E$2:$E$60,$D432)))</f>
        <v>0</v>
      </c>
      <c r="R432" s="0" t="str">
        <f aca="false">IF(OR(MAX(L432:Q432)&lt;Rules!$H$1,MAX(L432:Q432)-LARGE(L432:Q432,2)&lt;Rules!$H$2),"No label",INDEX($L$1:$Q$1,MATCH(MAX(L432:Q432),L432:Q432,0)))</f>
        <v>No label</v>
      </c>
      <c r="S432" s="0" t="n">
        <f aca="false">SUMPRODUCT(ISNUMBER(SEARCH(" "&amp;Terms!$A$3:$A$821&amp;" ",$D432))*Terms!B$3:B$821)+Terms!B$2</f>
        <v>-3.60024457716453</v>
      </c>
      <c r="T432" s="0" t="n">
        <f aca="false">SUMPRODUCT(ISNUMBER(SEARCH(" "&amp;Terms!$A$3:$A$821&amp;" ",$D432))*Terms!C$3:C$821)+Terms!C$2</f>
        <v>-0.889178600272295</v>
      </c>
      <c r="U432" s="0" t="n">
        <f aca="false">SUMPRODUCT(ISNUMBER(SEARCH(" "&amp;Terms!$A$3:$A$821&amp;" ",$D432))*Terms!D$3:D$821)+Terms!D$2</f>
        <v>8.3988689543162</v>
      </c>
      <c r="V432" s="0" t="n">
        <f aca="false">SUMPRODUCT(ISNUMBER(SEARCH(" "&amp;Terms!$A$3:$A$821&amp;" ",$D432))*Terms!E$3:E$821)+Terms!E$2</f>
        <v>1.1390542834542</v>
      </c>
      <c r="W432" s="0" t="n">
        <f aca="false">SUMPRODUCT(ISNUMBER(SEARCH(" "&amp;Terms!$A$3:$A$821&amp;" ",$D432))*Terms!F$3:F$821)+Terms!F$2</f>
        <v>-3.53947415404233</v>
      </c>
      <c r="X432" s="0" t="n">
        <f aca="false">SUMPRODUCT(ISNUMBER(SEARCH(" "&amp;Terms!$A$3:$A$821&amp;" ",$D432))*Terms!G$3:G$821)+Terms!G$2</f>
        <v>-1.50902590629115</v>
      </c>
      <c r="Y432" s="0" t="str">
        <f aca="false">INDEX($S$1:$X$1,MATCH(MAX(S432:X432),S432:X432,0))</f>
        <v>Delays &amp; Processing</v>
      </c>
      <c r="Z432" s="0" t="s">
        <v>2607</v>
      </c>
    </row>
    <row r="433" customFormat="false" ht="15" hidden="false" customHeight="false" outlineLevel="0" collapsed="false">
      <c r="A433" s="0" t="str">
        <f aca="false">Complaints!A433</f>
        <v>C0432</v>
      </c>
      <c r="B433" s="0" t="str">
        <f aca="false">Complaints!B433</f>
        <v>Hello, I have been billed an annual fee I never agreed to. I expect compensation.</v>
      </c>
      <c r="C433" s="0" t="str">
        <f aca="false">Complaints!C433</f>
        <v>Fees &amp; Charges</v>
      </c>
      <c r="D433" s="0" t="str">
        <f aca="false">" "&amp;TRIM(SUBSTITUTE(SUBSTITUTE(SUBSTITUTE(SUBSTITUTE(SUBSTITUTE(SUBSTITUTE(SUBSTITUTE(SUBSTITUTE(SUBSTITUTE(SUBSTITUTE(SUBSTITUTE(SUBSTITUTE(SUBSTITUTE(SUBSTITUTE(SUBSTITUTE(SUBSTITUTE(LOWER(B433),"."," "),","," "),"'"," "),"’"," "),"!"," "),"?"," "),";"," "),":"," "),"-"," "),"("," "),")"," "),"""", " "),"£"," "),"&amp;"," "),"/"," "),"%"," "))&amp;" "</f>
        <v> hello i have been billed an annual fee i never agreed to i expect compensation </v>
      </c>
      <c r="E433" s="0" t="n">
        <f aca="false">SUMPRODUCT((Rules!$A$2:$A$60=E$1)*Rules!$C$2:$C$60*ISNUMBER(SEARCH(Rules!$D$2:$D$60,$D433)))</f>
        <v>0</v>
      </c>
      <c r="F433" s="0" t="n">
        <f aca="false">SUMPRODUCT((Rules!$A$2:$A$60=F$1)*Rules!$C$2:$C$60*ISNUMBER(SEARCH(Rules!$D$2:$D$60,$D433)))</f>
        <v>0</v>
      </c>
      <c r="G433" s="0" t="n">
        <f aca="false">SUMPRODUCT((Rules!$A$2:$A$60=G$1)*Rules!$C$2:$C$60*ISNUMBER(SEARCH(Rules!$D$2:$D$60,$D433)))</f>
        <v>0</v>
      </c>
      <c r="H433" s="0" t="n">
        <f aca="false">SUMPRODUCT((Rules!$A$2:$A$60=H$1)*Rules!$C$2:$C$60*ISNUMBER(SEARCH(Rules!$D$2:$D$60,$D433)))</f>
        <v>4</v>
      </c>
      <c r="I433" s="0" t="n">
        <f aca="false">SUMPRODUCT((Rules!$A$2:$A$60=I$1)*Rules!$C$2:$C$60*ISNUMBER(SEARCH(Rules!$D$2:$D$60,$D433)))</f>
        <v>0</v>
      </c>
      <c r="J433" s="0" t="n">
        <f aca="false">SUMPRODUCT((Rules!$A$2:$A$60=J$1)*Rules!$C$2:$C$60*ISNUMBER(SEARCH(Rules!$D$2:$D$60,$D433)))</f>
        <v>0</v>
      </c>
      <c r="K433" s="0" t="str">
        <f aca="false">IF(OR(MAX(E433:J433)&lt;Rules!$H$1,MAX(E433:J433)-LARGE(E433:J433,2)&lt;Rules!$H$2),"No label",INDEX($E$1:$J$1,MATCH(MAX(E433:J433),E433:J433,0)))</f>
        <v>Fees &amp; Charges</v>
      </c>
      <c r="L433" s="0" t="n">
        <f aca="false">SUMPRODUCT((Rules!$A$2:$A$60=L$1)*Rules!$C$2:$C$60*ISNUMBER(SEARCH(Rules!$E$2:$E$60,$D433)))</f>
        <v>0</v>
      </c>
      <c r="M433" s="0" t="n">
        <f aca="false">SUMPRODUCT((Rules!$A$2:$A$60=M$1)*Rules!$C$2:$C$60*ISNUMBER(SEARCH(Rules!$E$2:$E$60,$D433)))</f>
        <v>0</v>
      </c>
      <c r="N433" s="0" t="n">
        <f aca="false">SUMPRODUCT((Rules!$A$2:$A$60=N$1)*Rules!$C$2:$C$60*ISNUMBER(SEARCH(Rules!$E$2:$E$60,$D433)))</f>
        <v>0</v>
      </c>
      <c r="O433" s="0" t="n">
        <f aca="false">SUMPRODUCT((Rules!$A$2:$A$60=O$1)*Rules!$C$2:$C$60*ISNUMBER(SEARCH(Rules!$E$2:$E$60,$D433)))</f>
        <v>4</v>
      </c>
      <c r="P433" s="0" t="n">
        <f aca="false">SUMPRODUCT((Rules!$A$2:$A$60=P$1)*Rules!$C$2:$C$60*ISNUMBER(SEARCH(Rules!$E$2:$E$60,$D433)))</f>
        <v>0</v>
      </c>
      <c r="Q433" s="0" t="n">
        <f aca="false">SUMPRODUCT((Rules!$A$2:$A$60=Q$1)*Rules!$C$2:$C$60*ISNUMBER(SEARCH(Rules!$E$2:$E$60,$D433)))</f>
        <v>0</v>
      </c>
      <c r="R433" s="0" t="str">
        <f aca="false">IF(OR(MAX(L433:Q433)&lt;Rules!$H$1,MAX(L433:Q433)-LARGE(L433:Q433,2)&lt;Rules!$H$2),"No label",INDEX($L$1:$Q$1,MATCH(MAX(L433:Q433),L433:Q433,0)))</f>
        <v>Fees &amp; Charges</v>
      </c>
      <c r="S433" s="0" t="n">
        <f aca="false">SUMPRODUCT(ISNUMBER(SEARCH(" "&amp;Terms!$A$3:$A$821&amp;" ",$D433))*Terms!B$3:B$821)+Terms!B$2</f>
        <v>2.3054797519801</v>
      </c>
      <c r="T433" s="0" t="n">
        <f aca="false">SUMPRODUCT(ISNUMBER(SEARCH(" "&amp;Terms!$A$3:$A$821&amp;" ",$D433))*Terms!C$3:C$821)+Terms!C$2</f>
        <v>-1.92397602478013</v>
      </c>
      <c r="U433" s="0" t="n">
        <f aca="false">SUMPRODUCT(ISNUMBER(SEARCH(" "&amp;Terms!$A$3:$A$821&amp;" ",$D433))*Terms!D$3:D$821)+Terms!D$2</f>
        <v>-4.24415081121663</v>
      </c>
      <c r="V433" s="0" t="n">
        <f aca="false">SUMPRODUCT(ISNUMBER(SEARCH(" "&amp;Terms!$A$3:$A$821&amp;" ",$D433))*Terms!E$3:E$821)+Terms!E$2</f>
        <v>10.9892981688376</v>
      </c>
      <c r="W433" s="0" t="n">
        <f aca="false">SUMPRODUCT(ISNUMBER(SEARCH(" "&amp;Terms!$A$3:$A$821&amp;" ",$D433))*Terms!F$3:F$821)+Terms!F$2</f>
        <v>-3.89628980207305</v>
      </c>
      <c r="X433" s="0" t="n">
        <f aca="false">SUMPRODUCT(ISNUMBER(SEARCH(" "&amp;Terms!$A$3:$A$821&amp;" ",$D433))*Terms!G$3:G$821)+Terms!G$2</f>
        <v>-3.23036128274781</v>
      </c>
      <c r="Y433" s="0" t="str">
        <f aca="false">INDEX($S$1:$X$1,MATCH(MAX(S433:X433),S433:X433,0))</f>
        <v>Fees &amp; Charges</v>
      </c>
      <c r="Z433" s="0" t="s">
        <v>2607</v>
      </c>
    </row>
    <row r="434" customFormat="false" ht="15" hidden="false" customHeight="false" outlineLevel="0" collapsed="false">
      <c r="A434" s="0" t="str">
        <f aca="false">Complaints!A434</f>
        <v>C0433</v>
      </c>
      <c r="B434" s="0" t="str">
        <f aca="false">Complaints!B434</f>
        <v>I have been a customer for years. I was advised to take out cover that duplicates what I already had. I could not log in to check either.</v>
      </c>
      <c r="C434" s="0" t="str">
        <f aca="false">Complaints!C434</f>
        <v>Mis-selling</v>
      </c>
      <c r="D434" s="0" t="str">
        <f aca="false">" "&amp;TRIM(SUBSTITUTE(SUBSTITUTE(SUBSTITUTE(SUBSTITUTE(SUBSTITUTE(SUBSTITUTE(SUBSTITUTE(SUBSTITUTE(SUBSTITUTE(SUBSTITUTE(SUBSTITUTE(SUBSTITUTE(SUBSTITUTE(SUBSTITUTE(SUBSTITUTE(SUBSTITUTE(LOWER(B434),"."," "),","," "),"'"," "),"’"," "),"!"," "),"?"," "),";"," "),":"," "),"-"," "),"("," "),")"," "),"""", " "),"£"," "),"&amp;"," "),"/"," "),"%"," "))&amp;" "</f>
        <v> i have been a customer for years i was advised to take out cover that duplicates what i already had i could not log in to check either </v>
      </c>
      <c r="E434" s="0" t="n">
        <f aca="false">SUMPRODUCT((Rules!$A$2:$A$60=E$1)*Rules!$C$2:$C$60*ISNUMBER(SEARCH(Rules!$D$2:$D$60,$D434)))</f>
        <v>0</v>
      </c>
      <c r="F434" s="0" t="n">
        <f aca="false">SUMPRODUCT((Rules!$A$2:$A$60=F$1)*Rules!$C$2:$C$60*ISNUMBER(SEARCH(Rules!$D$2:$D$60,$D434)))</f>
        <v>0</v>
      </c>
      <c r="G434" s="0" t="n">
        <f aca="false">SUMPRODUCT((Rules!$A$2:$A$60=G$1)*Rules!$C$2:$C$60*ISNUMBER(SEARCH(Rules!$D$2:$D$60,$D434)))</f>
        <v>3</v>
      </c>
      <c r="H434" s="0" t="n">
        <f aca="false">SUMPRODUCT((Rules!$A$2:$A$60=H$1)*Rules!$C$2:$C$60*ISNUMBER(SEARCH(Rules!$D$2:$D$60,$D434)))</f>
        <v>0</v>
      </c>
      <c r="I434" s="0" t="n">
        <f aca="false">SUMPRODUCT((Rules!$A$2:$A$60=I$1)*Rules!$C$2:$C$60*ISNUMBER(SEARCH(Rules!$D$2:$D$60,$D434)))</f>
        <v>0</v>
      </c>
      <c r="J434" s="0" t="n">
        <f aca="false">SUMPRODUCT((Rules!$A$2:$A$60=J$1)*Rules!$C$2:$C$60*ISNUMBER(SEARCH(Rules!$D$2:$D$60,$D434)))</f>
        <v>0</v>
      </c>
      <c r="K434" s="0" t="str">
        <f aca="false">IF(OR(MAX(E434:J434)&lt;Rules!$H$1,MAX(E434:J434)-LARGE(E434:J434,2)&lt;Rules!$H$2),"No label",INDEX($E$1:$J$1,MATCH(MAX(E434:J434),E434:J434,0)))</f>
        <v>Account Access</v>
      </c>
      <c r="L434" s="0" t="n">
        <f aca="false">SUMPRODUCT((Rules!$A$2:$A$60=L$1)*Rules!$C$2:$C$60*ISNUMBER(SEARCH(Rules!$E$2:$E$60,$D434)))</f>
        <v>0</v>
      </c>
      <c r="M434" s="0" t="n">
        <f aca="false">SUMPRODUCT((Rules!$A$2:$A$60=M$1)*Rules!$C$2:$C$60*ISNUMBER(SEARCH(Rules!$E$2:$E$60,$D434)))</f>
        <v>4</v>
      </c>
      <c r="N434" s="0" t="n">
        <f aca="false">SUMPRODUCT((Rules!$A$2:$A$60=N$1)*Rules!$C$2:$C$60*ISNUMBER(SEARCH(Rules!$E$2:$E$60,$D434)))</f>
        <v>3</v>
      </c>
      <c r="O434" s="0" t="n">
        <f aca="false">SUMPRODUCT((Rules!$A$2:$A$60=O$1)*Rules!$C$2:$C$60*ISNUMBER(SEARCH(Rules!$E$2:$E$60,$D434)))</f>
        <v>0</v>
      </c>
      <c r="P434" s="0" t="n">
        <f aca="false">SUMPRODUCT((Rules!$A$2:$A$60=P$1)*Rules!$C$2:$C$60*ISNUMBER(SEARCH(Rules!$E$2:$E$60,$D434)))</f>
        <v>0</v>
      </c>
      <c r="Q434" s="0" t="n">
        <f aca="false">SUMPRODUCT((Rules!$A$2:$A$60=Q$1)*Rules!$C$2:$C$60*ISNUMBER(SEARCH(Rules!$E$2:$E$60,$D434)))</f>
        <v>1</v>
      </c>
      <c r="R434" s="0" t="str">
        <f aca="false">IF(OR(MAX(L434:Q434)&lt;Rules!$H$1,MAX(L434:Q434)-LARGE(L434:Q434,2)&lt;Rules!$H$2),"No label",INDEX($L$1:$Q$1,MATCH(MAX(L434:Q434),L434:Q434,0)))</f>
        <v>No label</v>
      </c>
      <c r="S434" s="0" t="n">
        <f aca="false">SUMPRODUCT(ISNUMBER(SEARCH(" "&amp;Terms!$A$3:$A$821&amp;" ",$D434))*Terms!B$3:B$821)+Terms!B$2</f>
        <v>-0.455494172568484</v>
      </c>
      <c r="T434" s="0" t="n">
        <f aca="false">SUMPRODUCT(ISNUMBER(SEARCH(" "&amp;Terms!$A$3:$A$821&amp;" ",$D434))*Terms!C$3:C$821)+Terms!C$2</f>
        <v>0.0549358416759478</v>
      </c>
      <c r="U434" s="0" t="n">
        <f aca="false">SUMPRODUCT(ISNUMBER(SEARCH(" "&amp;Terms!$A$3:$A$821&amp;" ",$D434))*Terms!D$3:D$821)+Terms!D$2</f>
        <v>-0.269926265406942</v>
      </c>
      <c r="V434" s="0" t="n">
        <f aca="false">SUMPRODUCT(ISNUMBER(SEARCH(" "&amp;Terms!$A$3:$A$821&amp;" ",$D434))*Terms!E$3:E$821)+Terms!E$2</f>
        <v>-1.80981932934167</v>
      </c>
      <c r="W434" s="0" t="n">
        <f aca="false">SUMPRODUCT(ISNUMBER(SEARCH(" "&amp;Terms!$A$3:$A$821&amp;" ",$D434))*Terms!F$3:F$821)+Terms!F$2</f>
        <v>-2.61050335826512</v>
      </c>
      <c r="X434" s="0" t="n">
        <f aca="false">SUMPRODUCT(ISNUMBER(SEARCH(" "&amp;Terms!$A$3:$A$821&amp;" ",$D434))*Terms!G$3:G$821)+Terms!G$2</f>
        <v>5.09080728390634</v>
      </c>
      <c r="Y434" s="0" t="str">
        <f aca="false">INDEX($S$1:$X$1,MATCH(MAX(S434:X434),S434:X434,0))</f>
        <v>Mis-selling</v>
      </c>
      <c r="Z434" s="0" t="s">
        <v>2607</v>
      </c>
    </row>
    <row r="435" customFormat="false" ht="15" hidden="false" customHeight="false" outlineLevel="0" collapsed="false">
      <c r="A435" s="0" t="str">
        <f aca="false">Complaints!A435</f>
        <v>C0434</v>
      </c>
      <c r="B435" s="0" t="str">
        <f aca="false">Complaints!B435</f>
        <v>To whom it may concern, My transfer has been pending for over a week. I could not log in to check either.</v>
      </c>
      <c r="C435" s="0" t="str">
        <f aca="false">Complaints!C435</f>
        <v>Delays &amp; Processing</v>
      </c>
      <c r="D435" s="0" t="str">
        <f aca="false">" "&amp;TRIM(SUBSTITUTE(SUBSTITUTE(SUBSTITUTE(SUBSTITUTE(SUBSTITUTE(SUBSTITUTE(SUBSTITUTE(SUBSTITUTE(SUBSTITUTE(SUBSTITUTE(SUBSTITUTE(SUBSTITUTE(SUBSTITUTE(SUBSTITUTE(SUBSTITUTE(SUBSTITUTE(LOWER(B435),"."," "),","," "),"'"," "),"’"," "),"!"," "),"?"," "),";"," "),":"," "),"-"," "),"("," "),")"," "),"""", " "),"£"," "),"&amp;"," "),"/"," "),"%"," "))&amp;" "</f>
        <v> to whom it may concern my transfer has been pending for over a week i could not log in to check either </v>
      </c>
      <c r="E435" s="0" t="n">
        <f aca="false">SUMPRODUCT((Rules!$A$2:$A$60=E$1)*Rules!$C$2:$C$60*ISNUMBER(SEARCH(Rules!$D$2:$D$60,$D435)))</f>
        <v>0</v>
      </c>
      <c r="F435" s="0" t="n">
        <f aca="false">SUMPRODUCT((Rules!$A$2:$A$60=F$1)*Rules!$C$2:$C$60*ISNUMBER(SEARCH(Rules!$D$2:$D$60,$D435)))</f>
        <v>0</v>
      </c>
      <c r="G435" s="0" t="n">
        <f aca="false">SUMPRODUCT((Rules!$A$2:$A$60=G$1)*Rules!$C$2:$C$60*ISNUMBER(SEARCH(Rules!$D$2:$D$60,$D435)))</f>
        <v>3</v>
      </c>
      <c r="H435" s="0" t="n">
        <f aca="false">SUMPRODUCT((Rules!$A$2:$A$60=H$1)*Rules!$C$2:$C$60*ISNUMBER(SEARCH(Rules!$D$2:$D$60,$D435)))</f>
        <v>0</v>
      </c>
      <c r="I435" s="0" t="n">
        <f aca="false">SUMPRODUCT((Rules!$A$2:$A$60=I$1)*Rules!$C$2:$C$60*ISNUMBER(SEARCH(Rules!$D$2:$D$60,$D435)))</f>
        <v>2</v>
      </c>
      <c r="J435" s="0" t="n">
        <f aca="false">SUMPRODUCT((Rules!$A$2:$A$60=J$1)*Rules!$C$2:$C$60*ISNUMBER(SEARCH(Rules!$D$2:$D$60,$D435)))</f>
        <v>0</v>
      </c>
      <c r="K435" s="0" t="str">
        <f aca="false">IF(OR(MAX(E435:J435)&lt;Rules!$H$1,MAX(E435:J435)-LARGE(E435:J435,2)&lt;Rules!$H$2),"No label",INDEX($E$1:$J$1,MATCH(MAX(E435:J435),E435:J435,0)))</f>
        <v>No label</v>
      </c>
      <c r="L435" s="0" t="n">
        <f aca="false">SUMPRODUCT((Rules!$A$2:$A$60=L$1)*Rules!$C$2:$C$60*ISNUMBER(SEARCH(Rules!$E$2:$E$60,$D435)))</f>
        <v>0</v>
      </c>
      <c r="M435" s="0" t="n">
        <f aca="false">SUMPRODUCT((Rules!$A$2:$A$60=M$1)*Rules!$C$2:$C$60*ISNUMBER(SEARCH(Rules!$E$2:$E$60,$D435)))</f>
        <v>0</v>
      </c>
      <c r="N435" s="0" t="n">
        <f aca="false">SUMPRODUCT((Rules!$A$2:$A$60=N$1)*Rules!$C$2:$C$60*ISNUMBER(SEARCH(Rules!$E$2:$E$60,$D435)))</f>
        <v>3</v>
      </c>
      <c r="O435" s="0" t="n">
        <f aca="false">SUMPRODUCT((Rules!$A$2:$A$60=O$1)*Rules!$C$2:$C$60*ISNUMBER(SEARCH(Rules!$E$2:$E$60,$D435)))</f>
        <v>0</v>
      </c>
      <c r="P435" s="0" t="n">
        <f aca="false">SUMPRODUCT((Rules!$A$2:$A$60=P$1)*Rules!$C$2:$C$60*ISNUMBER(SEARCH(Rules!$E$2:$E$60,$D435)))</f>
        <v>2</v>
      </c>
      <c r="Q435" s="0" t="n">
        <f aca="false">SUMPRODUCT((Rules!$A$2:$A$60=Q$1)*Rules!$C$2:$C$60*ISNUMBER(SEARCH(Rules!$E$2:$E$60,$D435)))</f>
        <v>0</v>
      </c>
      <c r="R435" s="0" t="str">
        <f aca="false">IF(OR(MAX(L435:Q435)&lt;Rules!$H$1,MAX(L435:Q435)-LARGE(L435:Q435,2)&lt;Rules!$H$2),"No label",INDEX($L$1:$Q$1,MATCH(MAX(L435:Q435),L435:Q435,0)))</f>
        <v>No label</v>
      </c>
      <c r="S435" s="0" t="n">
        <f aca="false">SUMPRODUCT(ISNUMBER(SEARCH(" "&amp;Terms!$A$3:$A$821&amp;" ",$D435))*Terms!B$3:B$821)+Terms!B$2</f>
        <v>-2.23708676142727</v>
      </c>
      <c r="T435" s="0" t="n">
        <f aca="false">SUMPRODUCT(ISNUMBER(SEARCH(" "&amp;Terms!$A$3:$A$821&amp;" ",$D435))*Terms!C$3:C$821)+Terms!C$2</f>
        <v>-0.7853389871283</v>
      </c>
      <c r="U435" s="0" t="n">
        <f aca="false">SUMPRODUCT(ISNUMBER(SEARCH(" "&amp;Terms!$A$3:$A$821&amp;" ",$D435))*Terms!D$3:D$821)+Terms!D$2</f>
        <v>6.79802594860423</v>
      </c>
      <c r="V435" s="0" t="n">
        <f aca="false">SUMPRODUCT(ISNUMBER(SEARCH(" "&amp;Terms!$A$3:$A$821&amp;" ",$D435))*Terms!E$3:E$821)+Terms!E$2</f>
        <v>-1.17149176772051</v>
      </c>
      <c r="W435" s="0" t="n">
        <f aca="false">SUMPRODUCT(ISNUMBER(SEARCH(" "&amp;Terms!$A$3:$A$821&amp;" ",$D435))*Terms!F$3:F$821)+Terms!F$2</f>
        <v>-0.771210061253613</v>
      </c>
      <c r="X435" s="0" t="n">
        <f aca="false">SUMPRODUCT(ISNUMBER(SEARCH(" "&amp;Terms!$A$3:$A$821&amp;" ",$D435))*Terms!G$3:G$821)+Terms!G$2</f>
        <v>-1.83289837107444</v>
      </c>
      <c r="Y435" s="0" t="str">
        <f aca="false">INDEX($S$1:$X$1,MATCH(MAX(S435:X435),S435:X435,0))</f>
        <v>Delays &amp; Processing</v>
      </c>
      <c r="Z435" s="0" t="s">
        <v>2608</v>
      </c>
    </row>
    <row r="436" customFormat="false" ht="15" hidden="false" customHeight="false" outlineLevel="0" collapsed="false">
      <c r="A436" s="0" t="str">
        <f aca="false">Complaints!A436</f>
        <v>C0435</v>
      </c>
      <c r="B436" s="0" t="str">
        <f aca="false">Complaints!B436</f>
        <v>I have been a customer for years. A person pretending to be from your bank phoned me and I gave them details. Also, i was told this policy covered me but my claim was rejected. I would like a response in writing.</v>
      </c>
      <c r="C436" s="0" t="str">
        <f aca="false">Complaints!C436</f>
        <v>Fraud &amp; Scams</v>
      </c>
      <c r="D436" s="0" t="str">
        <f aca="false">" "&amp;TRIM(SUBSTITUTE(SUBSTITUTE(SUBSTITUTE(SUBSTITUTE(SUBSTITUTE(SUBSTITUTE(SUBSTITUTE(SUBSTITUTE(SUBSTITUTE(SUBSTITUTE(SUBSTITUTE(SUBSTITUTE(SUBSTITUTE(SUBSTITUTE(SUBSTITUTE(SUBSTITUTE(LOWER(B436),"."," "),","," "),"'"," "),"’"," "),"!"," "),"?"," "),";"," "),":"," "),"-"," "),"("," "),")"," "),"""", " "),"£"," "),"&amp;"," "),"/"," "),"%"," "))&amp;" "</f>
        <v> i have been a customer for years a person pretending to be from your bank phoned me and i gave them details also i was told this policy covered me but my claim was rejected i would like a response in writing </v>
      </c>
      <c r="E436" s="0" t="n">
        <f aca="false">SUMPRODUCT((Rules!$A$2:$A$60=E$1)*Rules!$C$2:$C$60*ISNUMBER(SEARCH(Rules!$D$2:$D$60,$D436)))</f>
        <v>0</v>
      </c>
      <c r="F436" s="0" t="n">
        <f aca="false">SUMPRODUCT((Rules!$A$2:$A$60=F$1)*Rules!$C$2:$C$60*ISNUMBER(SEARCH(Rules!$D$2:$D$60,$D436)))</f>
        <v>1</v>
      </c>
      <c r="G436" s="0" t="n">
        <f aca="false">SUMPRODUCT((Rules!$A$2:$A$60=G$1)*Rules!$C$2:$C$60*ISNUMBER(SEARCH(Rules!$D$2:$D$60,$D436)))</f>
        <v>0</v>
      </c>
      <c r="H436" s="0" t="n">
        <f aca="false">SUMPRODUCT((Rules!$A$2:$A$60=H$1)*Rules!$C$2:$C$60*ISNUMBER(SEARCH(Rules!$D$2:$D$60,$D436)))</f>
        <v>0</v>
      </c>
      <c r="I436" s="0" t="n">
        <f aca="false">SUMPRODUCT((Rules!$A$2:$A$60=I$1)*Rules!$C$2:$C$60*ISNUMBER(SEARCH(Rules!$D$2:$D$60,$D436)))</f>
        <v>0</v>
      </c>
      <c r="J436" s="0" t="n">
        <f aca="false">SUMPRODUCT((Rules!$A$2:$A$60=J$1)*Rules!$C$2:$C$60*ISNUMBER(SEARCH(Rules!$D$2:$D$60,$D436)))</f>
        <v>0</v>
      </c>
      <c r="K436" s="0" t="str">
        <f aca="false">IF(OR(MAX(E436:J436)&lt;Rules!$H$1,MAX(E436:J436)-LARGE(E436:J436,2)&lt;Rules!$H$2),"No label",INDEX($E$1:$J$1,MATCH(MAX(E436:J436),E436:J436,0)))</f>
        <v>No label</v>
      </c>
      <c r="L436" s="0" t="n">
        <f aca="false">SUMPRODUCT((Rules!$A$2:$A$60=L$1)*Rules!$C$2:$C$60*ISNUMBER(SEARCH(Rules!$E$2:$E$60,$D436)))</f>
        <v>0</v>
      </c>
      <c r="M436" s="0" t="n">
        <f aca="false">SUMPRODUCT((Rules!$A$2:$A$60=M$1)*Rules!$C$2:$C$60*ISNUMBER(SEARCH(Rules!$E$2:$E$60,$D436)))</f>
        <v>1</v>
      </c>
      <c r="N436" s="0" t="n">
        <f aca="false">SUMPRODUCT((Rules!$A$2:$A$60=N$1)*Rules!$C$2:$C$60*ISNUMBER(SEARCH(Rules!$E$2:$E$60,$D436)))</f>
        <v>0</v>
      </c>
      <c r="O436" s="0" t="n">
        <f aca="false">SUMPRODUCT((Rules!$A$2:$A$60=O$1)*Rules!$C$2:$C$60*ISNUMBER(SEARCH(Rules!$E$2:$E$60,$D436)))</f>
        <v>0</v>
      </c>
      <c r="P436" s="0" t="n">
        <f aca="false">SUMPRODUCT((Rules!$A$2:$A$60=P$1)*Rules!$C$2:$C$60*ISNUMBER(SEARCH(Rules!$E$2:$E$60,$D436)))</f>
        <v>0</v>
      </c>
      <c r="Q436" s="0" t="n">
        <f aca="false">SUMPRODUCT((Rules!$A$2:$A$60=Q$1)*Rules!$C$2:$C$60*ISNUMBER(SEARCH(Rules!$E$2:$E$60,$D436)))</f>
        <v>0</v>
      </c>
      <c r="R436" s="0" t="str">
        <f aca="false">IF(OR(MAX(L436:Q436)&lt;Rules!$H$1,MAX(L436:Q436)-LARGE(L436:Q436,2)&lt;Rules!$H$2),"No label",INDEX($L$1:$Q$1,MATCH(MAX(L436:Q436),L436:Q436,0)))</f>
        <v>No label</v>
      </c>
      <c r="S436" s="0" t="n">
        <f aca="false">SUMPRODUCT(ISNUMBER(SEARCH(" "&amp;Terms!$A$3:$A$821&amp;" ",$D436))*Terms!B$3:B$821)+Terms!B$2</f>
        <v>-1.88277245812033</v>
      </c>
      <c r="T436" s="0" t="n">
        <f aca="false">SUMPRODUCT(ISNUMBER(SEARCH(" "&amp;Terms!$A$3:$A$821&amp;" ",$D436))*Terms!C$3:C$821)+Terms!C$2</f>
        <v>-6.35043934515991</v>
      </c>
      <c r="U436" s="0" t="n">
        <f aca="false">SUMPRODUCT(ISNUMBER(SEARCH(" "&amp;Terms!$A$3:$A$821&amp;" ",$D436))*Terms!D$3:D$821)+Terms!D$2</f>
        <v>-3.56020726603383</v>
      </c>
      <c r="V436" s="0" t="n">
        <f aca="false">SUMPRODUCT(ISNUMBER(SEARCH(" "&amp;Terms!$A$3:$A$821&amp;" ",$D436))*Terms!E$3:E$821)+Terms!E$2</f>
        <v>-4.71441797231519</v>
      </c>
      <c r="W436" s="0" t="n">
        <f aca="false">SUMPRODUCT(ISNUMBER(SEARCH(" "&amp;Terms!$A$3:$A$821&amp;" ",$D436))*Terms!F$3:F$821)+Terms!F$2</f>
        <v>6.36700876671891</v>
      </c>
      <c r="X436" s="0" t="n">
        <f aca="false">SUMPRODUCT(ISNUMBER(SEARCH(" "&amp;Terms!$A$3:$A$821&amp;" ",$D436))*Terms!G$3:G$821)+Terms!G$2</f>
        <v>10.1408282749104</v>
      </c>
      <c r="Y436" s="0" t="str">
        <f aca="false">INDEX($S$1:$X$1,MATCH(MAX(S436:X436),S436:X436,0))</f>
        <v>Mis-selling</v>
      </c>
      <c r="Z436" s="0" t="s">
        <v>2608</v>
      </c>
    </row>
    <row r="437" customFormat="false" ht="15" hidden="false" customHeight="false" outlineLevel="0" collapsed="false">
      <c r="A437" s="0" t="str">
        <f aca="false">Complaints!A437</f>
        <v>C0436</v>
      </c>
      <c r="B437" s="0" t="str">
        <f aca="false">Complaints!B437</f>
        <v>To whom it may concern, It has taken six weeks to process my claim and nobody has updated me. I want this put right.</v>
      </c>
      <c r="C437" s="0" t="str">
        <f aca="false">Complaints!C437</f>
        <v>Delays &amp; Processing</v>
      </c>
      <c r="D437" s="0" t="str">
        <f aca="false">" "&amp;TRIM(SUBSTITUTE(SUBSTITUTE(SUBSTITUTE(SUBSTITUTE(SUBSTITUTE(SUBSTITUTE(SUBSTITUTE(SUBSTITUTE(SUBSTITUTE(SUBSTITUTE(SUBSTITUTE(SUBSTITUTE(SUBSTITUTE(SUBSTITUTE(SUBSTITUTE(SUBSTITUTE(LOWER(B437),"."," "),","," "),"'"," "),"’"," "),"!"," "),"?"," "),";"," "),":"," "),"-"," "),"("," "),")"," "),"""", " "),"£"," "),"&amp;"," "),"/"," "),"%"," "))&amp;" "</f>
        <v> to whom it may concern it has taken six weeks to process my claim and nobody has updated me i want this put right </v>
      </c>
      <c r="E437" s="0" t="n">
        <f aca="false">SUMPRODUCT((Rules!$A$2:$A$60=E$1)*Rules!$C$2:$C$60*ISNUMBER(SEARCH(Rules!$D$2:$D$60,$D437)))</f>
        <v>0</v>
      </c>
      <c r="F437" s="0" t="n">
        <f aca="false">SUMPRODUCT((Rules!$A$2:$A$60=F$1)*Rules!$C$2:$C$60*ISNUMBER(SEARCH(Rules!$D$2:$D$60,$D437)))</f>
        <v>0</v>
      </c>
      <c r="G437" s="0" t="n">
        <f aca="false">SUMPRODUCT((Rules!$A$2:$A$60=G$1)*Rules!$C$2:$C$60*ISNUMBER(SEARCH(Rules!$D$2:$D$60,$D437)))</f>
        <v>0</v>
      </c>
      <c r="H437" s="0" t="n">
        <f aca="false">SUMPRODUCT((Rules!$A$2:$A$60=H$1)*Rules!$C$2:$C$60*ISNUMBER(SEARCH(Rules!$D$2:$D$60,$D437)))</f>
        <v>0</v>
      </c>
      <c r="I437" s="0" t="n">
        <f aca="false">SUMPRODUCT((Rules!$A$2:$A$60=I$1)*Rules!$C$2:$C$60*ISNUMBER(SEARCH(Rules!$D$2:$D$60,$D437)))</f>
        <v>2</v>
      </c>
      <c r="J437" s="0" t="n">
        <f aca="false">SUMPRODUCT((Rules!$A$2:$A$60=J$1)*Rules!$C$2:$C$60*ISNUMBER(SEARCH(Rules!$D$2:$D$60,$D437)))</f>
        <v>0</v>
      </c>
      <c r="K437" s="0" t="str">
        <f aca="false">IF(OR(MAX(E437:J437)&lt;Rules!$H$1,MAX(E437:J437)-LARGE(E437:J437,2)&lt;Rules!$H$2),"No label",INDEX($E$1:$J$1,MATCH(MAX(E437:J437),E437:J437,0)))</f>
        <v>No label</v>
      </c>
      <c r="L437" s="0" t="n">
        <f aca="false">SUMPRODUCT((Rules!$A$2:$A$60=L$1)*Rules!$C$2:$C$60*ISNUMBER(SEARCH(Rules!$E$2:$E$60,$D437)))</f>
        <v>0</v>
      </c>
      <c r="M437" s="0" t="n">
        <f aca="false">SUMPRODUCT((Rules!$A$2:$A$60=M$1)*Rules!$C$2:$C$60*ISNUMBER(SEARCH(Rules!$E$2:$E$60,$D437)))</f>
        <v>0</v>
      </c>
      <c r="N437" s="0" t="n">
        <f aca="false">SUMPRODUCT((Rules!$A$2:$A$60=N$1)*Rules!$C$2:$C$60*ISNUMBER(SEARCH(Rules!$E$2:$E$60,$D437)))</f>
        <v>0</v>
      </c>
      <c r="O437" s="0" t="n">
        <f aca="false">SUMPRODUCT((Rules!$A$2:$A$60=O$1)*Rules!$C$2:$C$60*ISNUMBER(SEARCH(Rules!$E$2:$E$60,$D437)))</f>
        <v>0</v>
      </c>
      <c r="P437" s="0" t="n">
        <f aca="false">SUMPRODUCT((Rules!$A$2:$A$60=P$1)*Rules!$C$2:$C$60*ISNUMBER(SEARCH(Rules!$E$2:$E$60,$D437)))</f>
        <v>2</v>
      </c>
      <c r="Q437" s="0" t="n">
        <f aca="false">SUMPRODUCT((Rules!$A$2:$A$60=Q$1)*Rules!$C$2:$C$60*ISNUMBER(SEARCH(Rules!$E$2:$E$60,$D437)))</f>
        <v>0</v>
      </c>
      <c r="R437" s="0" t="str">
        <f aca="false">IF(OR(MAX(L437:Q437)&lt;Rules!$H$1,MAX(L437:Q437)-LARGE(L437:Q437,2)&lt;Rules!$H$2),"No label",INDEX($L$1:$Q$1,MATCH(MAX(L437:Q437),L437:Q437,0)))</f>
        <v>No label</v>
      </c>
      <c r="S437" s="0" t="n">
        <f aca="false">SUMPRODUCT(ISNUMBER(SEARCH(" "&amp;Terms!$A$3:$A$821&amp;" ",$D437))*Terms!B$3:B$821)+Terms!B$2</f>
        <v>-3.24452250700094</v>
      </c>
      <c r="T437" s="0" t="n">
        <f aca="false">SUMPRODUCT(ISNUMBER(SEARCH(" "&amp;Terms!$A$3:$A$821&amp;" ",$D437))*Terms!C$3:C$821)+Terms!C$2</f>
        <v>-4.36204086728007</v>
      </c>
      <c r="U437" s="0" t="n">
        <f aca="false">SUMPRODUCT(ISNUMBER(SEARCH(" "&amp;Terms!$A$3:$A$821&amp;" ",$D437))*Terms!D$3:D$821)+Terms!D$2</f>
        <v>6.44825196576124</v>
      </c>
      <c r="V437" s="0" t="n">
        <f aca="false">SUMPRODUCT(ISNUMBER(SEARCH(" "&amp;Terms!$A$3:$A$821&amp;" ",$D437))*Terms!E$3:E$821)+Terms!E$2</f>
        <v>1.36247871308379</v>
      </c>
      <c r="W437" s="0" t="n">
        <f aca="false">SUMPRODUCT(ISNUMBER(SEARCH(" "&amp;Terms!$A$3:$A$821&amp;" ",$D437))*Terms!F$3:F$821)+Terms!F$2</f>
        <v>1.00005649976722</v>
      </c>
      <c r="X437" s="0" t="n">
        <f aca="false">SUMPRODUCT(ISNUMBER(SEARCH(" "&amp;Terms!$A$3:$A$821&amp;" ",$D437))*Terms!G$3:G$821)+Terms!G$2</f>
        <v>-1.20422380433115</v>
      </c>
      <c r="Y437" s="0" t="str">
        <f aca="false">INDEX($S$1:$X$1,MATCH(MAX(S437:X437),S437:X437,0))</f>
        <v>Delays &amp; Processing</v>
      </c>
      <c r="Z437" s="0" t="s">
        <v>2607</v>
      </c>
    </row>
    <row r="438" customFormat="false" ht="15" hidden="false" customHeight="false" outlineLevel="0" collapsed="false">
      <c r="A438" s="0" t="str">
        <f aca="false">Complaints!A438</f>
        <v>C0437</v>
      </c>
      <c r="B438" s="0" t="str">
        <f aca="false">Complaints!B438</f>
        <v>I have been a customer for years. I was told this policy covered me but my claim was rejected. This is not acceptable.</v>
      </c>
      <c r="C438" s="0" t="str">
        <f aca="false">Complaints!C438</f>
        <v>Mis-selling</v>
      </c>
      <c r="D438" s="0" t="str">
        <f aca="false">" "&amp;TRIM(SUBSTITUTE(SUBSTITUTE(SUBSTITUTE(SUBSTITUTE(SUBSTITUTE(SUBSTITUTE(SUBSTITUTE(SUBSTITUTE(SUBSTITUTE(SUBSTITUTE(SUBSTITUTE(SUBSTITUTE(SUBSTITUTE(SUBSTITUTE(SUBSTITUTE(SUBSTITUTE(LOWER(B438),"."," "),","," "),"'"," "),"’"," "),"!"," "),"?"," "),";"," "),":"," "),"-"," "),"("," "),")"," "),"""", " "),"£"," "),"&amp;"," "),"/"," "),"%"," "))&amp;" "</f>
        <v> i have been a customer for years i was told this policy covered me but my claim was rejected this is not acceptable </v>
      </c>
      <c r="E438" s="0" t="n">
        <f aca="false">SUMPRODUCT((Rules!$A$2:$A$60=E$1)*Rules!$C$2:$C$60*ISNUMBER(SEARCH(Rules!$D$2:$D$60,$D438)))</f>
        <v>0</v>
      </c>
      <c r="F438" s="0" t="n">
        <f aca="false">SUMPRODUCT((Rules!$A$2:$A$60=F$1)*Rules!$C$2:$C$60*ISNUMBER(SEARCH(Rules!$D$2:$D$60,$D438)))</f>
        <v>1</v>
      </c>
      <c r="G438" s="0" t="n">
        <f aca="false">SUMPRODUCT((Rules!$A$2:$A$60=G$1)*Rules!$C$2:$C$60*ISNUMBER(SEARCH(Rules!$D$2:$D$60,$D438)))</f>
        <v>0</v>
      </c>
      <c r="H438" s="0" t="n">
        <f aca="false">SUMPRODUCT((Rules!$A$2:$A$60=H$1)*Rules!$C$2:$C$60*ISNUMBER(SEARCH(Rules!$D$2:$D$60,$D438)))</f>
        <v>0</v>
      </c>
      <c r="I438" s="0" t="n">
        <f aca="false">SUMPRODUCT((Rules!$A$2:$A$60=I$1)*Rules!$C$2:$C$60*ISNUMBER(SEARCH(Rules!$D$2:$D$60,$D438)))</f>
        <v>0</v>
      </c>
      <c r="J438" s="0" t="n">
        <f aca="false">SUMPRODUCT((Rules!$A$2:$A$60=J$1)*Rules!$C$2:$C$60*ISNUMBER(SEARCH(Rules!$D$2:$D$60,$D438)))</f>
        <v>0</v>
      </c>
      <c r="K438" s="0" t="str">
        <f aca="false">IF(OR(MAX(E438:J438)&lt;Rules!$H$1,MAX(E438:J438)-LARGE(E438:J438,2)&lt;Rules!$H$2),"No label",INDEX($E$1:$J$1,MATCH(MAX(E438:J438),E438:J438,0)))</f>
        <v>No label</v>
      </c>
      <c r="L438" s="0" t="n">
        <f aca="false">SUMPRODUCT((Rules!$A$2:$A$60=L$1)*Rules!$C$2:$C$60*ISNUMBER(SEARCH(Rules!$E$2:$E$60,$D438)))</f>
        <v>0</v>
      </c>
      <c r="M438" s="0" t="n">
        <f aca="false">SUMPRODUCT((Rules!$A$2:$A$60=M$1)*Rules!$C$2:$C$60*ISNUMBER(SEARCH(Rules!$E$2:$E$60,$D438)))</f>
        <v>1</v>
      </c>
      <c r="N438" s="0" t="n">
        <f aca="false">SUMPRODUCT((Rules!$A$2:$A$60=N$1)*Rules!$C$2:$C$60*ISNUMBER(SEARCH(Rules!$E$2:$E$60,$D438)))</f>
        <v>1</v>
      </c>
      <c r="O438" s="0" t="n">
        <f aca="false">SUMPRODUCT((Rules!$A$2:$A$60=O$1)*Rules!$C$2:$C$60*ISNUMBER(SEARCH(Rules!$E$2:$E$60,$D438)))</f>
        <v>0</v>
      </c>
      <c r="P438" s="0" t="n">
        <f aca="false">SUMPRODUCT((Rules!$A$2:$A$60=P$1)*Rules!$C$2:$C$60*ISNUMBER(SEARCH(Rules!$E$2:$E$60,$D438)))</f>
        <v>0</v>
      </c>
      <c r="Q438" s="0" t="n">
        <f aca="false">SUMPRODUCT((Rules!$A$2:$A$60=Q$1)*Rules!$C$2:$C$60*ISNUMBER(SEARCH(Rules!$E$2:$E$60,$D438)))</f>
        <v>0</v>
      </c>
      <c r="R438" s="0" t="str">
        <f aca="false">IF(OR(MAX(L438:Q438)&lt;Rules!$H$1,MAX(L438:Q438)-LARGE(L438:Q438,2)&lt;Rules!$H$2),"No label",INDEX($L$1:$Q$1,MATCH(MAX(L438:Q438),L438:Q438,0)))</f>
        <v>No label</v>
      </c>
      <c r="S438" s="0" t="n">
        <f aca="false">SUMPRODUCT(ISNUMBER(SEARCH(" "&amp;Terms!$A$3:$A$821&amp;" ",$D438))*Terms!B$3:B$821)+Terms!B$2</f>
        <v>-0.483491484839166</v>
      </c>
      <c r="T438" s="0" t="n">
        <f aca="false">SUMPRODUCT(ISNUMBER(SEARCH(" "&amp;Terms!$A$3:$A$821&amp;" ",$D438))*Terms!C$3:C$821)+Terms!C$2</f>
        <v>-4.42096637475471</v>
      </c>
      <c r="U438" s="0" t="n">
        <f aca="false">SUMPRODUCT(ISNUMBER(SEARCH(" "&amp;Terms!$A$3:$A$821&amp;" ",$D438))*Terms!D$3:D$821)+Terms!D$2</f>
        <v>1.8757720293685</v>
      </c>
      <c r="V438" s="0" t="n">
        <f aca="false">SUMPRODUCT(ISNUMBER(SEARCH(" "&amp;Terms!$A$3:$A$821&amp;" ",$D438))*Terms!E$3:E$821)+Terms!E$2</f>
        <v>-2.45386701149554</v>
      </c>
      <c r="W438" s="0" t="n">
        <f aca="false">SUMPRODUCT(ISNUMBER(SEARCH(" "&amp;Terms!$A$3:$A$821&amp;" ",$D438))*Terms!F$3:F$821)+Terms!F$2</f>
        <v>-2.78544640183045</v>
      </c>
      <c r="X438" s="0" t="n">
        <f aca="false">SUMPRODUCT(ISNUMBER(SEARCH(" "&amp;Terms!$A$3:$A$821&amp;" ",$D438))*Terms!G$3:G$821)+Terms!G$2</f>
        <v>8.26799924355146</v>
      </c>
      <c r="Y438" s="0" t="str">
        <f aca="false">INDEX($S$1:$X$1,MATCH(MAX(S438:X438),S438:X438,0))</f>
        <v>Mis-selling</v>
      </c>
      <c r="Z438" s="0" t="s">
        <v>2608</v>
      </c>
    </row>
    <row r="439" customFormat="false" ht="15" hidden="false" customHeight="false" outlineLevel="0" collapsed="false">
      <c r="A439" s="0" t="str">
        <f aca="false">Complaints!A439</f>
        <v>C0438</v>
      </c>
      <c r="B439" s="0" t="str">
        <f aca="false">Complaints!B439</f>
        <v>Hello, The brochure said guaranteed returns and my money has lost value. There was also a fee involved.</v>
      </c>
      <c r="C439" s="0" t="str">
        <f aca="false">Complaints!C439</f>
        <v>Mis-selling</v>
      </c>
      <c r="D439" s="0" t="str">
        <f aca="false">" "&amp;TRIM(SUBSTITUTE(SUBSTITUTE(SUBSTITUTE(SUBSTITUTE(SUBSTITUTE(SUBSTITUTE(SUBSTITUTE(SUBSTITUTE(SUBSTITUTE(SUBSTITUTE(SUBSTITUTE(SUBSTITUTE(SUBSTITUTE(SUBSTITUTE(SUBSTITUTE(SUBSTITUTE(LOWER(B439),"."," "),","," "),"'"," "),"’"," "),"!"," "),"?"," "),";"," "),":"," "),"-"," "),"("," "),")"," "),"""", " "),"£"," "),"&amp;"," "),"/"," "),"%"," "))&amp;" "</f>
        <v> hello the brochure said guaranteed returns and my money has lost value there was also a fee involved </v>
      </c>
      <c r="E439" s="0" t="n">
        <f aca="false">SUMPRODUCT((Rules!$A$2:$A$60=E$1)*Rules!$C$2:$C$60*ISNUMBER(SEARCH(Rules!$D$2:$D$60,$D439)))</f>
        <v>0</v>
      </c>
      <c r="F439" s="0" t="n">
        <f aca="false">SUMPRODUCT((Rules!$A$2:$A$60=F$1)*Rules!$C$2:$C$60*ISNUMBER(SEARCH(Rules!$D$2:$D$60,$D439)))</f>
        <v>2</v>
      </c>
      <c r="G439" s="0" t="n">
        <f aca="false">SUMPRODUCT((Rules!$A$2:$A$60=G$1)*Rules!$C$2:$C$60*ISNUMBER(SEARCH(Rules!$D$2:$D$60,$D439)))</f>
        <v>0</v>
      </c>
      <c r="H439" s="0" t="n">
        <f aca="false">SUMPRODUCT((Rules!$A$2:$A$60=H$1)*Rules!$C$2:$C$60*ISNUMBER(SEARCH(Rules!$D$2:$D$60,$D439)))</f>
        <v>2</v>
      </c>
      <c r="I439" s="0" t="n">
        <f aca="false">SUMPRODUCT((Rules!$A$2:$A$60=I$1)*Rules!$C$2:$C$60*ISNUMBER(SEARCH(Rules!$D$2:$D$60,$D439)))</f>
        <v>0</v>
      </c>
      <c r="J439" s="0" t="n">
        <f aca="false">SUMPRODUCT((Rules!$A$2:$A$60=J$1)*Rules!$C$2:$C$60*ISNUMBER(SEARCH(Rules!$D$2:$D$60,$D439)))</f>
        <v>0</v>
      </c>
      <c r="K439" s="0" t="str">
        <f aca="false">IF(OR(MAX(E439:J439)&lt;Rules!$H$1,MAX(E439:J439)-LARGE(E439:J439,2)&lt;Rules!$H$2),"No label",INDEX($E$1:$J$1,MATCH(MAX(E439:J439),E439:J439,0)))</f>
        <v>No label</v>
      </c>
      <c r="L439" s="0" t="n">
        <f aca="false">SUMPRODUCT((Rules!$A$2:$A$60=L$1)*Rules!$C$2:$C$60*ISNUMBER(SEARCH(Rules!$E$2:$E$60,$D439)))</f>
        <v>0</v>
      </c>
      <c r="M439" s="0" t="n">
        <f aca="false">SUMPRODUCT((Rules!$A$2:$A$60=M$1)*Rules!$C$2:$C$60*ISNUMBER(SEARCH(Rules!$E$2:$E$60,$D439)))</f>
        <v>2</v>
      </c>
      <c r="N439" s="0" t="n">
        <f aca="false">SUMPRODUCT((Rules!$A$2:$A$60=N$1)*Rules!$C$2:$C$60*ISNUMBER(SEARCH(Rules!$E$2:$E$60,$D439)))</f>
        <v>0</v>
      </c>
      <c r="O439" s="0" t="n">
        <f aca="false">SUMPRODUCT((Rules!$A$2:$A$60=O$1)*Rules!$C$2:$C$60*ISNUMBER(SEARCH(Rules!$E$2:$E$60,$D439)))</f>
        <v>2</v>
      </c>
      <c r="P439" s="0" t="n">
        <f aca="false">SUMPRODUCT((Rules!$A$2:$A$60=P$1)*Rules!$C$2:$C$60*ISNUMBER(SEARCH(Rules!$E$2:$E$60,$D439)))</f>
        <v>0</v>
      </c>
      <c r="Q439" s="0" t="n">
        <f aca="false">SUMPRODUCT((Rules!$A$2:$A$60=Q$1)*Rules!$C$2:$C$60*ISNUMBER(SEARCH(Rules!$E$2:$E$60,$D439)))</f>
        <v>0</v>
      </c>
      <c r="R439" s="0" t="str">
        <f aca="false">IF(OR(MAX(L439:Q439)&lt;Rules!$H$1,MAX(L439:Q439)-LARGE(L439:Q439,2)&lt;Rules!$H$2),"No label",INDEX($L$1:$Q$1,MATCH(MAX(L439:Q439),L439:Q439,0)))</f>
        <v>No label</v>
      </c>
      <c r="S439" s="0" t="n">
        <f aca="false">SUMPRODUCT(ISNUMBER(SEARCH(" "&amp;Terms!$A$3:$A$821&amp;" ",$D439))*Terms!B$3:B$821)+Terms!B$2</f>
        <v>-3.34114843859577</v>
      </c>
      <c r="T439" s="0" t="n">
        <f aca="false">SUMPRODUCT(ISNUMBER(SEARCH(" "&amp;Terms!$A$3:$A$821&amp;" ",$D439))*Terms!C$3:C$821)+Terms!C$2</f>
        <v>-5.09979283967963</v>
      </c>
      <c r="U439" s="0" t="n">
        <f aca="false">SUMPRODUCT(ISNUMBER(SEARCH(" "&amp;Terms!$A$3:$A$821&amp;" ",$D439))*Terms!D$3:D$821)+Terms!D$2</f>
        <v>-2.10015607027725</v>
      </c>
      <c r="V439" s="0" t="n">
        <f aca="false">SUMPRODUCT(ISNUMBER(SEARCH(" "&amp;Terms!$A$3:$A$821&amp;" ",$D439))*Terms!E$3:E$821)+Terms!E$2</f>
        <v>-1.96950382345359</v>
      </c>
      <c r="W439" s="0" t="n">
        <f aca="false">SUMPRODUCT(ISNUMBER(SEARCH(" "&amp;Terms!$A$3:$A$821&amp;" ",$D439))*Terms!F$3:F$821)+Terms!F$2</f>
        <v>-0.0491840022364665</v>
      </c>
      <c r="X439" s="0" t="n">
        <f aca="false">SUMPRODUCT(ISNUMBER(SEARCH(" "&amp;Terms!$A$3:$A$821&amp;" ",$D439))*Terms!G$3:G$821)+Terms!G$2</f>
        <v>12.5597851742428</v>
      </c>
      <c r="Y439" s="0" t="str">
        <f aca="false">INDEX($S$1:$X$1,MATCH(MAX(S439:X439),S439:X439,0))</f>
        <v>Mis-selling</v>
      </c>
      <c r="Z439" s="0" t="s">
        <v>2607</v>
      </c>
    </row>
    <row r="440" customFormat="false" ht="15" hidden="false" customHeight="false" outlineLevel="0" collapsed="false">
      <c r="A440" s="0" t="str">
        <f aca="false">Complaints!A440</f>
        <v>C0439</v>
      </c>
      <c r="B440" s="0" t="str">
        <f aca="false">Complaints!B440</f>
        <v>I have had enough of the way this has gone.</v>
      </c>
      <c r="C440" s="0" t="str">
        <f aca="false">Complaints!C440</f>
        <v>Delays &amp; Processing</v>
      </c>
      <c r="D440" s="0" t="str">
        <f aca="false">" "&amp;TRIM(SUBSTITUTE(SUBSTITUTE(SUBSTITUTE(SUBSTITUTE(SUBSTITUTE(SUBSTITUTE(SUBSTITUTE(SUBSTITUTE(SUBSTITUTE(SUBSTITUTE(SUBSTITUTE(SUBSTITUTE(SUBSTITUTE(SUBSTITUTE(SUBSTITUTE(SUBSTITUTE(LOWER(B440),"."," "),","," "),"'"," "),"’"," "),"!"," "),"?"," "),";"," "),":"," "),"-"," "),"("," "),")"," "),"""", " "),"£"," "),"&amp;"," "),"/"," "),"%"," "))&amp;" "</f>
        <v> i have had enough of the way this has gone </v>
      </c>
      <c r="E440" s="0" t="n">
        <f aca="false">SUMPRODUCT((Rules!$A$2:$A$60=E$1)*Rules!$C$2:$C$60*ISNUMBER(SEARCH(Rules!$D$2:$D$60,$D440)))</f>
        <v>0</v>
      </c>
      <c r="F440" s="0" t="n">
        <f aca="false">SUMPRODUCT((Rules!$A$2:$A$60=F$1)*Rules!$C$2:$C$60*ISNUMBER(SEARCH(Rules!$D$2:$D$60,$D440)))</f>
        <v>0</v>
      </c>
      <c r="G440" s="0" t="n">
        <f aca="false">SUMPRODUCT((Rules!$A$2:$A$60=G$1)*Rules!$C$2:$C$60*ISNUMBER(SEARCH(Rules!$D$2:$D$60,$D440)))</f>
        <v>0</v>
      </c>
      <c r="H440" s="0" t="n">
        <f aca="false">SUMPRODUCT((Rules!$A$2:$A$60=H$1)*Rules!$C$2:$C$60*ISNUMBER(SEARCH(Rules!$D$2:$D$60,$D440)))</f>
        <v>0</v>
      </c>
      <c r="I440" s="0" t="n">
        <f aca="false">SUMPRODUCT((Rules!$A$2:$A$60=I$1)*Rules!$C$2:$C$60*ISNUMBER(SEARCH(Rules!$D$2:$D$60,$D440)))</f>
        <v>0</v>
      </c>
      <c r="J440" s="0" t="n">
        <f aca="false">SUMPRODUCT((Rules!$A$2:$A$60=J$1)*Rules!$C$2:$C$60*ISNUMBER(SEARCH(Rules!$D$2:$D$60,$D440)))</f>
        <v>0</v>
      </c>
      <c r="K440" s="0" t="str">
        <f aca="false">IF(OR(MAX(E440:J440)&lt;Rules!$H$1,MAX(E440:J440)-LARGE(E440:J440,2)&lt;Rules!$H$2),"No label",INDEX($E$1:$J$1,MATCH(MAX(E440:J440),E440:J440,0)))</f>
        <v>No label</v>
      </c>
      <c r="L440" s="0" t="n">
        <f aca="false">SUMPRODUCT((Rules!$A$2:$A$60=L$1)*Rules!$C$2:$C$60*ISNUMBER(SEARCH(Rules!$E$2:$E$60,$D440)))</f>
        <v>0</v>
      </c>
      <c r="M440" s="0" t="n">
        <f aca="false">SUMPRODUCT((Rules!$A$2:$A$60=M$1)*Rules!$C$2:$C$60*ISNUMBER(SEARCH(Rules!$E$2:$E$60,$D440)))</f>
        <v>0</v>
      </c>
      <c r="N440" s="0" t="n">
        <f aca="false">SUMPRODUCT((Rules!$A$2:$A$60=N$1)*Rules!$C$2:$C$60*ISNUMBER(SEARCH(Rules!$E$2:$E$60,$D440)))</f>
        <v>0</v>
      </c>
      <c r="O440" s="0" t="n">
        <f aca="false">SUMPRODUCT((Rules!$A$2:$A$60=O$1)*Rules!$C$2:$C$60*ISNUMBER(SEARCH(Rules!$E$2:$E$60,$D440)))</f>
        <v>0</v>
      </c>
      <c r="P440" s="0" t="n">
        <f aca="false">SUMPRODUCT((Rules!$A$2:$A$60=P$1)*Rules!$C$2:$C$60*ISNUMBER(SEARCH(Rules!$E$2:$E$60,$D440)))</f>
        <v>0</v>
      </c>
      <c r="Q440" s="0" t="n">
        <f aca="false">SUMPRODUCT((Rules!$A$2:$A$60=Q$1)*Rules!$C$2:$C$60*ISNUMBER(SEARCH(Rules!$E$2:$E$60,$D440)))</f>
        <v>0</v>
      </c>
      <c r="R440" s="0" t="str">
        <f aca="false">IF(OR(MAX(L440:Q440)&lt;Rules!$H$1,MAX(L440:Q440)-LARGE(L440:Q440,2)&lt;Rules!$H$2),"No label",INDEX($L$1:$Q$1,MATCH(MAX(L440:Q440),L440:Q440,0)))</f>
        <v>No label</v>
      </c>
      <c r="S440" s="0" t="n">
        <f aca="false">SUMPRODUCT(ISNUMBER(SEARCH(" "&amp;Terms!$A$3:$A$821&amp;" ",$D440))*Terms!B$3:B$821)+Terms!B$2</f>
        <v>0.740162088012994</v>
      </c>
      <c r="T440" s="0" t="n">
        <f aca="false">SUMPRODUCT(ISNUMBER(SEARCH(" "&amp;Terms!$A$3:$A$821&amp;" ",$D440))*Terms!C$3:C$821)+Terms!C$2</f>
        <v>-0.0474621897017864</v>
      </c>
      <c r="U440" s="0" t="n">
        <f aca="false">SUMPRODUCT(ISNUMBER(SEARCH(" "&amp;Terms!$A$3:$A$821&amp;" ",$D440))*Terms!D$3:D$821)+Terms!D$2</f>
        <v>0.0542463246819629</v>
      </c>
      <c r="V440" s="0" t="n">
        <f aca="false">SUMPRODUCT(ISNUMBER(SEARCH(" "&amp;Terms!$A$3:$A$821&amp;" ",$D440))*Terms!E$3:E$821)+Terms!E$2</f>
        <v>1.70751695055371</v>
      </c>
      <c r="W440" s="0" t="n">
        <f aca="false">SUMPRODUCT(ISNUMBER(SEARCH(" "&amp;Terms!$A$3:$A$821&amp;" ",$D440))*Terms!F$3:F$821)+Terms!F$2</f>
        <v>-1.95579033890654</v>
      </c>
      <c r="X440" s="0" t="n">
        <f aca="false">SUMPRODUCT(ISNUMBER(SEARCH(" "&amp;Terms!$A$3:$A$821&amp;" ",$D440))*Terms!G$3:G$821)+Terms!G$2</f>
        <v>-0.498672834640244</v>
      </c>
      <c r="Y440" s="0" t="str">
        <f aca="false">INDEX($S$1:$X$1,MATCH(MAX(S440:X440),S440:X440,0))</f>
        <v>Fees &amp; Charges</v>
      </c>
      <c r="Z440" s="0" t="s">
        <v>2607</v>
      </c>
    </row>
    <row r="441" customFormat="false" ht="15" hidden="false" customHeight="false" outlineLevel="0" collapsed="false">
      <c r="A441" s="0" t="str">
        <f aca="false">Complaints!A441</f>
        <v>C0440</v>
      </c>
      <c r="B441" s="0" t="str">
        <f aca="false">Complaints!B441</f>
        <v>The payment still has not arrived in my account. Also, i was sold a product that was not suitable for my circumstances. I want this put right.</v>
      </c>
      <c r="C441" s="0" t="str">
        <f aca="false">Complaints!C441</f>
        <v>Delays &amp; Processing</v>
      </c>
      <c r="D441" s="0" t="str">
        <f aca="false">" "&amp;TRIM(SUBSTITUTE(SUBSTITUTE(SUBSTITUTE(SUBSTITUTE(SUBSTITUTE(SUBSTITUTE(SUBSTITUTE(SUBSTITUTE(SUBSTITUTE(SUBSTITUTE(SUBSTITUTE(SUBSTITUTE(SUBSTITUTE(SUBSTITUTE(SUBSTITUTE(SUBSTITUTE(LOWER(B441),"."," "),","," "),"'"," "),"’"," "),"!"," "),"?"," "),";"," "),":"," "),"-"," "),"("," "),")"," "),"""", " "),"£"," "),"&amp;"," "),"/"," "),"%"," "))&amp;" "</f>
        <v> the payment still has not arrived in my account also i was sold a product that was not suitable for my circumstances i want this put right </v>
      </c>
      <c r="E441" s="0" t="n">
        <f aca="false">SUMPRODUCT((Rules!$A$2:$A$60=E$1)*Rules!$C$2:$C$60*ISNUMBER(SEARCH(Rules!$D$2:$D$60,$D441)))</f>
        <v>0</v>
      </c>
      <c r="F441" s="0" t="n">
        <f aca="false">SUMPRODUCT((Rules!$A$2:$A$60=F$1)*Rules!$C$2:$C$60*ISNUMBER(SEARCH(Rules!$D$2:$D$60,$D441)))</f>
        <v>5</v>
      </c>
      <c r="G441" s="0" t="n">
        <f aca="false">SUMPRODUCT((Rules!$A$2:$A$60=G$1)*Rules!$C$2:$C$60*ISNUMBER(SEARCH(Rules!$D$2:$D$60,$D441)))</f>
        <v>0</v>
      </c>
      <c r="H441" s="0" t="n">
        <f aca="false">SUMPRODUCT((Rules!$A$2:$A$60=H$1)*Rules!$C$2:$C$60*ISNUMBER(SEARCH(Rules!$D$2:$D$60,$D441)))</f>
        <v>0</v>
      </c>
      <c r="I441" s="0" t="n">
        <f aca="false">SUMPRODUCT((Rules!$A$2:$A$60=I$1)*Rules!$C$2:$C$60*ISNUMBER(SEARCH(Rules!$D$2:$D$60,$D441)))</f>
        <v>2</v>
      </c>
      <c r="J441" s="0" t="n">
        <f aca="false">SUMPRODUCT((Rules!$A$2:$A$60=J$1)*Rules!$C$2:$C$60*ISNUMBER(SEARCH(Rules!$D$2:$D$60,$D441)))</f>
        <v>0</v>
      </c>
      <c r="K441" s="0" t="str">
        <f aca="false">IF(OR(MAX(E441:J441)&lt;Rules!$H$1,MAX(E441:J441)-LARGE(E441:J441,2)&lt;Rules!$H$2),"No label",INDEX($E$1:$J$1,MATCH(MAX(E441:J441),E441:J441,0)))</f>
        <v>Mis-selling</v>
      </c>
      <c r="L441" s="0" t="n">
        <f aca="false">SUMPRODUCT((Rules!$A$2:$A$60=L$1)*Rules!$C$2:$C$60*ISNUMBER(SEARCH(Rules!$E$2:$E$60,$D441)))</f>
        <v>0</v>
      </c>
      <c r="M441" s="0" t="n">
        <f aca="false">SUMPRODUCT((Rules!$A$2:$A$60=M$1)*Rules!$C$2:$C$60*ISNUMBER(SEARCH(Rules!$E$2:$E$60,$D441)))</f>
        <v>5</v>
      </c>
      <c r="N441" s="0" t="n">
        <f aca="false">SUMPRODUCT((Rules!$A$2:$A$60=N$1)*Rules!$C$2:$C$60*ISNUMBER(SEARCH(Rules!$E$2:$E$60,$D441)))</f>
        <v>0</v>
      </c>
      <c r="O441" s="0" t="n">
        <f aca="false">SUMPRODUCT((Rules!$A$2:$A$60=O$1)*Rules!$C$2:$C$60*ISNUMBER(SEARCH(Rules!$E$2:$E$60,$D441)))</f>
        <v>0</v>
      </c>
      <c r="P441" s="0" t="n">
        <f aca="false">SUMPRODUCT((Rules!$A$2:$A$60=P$1)*Rules!$C$2:$C$60*ISNUMBER(SEARCH(Rules!$E$2:$E$60,$D441)))</f>
        <v>2</v>
      </c>
      <c r="Q441" s="0" t="n">
        <f aca="false">SUMPRODUCT((Rules!$A$2:$A$60=Q$1)*Rules!$C$2:$C$60*ISNUMBER(SEARCH(Rules!$E$2:$E$60,$D441)))</f>
        <v>0</v>
      </c>
      <c r="R441" s="0" t="str">
        <f aca="false">IF(OR(MAX(L441:Q441)&lt;Rules!$H$1,MAX(L441:Q441)-LARGE(L441:Q441,2)&lt;Rules!$H$2),"No label",INDEX($L$1:$Q$1,MATCH(MAX(L441:Q441),L441:Q441,0)))</f>
        <v>Mis-selling</v>
      </c>
      <c r="S441" s="0" t="n">
        <f aca="false">SUMPRODUCT(ISNUMBER(SEARCH(" "&amp;Terms!$A$3:$A$821&amp;" ",$D441))*Terms!B$3:B$821)+Terms!B$2</f>
        <v>-1.83921438615596</v>
      </c>
      <c r="T441" s="0" t="n">
        <f aca="false">SUMPRODUCT(ISNUMBER(SEARCH(" "&amp;Terms!$A$3:$A$821&amp;" ",$D441))*Terms!C$3:C$821)+Terms!C$2</f>
        <v>-6.48006303426428</v>
      </c>
      <c r="U441" s="0" t="n">
        <f aca="false">SUMPRODUCT(ISNUMBER(SEARCH(" "&amp;Terms!$A$3:$A$821&amp;" ",$D441))*Terms!D$3:D$821)+Terms!D$2</f>
        <v>5.3082888895966</v>
      </c>
      <c r="V441" s="0" t="n">
        <f aca="false">SUMPRODUCT(ISNUMBER(SEARCH(" "&amp;Terms!$A$3:$A$821&amp;" ",$D441))*Terms!E$3:E$821)+Terms!E$2</f>
        <v>-0.921506908843733</v>
      </c>
      <c r="W441" s="0" t="n">
        <f aca="false">SUMPRODUCT(ISNUMBER(SEARCH(" "&amp;Terms!$A$3:$A$821&amp;" ",$D441))*Terms!F$3:F$821)+Terms!F$2</f>
        <v>0.735156271987927</v>
      </c>
      <c r="X441" s="0" t="n">
        <f aca="false">SUMPRODUCT(ISNUMBER(SEARCH(" "&amp;Terms!$A$3:$A$821&amp;" ",$D441))*Terms!G$3:G$821)+Terms!G$2</f>
        <v>3.19733916767955</v>
      </c>
      <c r="Y441" s="0" t="str">
        <f aca="false">INDEX($S$1:$X$1,MATCH(MAX(S441:X441),S441:X441,0))</f>
        <v>Delays &amp; Processing</v>
      </c>
      <c r="Z441" s="0" t="s">
        <v>2607</v>
      </c>
    </row>
    <row r="442" customFormat="false" ht="15" hidden="false" customHeight="false" outlineLevel="0" collapsed="false">
      <c r="A442" s="0" t="str">
        <f aca="false">Complaints!A442</f>
        <v>C0441</v>
      </c>
      <c r="B442" s="0" t="str">
        <f aca="false">Complaints!B442</f>
        <v>This is the second time I have raised this. Two factor codes are not being sent to my phone. I do not think it was explained properly when I bought it.</v>
      </c>
      <c r="C442" s="0" t="str">
        <f aca="false">Complaints!C442</f>
        <v>Account Access</v>
      </c>
      <c r="D442" s="0" t="str">
        <f aca="false">" "&amp;TRIM(SUBSTITUTE(SUBSTITUTE(SUBSTITUTE(SUBSTITUTE(SUBSTITUTE(SUBSTITUTE(SUBSTITUTE(SUBSTITUTE(SUBSTITUTE(SUBSTITUTE(SUBSTITUTE(SUBSTITUTE(SUBSTITUTE(SUBSTITUTE(SUBSTITUTE(SUBSTITUTE(LOWER(B442),"."," "),","," "),"'"," "),"’"," "),"!"," "),"?"," "),";"," "),":"," "),"-"," "),"("," "),")"," "),"""", " "),"£"," "),"&amp;"," "),"/"," "),"%"," "))&amp;" "</f>
        <v> this is the second time i have raised this two factor codes are not being sent to my phone i do not think it was explained properly when i bought it </v>
      </c>
      <c r="E442" s="0" t="n">
        <f aca="false">SUMPRODUCT((Rules!$A$2:$A$60=E$1)*Rules!$C$2:$C$60*ISNUMBER(SEARCH(Rules!$D$2:$D$60,$D442)))</f>
        <v>0</v>
      </c>
      <c r="F442" s="0" t="n">
        <f aca="false">SUMPRODUCT((Rules!$A$2:$A$60=F$1)*Rules!$C$2:$C$60*ISNUMBER(SEARCH(Rules!$D$2:$D$60,$D442)))</f>
        <v>0</v>
      </c>
      <c r="G442" s="0" t="n">
        <f aca="false">SUMPRODUCT((Rules!$A$2:$A$60=G$1)*Rules!$C$2:$C$60*ISNUMBER(SEARCH(Rules!$D$2:$D$60,$D442)))</f>
        <v>3</v>
      </c>
      <c r="H442" s="0" t="n">
        <f aca="false">SUMPRODUCT((Rules!$A$2:$A$60=H$1)*Rules!$C$2:$C$60*ISNUMBER(SEARCH(Rules!$D$2:$D$60,$D442)))</f>
        <v>0</v>
      </c>
      <c r="I442" s="0" t="n">
        <f aca="false">SUMPRODUCT((Rules!$A$2:$A$60=I$1)*Rules!$C$2:$C$60*ISNUMBER(SEARCH(Rules!$D$2:$D$60,$D442)))</f>
        <v>0</v>
      </c>
      <c r="J442" s="0" t="n">
        <f aca="false">SUMPRODUCT((Rules!$A$2:$A$60=J$1)*Rules!$C$2:$C$60*ISNUMBER(SEARCH(Rules!$D$2:$D$60,$D442)))</f>
        <v>0</v>
      </c>
      <c r="K442" s="0" t="str">
        <f aca="false">IF(OR(MAX(E442:J442)&lt;Rules!$H$1,MAX(E442:J442)-LARGE(E442:J442,2)&lt;Rules!$H$2),"No label",INDEX($E$1:$J$1,MATCH(MAX(E442:J442),E442:J442,0)))</f>
        <v>Account Access</v>
      </c>
      <c r="L442" s="0" t="n">
        <f aca="false">SUMPRODUCT((Rules!$A$2:$A$60=L$1)*Rules!$C$2:$C$60*ISNUMBER(SEARCH(Rules!$E$2:$E$60,$D442)))</f>
        <v>0</v>
      </c>
      <c r="M442" s="0" t="n">
        <f aca="false">SUMPRODUCT((Rules!$A$2:$A$60=M$1)*Rules!$C$2:$C$60*ISNUMBER(SEARCH(Rules!$E$2:$E$60,$D442)))</f>
        <v>0</v>
      </c>
      <c r="N442" s="0" t="n">
        <f aca="false">SUMPRODUCT((Rules!$A$2:$A$60=N$1)*Rules!$C$2:$C$60*ISNUMBER(SEARCH(Rules!$E$2:$E$60,$D442)))</f>
        <v>3</v>
      </c>
      <c r="O442" s="0" t="n">
        <f aca="false">SUMPRODUCT((Rules!$A$2:$A$60=O$1)*Rules!$C$2:$C$60*ISNUMBER(SEARCH(Rules!$E$2:$E$60,$D442)))</f>
        <v>0</v>
      </c>
      <c r="P442" s="0" t="n">
        <f aca="false">SUMPRODUCT((Rules!$A$2:$A$60=P$1)*Rules!$C$2:$C$60*ISNUMBER(SEARCH(Rules!$E$2:$E$60,$D442)))</f>
        <v>0</v>
      </c>
      <c r="Q442" s="0" t="n">
        <f aca="false">SUMPRODUCT((Rules!$A$2:$A$60=Q$1)*Rules!$C$2:$C$60*ISNUMBER(SEARCH(Rules!$E$2:$E$60,$D442)))</f>
        <v>0</v>
      </c>
      <c r="R442" s="0" t="str">
        <f aca="false">IF(OR(MAX(L442:Q442)&lt;Rules!$H$1,MAX(L442:Q442)-LARGE(L442:Q442,2)&lt;Rules!$H$2),"No label",INDEX($L$1:$Q$1,MATCH(MAX(L442:Q442),L442:Q442,0)))</f>
        <v>Account Access</v>
      </c>
      <c r="S442" s="0" t="n">
        <f aca="false">SUMPRODUCT(ISNUMBER(SEARCH(" "&amp;Terms!$A$3:$A$821&amp;" ",$D442))*Terms!B$3:B$821)+Terms!B$2</f>
        <v>7.00587719986723</v>
      </c>
      <c r="T442" s="0" t="n">
        <f aca="false">SUMPRODUCT(ISNUMBER(SEARCH(" "&amp;Terms!$A$3:$A$821&amp;" ",$D442))*Terms!C$3:C$821)+Terms!C$2</f>
        <v>-1.57607297179354</v>
      </c>
      <c r="U442" s="0" t="n">
        <f aca="false">SUMPRODUCT(ISNUMBER(SEARCH(" "&amp;Terms!$A$3:$A$821&amp;" ",$D442))*Terms!D$3:D$821)+Terms!D$2</f>
        <v>1.07725462795679</v>
      </c>
      <c r="V442" s="0" t="n">
        <f aca="false">SUMPRODUCT(ISNUMBER(SEARCH(" "&amp;Terms!$A$3:$A$821&amp;" ",$D442))*Terms!E$3:E$821)+Terms!E$2</f>
        <v>0.844280821342606</v>
      </c>
      <c r="W442" s="0" t="n">
        <f aca="false">SUMPRODUCT(ISNUMBER(SEARCH(" "&amp;Terms!$A$3:$A$821&amp;" ",$D442))*Terms!F$3:F$821)+Terms!F$2</f>
        <v>-1.7391637904575</v>
      </c>
      <c r="X442" s="0" t="n">
        <f aca="false">SUMPRODUCT(ISNUMBER(SEARCH(" "&amp;Terms!$A$3:$A$821&amp;" ",$D442))*Terms!G$3:G$821)+Terms!G$2</f>
        <v>-5.61217588691551</v>
      </c>
      <c r="Y442" s="0" t="str">
        <f aca="false">INDEX($S$1:$X$1,MATCH(MAX(S442:X442),S442:X442,0))</f>
        <v>Account Access</v>
      </c>
      <c r="Z442" s="0" t="s">
        <v>2607</v>
      </c>
    </row>
    <row r="443" customFormat="false" ht="15" hidden="false" customHeight="false" outlineLevel="0" collapsed="false">
      <c r="A443" s="0" t="str">
        <f aca="false">Complaints!A443</f>
        <v>C0442</v>
      </c>
      <c r="B443" s="0" t="str">
        <f aca="false">Complaints!B443</f>
        <v>To whom it may concern, I was told this policy covered me but my claim was rejected. Also, my account was frozen and I cannot get in to move money.</v>
      </c>
      <c r="C443" s="0" t="str">
        <f aca="false">Complaints!C443</f>
        <v>Mis-selling</v>
      </c>
      <c r="D443" s="0" t="str">
        <f aca="false">" "&amp;TRIM(SUBSTITUTE(SUBSTITUTE(SUBSTITUTE(SUBSTITUTE(SUBSTITUTE(SUBSTITUTE(SUBSTITUTE(SUBSTITUTE(SUBSTITUTE(SUBSTITUTE(SUBSTITUTE(SUBSTITUTE(SUBSTITUTE(SUBSTITUTE(SUBSTITUTE(SUBSTITUTE(LOWER(B443),"."," "),","," "),"'"," "),"’"," "),"!"," "),"?"," "),";"," "),":"," "),"-"," "),"("," "),")"," "),"""", " "),"£"," "),"&amp;"," "),"/"," "),"%"," "))&amp;" "</f>
        <v> to whom it may concern i was told this policy covered me but my claim was rejected also my account was frozen and i cannot get in to move money </v>
      </c>
      <c r="E443" s="0" t="n">
        <f aca="false">SUMPRODUCT((Rules!$A$2:$A$60=E$1)*Rules!$C$2:$C$60*ISNUMBER(SEARCH(Rules!$D$2:$D$60,$D443)))</f>
        <v>0</v>
      </c>
      <c r="F443" s="0" t="n">
        <f aca="false">SUMPRODUCT((Rules!$A$2:$A$60=F$1)*Rules!$C$2:$C$60*ISNUMBER(SEARCH(Rules!$D$2:$D$60,$D443)))</f>
        <v>1</v>
      </c>
      <c r="G443" s="0" t="n">
        <f aca="false">SUMPRODUCT((Rules!$A$2:$A$60=G$1)*Rules!$C$2:$C$60*ISNUMBER(SEARCH(Rules!$D$2:$D$60,$D443)))</f>
        <v>0</v>
      </c>
      <c r="H443" s="0" t="n">
        <f aca="false">SUMPRODUCT((Rules!$A$2:$A$60=H$1)*Rules!$C$2:$C$60*ISNUMBER(SEARCH(Rules!$D$2:$D$60,$D443)))</f>
        <v>0</v>
      </c>
      <c r="I443" s="0" t="n">
        <f aca="false">SUMPRODUCT((Rules!$A$2:$A$60=I$1)*Rules!$C$2:$C$60*ISNUMBER(SEARCH(Rules!$D$2:$D$60,$D443)))</f>
        <v>0</v>
      </c>
      <c r="J443" s="0" t="n">
        <f aca="false">SUMPRODUCT((Rules!$A$2:$A$60=J$1)*Rules!$C$2:$C$60*ISNUMBER(SEARCH(Rules!$D$2:$D$60,$D443)))</f>
        <v>0</v>
      </c>
      <c r="K443" s="0" t="str">
        <f aca="false">IF(OR(MAX(E443:J443)&lt;Rules!$H$1,MAX(E443:J443)-LARGE(E443:J443,2)&lt;Rules!$H$2),"No label",INDEX($E$1:$J$1,MATCH(MAX(E443:J443),E443:J443,0)))</f>
        <v>No label</v>
      </c>
      <c r="L443" s="0" t="n">
        <f aca="false">SUMPRODUCT((Rules!$A$2:$A$60=L$1)*Rules!$C$2:$C$60*ISNUMBER(SEARCH(Rules!$E$2:$E$60,$D443)))</f>
        <v>0</v>
      </c>
      <c r="M443" s="0" t="n">
        <f aca="false">SUMPRODUCT((Rules!$A$2:$A$60=M$1)*Rules!$C$2:$C$60*ISNUMBER(SEARCH(Rules!$E$2:$E$60,$D443)))</f>
        <v>1</v>
      </c>
      <c r="N443" s="0" t="n">
        <f aca="false">SUMPRODUCT((Rules!$A$2:$A$60=N$1)*Rules!$C$2:$C$60*ISNUMBER(SEARCH(Rules!$E$2:$E$60,$D443)))</f>
        <v>0</v>
      </c>
      <c r="O443" s="0" t="n">
        <f aca="false">SUMPRODUCT((Rules!$A$2:$A$60=O$1)*Rules!$C$2:$C$60*ISNUMBER(SEARCH(Rules!$E$2:$E$60,$D443)))</f>
        <v>0</v>
      </c>
      <c r="P443" s="0" t="n">
        <f aca="false">SUMPRODUCT((Rules!$A$2:$A$60=P$1)*Rules!$C$2:$C$60*ISNUMBER(SEARCH(Rules!$E$2:$E$60,$D443)))</f>
        <v>0</v>
      </c>
      <c r="Q443" s="0" t="n">
        <f aca="false">SUMPRODUCT((Rules!$A$2:$A$60=Q$1)*Rules!$C$2:$C$60*ISNUMBER(SEARCH(Rules!$E$2:$E$60,$D443)))</f>
        <v>0</v>
      </c>
      <c r="R443" s="0" t="str">
        <f aca="false">IF(OR(MAX(L443:Q443)&lt;Rules!$H$1,MAX(L443:Q443)-LARGE(L443:Q443,2)&lt;Rules!$H$2),"No label",INDEX($L$1:$Q$1,MATCH(MAX(L443:Q443),L443:Q443,0)))</f>
        <v>No label</v>
      </c>
      <c r="S443" s="0" t="n">
        <f aca="false">SUMPRODUCT(ISNUMBER(SEARCH(" "&amp;Terms!$A$3:$A$821&amp;" ",$D443))*Terms!B$3:B$821)+Terms!B$2</f>
        <v>2.45207181488713</v>
      </c>
      <c r="T443" s="0" t="n">
        <f aca="false">SUMPRODUCT(ISNUMBER(SEARCH(" "&amp;Terms!$A$3:$A$821&amp;" ",$D443))*Terms!C$3:C$821)+Terms!C$2</f>
        <v>-7.46911939741915</v>
      </c>
      <c r="U443" s="0" t="n">
        <f aca="false">SUMPRODUCT(ISNUMBER(SEARCH(" "&amp;Terms!$A$3:$A$821&amp;" ",$D443))*Terms!D$3:D$821)+Terms!D$2</f>
        <v>0.635737871908214</v>
      </c>
      <c r="V443" s="0" t="n">
        <f aca="false">SUMPRODUCT(ISNUMBER(SEARCH(" "&amp;Terms!$A$3:$A$821&amp;" ",$D443))*Terms!E$3:E$821)+Terms!E$2</f>
        <v>-1.37542203260621</v>
      </c>
      <c r="W443" s="0" t="n">
        <f aca="false">SUMPRODUCT(ISNUMBER(SEARCH(" "&amp;Terms!$A$3:$A$821&amp;" ",$D443))*Terms!F$3:F$821)+Terms!F$2</f>
        <v>-1.45609008874348</v>
      </c>
      <c r="X443" s="0" t="n">
        <f aca="false">SUMPRODUCT(ISNUMBER(SEARCH(" "&amp;Terms!$A$3:$A$821&amp;" ",$D443))*Terms!G$3:G$821)+Terms!G$2</f>
        <v>7.21282183197359</v>
      </c>
      <c r="Y443" s="0" t="str">
        <f aca="false">INDEX($S$1:$X$1,MATCH(MAX(S443:X443),S443:X443,0))</f>
        <v>Mis-selling</v>
      </c>
      <c r="Z443" s="0" t="s">
        <v>2607</v>
      </c>
    </row>
    <row r="444" customFormat="false" ht="15" hidden="false" customHeight="false" outlineLevel="0" collapsed="false">
      <c r="A444" s="0" t="str">
        <f aca="false">Complaints!A444</f>
        <v>C0443</v>
      </c>
      <c r="B444" s="0" t="str">
        <f aca="false">Complaints!B444</f>
        <v>There is an unexpected charge on my statement of £60. I do not think it was explained properly when I bought it.</v>
      </c>
      <c r="C444" s="0" t="str">
        <f aca="false">Complaints!C444</f>
        <v>Fees &amp; Charges</v>
      </c>
      <c r="D444" s="0" t="str">
        <f aca="false">" "&amp;TRIM(SUBSTITUTE(SUBSTITUTE(SUBSTITUTE(SUBSTITUTE(SUBSTITUTE(SUBSTITUTE(SUBSTITUTE(SUBSTITUTE(SUBSTITUTE(SUBSTITUTE(SUBSTITUTE(SUBSTITUTE(SUBSTITUTE(SUBSTITUTE(SUBSTITUTE(SUBSTITUTE(LOWER(B444),"."," "),","," "),"'"," "),"’"," "),"!"," "),"?"," "),";"," "),":"," "),"-"," "),"("," "),")"," "),"""", " "),"£"," "),"&amp;"," "),"/"," "),"%"," "))&amp;" "</f>
        <v> there is an unexpected charge on my statement of 60 i do not think it was explained properly when i bought it </v>
      </c>
      <c r="E444" s="0" t="n">
        <f aca="false">SUMPRODUCT((Rules!$A$2:$A$60=E$1)*Rules!$C$2:$C$60*ISNUMBER(SEARCH(Rules!$D$2:$D$60,$D444)))</f>
        <v>0</v>
      </c>
      <c r="F444" s="0" t="n">
        <f aca="false">SUMPRODUCT((Rules!$A$2:$A$60=F$1)*Rules!$C$2:$C$60*ISNUMBER(SEARCH(Rules!$D$2:$D$60,$D444)))</f>
        <v>0</v>
      </c>
      <c r="G444" s="0" t="n">
        <f aca="false">SUMPRODUCT((Rules!$A$2:$A$60=G$1)*Rules!$C$2:$C$60*ISNUMBER(SEARCH(Rules!$D$2:$D$60,$D444)))</f>
        <v>0</v>
      </c>
      <c r="H444" s="0" t="n">
        <f aca="false">SUMPRODUCT((Rules!$A$2:$A$60=H$1)*Rules!$C$2:$C$60*ISNUMBER(SEARCH(Rules!$D$2:$D$60,$D444)))</f>
        <v>3</v>
      </c>
      <c r="I444" s="0" t="n">
        <f aca="false">SUMPRODUCT((Rules!$A$2:$A$60=I$1)*Rules!$C$2:$C$60*ISNUMBER(SEARCH(Rules!$D$2:$D$60,$D444)))</f>
        <v>0</v>
      </c>
      <c r="J444" s="0" t="n">
        <f aca="false">SUMPRODUCT((Rules!$A$2:$A$60=J$1)*Rules!$C$2:$C$60*ISNUMBER(SEARCH(Rules!$D$2:$D$60,$D444)))</f>
        <v>0</v>
      </c>
      <c r="K444" s="0" t="str">
        <f aca="false">IF(OR(MAX(E444:J444)&lt;Rules!$H$1,MAX(E444:J444)-LARGE(E444:J444,2)&lt;Rules!$H$2),"No label",INDEX($E$1:$J$1,MATCH(MAX(E444:J444),E444:J444,0)))</f>
        <v>Fees &amp; Charges</v>
      </c>
      <c r="L444" s="0" t="n">
        <f aca="false">SUMPRODUCT((Rules!$A$2:$A$60=L$1)*Rules!$C$2:$C$60*ISNUMBER(SEARCH(Rules!$E$2:$E$60,$D444)))</f>
        <v>0</v>
      </c>
      <c r="M444" s="0" t="n">
        <f aca="false">SUMPRODUCT((Rules!$A$2:$A$60=M$1)*Rules!$C$2:$C$60*ISNUMBER(SEARCH(Rules!$E$2:$E$60,$D444)))</f>
        <v>0</v>
      </c>
      <c r="N444" s="0" t="n">
        <f aca="false">SUMPRODUCT((Rules!$A$2:$A$60=N$1)*Rules!$C$2:$C$60*ISNUMBER(SEARCH(Rules!$E$2:$E$60,$D444)))</f>
        <v>0</v>
      </c>
      <c r="O444" s="0" t="n">
        <f aca="false">SUMPRODUCT((Rules!$A$2:$A$60=O$1)*Rules!$C$2:$C$60*ISNUMBER(SEARCH(Rules!$E$2:$E$60,$D444)))</f>
        <v>5</v>
      </c>
      <c r="P444" s="0" t="n">
        <f aca="false">SUMPRODUCT((Rules!$A$2:$A$60=P$1)*Rules!$C$2:$C$60*ISNUMBER(SEARCH(Rules!$E$2:$E$60,$D444)))</f>
        <v>0</v>
      </c>
      <c r="Q444" s="0" t="n">
        <f aca="false">SUMPRODUCT((Rules!$A$2:$A$60=Q$1)*Rules!$C$2:$C$60*ISNUMBER(SEARCH(Rules!$E$2:$E$60,$D444)))</f>
        <v>0</v>
      </c>
      <c r="R444" s="0" t="str">
        <f aca="false">IF(OR(MAX(L444:Q444)&lt;Rules!$H$1,MAX(L444:Q444)-LARGE(L444:Q444,2)&lt;Rules!$H$2),"No label",INDEX($L$1:$Q$1,MATCH(MAX(L444:Q444),L444:Q444,0)))</f>
        <v>Fees &amp; Charges</v>
      </c>
      <c r="S444" s="0" t="n">
        <f aca="false">SUMPRODUCT(ISNUMBER(SEARCH(" "&amp;Terms!$A$3:$A$821&amp;" ",$D444))*Terms!B$3:B$821)+Terms!B$2</f>
        <v>-3.16343101747843</v>
      </c>
      <c r="T444" s="0" t="n">
        <f aca="false">SUMPRODUCT(ISNUMBER(SEARCH(" "&amp;Terms!$A$3:$A$821&amp;" ",$D444))*Terms!C$3:C$821)+Terms!C$2</f>
        <v>-1.98687759569563</v>
      </c>
      <c r="U444" s="0" t="n">
        <f aca="false">SUMPRODUCT(ISNUMBER(SEARCH(" "&amp;Terms!$A$3:$A$821&amp;" ",$D444))*Terms!D$3:D$821)+Terms!D$2</f>
        <v>-3.20967843652897</v>
      </c>
      <c r="V444" s="0" t="n">
        <f aca="false">SUMPRODUCT(ISNUMBER(SEARCH(" "&amp;Terms!$A$3:$A$821&amp;" ",$D444))*Terms!E$3:E$821)+Terms!E$2</f>
        <v>11.8278427141435</v>
      </c>
      <c r="W444" s="0" t="n">
        <f aca="false">SUMPRODUCT(ISNUMBER(SEARCH(" "&amp;Terms!$A$3:$A$821&amp;" ",$D444))*Terms!F$3:F$821)+Terms!F$2</f>
        <v>1.17423843581675</v>
      </c>
      <c r="X444" s="0" t="n">
        <f aca="false">SUMPRODUCT(ISNUMBER(SEARCH(" "&amp;Terms!$A$3:$A$821&amp;" ",$D444))*Terms!G$3:G$821)+Terms!G$2</f>
        <v>-4.64209410025711</v>
      </c>
      <c r="Y444" s="0" t="str">
        <f aca="false">INDEX($S$1:$X$1,MATCH(MAX(S444:X444),S444:X444,0))</f>
        <v>Fees &amp; Charges</v>
      </c>
      <c r="Z444" s="0" t="s">
        <v>2608</v>
      </c>
    </row>
    <row r="445" customFormat="false" ht="15" hidden="false" customHeight="false" outlineLevel="0" collapsed="false">
      <c r="A445" s="0" t="str">
        <f aca="false">Complaints!A445</f>
        <v>C0444</v>
      </c>
      <c r="B445" s="0" t="str">
        <f aca="false">Complaints!B445</f>
        <v>Someone has made payments from my account that I did not authorise. I would like a response in writing.</v>
      </c>
      <c r="C445" s="0" t="str">
        <f aca="false">Complaints!C445</f>
        <v>Fraud &amp; Scams</v>
      </c>
      <c r="D445" s="0" t="str">
        <f aca="false">" "&amp;TRIM(SUBSTITUTE(SUBSTITUTE(SUBSTITUTE(SUBSTITUTE(SUBSTITUTE(SUBSTITUTE(SUBSTITUTE(SUBSTITUTE(SUBSTITUTE(SUBSTITUTE(SUBSTITUTE(SUBSTITUTE(SUBSTITUTE(SUBSTITUTE(SUBSTITUTE(SUBSTITUTE(LOWER(B445),"."," "),","," "),"'"," "),"’"," "),"!"," "),"?"," "),";"," "),":"," "),"-"," "),"("," "),")"," "),"""", " "),"£"," "),"&amp;"," "),"/"," "),"%"," "))&amp;" "</f>
        <v> someone has made payments from my account that i did not authorise i would like a response in writing </v>
      </c>
      <c r="E445" s="0" t="n">
        <f aca="false">SUMPRODUCT((Rules!$A$2:$A$60=E$1)*Rules!$C$2:$C$60*ISNUMBER(SEARCH(Rules!$D$2:$D$60,$D445)))</f>
        <v>3</v>
      </c>
      <c r="F445" s="0" t="n">
        <f aca="false">SUMPRODUCT((Rules!$A$2:$A$60=F$1)*Rules!$C$2:$C$60*ISNUMBER(SEARCH(Rules!$D$2:$D$60,$D445)))</f>
        <v>0</v>
      </c>
      <c r="G445" s="0" t="n">
        <f aca="false">SUMPRODUCT((Rules!$A$2:$A$60=G$1)*Rules!$C$2:$C$60*ISNUMBER(SEARCH(Rules!$D$2:$D$60,$D445)))</f>
        <v>0</v>
      </c>
      <c r="H445" s="0" t="n">
        <f aca="false">SUMPRODUCT((Rules!$A$2:$A$60=H$1)*Rules!$C$2:$C$60*ISNUMBER(SEARCH(Rules!$D$2:$D$60,$D445)))</f>
        <v>0</v>
      </c>
      <c r="I445" s="0" t="n">
        <f aca="false">SUMPRODUCT((Rules!$A$2:$A$60=I$1)*Rules!$C$2:$C$60*ISNUMBER(SEARCH(Rules!$D$2:$D$60,$D445)))</f>
        <v>0</v>
      </c>
      <c r="J445" s="0" t="n">
        <f aca="false">SUMPRODUCT((Rules!$A$2:$A$60=J$1)*Rules!$C$2:$C$60*ISNUMBER(SEARCH(Rules!$D$2:$D$60,$D445)))</f>
        <v>0</v>
      </c>
      <c r="K445" s="0" t="str">
        <f aca="false">IF(OR(MAX(E445:J445)&lt;Rules!$H$1,MAX(E445:J445)-LARGE(E445:J445,2)&lt;Rules!$H$2),"No label",INDEX($E$1:$J$1,MATCH(MAX(E445:J445),E445:J445,0)))</f>
        <v>Fraud &amp; Scams</v>
      </c>
      <c r="L445" s="0" t="n">
        <f aca="false">SUMPRODUCT((Rules!$A$2:$A$60=L$1)*Rules!$C$2:$C$60*ISNUMBER(SEARCH(Rules!$E$2:$E$60,$D445)))</f>
        <v>3</v>
      </c>
      <c r="M445" s="0" t="n">
        <f aca="false">SUMPRODUCT((Rules!$A$2:$A$60=M$1)*Rules!$C$2:$C$60*ISNUMBER(SEARCH(Rules!$E$2:$E$60,$D445)))</f>
        <v>0</v>
      </c>
      <c r="N445" s="0" t="n">
        <f aca="false">SUMPRODUCT((Rules!$A$2:$A$60=N$1)*Rules!$C$2:$C$60*ISNUMBER(SEARCH(Rules!$E$2:$E$60,$D445)))</f>
        <v>0</v>
      </c>
      <c r="O445" s="0" t="n">
        <f aca="false">SUMPRODUCT((Rules!$A$2:$A$60=O$1)*Rules!$C$2:$C$60*ISNUMBER(SEARCH(Rules!$E$2:$E$60,$D445)))</f>
        <v>0</v>
      </c>
      <c r="P445" s="0" t="n">
        <f aca="false">SUMPRODUCT((Rules!$A$2:$A$60=P$1)*Rules!$C$2:$C$60*ISNUMBER(SEARCH(Rules!$E$2:$E$60,$D445)))</f>
        <v>0</v>
      </c>
      <c r="Q445" s="0" t="n">
        <f aca="false">SUMPRODUCT((Rules!$A$2:$A$60=Q$1)*Rules!$C$2:$C$60*ISNUMBER(SEARCH(Rules!$E$2:$E$60,$D445)))</f>
        <v>0</v>
      </c>
      <c r="R445" s="0" t="str">
        <f aca="false">IF(OR(MAX(L445:Q445)&lt;Rules!$H$1,MAX(L445:Q445)-LARGE(L445:Q445,2)&lt;Rules!$H$2),"No label",INDEX($L$1:$Q$1,MATCH(MAX(L445:Q445),L445:Q445,0)))</f>
        <v>Fraud &amp; Scams</v>
      </c>
      <c r="S445" s="0" t="n">
        <f aca="false">SUMPRODUCT(ISNUMBER(SEARCH(" "&amp;Terms!$A$3:$A$821&amp;" ",$D445))*Terms!B$3:B$821)+Terms!B$2</f>
        <v>1.39900977250667</v>
      </c>
      <c r="T445" s="0" t="n">
        <f aca="false">SUMPRODUCT(ISNUMBER(SEARCH(" "&amp;Terms!$A$3:$A$821&amp;" ",$D445))*Terms!C$3:C$821)+Terms!C$2</f>
        <v>-2.22609697749836</v>
      </c>
      <c r="U445" s="0" t="n">
        <f aca="false">SUMPRODUCT(ISNUMBER(SEARCH(" "&amp;Terms!$A$3:$A$821&amp;" ",$D445))*Terms!D$3:D$821)+Terms!D$2</f>
        <v>-0.106725890524946</v>
      </c>
      <c r="V445" s="0" t="n">
        <f aca="false">SUMPRODUCT(ISNUMBER(SEARCH(" "&amp;Terms!$A$3:$A$821&amp;" ",$D445))*Terms!E$3:E$821)+Terms!E$2</f>
        <v>-2.89714697724923</v>
      </c>
      <c r="W445" s="0" t="n">
        <f aca="false">SUMPRODUCT(ISNUMBER(SEARCH(" "&amp;Terms!$A$3:$A$821&amp;" ",$D445))*Terms!F$3:F$821)+Terms!F$2</f>
        <v>3.53402230685226</v>
      </c>
      <c r="X445" s="0" t="n">
        <f aca="false">SUMPRODUCT(ISNUMBER(SEARCH(" "&amp;Terms!$A$3:$A$821&amp;" ",$D445))*Terms!G$3:G$821)+Terms!G$2</f>
        <v>0.296937765913702</v>
      </c>
      <c r="Y445" s="0" t="str">
        <f aca="false">INDEX($S$1:$X$1,MATCH(MAX(S445:X445),S445:X445,0))</f>
        <v>Fraud &amp; Scams</v>
      </c>
      <c r="Z445" s="0" t="s">
        <v>2607</v>
      </c>
    </row>
    <row r="446" customFormat="false" ht="15" hidden="false" customHeight="false" outlineLevel="0" collapsed="false">
      <c r="A446" s="0" t="str">
        <f aca="false">Complaints!A446</f>
        <v>C0445</v>
      </c>
      <c r="B446" s="0" t="str">
        <f aca="false">Complaints!B446</f>
        <v>The paperwork was submitted a month ago and I am still waiting. I want this put right.</v>
      </c>
      <c r="C446" s="0" t="str">
        <f aca="false">Complaints!C446</f>
        <v>Delays &amp; Processing</v>
      </c>
      <c r="D446" s="0" t="str">
        <f aca="false">" "&amp;TRIM(SUBSTITUTE(SUBSTITUTE(SUBSTITUTE(SUBSTITUTE(SUBSTITUTE(SUBSTITUTE(SUBSTITUTE(SUBSTITUTE(SUBSTITUTE(SUBSTITUTE(SUBSTITUTE(SUBSTITUTE(SUBSTITUTE(SUBSTITUTE(SUBSTITUTE(SUBSTITUTE(LOWER(B446),"."," "),","," "),"'"," "),"’"," "),"!"," "),"?"," "),";"," "),":"," "),"-"," "),"("," "),")"," "),"""", " "),"£"," "),"&amp;"," "),"/"," "),"%"," "))&amp;" "</f>
        <v> the paperwork was submitted a month ago and i am still waiting i want this put right </v>
      </c>
      <c r="E446" s="0" t="n">
        <f aca="false">SUMPRODUCT((Rules!$A$2:$A$60=E$1)*Rules!$C$2:$C$60*ISNUMBER(SEARCH(Rules!$D$2:$D$60,$D446)))</f>
        <v>0</v>
      </c>
      <c r="F446" s="0" t="n">
        <f aca="false">SUMPRODUCT((Rules!$A$2:$A$60=F$1)*Rules!$C$2:$C$60*ISNUMBER(SEARCH(Rules!$D$2:$D$60,$D446)))</f>
        <v>0</v>
      </c>
      <c r="G446" s="0" t="n">
        <f aca="false">SUMPRODUCT((Rules!$A$2:$A$60=G$1)*Rules!$C$2:$C$60*ISNUMBER(SEARCH(Rules!$D$2:$D$60,$D446)))</f>
        <v>0</v>
      </c>
      <c r="H446" s="0" t="n">
        <f aca="false">SUMPRODUCT((Rules!$A$2:$A$60=H$1)*Rules!$C$2:$C$60*ISNUMBER(SEARCH(Rules!$D$2:$D$60,$D446)))</f>
        <v>0</v>
      </c>
      <c r="I446" s="0" t="n">
        <f aca="false">SUMPRODUCT((Rules!$A$2:$A$60=I$1)*Rules!$C$2:$C$60*ISNUMBER(SEARCH(Rules!$D$2:$D$60,$D446)))</f>
        <v>2</v>
      </c>
      <c r="J446" s="0" t="n">
        <f aca="false">SUMPRODUCT((Rules!$A$2:$A$60=J$1)*Rules!$C$2:$C$60*ISNUMBER(SEARCH(Rules!$D$2:$D$60,$D446)))</f>
        <v>0</v>
      </c>
      <c r="K446" s="0" t="str">
        <f aca="false">IF(OR(MAX(E446:J446)&lt;Rules!$H$1,MAX(E446:J446)-LARGE(E446:J446,2)&lt;Rules!$H$2),"No label",INDEX($E$1:$J$1,MATCH(MAX(E446:J446),E446:J446,0)))</f>
        <v>No label</v>
      </c>
      <c r="L446" s="0" t="n">
        <f aca="false">SUMPRODUCT((Rules!$A$2:$A$60=L$1)*Rules!$C$2:$C$60*ISNUMBER(SEARCH(Rules!$E$2:$E$60,$D446)))</f>
        <v>0</v>
      </c>
      <c r="M446" s="0" t="n">
        <f aca="false">SUMPRODUCT((Rules!$A$2:$A$60=M$1)*Rules!$C$2:$C$60*ISNUMBER(SEARCH(Rules!$E$2:$E$60,$D446)))</f>
        <v>0</v>
      </c>
      <c r="N446" s="0" t="n">
        <f aca="false">SUMPRODUCT((Rules!$A$2:$A$60=N$1)*Rules!$C$2:$C$60*ISNUMBER(SEARCH(Rules!$E$2:$E$60,$D446)))</f>
        <v>0</v>
      </c>
      <c r="O446" s="0" t="n">
        <f aca="false">SUMPRODUCT((Rules!$A$2:$A$60=O$1)*Rules!$C$2:$C$60*ISNUMBER(SEARCH(Rules!$E$2:$E$60,$D446)))</f>
        <v>0</v>
      </c>
      <c r="P446" s="0" t="n">
        <f aca="false">SUMPRODUCT((Rules!$A$2:$A$60=P$1)*Rules!$C$2:$C$60*ISNUMBER(SEARCH(Rules!$E$2:$E$60,$D446)))</f>
        <v>2</v>
      </c>
      <c r="Q446" s="0" t="n">
        <f aca="false">SUMPRODUCT((Rules!$A$2:$A$60=Q$1)*Rules!$C$2:$C$60*ISNUMBER(SEARCH(Rules!$E$2:$E$60,$D446)))</f>
        <v>0</v>
      </c>
      <c r="R446" s="0" t="str">
        <f aca="false">IF(OR(MAX(L446:Q446)&lt;Rules!$H$1,MAX(L446:Q446)-LARGE(L446:Q446,2)&lt;Rules!$H$2),"No label",INDEX($L$1:$Q$1,MATCH(MAX(L446:Q446),L446:Q446,0)))</f>
        <v>No label</v>
      </c>
      <c r="S446" s="0" t="n">
        <f aca="false">SUMPRODUCT(ISNUMBER(SEARCH(" "&amp;Terms!$A$3:$A$821&amp;" ",$D446))*Terms!B$3:B$821)+Terms!B$2</f>
        <v>-1.39047940381057</v>
      </c>
      <c r="T446" s="0" t="n">
        <f aca="false">SUMPRODUCT(ISNUMBER(SEARCH(" "&amp;Terms!$A$3:$A$821&amp;" ",$D446))*Terms!C$3:C$821)+Terms!C$2</f>
        <v>-2.69458776054715</v>
      </c>
      <c r="U446" s="0" t="n">
        <f aca="false">SUMPRODUCT(ISNUMBER(SEARCH(" "&amp;Terms!$A$3:$A$821&amp;" ",$D446))*Terms!D$3:D$821)+Terms!D$2</f>
        <v>5.93866193250401</v>
      </c>
      <c r="V446" s="0" t="n">
        <f aca="false">SUMPRODUCT(ISNUMBER(SEARCH(" "&amp;Terms!$A$3:$A$821&amp;" ",$D446))*Terms!E$3:E$821)+Terms!E$2</f>
        <v>0.711690777968527</v>
      </c>
      <c r="W446" s="0" t="n">
        <f aca="false">SUMPRODUCT(ISNUMBER(SEARCH(" "&amp;Terms!$A$3:$A$821&amp;" ",$D446))*Terms!F$3:F$821)+Terms!F$2</f>
        <v>-1.18436255507337</v>
      </c>
      <c r="X446" s="0" t="n">
        <f aca="false">SUMPRODUCT(ISNUMBER(SEARCH(" "&amp;Terms!$A$3:$A$821&amp;" ",$D446))*Terms!G$3:G$821)+Terms!G$2</f>
        <v>-1.38092299104136</v>
      </c>
      <c r="Y446" s="0" t="str">
        <f aca="false">INDEX($S$1:$X$1,MATCH(MAX(S446:X446),S446:X446,0))</f>
        <v>Delays &amp; Processing</v>
      </c>
      <c r="Z446" s="0" t="s">
        <v>2607</v>
      </c>
    </row>
    <row r="447" customFormat="false" ht="15" hidden="false" customHeight="false" outlineLevel="0" collapsed="false">
      <c r="A447" s="0" t="str">
        <f aca="false">Complaints!A447</f>
        <v>C0446</v>
      </c>
      <c r="B447" s="0" t="str">
        <f aca="false">Complaints!B447</f>
        <v>I asked for a callback and it never happened.</v>
      </c>
      <c r="C447" s="0" t="str">
        <f aca="false">Complaints!C447</f>
        <v>Customer Service</v>
      </c>
      <c r="D447" s="0" t="str">
        <f aca="false">" "&amp;TRIM(SUBSTITUTE(SUBSTITUTE(SUBSTITUTE(SUBSTITUTE(SUBSTITUTE(SUBSTITUTE(SUBSTITUTE(SUBSTITUTE(SUBSTITUTE(SUBSTITUTE(SUBSTITUTE(SUBSTITUTE(SUBSTITUTE(SUBSTITUTE(SUBSTITUTE(SUBSTITUTE(LOWER(B447),"."," "),","," "),"'"," "),"’"," "),"!"," "),"?"," "),";"," "),":"," "),"-"," "),"("," "),")"," "),"""", " "),"£"," "),"&amp;"," "),"/"," "),"%"," "))&amp;" "</f>
        <v> i asked for a callback and it never happened </v>
      </c>
      <c r="E447" s="0" t="n">
        <f aca="false">SUMPRODUCT((Rules!$A$2:$A$60=E$1)*Rules!$C$2:$C$60*ISNUMBER(SEARCH(Rules!$D$2:$D$60,$D447)))</f>
        <v>0</v>
      </c>
      <c r="F447" s="0" t="n">
        <f aca="false">SUMPRODUCT((Rules!$A$2:$A$60=F$1)*Rules!$C$2:$C$60*ISNUMBER(SEARCH(Rules!$D$2:$D$60,$D447)))</f>
        <v>0</v>
      </c>
      <c r="G447" s="0" t="n">
        <f aca="false">SUMPRODUCT((Rules!$A$2:$A$60=G$1)*Rules!$C$2:$C$60*ISNUMBER(SEARCH(Rules!$D$2:$D$60,$D447)))</f>
        <v>0</v>
      </c>
      <c r="H447" s="0" t="n">
        <f aca="false">SUMPRODUCT((Rules!$A$2:$A$60=H$1)*Rules!$C$2:$C$60*ISNUMBER(SEARCH(Rules!$D$2:$D$60,$D447)))</f>
        <v>0</v>
      </c>
      <c r="I447" s="0" t="n">
        <f aca="false">SUMPRODUCT((Rules!$A$2:$A$60=I$1)*Rules!$C$2:$C$60*ISNUMBER(SEARCH(Rules!$D$2:$D$60,$D447)))</f>
        <v>0</v>
      </c>
      <c r="J447" s="0" t="n">
        <f aca="false">SUMPRODUCT((Rules!$A$2:$A$60=J$1)*Rules!$C$2:$C$60*ISNUMBER(SEARCH(Rules!$D$2:$D$60,$D447)))</f>
        <v>2</v>
      </c>
      <c r="K447" s="0" t="str">
        <f aca="false">IF(OR(MAX(E447:J447)&lt;Rules!$H$1,MAX(E447:J447)-LARGE(E447:J447,2)&lt;Rules!$H$2),"No label",INDEX($E$1:$J$1,MATCH(MAX(E447:J447),E447:J447,0)))</f>
        <v>No label</v>
      </c>
      <c r="L447" s="0" t="n">
        <f aca="false">SUMPRODUCT((Rules!$A$2:$A$60=L$1)*Rules!$C$2:$C$60*ISNUMBER(SEARCH(Rules!$E$2:$E$60,$D447)))</f>
        <v>0</v>
      </c>
      <c r="M447" s="0" t="n">
        <f aca="false">SUMPRODUCT((Rules!$A$2:$A$60=M$1)*Rules!$C$2:$C$60*ISNUMBER(SEARCH(Rules!$E$2:$E$60,$D447)))</f>
        <v>0</v>
      </c>
      <c r="N447" s="0" t="n">
        <f aca="false">SUMPRODUCT((Rules!$A$2:$A$60=N$1)*Rules!$C$2:$C$60*ISNUMBER(SEARCH(Rules!$E$2:$E$60,$D447)))</f>
        <v>0</v>
      </c>
      <c r="O447" s="0" t="n">
        <f aca="false">SUMPRODUCT((Rules!$A$2:$A$60=O$1)*Rules!$C$2:$C$60*ISNUMBER(SEARCH(Rules!$E$2:$E$60,$D447)))</f>
        <v>0</v>
      </c>
      <c r="P447" s="0" t="n">
        <f aca="false">SUMPRODUCT((Rules!$A$2:$A$60=P$1)*Rules!$C$2:$C$60*ISNUMBER(SEARCH(Rules!$E$2:$E$60,$D447)))</f>
        <v>0</v>
      </c>
      <c r="Q447" s="0" t="n">
        <f aca="false">SUMPRODUCT((Rules!$A$2:$A$60=Q$1)*Rules!$C$2:$C$60*ISNUMBER(SEARCH(Rules!$E$2:$E$60,$D447)))</f>
        <v>2</v>
      </c>
      <c r="R447" s="0" t="str">
        <f aca="false">IF(OR(MAX(L447:Q447)&lt;Rules!$H$1,MAX(L447:Q447)-LARGE(L447:Q447,2)&lt;Rules!$H$2),"No label",INDEX($L$1:$Q$1,MATCH(MAX(L447:Q447),L447:Q447,0)))</f>
        <v>No label</v>
      </c>
      <c r="S447" s="0" t="n">
        <f aca="false">SUMPRODUCT(ISNUMBER(SEARCH(" "&amp;Terms!$A$3:$A$821&amp;" ",$D447))*Terms!B$3:B$821)+Terms!B$2</f>
        <v>-1.35117188756309</v>
      </c>
      <c r="T447" s="0" t="n">
        <f aca="false">SUMPRODUCT(ISNUMBER(SEARCH(" "&amp;Terms!$A$3:$A$821&amp;" ",$D447))*Terms!C$3:C$821)+Terms!C$2</f>
        <v>5.25504066059298</v>
      </c>
      <c r="U447" s="0" t="n">
        <f aca="false">SUMPRODUCT(ISNUMBER(SEARCH(" "&amp;Terms!$A$3:$A$821&amp;" ",$D447))*Terms!D$3:D$821)+Terms!D$2</f>
        <v>-2.32920274249652</v>
      </c>
      <c r="V447" s="0" t="n">
        <f aca="false">SUMPRODUCT(ISNUMBER(SEARCH(" "&amp;Terms!$A$3:$A$821&amp;" ",$D447))*Terms!E$3:E$821)+Terms!E$2</f>
        <v>-0.620185473014937</v>
      </c>
      <c r="W447" s="0" t="n">
        <f aca="false">SUMPRODUCT(ISNUMBER(SEARCH(" "&amp;Terms!$A$3:$A$821&amp;" ",$D447))*Terms!F$3:F$821)+Terms!F$2</f>
        <v>-0.767087947930722</v>
      </c>
      <c r="X447" s="0" t="n">
        <f aca="false">SUMPRODUCT(ISNUMBER(SEARCH(" "&amp;Terms!$A$3:$A$821&amp;" ",$D447))*Terms!G$3:G$821)+Terms!G$2</f>
        <v>-0.187392609587624</v>
      </c>
      <c r="Y447" s="0" t="str">
        <f aca="false">INDEX($S$1:$X$1,MATCH(MAX(S447:X447),S447:X447,0))</f>
        <v>Customer Service</v>
      </c>
      <c r="Z447" s="0" t="s">
        <v>2608</v>
      </c>
    </row>
    <row r="448" customFormat="false" ht="15" hidden="false" customHeight="false" outlineLevel="0" collapsed="false">
      <c r="A448" s="0" t="str">
        <f aca="false">Complaints!A448</f>
        <v>C0447</v>
      </c>
      <c r="B448" s="0" t="str">
        <f aca="false">Complaints!B448</f>
        <v>This is the second time I have raised this. I sent the form twice and it seems to have been lost in the system. I am worried it might be fraud. I would like a response in writing.</v>
      </c>
      <c r="C448" s="0" t="str">
        <f aca="false">Complaints!C448</f>
        <v>Delays &amp; Processing</v>
      </c>
      <c r="D448" s="0" t="str">
        <f aca="false">" "&amp;TRIM(SUBSTITUTE(SUBSTITUTE(SUBSTITUTE(SUBSTITUTE(SUBSTITUTE(SUBSTITUTE(SUBSTITUTE(SUBSTITUTE(SUBSTITUTE(SUBSTITUTE(SUBSTITUTE(SUBSTITUTE(SUBSTITUTE(SUBSTITUTE(SUBSTITUTE(SUBSTITUTE(LOWER(B448),"."," "),","," "),"'"," "),"’"," "),"!"," "),"?"," "),";"," "),":"," "),"-"," "),"("," "),")"," "),"""", " "),"£"," "),"&amp;"," "),"/"," "),"%"," "))&amp;" "</f>
        <v> this is the second time i have raised this i sent the form twice and it seems to have been lost in the system i am worried it might be fraud i would like a response in writing </v>
      </c>
      <c r="E448" s="0" t="n">
        <f aca="false">SUMPRODUCT((Rules!$A$2:$A$60=E$1)*Rules!$C$2:$C$60*ISNUMBER(SEARCH(Rules!$D$2:$D$60,$D448)))</f>
        <v>3</v>
      </c>
      <c r="F448" s="0" t="n">
        <f aca="false">SUMPRODUCT((Rules!$A$2:$A$60=F$1)*Rules!$C$2:$C$60*ISNUMBER(SEARCH(Rules!$D$2:$D$60,$D448)))</f>
        <v>0</v>
      </c>
      <c r="G448" s="0" t="n">
        <f aca="false">SUMPRODUCT((Rules!$A$2:$A$60=G$1)*Rules!$C$2:$C$60*ISNUMBER(SEARCH(Rules!$D$2:$D$60,$D448)))</f>
        <v>0</v>
      </c>
      <c r="H448" s="0" t="n">
        <f aca="false">SUMPRODUCT((Rules!$A$2:$A$60=H$1)*Rules!$C$2:$C$60*ISNUMBER(SEARCH(Rules!$D$2:$D$60,$D448)))</f>
        <v>0</v>
      </c>
      <c r="I448" s="0" t="n">
        <f aca="false">SUMPRODUCT((Rules!$A$2:$A$60=I$1)*Rules!$C$2:$C$60*ISNUMBER(SEARCH(Rules!$D$2:$D$60,$D448)))</f>
        <v>0</v>
      </c>
      <c r="J448" s="0" t="n">
        <f aca="false">SUMPRODUCT((Rules!$A$2:$A$60=J$1)*Rules!$C$2:$C$60*ISNUMBER(SEARCH(Rules!$D$2:$D$60,$D448)))</f>
        <v>0</v>
      </c>
      <c r="K448" s="0" t="str">
        <f aca="false">IF(OR(MAX(E448:J448)&lt;Rules!$H$1,MAX(E448:J448)-LARGE(E448:J448,2)&lt;Rules!$H$2),"No label",INDEX($E$1:$J$1,MATCH(MAX(E448:J448),E448:J448,0)))</f>
        <v>Fraud &amp; Scams</v>
      </c>
      <c r="L448" s="0" t="n">
        <f aca="false">SUMPRODUCT((Rules!$A$2:$A$60=L$1)*Rules!$C$2:$C$60*ISNUMBER(SEARCH(Rules!$E$2:$E$60,$D448)))</f>
        <v>3</v>
      </c>
      <c r="M448" s="0" t="n">
        <f aca="false">SUMPRODUCT((Rules!$A$2:$A$60=M$1)*Rules!$C$2:$C$60*ISNUMBER(SEARCH(Rules!$E$2:$E$60,$D448)))</f>
        <v>0</v>
      </c>
      <c r="N448" s="0" t="n">
        <f aca="false">SUMPRODUCT((Rules!$A$2:$A$60=N$1)*Rules!$C$2:$C$60*ISNUMBER(SEARCH(Rules!$E$2:$E$60,$D448)))</f>
        <v>0</v>
      </c>
      <c r="O448" s="0" t="n">
        <f aca="false">SUMPRODUCT((Rules!$A$2:$A$60=O$1)*Rules!$C$2:$C$60*ISNUMBER(SEARCH(Rules!$E$2:$E$60,$D448)))</f>
        <v>0</v>
      </c>
      <c r="P448" s="0" t="n">
        <f aca="false">SUMPRODUCT((Rules!$A$2:$A$60=P$1)*Rules!$C$2:$C$60*ISNUMBER(SEARCH(Rules!$E$2:$E$60,$D448)))</f>
        <v>0</v>
      </c>
      <c r="Q448" s="0" t="n">
        <f aca="false">SUMPRODUCT((Rules!$A$2:$A$60=Q$1)*Rules!$C$2:$C$60*ISNUMBER(SEARCH(Rules!$E$2:$E$60,$D448)))</f>
        <v>0</v>
      </c>
      <c r="R448" s="0" t="str">
        <f aca="false">IF(OR(MAX(L448:Q448)&lt;Rules!$H$1,MAX(L448:Q448)-LARGE(L448:Q448,2)&lt;Rules!$H$2),"No label",INDEX($L$1:$Q$1,MATCH(MAX(L448:Q448),L448:Q448,0)))</f>
        <v>Fraud &amp; Scams</v>
      </c>
      <c r="S448" s="0" t="n">
        <f aca="false">SUMPRODUCT(ISNUMBER(SEARCH(" "&amp;Terms!$A$3:$A$821&amp;" ",$D448))*Terms!B$3:B$821)+Terms!B$2</f>
        <v>-4.33854979893052</v>
      </c>
      <c r="T448" s="0" t="n">
        <f aca="false">SUMPRODUCT(ISNUMBER(SEARCH(" "&amp;Terms!$A$3:$A$821&amp;" ",$D448))*Terms!C$3:C$821)+Terms!C$2</f>
        <v>0.38788160032535</v>
      </c>
      <c r="U448" s="0" t="n">
        <f aca="false">SUMPRODUCT(ISNUMBER(SEARCH(" "&amp;Terms!$A$3:$A$821&amp;" ",$D448))*Terms!D$3:D$821)+Terms!D$2</f>
        <v>8.34260421031241</v>
      </c>
      <c r="V448" s="0" t="n">
        <f aca="false">SUMPRODUCT(ISNUMBER(SEARCH(" "&amp;Terms!$A$3:$A$821&amp;" ",$D448))*Terms!E$3:E$821)+Terms!E$2</f>
        <v>-0.00273357180940664</v>
      </c>
      <c r="W448" s="0" t="n">
        <f aca="false">SUMPRODUCT(ISNUMBER(SEARCH(" "&amp;Terms!$A$3:$A$821&amp;" ",$D448))*Terms!F$3:F$821)+Terms!F$2</f>
        <v>-3.54020619235019</v>
      </c>
      <c r="X448" s="0" t="n">
        <f aca="false">SUMPRODUCT(ISNUMBER(SEARCH(" "&amp;Terms!$A$3:$A$821&amp;" ",$D448))*Terms!G$3:G$821)+Terms!G$2</f>
        <v>-0.848996247547557</v>
      </c>
      <c r="Y448" s="0" t="str">
        <f aca="false">INDEX($S$1:$X$1,MATCH(MAX(S448:X448),S448:X448,0))</f>
        <v>Delays &amp; Processing</v>
      </c>
      <c r="Z448" s="0" t="s">
        <v>2607</v>
      </c>
    </row>
    <row r="449" customFormat="false" ht="15" hidden="false" customHeight="false" outlineLevel="0" collapsed="false">
      <c r="A449" s="0" t="str">
        <f aca="false">Complaints!A449</f>
        <v>C0448</v>
      </c>
      <c r="B449" s="0" t="str">
        <f aca="false">Complaints!B449</f>
        <v>Hello, My mortgage switch is taking far longer than you said it would.</v>
      </c>
      <c r="C449" s="0" t="str">
        <f aca="false">Complaints!C449</f>
        <v>Delays &amp; Processing</v>
      </c>
      <c r="D449" s="0" t="str">
        <f aca="false">" "&amp;TRIM(SUBSTITUTE(SUBSTITUTE(SUBSTITUTE(SUBSTITUTE(SUBSTITUTE(SUBSTITUTE(SUBSTITUTE(SUBSTITUTE(SUBSTITUTE(SUBSTITUTE(SUBSTITUTE(SUBSTITUTE(SUBSTITUTE(SUBSTITUTE(SUBSTITUTE(SUBSTITUTE(LOWER(B449),"."," "),","," "),"'"," "),"’"," "),"!"," "),"?"," "),";"," "),":"," "),"-"," "),"("," "),")"," "),"""", " "),"£"," "),"&amp;"," "),"/"," "),"%"," "))&amp;" "</f>
        <v> hello my mortgage switch is taking far longer than you said it would </v>
      </c>
      <c r="E449" s="0" t="n">
        <f aca="false">SUMPRODUCT((Rules!$A$2:$A$60=E$1)*Rules!$C$2:$C$60*ISNUMBER(SEARCH(Rules!$D$2:$D$60,$D449)))</f>
        <v>0</v>
      </c>
      <c r="F449" s="0" t="n">
        <f aca="false">SUMPRODUCT((Rules!$A$2:$A$60=F$1)*Rules!$C$2:$C$60*ISNUMBER(SEARCH(Rules!$D$2:$D$60,$D449)))</f>
        <v>0</v>
      </c>
      <c r="G449" s="0" t="n">
        <f aca="false">SUMPRODUCT((Rules!$A$2:$A$60=G$1)*Rules!$C$2:$C$60*ISNUMBER(SEARCH(Rules!$D$2:$D$60,$D449)))</f>
        <v>0</v>
      </c>
      <c r="H449" s="0" t="n">
        <f aca="false">SUMPRODUCT((Rules!$A$2:$A$60=H$1)*Rules!$C$2:$C$60*ISNUMBER(SEARCH(Rules!$D$2:$D$60,$D449)))</f>
        <v>0</v>
      </c>
      <c r="I449" s="0" t="n">
        <f aca="false">SUMPRODUCT((Rules!$A$2:$A$60=I$1)*Rules!$C$2:$C$60*ISNUMBER(SEARCH(Rules!$D$2:$D$60,$D449)))</f>
        <v>2</v>
      </c>
      <c r="J449" s="0" t="n">
        <f aca="false">SUMPRODUCT((Rules!$A$2:$A$60=J$1)*Rules!$C$2:$C$60*ISNUMBER(SEARCH(Rules!$D$2:$D$60,$D449)))</f>
        <v>0</v>
      </c>
      <c r="K449" s="0" t="str">
        <f aca="false">IF(OR(MAX(E449:J449)&lt;Rules!$H$1,MAX(E449:J449)-LARGE(E449:J449,2)&lt;Rules!$H$2),"No label",INDEX($E$1:$J$1,MATCH(MAX(E449:J449),E449:J449,0)))</f>
        <v>No label</v>
      </c>
      <c r="L449" s="0" t="n">
        <f aca="false">SUMPRODUCT((Rules!$A$2:$A$60=L$1)*Rules!$C$2:$C$60*ISNUMBER(SEARCH(Rules!$E$2:$E$60,$D449)))</f>
        <v>0</v>
      </c>
      <c r="M449" s="0" t="n">
        <f aca="false">SUMPRODUCT((Rules!$A$2:$A$60=M$1)*Rules!$C$2:$C$60*ISNUMBER(SEARCH(Rules!$E$2:$E$60,$D449)))</f>
        <v>0</v>
      </c>
      <c r="N449" s="0" t="n">
        <f aca="false">SUMPRODUCT((Rules!$A$2:$A$60=N$1)*Rules!$C$2:$C$60*ISNUMBER(SEARCH(Rules!$E$2:$E$60,$D449)))</f>
        <v>0</v>
      </c>
      <c r="O449" s="0" t="n">
        <f aca="false">SUMPRODUCT((Rules!$A$2:$A$60=O$1)*Rules!$C$2:$C$60*ISNUMBER(SEARCH(Rules!$E$2:$E$60,$D449)))</f>
        <v>0</v>
      </c>
      <c r="P449" s="0" t="n">
        <f aca="false">SUMPRODUCT((Rules!$A$2:$A$60=P$1)*Rules!$C$2:$C$60*ISNUMBER(SEARCH(Rules!$E$2:$E$60,$D449)))</f>
        <v>2</v>
      </c>
      <c r="Q449" s="0" t="n">
        <f aca="false">SUMPRODUCT((Rules!$A$2:$A$60=Q$1)*Rules!$C$2:$C$60*ISNUMBER(SEARCH(Rules!$E$2:$E$60,$D449)))</f>
        <v>0</v>
      </c>
      <c r="R449" s="0" t="str">
        <f aca="false">IF(OR(MAX(L449:Q449)&lt;Rules!$H$1,MAX(L449:Q449)-LARGE(L449:Q449,2)&lt;Rules!$H$2),"No label",INDEX($L$1:$Q$1,MATCH(MAX(L449:Q449),L449:Q449,0)))</f>
        <v>No label</v>
      </c>
      <c r="S449" s="0" t="n">
        <f aca="false">SUMPRODUCT(ISNUMBER(SEARCH(" "&amp;Terms!$A$3:$A$821&amp;" ",$D449))*Terms!B$3:B$821)+Terms!B$2</f>
        <v>-3.61802197437138</v>
      </c>
      <c r="T449" s="0" t="n">
        <f aca="false">SUMPRODUCT(ISNUMBER(SEARCH(" "&amp;Terms!$A$3:$A$821&amp;" ",$D449))*Terms!C$3:C$821)+Terms!C$2</f>
        <v>0.176102658607697</v>
      </c>
      <c r="U449" s="0" t="n">
        <f aca="false">SUMPRODUCT(ISNUMBER(SEARCH(" "&amp;Terms!$A$3:$A$821&amp;" ",$D449))*Terms!D$3:D$821)+Terms!D$2</f>
        <v>8.93916511802624</v>
      </c>
      <c r="V449" s="0" t="n">
        <f aca="false">SUMPRODUCT(ISNUMBER(SEARCH(" "&amp;Terms!$A$3:$A$821&amp;" ",$D449))*Terms!E$3:E$821)+Terms!E$2</f>
        <v>-1.43640367013559</v>
      </c>
      <c r="W449" s="0" t="n">
        <f aca="false">SUMPRODUCT(ISNUMBER(SEARCH(" "&amp;Terms!$A$3:$A$821&amp;" ",$D449))*Terms!F$3:F$821)+Terms!F$2</f>
        <v>-2.22792448904182</v>
      </c>
      <c r="X449" s="0" t="n">
        <f aca="false">SUMPRODUCT(ISNUMBER(SEARCH(" "&amp;Terms!$A$3:$A$821&amp;" ",$D449))*Terms!G$3:G$821)+Terms!G$2</f>
        <v>-1.83291764308505</v>
      </c>
      <c r="Y449" s="0" t="str">
        <f aca="false">INDEX($S$1:$X$1,MATCH(MAX(S449:X449),S449:X449,0))</f>
        <v>Delays &amp; Processing</v>
      </c>
      <c r="Z449" s="0" t="s">
        <v>2607</v>
      </c>
    </row>
    <row r="450" customFormat="false" ht="15" hidden="false" customHeight="false" outlineLevel="0" collapsed="false">
      <c r="A450" s="0" t="str">
        <f aca="false">Complaints!A450</f>
        <v>C0449</v>
      </c>
      <c r="B450" s="0" t="str">
        <f aca="false">Complaints!B450</f>
        <v>My transfer has been pending for over a week.</v>
      </c>
      <c r="C450" s="0" t="str">
        <f aca="false">Complaints!C450</f>
        <v>Delays &amp; Processing</v>
      </c>
      <c r="D450" s="0" t="str">
        <f aca="false">" "&amp;TRIM(SUBSTITUTE(SUBSTITUTE(SUBSTITUTE(SUBSTITUTE(SUBSTITUTE(SUBSTITUTE(SUBSTITUTE(SUBSTITUTE(SUBSTITUTE(SUBSTITUTE(SUBSTITUTE(SUBSTITUTE(SUBSTITUTE(SUBSTITUTE(SUBSTITUTE(SUBSTITUTE(LOWER(B450),"."," "),","," "),"'"," "),"’"," "),"!"," "),"?"," "),";"," "),":"," "),"-"," "),"("," "),")"," "),"""", " "),"£"," "),"&amp;"," "),"/"," "),"%"," "))&amp;" "</f>
        <v> my transfer has been pending for over a week </v>
      </c>
      <c r="E450" s="0" t="n">
        <f aca="false">SUMPRODUCT((Rules!$A$2:$A$60=E$1)*Rules!$C$2:$C$60*ISNUMBER(SEARCH(Rules!$D$2:$D$60,$D450)))</f>
        <v>0</v>
      </c>
      <c r="F450" s="0" t="n">
        <f aca="false">SUMPRODUCT((Rules!$A$2:$A$60=F$1)*Rules!$C$2:$C$60*ISNUMBER(SEARCH(Rules!$D$2:$D$60,$D450)))</f>
        <v>0</v>
      </c>
      <c r="G450" s="0" t="n">
        <f aca="false">SUMPRODUCT((Rules!$A$2:$A$60=G$1)*Rules!$C$2:$C$60*ISNUMBER(SEARCH(Rules!$D$2:$D$60,$D450)))</f>
        <v>0</v>
      </c>
      <c r="H450" s="0" t="n">
        <f aca="false">SUMPRODUCT((Rules!$A$2:$A$60=H$1)*Rules!$C$2:$C$60*ISNUMBER(SEARCH(Rules!$D$2:$D$60,$D450)))</f>
        <v>0</v>
      </c>
      <c r="I450" s="0" t="n">
        <f aca="false">SUMPRODUCT((Rules!$A$2:$A$60=I$1)*Rules!$C$2:$C$60*ISNUMBER(SEARCH(Rules!$D$2:$D$60,$D450)))</f>
        <v>2</v>
      </c>
      <c r="J450" s="0" t="n">
        <f aca="false">SUMPRODUCT((Rules!$A$2:$A$60=J$1)*Rules!$C$2:$C$60*ISNUMBER(SEARCH(Rules!$D$2:$D$60,$D450)))</f>
        <v>0</v>
      </c>
      <c r="K450" s="0" t="str">
        <f aca="false">IF(OR(MAX(E450:J450)&lt;Rules!$H$1,MAX(E450:J450)-LARGE(E450:J450,2)&lt;Rules!$H$2),"No label",INDEX($E$1:$J$1,MATCH(MAX(E450:J450),E450:J450,0)))</f>
        <v>No label</v>
      </c>
      <c r="L450" s="0" t="n">
        <f aca="false">SUMPRODUCT((Rules!$A$2:$A$60=L$1)*Rules!$C$2:$C$60*ISNUMBER(SEARCH(Rules!$E$2:$E$60,$D450)))</f>
        <v>0</v>
      </c>
      <c r="M450" s="0" t="n">
        <f aca="false">SUMPRODUCT((Rules!$A$2:$A$60=M$1)*Rules!$C$2:$C$60*ISNUMBER(SEARCH(Rules!$E$2:$E$60,$D450)))</f>
        <v>0</v>
      </c>
      <c r="N450" s="0" t="n">
        <f aca="false">SUMPRODUCT((Rules!$A$2:$A$60=N$1)*Rules!$C$2:$C$60*ISNUMBER(SEARCH(Rules!$E$2:$E$60,$D450)))</f>
        <v>0</v>
      </c>
      <c r="O450" s="0" t="n">
        <f aca="false">SUMPRODUCT((Rules!$A$2:$A$60=O$1)*Rules!$C$2:$C$60*ISNUMBER(SEARCH(Rules!$E$2:$E$60,$D450)))</f>
        <v>0</v>
      </c>
      <c r="P450" s="0" t="n">
        <f aca="false">SUMPRODUCT((Rules!$A$2:$A$60=P$1)*Rules!$C$2:$C$60*ISNUMBER(SEARCH(Rules!$E$2:$E$60,$D450)))</f>
        <v>2</v>
      </c>
      <c r="Q450" s="0" t="n">
        <f aca="false">SUMPRODUCT((Rules!$A$2:$A$60=Q$1)*Rules!$C$2:$C$60*ISNUMBER(SEARCH(Rules!$E$2:$E$60,$D450)))</f>
        <v>0</v>
      </c>
      <c r="R450" s="0" t="str">
        <f aca="false">IF(OR(MAX(L450:Q450)&lt;Rules!$H$1,MAX(L450:Q450)-LARGE(L450:Q450,2)&lt;Rules!$H$2),"No label",INDEX($L$1:$Q$1,MATCH(MAX(L450:Q450),L450:Q450,0)))</f>
        <v>No label</v>
      </c>
      <c r="S450" s="0" t="n">
        <f aca="false">SUMPRODUCT(ISNUMBER(SEARCH(" "&amp;Terms!$A$3:$A$821&amp;" ",$D450))*Terms!B$3:B$821)+Terms!B$2</f>
        <v>-1.8634607865777</v>
      </c>
      <c r="T450" s="0" t="n">
        <f aca="false">SUMPRODUCT(ISNUMBER(SEARCH(" "&amp;Terms!$A$3:$A$821&amp;" ",$D450))*Terms!C$3:C$821)+Terms!C$2</f>
        <v>-0.791925113443785</v>
      </c>
      <c r="U450" s="0" t="n">
        <f aca="false">SUMPRODUCT(ISNUMBER(SEARCH(" "&amp;Terms!$A$3:$A$821&amp;" ",$D450))*Terms!D$3:D$821)+Terms!D$2</f>
        <v>6.6348418729633</v>
      </c>
      <c r="V450" s="0" t="n">
        <f aca="false">SUMPRODUCT(ISNUMBER(SEARCH(" "&amp;Terms!$A$3:$A$821&amp;" ",$D450))*Terms!E$3:E$821)+Terms!E$2</f>
        <v>-2.64408460388126</v>
      </c>
      <c r="W450" s="0" t="n">
        <f aca="false">SUMPRODUCT(ISNUMBER(SEARCH(" "&amp;Terms!$A$3:$A$821&amp;" ",$D450))*Terms!F$3:F$821)+Terms!F$2</f>
        <v>0.078468553257838</v>
      </c>
      <c r="X450" s="0" t="n">
        <f aca="false">SUMPRODUCT(ISNUMBER(SEARCH(" "&amp;Terms!$A$3:$A$821&amp;" ",$D450))*Terms!G$3:G$821)+Terms!G$2</f>
        <v>-1.4138399223183</v>
      </c>
      <c r="Y450" s="0" t="str">
        <f aca="false">INDEX($S$1:$X$1,MATCH(MAX(S450:X450),S450:X450,0))</f>
        <v>Delays &amp; Processing</v>
      </c>
      <c r="Z450" s="0" t="s">
        <v>2607</v>
      </c>
    </row>
    <row r="451" customFormat="false" ht="15" hidden="false" customHeight="false" outlineLevel="0" collapsed="false">
      <c r="A451" s="0" t="str">
        <f aca="false">Complaints!A451</f>
        <v>C0450</v>
      </c>
      <c r="B451" s="0" t="str">
        <f aca="false">Complaints!B451</f>
        <v>I have been a customer for years. Your advisor gave me different answers on two separate calls. Also, why has my interest rate gone up without notice, it is costing me more every month. Please escalate this.</v>
      </c>
      <c r="C451" s="0" t="str">
        <f aca="false">Complaints!C451</f>
        <v>Customer Service</v>
      </c>
      <c r="D451" s="0" t="str">
        <f aca="false">" "&amp;TRIM(SUBSTITUTE(SUBSTITUTE(SUBSTITUTE(SUBSTITUTE(SUBSTITUTE(SUBSTITUTE(SUBSTITUTE(SUBSTITUTE(SUBSTITUTE(SUBSTITUTE(SUBSTITUTE(SUBSTITUTE(SUBSTITUTE(SUBSTITUTE(SUBSTITUTE(SUBSTITUTE(LOWER(B451),"."," "),","," "),"'"," "),"’"," "),"!"," "),"?"," "),";"," "),":"," "),"-"," "),"("," "),")"," "),"""", " "),"£"," "),"&amp;"," "),"/"," "),"%"," "))&amp;" "</f>
        <v> i have been a customer for years your advisor gave me different answers on two separate calls also why has my interest rate gone up without notice it is costing me more every month please escalate this </v>
      </c>
      <c r="E451" s="0" t="n">
        <f aca="false">SUMPRODUCT((Rules!$A$2:$A$60=E$1)*Rules!$C$2:$C$60*ISNUMBER(SEARCH(Rules!$D$2:$D$60,$D451)))</f>
        <v>0</v>
      </c>
      <c r="F451" s="0" t="n">
        <f aca="false">SUMPRODUCT((Rules!$A$2:$A$60=F$1)*Rules!$C$2:$C$60*ISNUMBER(SEARCH(Rules!$D$2:$D$60,$D451)))</f>
        <v>0</v>
      </c>
      <c r="G451" s="0" t="n">
        <f aca="false">SUMPRODUCT((Rules!$A$2:$A$60=G$1)*Rules!$C$2:$C$60*ISNUMBER(SEARCH(Rules!$D$2:$D$60,$D451)))</f>
        <v>0</v>
      </c>
      <c r="H451" s="0" t="n">
        <f aca="false">SUMPRODUCT((Rules!$A$2:$A$60=H$1)*Rules!$C$2:$C$60*ISNUMBER(SEARCH(Rules!$D$2:$D$60,$D451)))</f>
        <v>2</v>
      </c>
      <c r="I451" s="0" t="n">
        <f aca="false">SUMPRODUCT((Rules!$A$2:$A$60=I$1)*Rules!$C$2:$C$60*ISNUMBER(SEARCH(Rules!$D$2:$D$60,$D451)))</f>
        <v>0</v>
      </c>
      <c r="J451" s="0" t="n">
        <f aca="false">SUMPRODUCT((Rules!$A$2:$A$60=J$1)*Rules!$C$2:$C$60*ISNUMBER(SEARCH(Rules!$D$2:$D$60,$D451)))</f>
        <v>1</v>
      </c>
      <c r="K451" s="0" t="str">
        <f aca="false">IF(OR(MAX(E451:J451)&lt;Rules!$H$1,MAX(E451:J451)-LARGE(E451:J451,2)&lt;Rules!$H$2),"No label",INDEX($E$1:$J$1,MATCH(MAX(E451:J451),E451:J451,0)))</f>
        <v>No label</v>
      </c>
      <c r="L451" s="0" t="n">
        <f aca="false">SUMPRODUCT((Rules!$A$2:$A$60=L$1)*Rules!$C$2:$C$60*ISNUMBER(SEARCH(Rules!$E$2:$E$60,$D451)))</f>
        <v>0</v>
      </c>
      <c r="M451" s="0" t="n">
        <f aca="false">SUMPRODUCT((Rules!$A$2:$A$60=M$1)*Rules!$C$2:$C$60*ISNUMBER(SEARCH(Rules!$E$2:$E$60,$D451)))</f>
        <v>4</v>
      </c>
      <c r="N451" s="0" t="n">
        <f aca="false">SUMPRODUCT((Rules!$A$2:$A$60=N$1)*Rules!$C$2:$C$60*ISNUMBER(SEARCH(Rules!$E$2:$E$60,$D451)))</f>
        <v>0</v>
      </c>
      <c r="O451" s="0" t="n">
        <f aca="false">SUMPRODUCT((Rules!$A$2:$A$60=O$1)*Rules!$C$2:$C$60*ISNUMBER(SEARCH(Rules!$E$2:$E$60,$D451)))</f>
        <v>2</v>
      </c>
      <c r="P451" s="0" t="n">
        <f aca="false">SUMPRODUCT((Rules!$A$2:$A$60=P$1)*Rules!$C$2:$C$60*ISNUMBER(SEARCH(Rules!$E$2:$E$60,$D451)))</f>
        <v>0</v>
      </c>
      <c r="Q451" s="0" t="n">
        <f aca="false">SUMPRODUCT((Rules!$A$2:$A$60=Q$1)*Rules!$C$2:$C$60*ISNUMBER(SEARCH(Rules!$E$2:$E$60,$D451)))</f>
        <v>1</v>
      </c>
      <c r="R451" s="0" t="str">
        <f aca="false">IF(OR(MAX(L451:Q451)&lt;Rules!$H$1,MAX(L451:Q451)-LARGE(L451:Q451,2)&lt;Rules!$H$2),"No label",INDEX($L$1:$Q$1,MATCH(MAX(L451:Q451),L451:Q451,0)))</f>
        <v>Mis-selling</v>
      </c>
      <c r="S451" s="0" t="n">
        <f aca="false">SUMPRODUCT(ISNUMBER(SEARCH(" "&amp;Terms!$A$3:$A$821&amp;" ",$D451))*Terms!B$3:B$821)+Terms!B$2</f>
        <v>-0.27559921297425</v>
      </c>
      <c r="T451" s="0" t="n">
        <f aca="false">SUMPRODUCT(ISNUMBER(SEARCH(" "&amp;Terms!$A$3:$A$821&amp;" ",$D451))*Terms!C$3:C$821)+Terms!C$2</f>
        <v>10.9696869159307</v>
      </c>
      <c r="U451" s="0" t="n">
        <f aca="false">SUMPRODUCT(ISNUMBER(SEARCH(" "&amp;Terms!$A$3:$A$821&amp;" ",$D451))*Terms!D$3:D$821)+Terms!D$2</f>
        <v>-2.31881750960002</v>
      </c>
      <c r="V451" s="0" t="n">
        <f aca="false">SUMPRODUCT(ISNUMBER(SEARCH(" "&amp;Terms!$A$3:$A$821&amp;" ",$D451))*Terms!E$3:E$821)+Terms!E$2</f>
        <v>1.22068166896215</v>
      </c>
      <c r="W451" s="0" t="n">
        <f aca="false">SUMPRODUCT(ISNUMBER(SEARCH(" "&amp;Terms!$A$3:$A$821&amp;" ",$D451))*Terms!F$3:F$821)+Terms!F$2</f>
        <v>-4.47463273788824</v>
      </c>
      <c r="X451" s="0" t="n">
        <f aca="false">SUMPRODUCT(ISNUMBER(SEARCH(" "&amp;Terms!$A$3:$A$821&amp;" ",$D451))*Terms!G$3:G$821)+Terms!G$2</f>
        <v>-5.12131912443022</v>
      </c>
      <c r="Y451" s="0" t="str">
        <f aca="false">INDEX($S$1:$X$1,MATCH(MAX(S451:X451),S451:X451,0))</f>
        <v>Customer Service</v>
      </c>
      <c r="Z451" s="0" t="s">
        <v>2607</v>
      </c>
    </row>
    <row r="452" customFormat="false" ht="15" hidden="false" customHeight="false" outlineLevel="0" collapsed="false">
      <c r="A452" s="0" t="str">
        <f aca="false">Complaints!A452</f>
        <v>C0451</v>
      </c>
      <c r="B452" s="0" t="str">
        <f aca="false">Complaints!B452</f>
        <v>This is the second time I have raised this. The complaints handler was unhelpful and talked over me. Also, my transfer has been pending for over a week. I expect compensation.</v>
      </c>
      <c r="C452" s="0" t="str">
        <f aca="false">Complaints!C452</f>
        <v>Customer Service</v>
      </c>
      <c r="D452" s="0" t="str">
        <f aca="false">" "&amp;TRIM(SUBSTITUTE(SUBSTITUTE(SUBSTITUTE(SUBSTITUTE(SUBSTITUTE(SUBSTITUTE(SUBSTITUTE(SUBSTITUTE(SUBSTITUTE(SUBSTITUTE(SUBSTITUTE(SUBSTITUTE(SUBSTITUTE(SUBSTITUTE(SUBSTITUTE(SUBSTITUTE(LOWER(B452),"."," "),","," "),"'"," "),"’"," "),"!"," "),"?"," "),";"," "),":"," "),"-"," "),"("," "),")"," "),"""", " "),"£"," "),"&amp;"," "),"/"," "),"%"," "))&amp;" "</f>
        <v> this is the second time i have raised this the complaints handler was unhelpful and talked over me also my transfer has been pending for over a week i expect compensation </v>
      </c>
      <c r="E452" s="0" t="n">
        <f aca="false">SUMPRODUCT((Rules!$A$2:$A$60=E$1)*Rules!$C$2:$C$60*ISNUMBER(SEARCH(Rules!$D$2:$D$60,$D452)))</f>
        <v>0</v>
      </c>
      <c r="F452" s="0" t="n">
        <f aca="false">SUMPRODUCT((Rules!$A$2:$A$60=F$1)*Rules!$C$2:$C$60*ISNUMBER(SEARCH(Rules!$D$2:$D$60,$D452)))</f>
        <v>0</v>
      </c>
      <c r="G452" s="0" t="n">
        <f aca="false">SUMPRODUCT((Rules!$A$2:$A$60=G$1)*Rules!$C$2:$C$60*ISNUMBER(SEARCH(Rules!$D$2:$D$60,$D452)))</f>
        <v>0</v>
      </c>
      <c r="H452" s="0" t="n">
        <f aca="false">SUMPRODUCT((Rules!$A$2:$A$60=H$1)*Rules!$C$2:$C$60*ISNUMBER(SEARCH(Rules!$D$2:$D$60,$D452)))</f>
        <v>0</v>
      </c>
      <c r="I452" s="0" t="n">
        <f aca="false">SUMPRODUCT((Rules!$A$2:$A$60=I$1)*Rules!$C$2:$C$60*ISNUMBER(SEARCH(Rules!$D$2:$D$60,$D452)))</f>
        <v>2</v>
      </c>
      <c r="J452" s="0" t="n">
        <f aca="false">SUMPRODUCT((Rules!$A$2:$A$60=J$1)*Rules!$C$2:$C$60*ISNUMBER(SEARCH(Rules!$D$2:$D$60,$D452)))</f>
        <v>2</v>
      </c>
      <c r="K452" s="0" t="str">
        <f aca="false">IF(OR(MAX(E452:J452)&lt;Rules!$H$1,MAX(E452:J452)-LARGE(E452:J452,2)&lt;Rules!$H$2),"No label",INDEX($E$1:$J$1,MATCH(MAX(E452:J452),E452:J452,0)))</f>
        <v>No label</v>
      </c>
      <c r="L452" s="0" t="n">
        <f aca="false">SUMPRODUCT((Rules!$A$2:$A$60=L$1)*Rules!$C$2:$C$60*ISNUMBER(SEARCH(Rules!$E$2:$E$60,$D452)))</f>
        <v>0</v>
      </c>
      <c r="M452" s="0" t="n">
        <f aca="false">SUMPRODUCT((Rules!$A$2:$A$60=M$1)*Rules!$C$2:$C$60*ISNUMBER(SEARCH(Rules!$E$2:$E$60,$D452)))</f>
        <v>0</v>
      </c>
      <c r="N452" s="0" t="n">
        <f aca="false">SUMPRODUCT((Rules!$A$2:$A$60=N$1)*Rules!$C$2:$C$60*ISNUMBER(SEARCH(Rules!$E$2:$E$60,$D452)))</f>
        <v>0</v>
      </c>
      <c r="O452" s="0" t="n">
        <f aca="false">SUMPRODUCT((Rules!$A$2:$A$60=O$1)*Rules!$C$2:$C$60*ISNUMBER(SEARCH(Rules!$E$2:$E$60,$D452)))</f>
        <v>0</v>
      </c>
      <c r="P452" s="0" t="n">
        <f aca="false">SUMPRODUCT((Rules!$A$2:$A$60=P$1)*Rules!$C$2:$C$60*ISNUMBER(SEARCH(Rules!$E$2:$E$60,$D452)))</f>
        <v>2</v>
      </c>
      <c r="Q452" s="0" t="n">
        <f aca="false">SUMPRODUCT((Rules!$A$2:$A$60=Q$1)*Rules!$C$2:$C$60*ISNUMBER(SEARCH(Rules!$E$2:$E$60,$D452)))</f>
        <v>2</v>
      </c>
      <c r="R452" s="0" t="str">
        <f aca="false">IF(OR(MAX(L452:Q452)&lt;Rules!$H$1,MAX(L452:Q452)-LARGE(L452:Q452,2)&lt;Rules!$H$2),"No label",INDEX($L$1:$Q$1,MATCH(MAX(L452:Q452),L452:Q452,0)))</f>
        <v>No label</v>
      </c>
      <c r="S452" s="0" t="n">
        <f aca="false">SUMPRODUCT(ISNUMBER(SEARCH(" "&amp;Terms!$A$3:$A$821&amp;" ",$D452))*Terms!B$3:B$821)+Terms!B$2</f>
        <v>-2.36617401845175</v>
      </c>
      <c r="T452" s="0" t="n">
        <f aca="false">SUMPRODUCT(ISNUMBER(SEARCH(" "&amp;Terms!$A$3:$A$821&amp;" ",$D452))*Terms!C$3:C$821)+Terms!C$2</f>
        <v>8.36658954150942</v>
      </c>
      <c r="U452" s="0" t="n">
        <f aca="false">SUMPRODUCT(ISNUMBER(SEARCH(" "&amp;Terms!$A$3:$A$821&amp;" ",$D452))*Terms!D$3:D$821)+Terms!D$2</f>
        <v>1.55964741821594</v>
      </c>
      <c r="V452" s="0" t="n">
        <f aca="false">SUMPRODUCT(ISNUMBER(SEARCH(" "&amp;Terms!$A$3:$A$821&amp;" ",$D452))*Terms!E$3:E$821)+Terms!E$2</f>
        <v>-3.63380020601955</v>
      </c>
      <c r="W452" s="0" t="n">
        <f aca="false">SUMPRODUCT(ISNUMBER(SEARCH(" "&amp;Terms!$A$3:$A$821&amp;" ",$D452))*Terms!F$3:F$821)+Terms!F$2</f>
        <v>0.117951990245259</v>
      </c>
      <c r="X452" s="0" t="n">
        <f aca="false">SUMPRODUCT(ISNUMBER(SEARCH(" "&amp;Terms!$A$3:$A$821&amp;" ",$D452))*Terms!G$3:G$821)+Terms!G$2</f>
        <v>-4.04421472549923</v>
      </c>
      <c r="Y452" s="0" t="str">
        <f aca="false">INDEX($S$1:$X$1,MATCH(MAX(S452:X452),S452:X452,0))</f>
        <v>Customer Service</v>
      </c>
      <c r="Z452" s="0" t="s">
        <v>2607</v>
      </c>
    </row>
    <row r="453" customFormat="false" ht="15" hidden="false" customHeight="false" outlineLevel="0" collapsed="false">
      <c r="A453" s="0" t="str">
        <f aca="false">Complaints!A453</f>
        <v>C0452</v>
      </c>
      <c r="B453" s="0" t="str">
        <f aca="false">Complaints!B453</f>
        <v>I was charged a monthly fee that nobody told me about. I am worried it might be fraud.</v>
      </c>
      <c r="C453" s="0" t="str">
        <f aca="false">Complaints!C453</f>
        <v>Fees &amp; Charges</v>
      </c>
      <c r="D453" s="0" t="str">
        <f aca="false">" "&amp;TRIM(SUBSTITUTE(SUBSTITUTE(SUBSTITUTE(SUBSTITUTE(SUBSTITUTE(SUBSTITUTE(SUBSTITUTE(SUBSTITUTE(SUBSTITUTE(SUBSTITUTE(SUBSTITUTE(SUBSTITUTE(SUBSTITUTE(SUBSTITUTE(SUBSTITUTE(SUBSTITUTE(LOWER(B453),"."," "),","," "),"'"," "),"’"," "),"!"," "),"?"," "),";"," "),":"," "),"-"," "),"("," "),")"," "),"""", " "),"£"," "),"&amp;"," "),"/"," "),"%"," "))&amp;" "</f>
        <v> i was charged a monthly fee that nobody told me about i am worried it might be fraud </v>
      </c>
      <c r="E453" s="0" t="n">
        <f aca="false">SUMPRODUCT((Rules!$A$2:$A$60=E$1)*Rules!$C$2:$C$60*ISNUMBER(SEARCH(Rules!$D$2:$D$60,$D453)))</f>
        <v>3</v>
      </c>
      <c r="F453" s="0" t="n">
        <f aca="false">SUMPRODUCT((Rules!$A$2:$A$60=F$1)*Rules!$C$2:$C$60*ISNUMBER(SEARCH(Rules!$D$2:$D$60,$D453)))</f>
        <v>0</v>
      </c>
      <c r="G453" s="0" t="n">
        <f aca="false">SUMPRODUCT((Rules!$A$2:$A$60=G$1)*Rules!$C$2:$C$60*ISNUMBER(SEARCH(Rules!$D$2:$D$60,$D453)))</f>
        <v>0</v>
      </c>
      <c r="H453" s="0" t="n">
        <f aca="false">SUMPRODUCT((Rules!$A$2:$A$60=H$1)*Rules!$C$2:$C$60*ISNUMBER(SEARCH(Rules!$D$2:$D$60,$D453)))</f>
        <v>4</v>
      </c>
      <c r="I453" s="0" t="n">
        <f aca="false">SUMPRODUCT((Rules!$A$2:$A$60=I$1)*Rules!$C$2:$C$60*ISNUMBER(SEARCH(Rules!$D$2:$D$60,$D453)))</f>
        <v>0</v>
      </c>
      <c r="J453" s="0" t="n">
        <f aca="false">SUMPRODUCT((Rules!$A$2:$A$60=J$1)*Rules!$C$2:$C$60*ISNUMBER(SEARCH(Rules!$D$2:$D$60,$D453)))</f>
        <v>0</v>
      </c>
      <c r="K453" s="0" t="str">
        <f aca="false">IF(OR(MAX(E453:J453)&lt;Rules!$H$1,MAX(E453:J453)-LARGE(E453:J453,2)&lt;Rules!$H$2),"No label",INDEX($E$1:$J$1,MATCH(MAX(E453:J453),E453:J453,0)))</f>
        <v>No label</v>
      </c>
      <c r="L453" s="0" t="n">
        <f aca="false">SUMPRODUCT((Rules!$A$2:$A$60=L$1)*Rules!$C$2:$C$60*ISNUMBER(SEARCH(Rules!$E$2:$E$60,$D453)))</f>
        <v>3</v>
      </c>
      <c r="M453" s="0" t="n">
        <f aca="false">SUMPRODUCT((Rules!$A$2:$A$60=M$1)*Rules!$C$2:$C$60*ISNUMBER(SEARCH(Rules!$E$2:$E$60,$D453)))</f>
        <v>0</v>
      </c>
      <c r="N453" s="0" t="n">
        <f aca="false">SUMPRODUCT((Rules!$A$2:$A$60=N$1)*Rules!$C$2:$C$60*ISNUMBER(SEARCH(Rules!$E$2:$E$60,$D453)))</f>
        <v>0</v>
      </c>
      <c r="O453" s="0" t="n">
        <f aca="false">SUMPRODUCT((Rules!$A$2:$A$60=O$1)*Rules!$C$2:$C$60*ISNUMBER(SEARCH(Rules!$E$2:$E$60,$D453)))</f>
        <v>6</v>
      </c>
      <c r="P453" s="0" t="n">
        <f aca="false">SUMPRODUCT((Rules!$A$2:$A$60=P$1)*Rules!$C$2:$C$60*ISNUMBER(SEARCH(Rules!$E$2:$E$60,$D453)))</f>
        <v>0</v>
      </c>
      <c r="Q453" s="0" t="n">
        <f aca="false">SUMPRODUCT((Rules!$A$2:$A$60=Q$1)*Rules!$C$2:$C$60*ISNUMBER(SEARCH(Rules!$E$2:$E$60,$D453)))</f>
        <v>0</v>
      </c>
      <c r="R453" s="0" t="str">
        <f aca="false">IF(OR(MAX(L453:Q453)&lt;Rules!$H$1,MAX(L453:Q453)-LARGE(L453:Q453,2)&lt;Rules!$H$2),"No label",INDEX($L$1:$Q$1,MATCH(MAX(L453:Q453),L453:Q453,0)))</f>
        <v>Fees &amp; Charges</v>
      </c>
      <c r="S453" s="0" t="n">
        <f aca="false">SUMPRODUCT(ISNUMBER(SEARCH(" "&amp;Terms!$A$3:$A$821&amp;" ",$D453))*Terms!B$3:B$821)+Terms!B$2</f>
        <v>-1.39178361739903</v>
      </c>
      <c r="T453" s="0" t="n">
        <f aca="false">SUMPRODUCT(ISNUMBER(SEARCH(" "&amp;Terms!$A$3:$A$821&amp;" ",$D453))*Terms!C$3:C$821)+Terms!C$2</f>
        <v>-4.65154798092068</v>
      </c>
      <c r="U453" s="0" t="n">
        <f aca="false">SUMPRODUCT(ISNUMBER(SEARCH(" "&amp;Terms!$A$3:$A$821&amp;" ",$D453))*Terms!D$3:D$821)+Terms!D$2</f>
        <v>-1.91199258650834</v>
      </c>
      <c r="V453" s="0" t="n">
        <f aca="false">SUMPRODUCT(ISNUMBER(SEARCH(" "&amp;Terms!$A$3:$A$821&amp;" ",$D453))*Terms!E$3:E$821)+Terms!E$2</f>
        <v>11.0587990017704</v>
      </c>
      <c r="W453" s="0" t="n">
        <f aca="false">SUMPRODUCT(ISNUMBER(SEARCH(" "&amp;Terms!$A$3:$A$821&amp;" ",$D453))*Terms!F$3:F$821)+Terms!F$2</f>
        <v>-2.35622844182555</v>
      </c>
      <c r="X453" s="0" t="n">
        <f aca="false">SUMPRODUCT(ISNUMBER(SEARCH(" "&amp;Terms!$A$3:$A$821&amp;" ",$D453))*Terms!G$3:G$821)+Terms!G$2</f>
        <v>-0.747246375116704</v>
      </c>
      <c r="Y453" s="0" t="str">
        <f aca="false">INDEX($S$1:$X$1,MATCH(MAX(S453:X453),S453:X453,0))</f>
        <v>Fees &amp; Charges</v>
      </c>
      <c r="Z453" s="0" t="s">
        <v>2607</v>
      </c>
    </row>
    <row r="454" customFormat="false" ht="15" hidden="false" customHeight="false" outlineLevel="0" collapsed="false">
      <c r="A454" s="0" t="str">
        <f aca="false">Complaints!A454</f>
        <v>C0453</v>
      </c>
      <c r="B454" s="0" t="str">
        <f aca="false">Complaints!B454</f>
        <v>To whom it may concern, I feel I was treated badly because of my age. Please escalate this.</v>
      </c>
      <c r="C454" s="0" t="str">
        <f aca="false">Complaints!C454</f>
        <v>Customer Service</v>
      </c>
      <c r="D454" s="0" t="str">
        <f aca="false">" "&amp;TRIM(SUBSTITUTE(SUBSTITUTE(SUBSTITUTE(SUBSTITUTE(SUBSTITUTE(SUBSTITUTE(SUBSTITUTE(SUBSTITUTE(SUBSTITUTE(SUBSTITUTE(SUBSTITUTE(SUBSTITUTE(SUBSTITUTE(SUBSTITUTE(SUBSTITUTE(SUBSTITUTE(LOWER(B454),"."," "),","," "),"'"," "),"’"," "),"!"," "),"?"," "),";"," "),":"," "),"-"," "),"("," "),")"," "),"""", " "),"£"," "),"&amp;"," "),"/"," "),"%"," "))&amp;" "</f>
        <v> to whom it may concern i feel i was treated badly because of my age please escalate this </v>
      </c>
      <c r="E454" s="0" t="n">
        <f aca="false">SUMPRODUCT((Rules!$A$2:$A$60=E$1)*Rules!$C$2:$C$60*ISNUMBER(SEARCH(Rules!$D$2:$D$60,$D454)))</f>
        <v>0</v>
      </c>
      <c r="F454" s="0" t="n">
        <f aca="false">SUMPRODUCT((Rules!$A$2:$A$60=F$1)*Rules!$C$2:$C$60*ISNUMBER(SEARCH(Rules!$D$2:$D$60,$D454)))</f>
        <v>0</v>
      </c>
      <c r="G454" s="0" t="n">
        <f aca="false">SUMPRODUCT((Rules!$A$2:$A$60=G$1)*Rules!$C$2:$C$60*ISNUMBER(SEARCH(Rules!$D$2:$D$60,$D454)))</f>
        <v>0</v>
      </c>
      <c r="H454" s="0" t="n">
        <f aca="false">SUMPRODUCT((Rules!$A$2:$A$60=H$1)*Rules!$C$2:$C$60*ISNUMBER(SEARCH(Rules!$D$2:$D$60,$D454)))</f>
        <v>0</v>
      </c>
      <c r="I454" s="0" t="n">
        <f aca="false">SUMPRODUCT((Rules!$A$2:$A$60=I$1)*Rules!$C$2:$C$60*ISNUMBER(SEARCH(Rules!$D$2:$D$60,$D454)))</f>
        <v>0</v>
      </c>
      <c r="J454" s="0" t="n">
        <f aca="false">SUMPRODUCT((Rules!$A$2:$A$60=J$1)*Rules!$C$2:$C$60*ISNUMBER(SEARCH(Rules!$D$2:$D$60,$D454)))</f>
        <v>3</v>
      </c>
      <c r="K454" s="0" t="str">
        <f aca="false">IF(OR(MAX(E454:J454)&lt;Rules!$H$1,MAX(E454:J454)-LARGE(E454:J454,2)&lt;Rules!$H$2),"No label",INDEX($E$1:$J$1,MATCH(MAX(E454:J454),E454:J454,0)))</f>
        <v>Customer Service</v>
      </c>
      <c r="L454" s="0" t="n">
        <f aca="false">SUMPRODUCT((Rules!$A$2:$A$60=L$1)*Rules!$C$2:$C$60*ISNUMBER(SEARCH(Rules!$E$2:$E$60,$D454)))</f>
        <v>0</v>
      </c>
      <c r="M454" s="0" t="n">
        <f aca="false">SUMPRODUCT((Rules!$A$2:$A$60=M$1)*Rules!$C$2:$C$60*ISNUMBER(SEARCH(Rules!$E$2:$E$60,$D454)))</f>
        <v>0</v>
      </c>
      <c r="N454" s="0" t="n">
        <f aca="false">SUMPRODUCT((Rules!$A$2:$A$60=N$1)*Rules!$C$2:$C$60*ISNUMBER(SEARCH(Rules!$E$2:$E$60,$D454)))</f>
        <v>0</v>
      </c>
      <c r="O454" s="0" t="n">
        <f aca="false">SUMPRODUCT((Rules!$A$2:$A$60=O$1)*Rules!$C$2:$C$60*ISNUMBER(SEARCH(Rules!$E$2:$E$60,$D454)))</f>
        <v>0</v>
      </c>
      <c r="P454" s="0" t="n">
        <f aca="false">SUMPRODUCT((Rules!$A$2:$A$60=P$1)*Rules!$C$2:$C$60*ISNUMBER(SEARCH(Rules!$E$2:$E$60,$D454)))</f>
        <v>0</v>
      </c>
      <c r="Q454" s="0" t="n">
        <f aca="false">SUMPRODUCT((Rules!$A$2:$A$60=Q$1)*Rules!$C$2:$C$60*ISNUMBER(SEARCH(Rules!$E$2:$E$60,$D454)))</f>
        <v>3</v>
      </c>
      <c r="R454" s="0" t="str">
        <f aca="false">IF(OR(MAX(L454:Q454)&lt;Rules!$H$1,MAX(L454:Q454)-LARGE(L454:Q454,2)&lt;Rules!$H$2),"No label",INDEX($L$1:$Q$1,MATCH(MAX(L454:Q454),L454:Q454,0)))</f>
        <v>Customer Service</v>
      </c>
      <c r="S454" s="0" t="n">
        <f aca="false">SUMPRODUCT(ISNUMBER(SEARCH(" "&amp;Terms!$A$3:$A$821&amp;" ",$D454))*Terms!B$3:B$821)+Terms!B$2</f>
        <v>-0.124456866603759</v>
      </c>
      <c r="T454" s="0" t="n">
        <f aca="false">SUMPRODUCT(ISNUMBER(SEARCH(" "&amp;Terms!$A$3:$A$821&amp;" ",$D454))*Terms!C$3:C$821)+Terms!C$2</f>
        <v>9.16538999593519</v>
      </c>
      <c r="U454" s="0" t="n">
        <f aca="false">SUMPRODUCT(ISNUMBER(SEARCH(" "&amp;Terms!$A$3:$A$821&amp;" ",$D454))*Terms!D$3:D$821)+Terms!D$2</f>
        <v>-3.7797833671715</v>
      </c>
      <c r="V454" s="0" t="n">
        <f aca="false">SUMPRODUCT(ISNUMBER(SEARCH(" "&amp;Terms!$A$3:$A$821&amp;" ",$D454))*Terms!E$3:E$821)+Terms!E$2</f>
        <v>-1.70463447846251</v>
      </c>
      <c r="W454" s="0" t="n">
        <f aca="false">SUMPRODUCT(ISNUMBER(SEARCH(" "&amp;Terms!$A$3:$A$821&amp;" ",$D454))*Terms!F$3:F$821)+Terms!F$2</f>
        <v>-2.88264422728407</v>
      </c>
      <c r="X454" s="0" t="n">
        <f aca="false">SUMPRODUCT(ISNUMBER(SEARCH(" "&amp;Terms!$A$3:$A$821&amp;" ",$D454))*Terms!G$3:G$821)+Terms!G$2</f>
        <v>-0.67387105641324</v>
      </c>
      <c r="Y454" s="0" t="str">
        <f aca="false">INDEX($S$1:$X$1,MATCH(MAX(S454:X454),S454:X454,0))</f>
        <v>Customer Service</v>
      </c>
      <c r="Z454" s="0" t="s">
        <v>2607</v>
      </c>
    </row>
    <row r="455" customFormat="false" ht="15" hidden="false" customHeight="false" outlineLevel="0" collapsed="false">
      <c r="A455" s="0" t="str">
        <f aca="false">Complaints!A455</f>
        <v>C0454</v>
      </c>
      <c r="B455" s="0" t="str">
        <f aca="false">Complaints!B455</f>
        <v>Two factor codes are not being sent to my phone. It has also been taking far too long.</v>
      </c>
      <c r="C455" s="0" t="str">
        <f aca="false">Complaints!C455</f>
        <v>Account Access</v>
      </c>
      <c r="D455" s="0" t="str">
        <f aca="false">" "&amp;TRIM(SUBSTITUTE(SUBSTITUTE(SUBSTITUTE(SUBSTITUTE(SUBSTITUTE(SUBSTITUTE(SUBSTITUTE(SUBSTITUTE(SUBSTITUTE(SUBSTITUTE(SUBSTITUTE(SUBSTITUTE(SUBSTITUTE(SUBSTITUTE(SUBSTITUTE(SUBSTITUTE(LOWER(B455),"."," "),","," "),"'"," "),"’"," "),"!"," "),"?"," "),";"," "),":"," "),"-"," "),"("," "),")"," "),"""", " "),"£"," "),"&amp;"," "),"/"," "),"%"," "))&amp;" "</f>
        <v> two factor codes are not being sent to my phone it has also been taking far too long </v>
      </c>
      <c r="E455" s="0" t="n">
        <f aca="false">SUMPRODUCT((Rules!$A$2:$A$60=E$1)*Rules!$C$2:$C$60*ISNUMBER(SEARCH(Rules!$D$2:$D$60,$D455)))</f>
        <v>0</v>
      </c>
      <c r="F455" s="0" t="n">
        <f aca="false">SUMPRODUCT((Rules!$A$2:$A$60=F$1)*Rules!$C$2:$C$60*ISNUMBER(SEARCH(Rules!$D$2:$D$60,$D455)))</f>
        <v>0</v>
      </c>
      <c r="G455" s="0" t="n">
        <f aca="false">SUMPRODUCT((Rules!$A$2:$A$60=G$1)*Rules!$C$2:$C$60*ISNUMBER(SEARCH(Rules!$D$2:$D$60,$D455)))</f>
        <v>3</v>
      </c>
      <c r="H455" s="0" t="n">
        <f aca="false">SUMPRODUCT((Rules!$A$2:$A$60=H$1)*Rules!$C$2:$C$60*ISNUMBER(SEARCH(Rules!$D$2:$D$60,$D455)))</f>
        <v>0</v>
      </c>
      <c r="I455" s="0" t="n">
        <f aca="false">SUMPRODUCT((Rules!$A$2:$A$60=I$1)*Rules!$C$2:$C$60*ISNUMBER(SEARCH(Rules!$D$2:$D$60,$D455)))</f>
        <v>0</v>
      </c>
      <c r="J455" s="0" t="n">
        <f aca="false">SUMPRODUCT((Rules!$A$2:$A$60=J$1)*Rules!$C$2:$C$60*ISNUMBER(SEARCH(Rules!$D$2:$D$60,$D455)))</f>
        <v>0</v>
      </c>
      <c r="K455" s="0" t="str">
        <f aca="false">IF(OR(MAX(E455:J455)&lt;Rules!$H$1,MAX(E455:J455)-LARGE(E455:J455,2)&lt;Rules!$H$2),"No label",INDEX($E$1:$J$1,MATCH(MAX(E455:J455),E455:J455,0)))</f>
        <v>Account Access</v>
      </c>
      <c r="L455" s="0" t="n">
        <f aca="false">SUMPRODUCT((Rules!$A$2:$A$60=L$1)*Rules!$C$2:$C$60*ISNUMBER(SEARCH(Rules!$E$2:$E$60,$D455)))</f>
        <v>0</v>
      </c>
      <c r="M455" s="0" t="n">
        <f aca="false">SUMPRODUCT((Rules!$A$2:$A$60=M$1)*Rules!$C$2:$C$60*ISNUMBER(SEARCH(Rules!$E$2:$E$60,$D455)))</f>
        <v>0</v>
      </c>
      <c r="N455" s="0" t="n">
        <f aca="false">SUMPRODUCT((Rules!$A$2:$A$60=N$1)*Rules!$C$2:$C$60*ISNUMBER(SEARCH(Rules!$E$2:$E$60,$D455)))</f>
        <v>3</v>
      </c>
      <c r="O455" s="0" t="n">
        <f aca="false">SUMPRODUCT((Rules!$A$2:$A$60=O$1)*Rules!$C$2:$C$60*ISNUMBER(SEARCH(Rules!$E$2:$E$60,$D455)))</f>
        <v>0</v>
      </c>
      <c r="P455" s="0" t="n">
        <f aca="false">SUMPRODUCT((Rules!$A$2:$A$60=P$1)*Rules!$C$2:$C$60*ISNUMBER(SEARCH(Rules!$E$2:$E$60,$D455)))</f>
        <v>0</v>
      </c>
      <c r="Q455" s="0" t="n">
        <f aca="false">SUMPRODUCT((Rules!$A$2:$A$60=Q$1)*Rules!$C$2:$C$60*ISNUMBER(SEARCH(Rules!$E$2:$E$60,$D455)))</f>
        <v>0</v>
      </c>
      <c r="R455" s="0" t="str">
        <f aca="false">IF(OR(MAX(L455:Q455)&lt;Rules!$H$1,MAX(L455:Q455)-LARGE(L455:Q455,2)&lt;Rules!$H$2),"No label",INDEX($L$1:$Q$1,MATCH(MAX(L455:Q455),L455:Q455,0)))</f>
        <v>Account Access</v>
      </c>
      <c r="S455" s="0" t="n">
        <f aca="false">SUMPRODUCT(ISNUMBER(SEARCH(" "&amp;Terms!$A$3:$A$821&amp;" ",$D455))*Terms!B$3:B$821)+Terms!B$2</f>
        <v>8.25262277039583</v>
      </c>
      <c r="T455" s="0" t="n">
        <f aca="false">SUMPRODUCT(ISNUMBER(SEARCH(" "&amp;Terms!$A$3:$A$821&amp;" ",$D455))*Terms!C$3:C$821)+Terms!C$2</f>
        <v>-3.08440535803823</v>
      </c>
      <c r="U455" s="0" t="n">
        <f aca="false">SUMPRODUCT(ISNUMBER(SEARCH(" "&amp;Terms!$A$3:$A$821&amp;" ",$D455))*Terms!D$3:D$821)+Terms!D$2</f>
        <v>3.21205043293559</v>
      </c>
      <c r="V455" s="0" t="n">
        <f aca="false">SUMPRODUCT(ISNUMBER(SEARCH(" "&amp;Terms!$A$3:$A$821&amp;" ",$D455))*Terms!E$3:E$821)+Terms!E$2</f>
        <v>-1.14829932101085</v>
      </c>
      <c r="W455" s="0" t="n">
        <f aca="false">SUMPRODUCT(ISNUMBER(SEARCH(" "&amp;Terms!$A$3:$A$821&amp;" ",$D455))*Terms!F$3:F$821)+Terms!F$2</f>
        <v>-4.46047177731877</v>
      </c>
      <c r="X455" s="0" t="n">
        <f aca="false">SUMPRODUCT(ISNUMBER(SEARCH(" "&amp;Terms!$A$3:$A$821&amp;" ",$D455))*Terms!G$3:G$821)+Terms!G$2</f>
        <v>-2.7714967469635</v>
      </c>
      <c r="Y455" s="0" t="str">
        <f aca="false">INDEX($S$1:$X$1,MATCH(MAX(S455:X455),S455:X455,0))</f>
        <v>Account Access</v>
      </c>
      <c r="Z455" s="0" t="s">
        <v>2607</v>
      </c>
    </row>
    <row r="456" customFormat="false" ht="15" hidden="false" customHeight="false" outlineLevel="0" collapsed="false">
      <c r="A456" s="0" t="str">
        <f aca="false">Complaints!A456</f>
        <v>C0455</v>
      </c>
      <c r="B456" s="0" t="str">
        <f aca="false">Complaints!B456</f>
        <v>A fake text message led me to a website and my money disappeared. This is not acceptable.</v>
      </c>
      <c r="C456" s="0" t="str">
        <f aca="false">Complaints!C456</f>
        <v>Fraud &amp; Scams</v>
      </c>
      <c r="D456" s="0" t="str">
        <f aca="false">" "&amp;TRIM(SUBSTITUTE(SUBSTITUTE(SUBSTITUTE(SUBSTITUTE(SUBSTITUTE(SUBSTITUTE(SUBSTITUTE(SUBSTITUTE(SUBSTITUTE(SUBSTITUTE(SUBSTITUTE(SUBSTITUTE(SUBSTITUTE(SUBSTITUTE(SUBSTITUTE(SUBSTITUTE(LOWER(B456),"."," "),","," "),"'"," "),"’"," "),"!"," "),"?"," "),";"," "),":"," "),"-"," "),"("," "),")"," "),"""", " "),"£"," "),"&amp;"," "),"/"," "),"%"," "))&amp;" "</f>
        <v> a fake text message led me to a website and my money disappeared this is not acceptable </v>
      </c>
      <c r="E456" s="0" t="n">
        <f aca="false">SUMPRODUCT((Rules!$A$2:$A$60=E$1)*Rules!$C$2:$C$60*ISNUMBER(SEARCH(Rules!$D$2:$D$60,$D456)))</f>
        <v>2</v>
      </c>
      <c r="F456" s="0" t="n">
        <f aca="false">SUMPRODUCT((Rules!$A$2:$A$60=F$1)*Rules!$C$2:$C$60*ISNUMBER(SEARCH(Rules!$D$2:$D$60,$D456)))</f>
        <v>0</v>
      </c>
      <c r="G456" s="0" t="n">
        <f aca="false">SUMPRODUCT((Rules!$A$2:$A$60=G$1)*Rules!$C$2:$C$60*ISNUMBER(SEARCH(Rules!$D$2:$D$60,$D456)))</f>
        <v>0</v>
      </c>
      <c r="H456" s="0" t="n">
        <f aca="false">SUMPRODUCT((Rules!$A$2:$A$60=H$1)*Rules!$C$2:$C$60*ISNUMBER(SEARCH(Rules!$D$2:$D$60,$D456)))</f>
        <v>0</v>
      </c>
      <c r="I456" s="0" t="n">
        <f aca="false">SUMPRODUCT((Rules!$A$2:$A$60=I$1)*Rules!$C$2:$C$60*ISNUMBER(SEARCH(Rules!$D$2:$D$60,$D456)))</f>
        <v>0</v>
      </c>
      <c r="J456" s="0" t="n">
        <f aca="false">SUMPRODUCT((Rules!$A$2:$A$60=J$1)*Rules!$C$2:$C$60*ISNUMBER(SEARCH(Rules!$D$2:$D$60,$D456)))</f>
        <v>0</v>
      </c>
      <c r="K456" s="0" t="str">
        <f aca="false">IF(OR(MAX(E456:J456)&lt;Rules!$H$1,MAX(E456:J456)-LARGE(E456:J456,2)&lt;Rules!$H$2),"No label",INDEX($E$1:$J$1,MATCH(MAX(E456:J456),E456:J456,0)))</f>
        <v>No label</v>
      </c>
      <c r="L456" s="0" t="n">
        <f aca="false">SUMPRODUCT((Rules!$A$2:$A$60=L$1)*Rules!$C$2:$C$60*ISNUMBER(SEARCH(Rules!$E$2:$E$60,$D456)))</f>
        <v>2</v>
      </c>
      <c r="M456" s="0" t="n">
        <f aca="false">SUMPRODUCT((Rules!$A$2:$A$60=M$1)*Rules!$C$2:$C$60*ISNUMBER(SEARCH(Rules!$E$2:$E$60,$D456)))</f>
        <v>0</v>
      </c>
      <c r="N456" s="0" t="n">
        <f aca="false">SUMPRODUCT((Rules!$A$2:$A$60=N$1)*Rules!$C$2:$C$60*ISNUMBER(SEARCH(Rules!$E$2:$E$60,$D456)))</f>
        <v>1</v>
      </c>
      <c r="O456" s="0" t="n">
        <f aca="false">SUMPRODUCT((Rules!$A$2:$A$60=O$1)*Rules!$C$2:$C$60*ISNUMBER(SEARCH(Rules!$E$2:$E$60,$D456)))</f>
        <v>0</v>
      </c>
      <c r="P456" s="0" t="n">
        <f aca="false">SUMPRODUCT((Rules!$A$2:$A$60=P$1)*Rules!$C$2:$C$60*ISNUMBER(SEARCH(Rules!$E$2:$E$60,$D456)))</f>
        <v>0</v>
      </c>
      <c r="Q456" s="0" t="n">
        <f aca="false">SUMPRODUCT((Rules!$A$2:$A$60=Q$1)*Rules!$C$2:$C$60*ISNUMBER(SEARCH(Rules!$E$2:$E$60,$D456)))</f>
        <v>0</v>
      </c>
      <c r="R456" s="0" t="str">
        <f aca="false">IF(OR(MAX(L456:Q456)&lt;Rules!$H$1,MAX(L456:Q456)-LARGE(L456:Q456,2)&lt;Rules!$H$2),"No label",INDEX($L$1:$Q$1,MATCH(MAX(L456:Q456),L456:Q456,0)))</f>
        <v>No label</v>
      </c>
      <c r="S456" s="0" t="n">
        <f aca="false">SUMPRODUCT(ISNUMBER(SEARCH(" "&amp;Terms!$A$3:$A$821&amp;" ",$D456))*Terms!B$3:B$821)+Terms!B$2</f>
        <v>1.32492055995048</v>
      </c>
      <c r="T456" s="0" t="n">
        <f aca="false">SUMPRODUCT(ISNUMBER(SEARCH(" "&amp;Terms!$A$3:$A$821&amp;" ",$D456))*Terms!C$3:C$821)+Terms!C$2</f>
        <v>-4.03554783093161</v>
      </c>
      <c r="U456" s="0" t="n">
        <f aca="false">SUMPRODUCT(ISNUMBER(SEARCH(" "&amp;Terms!$A$3:$A$821&amp;" ",$D456))*Terms!D$3:D$821)+Terms!D$2</f>
        <v>-1.0413190100613</v>
      </c>
      <c r="V456" s="0" t="n">
        <f aca="false">SUMPRODUCT(ISNUMBER(SEARCH(" "&amp;Terms!$A$3:$A$821&amp;" ",$D456))*Terms!E$3:E$821)+Terms!E$2</f>
        <v>-7.19727322527825</v>
      </c>
      <c r="W456" s="0" t="n">
        <f aca="false">SUMPRODUCT(ISNUMBER(SEARCH(" "&amp;Terms!$A$3:$A$821&amp;" ",$D456))*Terms!F$3:F$821)+Terms!F$2</f>
        <v>10.8653669729397</v>
      </c>
      <c r="X456" s="0" t="n">
        <f aca="false">SUMPRODUCT(ISNUMBER(SEARCH(" "&amp;Terms!$A$3:$A$821&amp;" ",$D456))*Terms!G$3:G$821)+Terms!G$2</f>
        <v>0.0838525333810468</v>
      </c>
      <c r="Y456" s="0" t="str">
        <f aca="false">INDEX($S$1:$X$1,MATCH(MAX(S456:X456),S456:X456,0))</f>
        <v>Fraud &amp; Scams</v>
      </c>
      <c r="Z456" s="0" t="s">
        <v>2607</v>
      </c>
    </row>
    <row r="457" customFormat="false" ht="15" hidden="false" customHeight="false" outlineLevel="0" collapsed="false">
      <c r="A457" s="0" t="str">
        <f aca="false">Complaints!A457</f>
        <v>C0456</v>
      </c>
      <c r="B457" s="0" t="str">
        <f aca="false">Complaints!B457</f>
        <v>Frankly, A late payment fee appeared and I want it refunded. Please sort this out.</v>
      </c>
      <c r="C457" s="0" t="str">
        <f aca="false">Complaints!C457</f>
        <v>Fees &amp; Charges</v>
      </c>
      <c r="D457" s="0" t="str">
        <f aca="false">" "&amp;TRIM(SUBSTITUTE(SUBSTITUTE(SUBSTITUTE(SUBSTITUTE(SUBSTITUTE(SUBSTITUTE(SUBSTITUTE(SUBSTITUTE(SUBSTITUTE(SUBSTITUTE(SUBSTITUTE(SUBSTITUTE(SUBSTITUTE(SUBSTITUTE(SUBSTITUTE(SUBSTITUTE(LOWER(B457),"."," "),","," "),"'"," "),"’"," "),"!"," "),"?"," "),";"," "),":"," "),"-"," "),"("," "),")"," "),"""", " "),"£"," "),"&amp;"," "),"/"," "),"%"," "))&amp;" "</f>
        <v> frankly a late payment fee appeared and i want it refunded please sort this out </v>
      </c>
      <c r="E457" s="0" t="n">
        <f aca="false">SUMPRODUCT((Rules!$A$2:$A$60=E$1)*Rules!$C$2:$C$60*ISNUMBER(SEARCH(Rules!$D$2:$D$60,$D457)))</f>
        <v>0</v>
      </c>
      <c r="F457" s="0" t="n">
        <f aca="false">SUMPRODUCT((Rules!$A$2:$A$60=F$1)*Rules!$C$2:$C$60*ISNUMBER(SEARCH(Rules!$D$2:$D$60,$D457)))</f>
        <v>0</v>
      </c>
      <c r="G457" s="0" t="n">
        <f aca="false">SUMPRODUCT((Rules!$A$2:$A$60=G$1)*Rules!$C$2:$C$60*ISNUMBER(SEARCH(Rules!$D$2:$D$60,$D457)))</f>
        <v>0</v>
      </c>
      <c r="H457" s="0" t="n">
        <f aca="false">SUMPRODUCT((Rules!$A$2:$A$60=H$1)*Rules!$C$2:$C$60*ISNUMBER(SEARCH(Rules!$D$2:$D$60,$D457)))</f>
        <v>2</v>
      </c>
      <c r="I457" s="0" t="n">
        <f aca="false">SUMPRODUCT((Rules!$A$2:$A$60=I$1)*Rules!$C$2:$C$60*ISNUMBER(SEARCH(Rules!$D$2:$D$60,$D457)))</f>
        <v>0</v>
      </c>
      <c r="J457" s="0" t="n">
        <f aca="false">SUMPRODUCT((Rules!$A$2:$A$60=J$1)*Rules!$C$2:$C$60*ISNUMBER(SEARCH(Rules!$D$2:$D$60,$D457)))</f>
        <v>0</v>
      </c>
      <c r="K457" s="0" t="str">
        <f aca="false">IF(OR(MAX(E457:J457)&lt;Rules!$H$1,MAX(E457:J457)-LARGE(E457:J457,2)&lt;Rules!$H$2),"No label",INDEX($E$1:$J$1,MATCH(MAX(E457:J457),E457:J457,0)))</f>
        <v>No label</v>
      </c>
      <c r="L457" s="0" t="n">
        <f aca="false">SUMPRODUCT((Rules!$A$2:$A$60=L$1)*Rules!$C$2:$C$60*ISNUMBER(SEARCH(Rules!$E$2:$E$60,$D457)))</f>
        <v>0</v>
      </c>
      <c r="M457" s="0" t="n">
        <f aca="false">SUMPRODUCT((Rules!$A$2:$A$60=M$1)*Rules!$C$2:$C$60*ISNUMBER(SEARCH(Rules!$E$2:$E$60,$D457)))</f>
        <v>0</v>
      </c>
      <c r="N457" s="0" t="n">
        <f aca="false">SUMPRODUCT((Rules!$A$2:$A$60=N$1)*Rules!$C$2:$C$60*ISNUMBER(SEARCH(Rules!$E$2:$E$60,$D457)))</f>
        <v>0</v>
      </c>
      <c r="O457" s="0" t="n">
        <f aca="false">SUMPRODUCT((Rules!$A$2:$A$60=O$1)*Rules!$C$2:$C$60*ISNUMBER(SEARCH(Rules!$E$2:$E$60,$D457)))</f>
        <v>2</v>
      </c>
      <c r="P457" s="0" t="n">
        <f aca="false">SUMPRODUCT((Rules!$A$2:$A$60=P$1)*Rules!$C$2:$C$60*ISNUMBER(SEARCH(Rules!$E$2:$E$60,$D457)))</f>
        <v>0</v>
      </c>
      <c r="Q457" s="0" t="n">
        <f aca="false">SUMPRODUCT((Rules!$A$2:$A$60=Q$1)*Rules!$C$2:$C$60*ISNUMBER(SEARCH(Rules!$E$2:$E$60,$D457)))</f>
        <v>0</v>
      </c>
      <c r="R457" s="0" t="str">
        <f aca="false">IF(OR(MAX(L457:Q457)&lt;Rules!$H$1,MAX(L457:Q457)-LARGE(L457:Q457,2)&lt;Rules!$H$2),"No label",INDEX($L$1:$Q$1,MATCH(MAX(L457:Q457),L457:Q457,0)))</f>
        <v>No label</v>
      </c>
      <c r="S457" s="0" t="n">
        <f aca="false">SUMPRODUCT(ISNUMBER(SEARCH(" "&amp;Terms!$A$3:$A$821&amp;" ",$D457))*Terms!B$3:B$821)+Terms!B$2</f>
        <v>-6.14144499030429</v>
      </c>
      <c r="T457" s="0" t="n">
        <f aca="false">SUMPRODUCT(ISNUMBER(SEARCH(" "&amp;Terms!$A$3:$A$821&amp;" ",$D457))*Terms!C$3:C$821)+Terms!C$2</f>
        <v>-5.56559279825026</v>
      </c>
      <c r="U457" s="0" t="n">
        <f aca="false">SUMPRODUCT(ISNUMBER(SEARCH(" "&amp;Terms!$A$3:$A$821&amp;" ",$D457))*Terms!D$3:D$821)+Terms!D$2</f>
        <v>-0.12288072975718</v>
      </c>
      <c r="V457" s="0" t="n">
        <f aca="false">SUMPRODUCT(ISNUMBER(SEARCH(" "&amp;Terms!$A$3:$A$821&amp;" ",$D457))*Terms!E$3:E$821)+Terms!E$2</f>
        <v>16.6423823519028</v>
      </c>
      <c r="W457" s="0" t="n">
        <f aca="false">SUMPRODUCT(ISNUMBER(SEARCH(" "&amp;Terms!$A$3:$A$821&amp;" ",$D457))*Terms!F$3:F$821)+Terms!F$2</f>
        <v>0.922672927362671</v>
      </c>
      <c r="X457" s="0" t="n">
        <f aca="false">SUMPRODUCT(ISNUMBER(SEARCH(" "&amp;Terms!$A$3:$A$821&amp;" ",$D457))*Terms!G$3:G$821)+Terms!G$2</f>
        <v>-5.7351367609536</v>
      </c>
      <c r="Y457" s="0" t="str">
        <f aca="false">INDEX($S$1:$X$1,MATCH(MAX(S457:X457),S457:X457,0))</f>
        <v>Fees &amp; Charges</v>
      </c>
      <c r="Z457" s="0" t="s">
        <v>2607</v>
      </c>
    </row>
    <row r="458" customFormat="false" ht="15" hidden="false" customHeight="false" outlineLevel="0" collapsed="false">
      <c r="A458" s="0" t="str">
        <f aca="false">Complaints!A458</f>
        <v>C0457</v>
      </c>
      <c r="B458" s="0" t="str">
        <f aca="false">Complaints!B458</f>
        <v>To whom it may concern, I keep getting an error message when I sign in. I expect compensation.</v>
      </c>
      <c r="C458" s="0" t="str">
        <f aca="false">Complaints!C458</f>
        <v>Account Access</v>
      </c>
      <c r="D458" s="0" t="str">
        <f aca="false">" "&amp;TRIM(SUBSTITUTE(SUBSTITUTE(SUBSTITUTE(SUBSTITUTE(SUBSTITUTE(SUBSTITUTE(SUBSTITUTE(SUBSTITUTE(SUBSTITUTE(SUBSTITUTE(SUBSTITUTE(SUBSTITUTE(SUBSTITUTE(SUBSTITUTE(SUBSTITUTE(SUBSTITUTE(LOWER(B458),"."," "),","," "),"'"," "),"’"," "),"!"," "),"?"," "),";"," "),":"," "),"-"," "),"("," "),")"," "),"""", " "),"£"," "),"&amp;"," "),"/"," "),"%"," "))&amp;" "</f>
        <v> to whom it may concern i keep getting an error message when i sign in i expect compensation </v>
      </c>
      <c r="E458" s="0" t="n">
        <f aca="false">SUMPRODUCT((Rules!$A$2:$A$60=E$1)*Rules!$C$2:$C$60*ISNUMBER(SEARCH(Rules!$D$2:$D$60,$D458)))</f>
        <v>0</v>
      </c>
      <c r="F458" s="0" t="n">
        <f aca="false">SUMPRODUCT((Rules!$A$2:$A$60=F$1)*Rules!$C$2:$C$60*ISNUMBER(SEARCH(Rules!$D$2:$D$60,$D458)))</f>
        <v>0</v>
      </c>
      <c r="G458" s="0" t="n">
        <f aca="false">SUMPRODUCT((Rules!$A$2:$A$60=G$1)*Rules!$C$2:$C$60*ISNUMBER(SEARCH(Rules!$D$2:$D$60,$D458)))</f>
        <v>3</v>
      </c>
      <c r="H458" s="0" t="n">
        <f aca="false">SUMPRODUCT((Rules!$A$2:$A$60=H$1)*Rules!$C$2:$C$60*ISNUMBER(SEARCH(Rules!$D$2:$D$60,$D458)))</f>
        <v>0</v>
      </c>
      <c r="I458" s="0" t="n">
        <f aca="false">SUMPRODUCT((Rules!$A$2:$A$60=I$1)*Rules!$C$2:$C$60*ISNUMBER(SEARCH(Rules!$D$2:$D$60,$D458)))</f>
        <v>0</v>
      </c>
      <c r="J458" s="0" t="n">
        <f aca="false">SUMPRODUCT((Rules!$A$2:$A$60=J$1)*Rules!$C$2:$C$60*ISNUMBER(SEARCH(Rules!$D$2:$D$60,$D458)))</f>
        <v>0</v>
      </c>
      <c r="K458" s="0" t="str">
        <f aca="false">IF(OR(MAX(E458:J458)&lt;Rules!$H$1,MAX(E458:J458)-LARGE(E458:J458,2)&lt;Rules!$H$2),"No label",INDEX($E$1:$J$1,MATCH(MAX(E458:J458),E458:J458,0)))</f>
        <v>Account Access</v>
      </c>
      <c r="L458" s="0" t="n">
        <f aca="false">SUMPRODUCT((Rules!$A$2:$A$60=L$1)*Rules!$C$2:$C$60*ISNUMBER(SEARCH(Rules!$E$2:$E$60,$D458)))</f>
        <v>0</v>
      </c>
      <c r="M458" s="0" t="n">
        <f aca="false">SUMPRODUCT((Rules!$A$2:$A$60=M$1)*Rules!$C$2:$C$60*ISNUMBER(SEARCH(Rules!$E$2:$E$60,$D458)))</f>
        <v>0</v>
      </c>
      <c r="N458" s="0" t="n">
        <f aca="false">SUMPRODUCT((Rules!$A$2:$A$60=N$1)*Rules!$C$2:$C$60*ISNUMBER(SEARCH(Rules!$E$2:$E$60,$D458)))</f>
        <v>3</v>
      </c>
      <c r="O458" s="0" t="n">
        <f aca="false">SUMPRODUCT((Rules!$A$2:$A$60=O$1)*Rules!$C$2:$C$60*ISNUMBER(SEARCH(Rules!$E$2:$E$60,$D458)))</f>
        <v>0</v>
      </c>
      <c r="P458" s="0" t="n">
        <f aca="false">SUMPRODUCT((Rules!$A$2:$A$60=P$1)*Rules!$C$2:$C$60*ISNUMBER(SEARCH(Rules!$E$2:$E$60,$D458)))</f>
        <v>0</v>
      </c>
      <c r="Q458" s="0" t="n">
        <f aca="false">SUMPRODUCT((Rules!$A$2:$A$60=Q$1)*Rules!$C$2:$C$60*ISNUMBER(SEARCH(Rules!$E$2:$E$60,$D458)))</f>
        <v>0</v>
      </c>
      <c r="R458" s="0" t="str">
        <f aca="false">IF(OR(MAX(L458:Q458)&lt;Rules!$H$1,MAX(L458:Q458)-LARGE(L458:Q458,2)&lt;Rules!$H$2),"No label",INDEX($L$1:$Q$1,MATCH(MAX(L458:Q458),L458:Q458,0)))</f>
        <v>Account Access</v>
      </c>
      <c r="S458" s="0" t="n">
        <f aca="false">SUMPRODUCT(ISNUMBER(SEARCH(" "&amp;Terms!$A$3:$A$821&amp;" ",$D458))*Terms!B$3:B$821)+Terms!B$2</f>
        <v>12.4974822986124</v>
      </c>
      <c r="T458" s="0" t="n">
        <f aca="false">SUMPRODUCT(ISNUMBER(SEARCH(" "&amp;Terms!$A$3:$A$821&amp;" ",$D458))*Terms!C$3:C$821)+Terms!C$2</f>
        <v>0.474553745501672</v>
      </c>
      <c r="U458" s="0" t="n">
        <f aca="false">SUMPRODUCT(ISNUMBER(SEARCH(" "&amp;Terms!$A$3:$A$821&amp;" ",$D458))*Terms!D$3:D$821)+Terms!D$2</f>
        <v>-3.45666601908988</v>
      </c>
      <c r="V458" s="0" t="n">
        <f aca="false">SUMPRODUCT(ISNUMBER(SEARCH(" "&amp;Terms!$A$3:$A$821&amp;" ",$D458))*Terms!E$3:E$821)+Terms!E$2</f>
        <v>-4.52498296642346</v>
      </c>
      <c r="W458" s="0" t="n">
        <f aca="false">SUMPRODUCT(ISNUMBER(SEARCH(" "&amp;Terms!$A$3:$A$821&amp;" ",$D458))*Terms!F$3:F$821)+Terms!F$2</f>
        <v>0.353898189872542</v>
      </c>
      <c r="X458" s="0" t="n">
        <f aca="false">SUMPRODUCT(ISNUMBER(SEARCH(" "&amp;Terms!$A$3:$A$821&amp;" ",$D458))*Terms!G$3:G$821)+Terms!G$2</f>
        <v>-5.34428524847319</v>
      </c>
      <c r="Y458" s="0" t="str">
        <f aca="false">INDEX($S$1:$X$1,MATCH(MAX(S458:X458),S458:X458,0))</f>
        <v>Account Access</v>
      </c>
      <c r="Z458" s="0" t="s">
        <v>2607</v>
      </c>
    </row>
    <row r="459" customFormat="false" ht="15" hidden="false" customHeight="false" outlineLevel="0" collapsed="false">
      <c r="A459" s="0" t="str">
        <f aca="false">Complaints!A459</f>
        <v>C0458</v>
      </c>
      <c r="B459" s="0" t="str">
        <f aca="false">Complaints!B459</f>
        <v>I have been a customer for years. The salesperson pushed me into a plan I did not need. I am worried it might be fraud. Please escalate this.</v>
      </c>
      <c r="C459" s="0" t="str">
        <f aca="false">Complaints!C459</f>
        <v>Mis-selling</v>
      </c>
      <c r="D459" s="0" t="str">
        <f aca="false">" "&amp;TRIM(SUBSTITUTE(SUBSTITUTE(SUBSTITUTE(SUBSTITUTE(SUBSTITUTE(SUBSTITUTE(SUBSTITUTE(SUBSTITUTE(SUBSTITUTE(SUBSTITUTE(SUBSTITUTE(SUBSTITUTE(SUBSTITUTE(SUBSTITUTE(SUBSTITUTE(SUBSTITUTE(LOWER(B459),"."," "),","," "),"'"," "),"’"," "),"!"," "),"?"," "),";"," "),":"," "),"-"," "),"("," "),")"," "),"""", " "),"£"," "),"&amp;"," "),"/"," "),"%"," "))&amp;" "</f>
        <v> i have been a customer for years the salesperson pushed me into a plan i did not need i am worried it might be fraud please escalate this </v>
      </c>
      <c r="E459" s="0" t="n">
        <f aca="false">SUMPRODUCT((Rules!$A$2:$A$60=E$1)*Rules!$C$2:$C$60*ISNUMBER(SEARCH(Rules!$D$2:$D$60,$D459)))</f>
        <v>3</v>
      </c>
      <c r="F459" s="0" t="n">
        <f aca="false">SUMPRODUCT((Rules!$A$2:$A$60=F$1)*Rules!$C$2:$C$60*ISNUMBER(SEARCH(Rules!$D$2:$D$60,$D459)))</f>
        <v>2</v>
      </c>
      <c r="G459" s="0" t="n">
        <f aca="false">SUMPRODUCT((Rules!$A$2:$A$60=G$1)*Rules!$C$2:$C$60*ISNUMBER(SEARCH(Rules!$D$2:$D$60,$D459)))</f>
        <v>0</v>
      </c>
      <c r="H459" s="0" t="n">
        <f aca="false">SUMPRODUCT((Rules!$A$2:$A$60=H$1)*Rules!$C$2:$C$60*ISNUMBER(SEARCH(Rules!$D$2:$D$60,$D459)))</f>
        <v>0</v>
      </c>
      <c r="I459" s="0" t="n">
        <f aca="false">SUMPRODUCT((Rules!$A$2:$A$60=I$1)*Rules!$C$2:$C$60*ISNUMBER(SEARCH(Rules!$D$2:$D$60,$D459)))</f>
        <v>0</v>
      </c>
      <c r="J459" s="0" t="n">
        <f aca="false">SUMPRODUCT((Rules!$A$2:$A$60=J$1)*Rules!$C$2:$C$60*ISNUMBER(SEARCH(Rules!$D$2:$D$60,$D459)))</f>
        <v>0</v>
      </c>
      <c r="K459" s="0" t="str">
        <f aca="false">IF(OR(MAX(E459:J459)&lt;Rules!$H$1,MAX(E459:J459)-LARGE(E459:J459,2)&lt;Rules!$H$2),"No label",INDEX($E$1:$J$1,MATCH(MAX(E459:J459),E459:J459,0)))</f>
        <v>No label</v>
      </c>
      <c r="L459" s="0" t="n">
        <f aca="false">SUMPRODUCT((Rules!$A$2:$A$60=L$1)*Rules!$C$2:$C$60*ISNUMBER(SEARCH(Rules!$E$2:$E$60,$D459)))</f>
        <v>3</v>
      </c>
      <c r="M459" s="0" t="n">
        <f aca="false">SUMPRODUCT((Rules!$A$2:$A$60=M$1)*Rules!$C$2:$C$60*ISNUMBER(SEARCH(Rules!$E$2:$E$60,$D459)))</f>
        <v>2</v>
      </c>
      <c r="N459" s="0" t="n">
        <f aca="false">SUMPRODUCT((Rules!$A$2:$A$60=N$1)*Rules!$C$2:$C$60*ISNUMBER(SEARCH(Rules!$E$2:$E$60,$D459)))</f>
        <v>0</v>
      </c>
      <c r="O459" s="0" t="n">
        <f aca="false">SUMPRODUCT((Rules!$A$2:$A$60=O$1)*Rules!$C$2:$C$60*ISNUMBER(SEARCH(Rules!$E$2:$E$60,$D459)))</f>
        <v>0</v>
      </c>
      <c r="P459" s="0" t="n">
        <f aca="false">SUMPRODUCT((Rules!$A$2:$A$60=P$1)*Rules!$C$2:$C$60*ISNUMBER(SEARCH(Rules!$E$2:$E$60,$D459)))</f>
        <v>0</v>
      </c>
      <c r="Q459" s="0" t="n">
        <f aca="false">SUMPRODUCT((Rules!$A$2:$A$60=Q$1)*Rules!$C$2:$C$60*ISNUMBER(SEARCH(Rules!$E$2:$E$60,$D459)))</f>
        <v>0</v>
      </c>
      <c r="R459" s="0" t="str">
        <f aca="false">IF(OR(MAX(L459:Q459)&lt;Rules!$H$1,MAX(L459:Q459)-LARGE(L459:Q459,2)&lt;Rules!$H$2),"No label",INDEX($L$1:$Q$1,MATCH(MAX(L459:Q459),L459:Q459,0)))</f>
        <v>No label</v>
      </c>
      <c r="S459" s="0" t="n">
        <f aca="false">SUMPRODUCT(ISNUMBER(SEARCH(" "&amp;Terms!$A$3:$A$821&amp;" ",$D459))*Terms!B$3:B$821)+Terms!B$2</f>
        <v>-1.72801135978544</v>
      </c>
      <c r="T459" s="0" t="n">
        <f aca="false">SUMPRODUCT(ISNUMBER(SEARCH(" "&amp;Terms!$A$3:$A$821&amp;" ",$D459))*Terms!C$3:C$821)+Terms!C$2</f>
        <v>1.17555698054385</v>
      </c>
      <c r="U459" s="0" t="n">
        <f aca="false">SUMPRODUCT(ISNUMBER(SEARCH(" "&amp;Terms!$A$3:$A$821&amp;" ",$D459))*Terms!D$3:D$821)+Terms!D$2</f>
        <v>-3.3706433890008</v>
      </c>
      <c r="V459" s="0" t="n">
        <f aca="false">SUMPRODUCT(ISNUMBER(SEARCH(" "&amp;Terms!$A$3:$A$821&amp;" ",$D459))*Terms!E$3:E$821)+Terms!E$2</f>
        <v>-2.66791047285052</v>
      </c>
      <c r="W459" s="0" t="n">
        <f aca="false">SUMPRODUCT(ISNUMBER(SEARCH(" "&amp;Terms!$A$3:$A$821&amp;" ",$D459))*Terms!F$3:F$821)+Terms!F$2</f>
        <v>-0.971058903303279</v>
      </c>
      <c r="X459" s="0" t="n">
        <f aca="false">SUMPRODUCT(ISNUMBER(SEARCH(" "&amp;Terms!$A$3:$A$821&amp;" ",$D459))*Terms!G$3:G$821)+Terms!G$2</f>
        <v>7.56206714439629</v>
      </c>
      <c r="Y459" s="0" t="str">
        <f aca="false">INDEX($S$1:$X$1,MATCH(MAX(S459:X459),S459:X459,0))</f>
        <v>Mis-selling</v>
      </c>
      <c r="Z459" s="0" t="s">
        <v>2607</v>
      </c>
    </row>
    <row r="460" customFormat="false" ht="15" hidden="false" customHeight="false" outlineLevel="0" collapsed="false">
      <c r="A460" s="0" t="str">
        <f aca="false">Complaints!A460</f>
        <v>C0459</v>
      </c>
      <c r="B460" s="0" t="str">
        <f aca="false">Complaints!B460</f>
        <v>I have been a customer for years. A person pretending to be from your bank phoned me and I gave them details. Please escalate this.</v>
      </c>
      <c r="C460" s="0" t="str">
        <f aca="false">Complaints!C460</f>
        <v>Fraud &amp; Scams</v>
      </c>
      <c r="D460" s="0" t="str">
        <f aca="false">" "&amp;TRIM(SUBSTITUTE(SUBSTITUTE(SUBSTITUTE(SUBSTITUTE(SUBSTITUTE(SUBSTITUTE(SUBSTITUTE(SUBSTITUTE(SUBSTITUTE(SUBSTITUTE(SUBSTITUTE(SUBSTITUTE(SUBSTITUTE(SUBSTITUTE(SUBSTITUTE(SUBSTITUTE(LOWER(B460),"."," "),","," "),"'"," "),"’"," "),"!"," "),"?"," "),";"," "),":"," "),"-"," "),"("," "),")"," "),"""", " "),"£"," "),"&amp;"," "),"/"," "),"%"," "))&amp;" "</f>
        <v> i have been a customer for years a person pretending to be from your bank phoned me and i gave them details please escalate this </v>
      </c>
      <c r="E460" s="0" t="n">
        <f aca="false">SUMPRODUCT((Rules!$A$2:$A$60=E$1)*Rules!$C$2:$C$60*ISNUMBER(SEARCH(Rules!$D$2:$D$60,$D460)))</f>
        <v>0</v>
      </c>
      <c r="F460" s="0" t="n">
        <f aca="false">SUMPRODUCT((Rules!$A$2:$A$60=F$1)*Rules!$C$2:$C$60*ISNUMBER(SEARCH(Rules!$D$2:$D$60,$D460)))</f>
        <v>0</v>
      </c>
      <c r="G460" s="0" t="n">
        <f aca="false">SUMPRODUCT((Rules!$A$2:$A$60=G$1)*Rules!$C$2:$C$60*ISNUMBER(SEARCH(Rules!$D$2:$D$60,$D460)))</f>
        <v>0</v>
      </c>
      <c r="H460" s="0" t="n">
        <f aca="false">SUMPRODUCT((Rules!$A$2:$A$60=H$1)*Rules!$C$2:$C$60*ISNUMBER(SEARCH(Rules!$D$2:$D$60,$D460)))</f>
        <v>0</v>
      </c>
      <c r="I460" s="0" t="n">
        <f aca="false">SUMPRODUCT((Rules!$A$2:$A$60=I$1)*Rules!$C$2:$C$60*ISNUMBER(SEARCH(Rules!$D$2:$D$60,$D460)))</f>
        <v>0</v>
      </c>
      <c r="J460" s="0" t="n">
        <f aca="false">SUMPRODUCT((Rules!$A$2:$A$60=J$1)*Rules!$C$2:$C$60*ISNUMBER(SEARCH(Rules!$D$2:$D$60,$D460)))</f>
        <v>0</v>
      </c>
      <c r="K460" s="0" t="str">
        <f aca="false">IF(OR(MAX(E460:J460)&lt;Rules!$H$1,MAX(E460:J460)-LARGE(E460:J460,2)&lt;Rules!$H$2),"No label",INDEX($E$1:$J$1,MATCH(MAX(E460:J460),E460:J460,0)))</f>
        <v>No label</v>
      </c>
      <c r="L460" s="0" t="n">
        <f aca="false">SUMPRODUCT((Rules!$A$2:$A$60=L$1)*Rules!$C$2:$C$60*ISNUMBER(SEARCH(Rules!$E$2:$E$60,$D460)))</f>
        <v>0</v>
      </c>
      <c r="M460" s="0" t="n">
        <f aca="false">SUMPRODUCT((Rules!$A$2:$A$60=M$1)*Rules!$C$2:$C$60*ISNUMBER(SEARCH(Rules!$E$2:$E$60,$D460)))</f>
        <v>0</v>
      </c>
      <c r="N460" s="0" t="n">
        <f aca="false">SUMPRODUCT((Rules!$A$2:$A$60=N$1)*Rules!$C$2:$C$60*ISNUMBER(SEARCH(Rules!$E$2:$E$60,$D460)))</f>
        <v>0</v>
      </c>
      <c r="O460" s="0" t="n">
        <f aca="false">SUMPRODUCT((Rules!$A$2:$A$60=O$1)*Rules!$C$2:$C$60*ISNUMBER(SEARCH(Rules!$E$2:$E$60,$D460)))</f>
        <v>0</v>
      </c>
      <c r="P460" s="0" t="n">
        <f aca="false">SUMPRODUCT((Rules!$A$2:$A$60=P$1)*Rules!$C$2:$C$60*ISNUMBER(SEARCH(Rules!$E$2:$E$60,$D460)))</f>
        <v>0</v>
      </c>
      <c r="Q460" s="0" t="n">
        <f aca="false">SUMPRODUCT((Rules!$A$2:$A$60=Q$1)*Rules!$C$2:$C$60*ISNUMBER(SEARCH(Rules!$E$2:$E$60,$D460)))</f>
        <v>0</v>
      </c>
      <c r="R460" s="0" t="str">
        <f aca="false">IF(OR(MAX(L460:Q460)&lt;Rules!$H$1,MAX(L460:Q460)-LARGE(L460:Q460,2)&lt;Rules!$H$2),"No label",INDEX($L$1:$Q$1,MATCH(MAX(L460:Q460),L460:Q460,0)))</f>
        <v>No label</v>
      </c>
      <c r="S460" s="0" t="n">
        <f aca="false">SUMPRODUCT(ISNUMBER(SEARCH(" "&amp;Terms!$A$3:$A$821&amp;" ",$D460))*Terms!B$3:B$821)+Terms!B$2</f>
        <v>0.279934130586556</v>
      </c>
      <c r="T460" s="0" t="n">
        <f aca="false">SUMPRODUCT(ISNUMBER(SEARCH(" "&amp;Terms!$A$3:$A$821&amp;" ",$D460))*Terms!C$3:C$821)+Terms!C$2</f>
        <v>-1.68703545243794</v>
      </c>
      <c r="U460" s="0" t="n">
        <f aca="false">SUMPRODUCT(ISNUMBER(SEARCH(" "&amp;Terms!$A$3:$A$821&amp;" ",$D460))*Terms!D$3:D$821)+Terms!D$2</f>
        <v>-4.07136472865407</v>
      </c>
      <c r="V460" s="0" t="n">
        <f aca="false">SUMPRODUCT(ISNUMBER(SEARCH(" "&amp;Terms!$A$3:$A$821&amp;" ",$D460))*Terms!E$3:E$821)+Terms!E$2</f>
        <v>-2.88049772949921</v>
      </c>
      <c r="W460" s="0" t="n">
        <f aca="false">SUMPRODUCT(ISNUMBER(SEARCH(" "&amp;Terms!$A$3:$A$821&amp;" ",$D460))*Terms!F$3:F$821)+Terms!F$2</f>
        <v>8.87844278547495</v>
      </c>
      <c r="X460" s="0" t="n">
        <f aca="false">SUMPRODUCT(ISNUMBER(SEARCH(" "&amp;Terms!$A$3:$A$821&amp;" ",$D460))*Terms!G$3:G$821)+Terms!G$2</f>
        <v>-0.519479005470204</v>
      </c>
      <c r="Y460" s="0" t="str">
        <f aca="false">INDEX($S$1:$X$1,MATCH(MAX(S460:X460),S460:X460,0))</f>
        <v>Fraud &amp; Scams</v>
      </c>
      <c r="Z460" s="0" t="s">
        <v>2607</v>
      </c>
    </row>
    <row r="461" customFormat="false" ht="15" hidden="false" customHeight="false" outlineLevel="0" collapsed="false">
      <c r="A461" s="0" t="str">
        <f aca="false">Complaints!A461</f>
        <v>C0460</v>
      </c>
      <c r="B461" s="0" t="str">
        <f aca="false">Complaints!B461</f>
        <v>I am writing to complain. I was charged a monthly fee that nobody told me about. Also, the salesperson pushed me into a plan I did not need. Please sort this out.</v>
      </c>
      <c r="C461" s="0" t="str">
        <f aca="false">Complaints!C461</f>
        <v>Fees &amp; Charges</v>
      </c>
      <c r="D461" s="0" t="str">
        <f aca="false">" "&amp;TRIM(SUBSTITUTE(SUBSTITUTE(SUBSTITUTE(SUBSTITUTE(SUBSTITUTE(SUBSTITUTE(SUBSTITUTE(SUBSTITUTE(SUBSTITUTE(SUBSTITUTE(SUBSTITUTE(SUBSTITUTE(SUBSTITUTE(SUBSTITUTE(SUBSTITUTE(SUBSTITUTE(LOWER(B461),"."," "),","," "),"'"," "),"’"," "),"!"," "),"?"," "),";"," "),":"," "),"-"," "),"("," "),")"," "),"""", " "),"£"," "),"&amp;"," "),"/"," "),"%"," "))&amp;" "</f>
        <v> i am writing to complain i was charged a monthly fee that nobody told me about also the salesperson pushed me into a plan i did not need please sort this out </v>
      </c>
      <c r="E461" s="0" t="n">
        <f aca="false">SUMPRODUCT((Rules!$A$2:$A$60=E$1)*Rules!$C$2:$C$60*ISNUMBER(SEARCH(Rules!$D$2:$D$60,$D461)))</f>
        <v>0</v>
      </c>
      <c r="F461" s="0" t="n">
        <f aca="false">SUMPRODUCT((Rules!$A$2:$A$60=F$1)*Rules!$C$2:$C$60*ISNUMBER(SEARCH(Rules!$D$2:$D$60,$D461)))</f>
        <v>2</v>
      </c>
      <c r="G461" s="0" t="n">
        <f aca="false">SUMPRODUCT((Rules!$A$2:$A$60=G$1)*Rules!$C$2:$C$60*ISNUMBER(SEARCH(Rules!$D$2:$D$60,$D461)))</f>
        <v>0</v>
      </c>
      <c r="H461" s="0" t="n">
        <f aca="false">SUMPRODUCT((Rules!$A$2:$A$60=H$1)*Rules!$C$2:$C$60*ISNUMBER(SEARCH(Rules!$D$2:$D$60,$D461)))</f>
        <v>4</v>
      </c>
      <c r="I461" s="0" t="n">
        <f aca="false">SUMPRODUCT((Rules!$A$2:$A$60=I$1)*Rules!$C$2:$C$60*ISNUMBER(SEARCH(Rules!$D$2:$D$60,$D461)))</f>
        <v>0</v>
      </c>
      <c r="J461" s="0" t="n">
        <f aca="false">SUMPRODUCT((Rules!$A$2:$A$60=J$1)*Rules!$C$2:$C$60*ISNUMBER(SEARCH(Rules!$D$2:$D$60,$D461)))</f>
        <v>0</v>
      </c>
      <c r="K461" s="0" t="str">
        <f aca="false">IF(OR(MAX(E461:J461)&lt;Rules!$H$1,MAX(E461:J461)-LARGE(E461:J461,2)&lt;Rules!$H$2),"No label",INDEX($E$1:$J$1,MATCH(MAX(E461:J461),E461:J461,0)))</f>
        <v>Fees &amp; Charges</v>
      </c>
      <c r="L461" s="0" t="n">
        <f aca="false">SUMPRODUCT((Rules!$A$2:$A$60=L$1)*Rules!$C$2:$C$60*ISNUMBER(SEARCH(Rules!$E$2:$E$60,$D461)))</f>
        <v>0</v>
      </c>
      <c r="M461" s="0" t="n">
        <f aca="false">SUMPRODUCT((Rules!$A$2:$A$60=M$1)*Rules!$C$2:$C$60*ISNUMBER(SEARCH(Rules!$E$2:$E$60,$D461)))</f>
        <v>2</v>
      </c>
      <c r="N461" s="0" t="n">
        <f aca="false">SUMPRODUCT((Rules!$A$2:$A$60=N$1)*Rules!$C$2:$C$60*ISNUMBER(SEARCH(Rules!$E$2:$E$60,$D461)))</f>
        <v>0</v>
      </c>
      <c r="O461" s="0" t="n">
        <f aca="false">SUMPRODUCT((Rules!$A$2:$A$60=O$1)*Rules!$C$2:$C$60*ISNUMBER(SEARCH(Rules!$E$2:$E$60,$D461)))</f>
        <v>6</v>
      </c>
      <c r="P461" s="0" t="n">
        <f aca="false">SUMPRODUCT((Rules!$A$2:$A$60=P$1)*Rules!$C$2:$C$60*ISNUMBER(SEARCH(Rules!$E$2:$E$60,$D461)))</f>
        <v>0</v>
      </c>
      <c r="Q461" s="0" t="n">
        <f aca="false">SUMPRODUCT((Rules!$A$2:$A$60=Q$1)*Rules!$C$2:$C$60*ISNUMBER(SEARCH(Rules!$E$2:$E$60,$D461)))</f>
        <v>0</v>
      </c>
      <c r="R461" s="0" t="str">
        <f aca="false">IF(OR(MAX(L461:Q461)&lt;Rules!$H$1,MAX(L461:Q461)-LARGE(L461:Q461,2)&lt;Rules!$H$2),"No label",INDEX($L$1:$Q$1,MATCH(MAX(L461:Q461),L461:Q461,0)))</f>
        <v>Fees &amp; Charges</v>
      </c>
      <c r="S461" s="0" t="n">
        <f aca="false">SUMPRODUCT(ISNUMBER(SEARCH(" "&amp;Terms!$A$3:$A$821&amp;" ",$D461))*Terms!B$3:B$821)+Terms!B$2</f>
        <v>-7.32758413442612</v>
      </c>
      <c r="T461" s="0" t="n">
        <f aca="false">SUMPRODUCT(ISNUMBER(SEARCH(" "&amp;Terms!$A$3:$A$821&amp;" ",$D461))*Terms!C$3:C$821)+Terms!C$2</f>
        <v>-2.64876819488683</v>
      </c>
      <c r="U461" s="0" t="n">
        <f aca="false">SUMPRODUCT(ISNUMBER(SEARCH(" "&amp;Terms!$A$3:$A$821&amp;" ",$D461))*Terms!D$3:D$821)+Terms!D$2</f>
        <v>-4.30630842972548</v>
      </c>
      <c r="V461" s="0" t="n">
        <f aca="false">SUMPRODUCT(ISNUMBER(SEARCH(" "&amp;Terms!$A$3:$A$821&amp;" ",$D461))*Terms!E$3:E$821)+Terms!E$2</f>
        <v>9.08028096090333</v>
      </c>
      <c r="W461" s="0" t="n">
        <f aca="false">SUMPRODUCT(ISNUMBER(SEARCH(" "&amp;Terms!$A$3:$A$821&amp;" ",$D461))*Terms!F$3:F$821)+Terms!F$2</f>
        <v>-2.30699207279883</v>
      </c>
      <c r="X461" s="0" t="n">
        <f aca="false">SUMPRODUCT(ISNUMBER(SEARCH(" "&amp;Terms!$A$3:$A$821&amp;" ",$D461))*Terms!G$3:G$821)+Terms!G$2</f>
        <v>7.50937187093404</v>
      </c>
      <c r="Y461" s="0" t="str">
        <f aca="false">INDEX($S$1:$X$1,MATCH(MAX(S461:X461),S461:X461,0))</f>
        <v>Fees &amp; Charges</v>
      </c>
      <c r="Z461" s="0" t="s">
        <v>2607</v>
      </c>
    </row>
    <row r="462" customFormat="false" ht="15" hidden="false" customHeight="false" outlineLevel="0" collapsed="false">
      <c r="A462" s="0" t="str">
        <f aca="false">Complaints!A462</f>
        <v>C0461</v>
      </c>
      <c r="B462" s="0" t="str">
        <f aca="false">Complaints!B462</f>
        <v>I am writing to complain. I was tricked into moving savings to a safe account that was not safe.</v>
      </c>
      <c r="C462" s="0" t="str">
        <f aca="false">Complaints!C462</f>
        <v>Fraud &amp; Scams</v>
      </c>
      <c r="D462" s="0" t="str">
        <f aca="false">" "&amp;TRIM(SUBSTITUTE(SUBSTITUTE(SUBSTITUTE(SUBSTITUTE(SUBSTITUTE(SUBSTITUTE(SUBSTITUTE(SUBSTITUTE(SUBSTITUTE(SUBSTITUTE(SUBSTITUTE(SUBSTITUTE(SUBSTITUTE(SUBSTITUTE(SUBSTITUTE(SUBSTITUTE(LOWER(B462),"."," "),","," "),"'"," "),"’"," "),"!"," "),"?"," "),";"," "),":"," "),"-"," "),"("," "),")"," "),"""", " "),"£"," "),"&amp;"," "),"/"," "),"%"," "))&amp;" "</f>
        <v> i am writing to complain i was tricked into moving savings to a safe account that was not safe </v>
      </c>
      <c r="E462" s="0" t="n">
        <f aca="false">SUMPRODUCT((Rules!$A$2:$A$60=E$1)*Rules!$C$2:$C$60*ISNUMBER(SEARCH(Rules!$D$2:$D$60,$D462)))</f>
        <v>2</v>
      </c>
      <c r="F462" s="0" t="n">
        <f aca="false">SUMPRODUCT((Rules!$A$2:$A$60=F$1)*Rules!$C$2:$C$60*ISNUMBER(SEARCH(Rules!$D$2:$D$60,$D462)))</f>
        <v>0</v>
      </c>
      <c r="G462" s="0" t="n">
        <f aca="false">SUMPRODUCT((Rules!$A$2:$A$60=G$1)*Rules!$C$2:$C$60*ISNUMBER(SEARCH(Rules!$D$2:$D$60,$D462)))</f>
        <v>0</v>
      </c>
      <c r="H462" s="0" t="n">
        <f aca="false">SUMPRODUCT((Rules!$A$2:$A$60=H$1)*Rules!$C$2:$C$60*ISNUMBER(SEARCH(Rules!$D$2:$D$60,$D462)))</f>
        <v>0</v>
      </c>
      <c r="I462" s="0" t="n">
        <f aca="false">SUMPRODUCT((Rules!$A$2:$A$60=I$1)*Rules!$C$2:$C$60*ISNUMBER(SEARCH(Rules!$D$2:$D$60,$D462)))</f>
        <v>0</v>
      </c>
      <c r="J462" s="0" t="n">
        <f aca="false">SUMPRODUCT((Rules!$A$2:$A$60=J$1)*Rules!$C$2:$C$60*ISNUMBER(SEARCH(Rules!$D$2:$D$60,$D462)))</f>
        <v>0</v>
      </c>
      <c r="K462" s="0" t="str">
        <f aca="false">IF(OR(MAX(E462:J462)&lt;Rules!$H$1,MAX(E462:J462)-LARGE(E462:J462,2)&lt;Rules!$H$2),"No label",INDEX($E$1:$J$1,MATCH(MAX(E462:J462),E462:J462,0)))</f>
        <v>No label</v>
      </c>
      <c r="L462" s="0" t="n">
        <f aca="false">SUMPRODUCT((Rules!$A$2:$A$60=L$1)*Rules!$C$2:$C$60*ISNUMBER(SEARCH(Rules!$E$2:$E$60,$D462)))</f>
        <v>2</v>
      </c>
      <c r="M462" s="0" t="n">
        <f aca="false">SUMPRODUCT((Rules!$A$2:$A$60=M$1)*Rules!$C$2:$C$60*ISNUMBER(SEARCH(Rules!$E$2:$E$60,$D462)))</f>
        <v>0</v>
      </c>
      <c r="N462" s="0" t="n">
        <f aca="false">SUMPRODUCT((Rules!$A$2:$A$60=N$1)*Rules!$C$2:$C$60*ISNUMBER(SEARCH(Rules!$E$2:$E$60,$D462)))</f>
        <v>0</v>
      </c>
      <c r="O462" s="0" t="n">
        <f aca="false">SUMPRODUCT((Rules!$A$2:$A$60=O$1)*Rules!$C$2:$C$60*ISNUMBER(SEARCH(Rules!$E$2:$E$60,$D462)))</f>
        <v>0</v>
      </c>
      <c r="P462" s="0" t="n">
        <f aca="false">SUMPRODUCT((Rules!$A$2:$A$60=P$1)*Rules!$C$2:$C$60*ISNUMBER(SEARCH(Rules!$E$2:$E$60,$D462)))</f>
        <v>0</v>
      </c>
      <c r="Q462" s="0" t="n">
        <f aca="false">SUMPRODUCT((Rules!$A$2:$A$60=Q$1)*Rules!$C$2:$C$60*ISNUMBER(SEARCH(Rules!$E$2:$E$60,$D462)))</f>
        <v>0</v>
      </c>
      <c r="R462" s="0" t="str">
        <f aca="false">IF(OR(MAX(L462:Q462)&lt;Rules!$H$1,MAX(L462:Q462)-LARGE(L462:Q462,2)&lt;Rules!$H$2),"No label",INDEX($L$1:$Q$1,MATCH(MAX(L462:Q462),L462:Q462,0)))</f>
        <v>No label</v>
      </c>
      <c r="S462" s="0" t="n">
        <f aca="false">SUMPRODUCT(ISNUMBER(SEARCH(" "&amp;Terms!$A$3:$A$821&amp;" ",$D462))*Terms!B$3:B$821)+Terms!B$2</f>
        <v>-1.56069986013672</v>
      </c>
      <c r="T462" s="0" t="n">
        <f aca="false">SUMPRODUCT(ISNUMBER(SEARCH(" "&amp;Terms!$A$3:$A$821&amp;" ",$D462))*Terms!C$3:C$821)+Terms!C$2</f>
        <v>-4.90406327449535</v>
      </c>
      <c r="U462" s="0" t="n">
        <f aca="false">SUMPRODUCT(ISNUMBER(SEARCH(" "&amp;Terms!$A$3:$A$821&amp;" ",$D462))*Terms!D$3:D$821)+Terms!D$2</f>
        <v>3.91120748505494</v>
      </c>
      <c r="V462" s="0" t="n">
        <f aca="false">SUMPRODUCT(ISNUMBER(SEARCH(" "&amp;Terms!$A$3:$A$821&amp;" ",$D462))*Terms!E$3:E$821)+Terms!E$2</f>
        <v>-2.18424089565756</v>
      </c>
      <c r="W462" s="0" t="n">
        <f aca="false">SUMPRODUCT(ISNUMBER(SEARCH(" "&amp;Terms!$A$3:$A$821&amp;" ",$D462))*Terms!F$3:F$821)+Terms!F$2</f>
        <v>9.04636180442127</v>
      </c>
      <c r="X462" s="0" t="n">
        <f aca="false">SUMPRODUCT(ISNUMBER(SEARCH(" "&amp;Terms!$A$3:$A$821&amp;" ",$D462))*Terms!G$3:G$821)+Terms!G$2</f>
        <v>-4.3085652591865</v>
      </c>
      <c r="Y462" s="0" t="str">
        <f aca="false">INDEX($S$1:$X$1,MATCH(MAX(S462:X462),S462:X462,0))</f>
        <v>Fraud &amp; Scams</v>
      </c>
      <c r="Z462" s="0" t="s">
        <v>2607</v>
      </c>
    </row>
    <row r="463" customFormat="false" ht="15" hidden="false" customHeight="false" outlineLevel="0" collapsed="false">
      <c r="A463" s="0" t="str">
        <f aca="false">Complaints!A463</f>
        <v>C0462</v>
      </c>
      <c r="B463" s="0" t="str">
        <f aca="false">Complaints!B463</f>
        <v>I am writing to complain. I cannot log in to the mobile app since the update. Also, why has my interest rate gone up without notice, it is costing me more every month.</v>
      </c>
      <c r="C463" s="0" t="str">
        <f aca="false">Complaints!C463</f>
        <v>Account Access</v>
      </c>
      <c r="D463" s="0" t="str">
        <f aca="false">" "&amp;TRIM(SUBSTITUTE(SUBSTITUTE(SUBSTITUTE(SUBSTITUTE(SUBSTITUTE(SUBSTITUTE(SUBSTITUTE(SUBSTITUTE(SUBSTITUTE(SUBSTITUTE(SUBSTITUTE(SUBSTITUTE(SUBSTITUTE(SUBSTITUTE(SUBSTITUTE(SUBSTITUTE(LOWER(B463),"."," "),","," "),"'"," "),"’"," "),"!"," "),"?"," "),";"," "),":"," "),"-"," "),"("," "),")"," "),"""", " "),"£"," "),"&amp;"," "),"/"," "),"%"," "))&amp;" "</f>
        <v> i am writing to complain i cannot log in to the mobile app since the update also why has my interest rate gone up without notice it is costing me more every month </v>
      </c>
      <c r="E463" s="0" t="n">
        <f aca="false">SUMPRODUCT((Rules!$A$2:$A$60=E$1)*Rules!$C$2:$C$60*ISNUMBER(SEARCH(Rules!$D$2:$D$60,$D463)))</f>
        <v>0</v>
      </c>
      <c r="F463" s="0" t="n">
        <f aca="false">SUMPRODUCT((Rules!$A$2:$A$60=F$1)*Rules!$C$2:$C$60*ISNUMBER(SEARCH(Rules!$D$2:$D$60,$D463)))</f>
        <v>0</v>
      </c>
      <c r="G463" s="0" t="n">
        <f aca="false">SUMPRODUCT((Rules!$A$2:$A$60=G$1)*Rules!$C$2:$C$60*ISNUMBER(SEARCH(Rules!$D$2:$D$60,$D463)))</f>
        <v>4</v>
      </c>
      <c r="H463" s="0" t="n">
        <f aca="false">SUMPRODUCT((Rules!$A$2:$A$60=H$1)*Rules!$C$2:$C$60*ISNUMBER(SEARCH(Rules!$D$2:$D$60,$D463)))</f>
        <v>2</v>
      </c>
      <c r="I463" s="0" t="n">
        <f aca="false">SUMPRODUCT((Rules!$A$2:$A$60=I$1)*Rules!$C$2:$C$60*ISNUMBER(SEARCH(Rules!$D$2:$D$60,$D463)))</f>
        <v>0</v>
      </c>
      <c r="J463" s="0" t="n">
        <f aca="false">SUMPRODUCT((Rules!$A$2:$A$60=J$1)*Rules!$C$2:$C$60*ISNUMBER(SEARCH(Rules!$D$2:$D$60,$D463)))</f>
        <v>0</v>
      </c>
      <c r="K463" s="0" t="str">
        <f aca="false">IF(OR(MAX(E463:J463)&lt;Rules!$H$1,MAX(E463:J463)-LARGE(E463:J463,2)&lt;Rules!$H$2),"No label",INDEX($E$1:$J$1,MATCH(MAX(E463:J463),E463:J463,0)))</f>
        <v>Account Access</v>
      </c>
      <c r="L463" s="0" t="n">
        <f aca="false">SUMPRODUCT((Rules!$A$2:$A$60=L$1)*Rules!$C$2:$C$60*ISNUMBER(SEARCH(Rules!$E$2:$E$60,$D463)))</f>
        <v>0</v>
      </c>
      <c r="M463" s="0" t="n">
        <f aca="false">SUMPRODUCT((Rules!$A$2:$A$60=M$1)*Rules!$C$2:$C$60*ISNUMBER(SEARCH(Rules!$E$2:$E$60,$D463)))</f>
        <v>0</v>
      </c>
      <c r="N463" s="0" t="n">
        <f aca="false">SUMPRODUCT((Rules!$A$2:$A$60=N$1)*Rules!$C$2:$C$60*ISNUMBER(SEARCH(Rules!$E$2:$E$60,$D463)))</f>
        <v>4</v>
      </c>
      <c r="O463" s="0" t="n">
        <f aca="false">SUMPRODUCT((Rules!$A$2:$A$60=O$1)*Rules!$C$2:$C$60*ISNUMBER(SEARCH(Rules!$E$2:$E$60,$D463)))</f>
        <v>2</v>
      </c>
      <c r="P463" s="0" t="n">
        <f aca="false">SUMPRODUCT((Rules!$A$2:$A$60=P$1)*Rules!$C$2:$C$60*ISNUMBER(SEARCH(Rules!$E$2:$E$60,$D463)))</f>
        <v>0</v>
      </c>
      <c r="Q463" s="0" t="n">
        <f aca="false">SUMPRODUCT((Rules!$A$2:$A$60=Q$1)*Rules!$C$2:$C$60*ISNUMBER(SEARCH(Rules!$E$2:$E$60,$D463)))</f>
        <v>0</v>
      </c>
      <c r="R463" s="0" t="str">
        <f aca="false">IF(OR(MAX(L463:Q463)&lt;Rules!$H$1,MAX(L463:Q463)-LARGE(L463:Q463,2)&lt;Rules!$H$2),"No label",INDEX($L$1:$Q$1,MATCH(MAX(L463:Q463),L463:Q463,0)))</f>
        <v>Account Access</v>
      </c>
      <c r="S463" s="0" t="n">
        <f aca="false">SUMPRODUCT(ISNUMBER(SEARCH(" "&amp;Terms!$A$3:$A$821&amp;" ",$D463))*Terms!B$3:B$821)+Terms!B$2</f>
        <v>7.37987268946464</v>
      </c>
      <c r="T463" s="0" t="n">
        <f aca="false">SUMPRODUCT(ISNUMBER(SEARCH(" "&amp;Terms!$A$3:$A$821&amp;" ",$D463))*Terms!C$3:C$821)+Terms!C$2</f>
        <v>-2.80502515304979</v>
      </c>
      <c r="U463" s="0" t="n">
        <f aca="false">SUMPRODUCT(ISNUMBER(SEARCH(" "&amp;Terms!$A$3:$A$821&amp;" ",$D463))*Terms!D$3:D$821)+Terms!D$2</f>
        <v>0.114905622230948</v>
      </c>
      <c r="V463" s="0" t="n">
        <f aca="false">SUMPRODUCT(ISNUMBER(SEARCH(" "&amp;Terms!$A$3:$A$821&amp;" ",$D463))*Terms!E$3:E$821)+Terms!E$2</f>
        <v>3.61406564422658</v>
      </c>
      <c r="W463" s="0" t="n">
        <f aca="false">SUMPRODUCT(ISNUMBER(SEARCH(" "&amp;Terms!$A$3:$A$821&amp;" ",$D463))*Terms!F$3:F$821)+Terms!F$2</f>
        <v>-6.05171805228371</v>
      </c>
      <c r="X463" s="0" t="n">
        <f aca="false">SUMPRODUCT(ISNUMBER(SEARCH(" "&amp;Terms!$A$3:$A$821&amp;" ",$D463))*Terms!G$3:G$821)+Terms!G$2</f>
        <v>-2.25210075058856</v>
      </c>
      <c r="Y463" s="0" t="str">
        <f aca="false">INDEX($S$1:$X$1,MATCH(MAX(S463:X463),S463:X463,0))</f>
        <v>Account Access</v>
      </c>
      <c r="Z463" s="0" t="s">
        <v>2607</v>
      </c>
    </row>
    <row r="464" customFormat="false" ht="15" hidden="false" customHeight="false" outlineLevel="0" collapsed="false">
      <c r="A464" s="0" t="str">
        <f aca="false">Complaints!A464</f>
        <v>C0463</v>
      </c>
      <c r="B464" s="0" t="str">
        <f aca="false">Complaints!B464</f>
        <v>Frankly, Nobody has responded to my emails despite three remindrs. I expect compensation.</v>
      </c>
      <c r="C464" s="0" t="str">
        <f aca="false">Complaints!C464</f>
        <v>Customer Service</v>
      </c>
      <c r="D464" s="0" t="str">
        <f aca="false">" "&amp;TRIM(SUBSTITUTE(SUBSTITUTE(SUBSTITUTE(SUBSTITUTE(SUBSTITUTE(SUBSTITUTE(SUBSTITUTE(SUBSTITUTE(SUBSTITUTE(SUBSTITUTE(SUBSTITUTE(SUBSTITUTE(SUBSTITUTE(SUBSTITUTE(SUBSTITUTE(SUBSTITUTE(LOWER(B464),"."," "),","," "),"'"," "),"’"," "),"!"," "),"?"," "),";"," "),":"," "),"-"," "),"("," "),")"," "),"""", " "),"£"," "),"&amp;"," "),"/"," "),"%"," "))&amp;" "</f>
        <v> frankly nobody has responded to my emails despite three remindrs i expect compensation </v>
      </c>
      <c r="E464" s="0" t="n">
        <f aca="false">SUMPRODUCT((Rules!$A$2:$A$60=E$1)*Rules!$C$2:$C$60*ISNUMBER(SEARCH(Rules!$D$2:$D$60,$D464)))</f>
        <v>0</v>
      </c>
      <c r="F464" s="0" t="n">
        <f aca="false">SUMPRODUCT((Rules!$A$2:$A$60=F$1)*Rules!$C$2:$C$60*ISNUMBER(SEARCH(Rules!$D$2:$D$60,$D464)))</f>
        <v>0</v>
      </c>
      <c r="G464" s="0" t="n">
        <f aca="false">SUMPRODUCT((Rules!$A$2:$A$60=G$1)*Rules!$C$2:$C$60*ISNUMBER(SEARCH(Rules!$D$2:$D$60,$D464)))</f>
        <v>0</v>
      </c>
      <c r="H464" s="0" t="n">
        <f aca="false">SUMPRODUCT((Rules!$A$2:$A$60=H$1)*Rules!$C$2:$C$60*ISNUMBER(SEARCH(Rules!$D$2:$D$60,$D464)))</f>
        <v>0</v>
      </c>
      <c r="I464" s="0" t="n">
        <f aca="false">SUMPRODUCT((Rules!$A$2:$A$60=I$1)*Rules!$C$2:$C$60*ISNUMBER(SEARCH(Rules!$D$2:$D$60,$D464)))</f>
        <v>0</v>
      </c>
      <c r="J464" s="0" t="n">
        <f aca="false">SUMPRODUCT((Rules!$A$2:$A$60=J$1)*Rules!$C$2:$C$60*ISNUMBER(SEARCH(Rules!$D$2:$D$60,$D464)))</f>
        <v>2</v>
      </c>
      <c r="K464" s="0" t="str">
        <f aca="false">IF(OR(MAX(E464:J464)&lt;Rules!$H$1,MAX(E464:J464)-LARGE(E464:J464,2)&lt;Rules!$H$2),"No label",INDEX($E$1:$J$1,MATCH(MAX(E464:J464),E464:J464,0)))</f>
        <v>No label</v>
      </c>
      <c r="L464" s="0" t="n">
        <f aca="false">SUMPRODUCT((Rules!$A$2:$A$60=L$1)*Rules!$C$2:$C$60*ISNUMBER(SEARCH(Rules!$E$2:$E$60,$D464)))</f>
        <v>0</v>
      </c>
      <c r="M464" s="0" t="n">
        <f aca="false">SUMPRODUCT((Rules!$A$2:$A$60=M$1)*Rules!$C$2:$C$60*ISNUMBER(SEARCH(Rules!$E$2:$E$60,$D464)))</f>
        <v>0</v>
      </c>
      <c r="N464" s="0" t="n">
        <f aca="false">SUMPRODUCT((Rules!$A$2:$A$60=N$1)*Rules!$C$2:$C$60*ISNUMBER(SEARCH(Rules!$E$2:$E$60,$D464)))</f>
        <v>0</v>
      </c>
      <c r="O464" s="0" t="n">
        <f aca="false">SUMPRODUCT((Rules!$A$2:$A$60=O$1)*Rules!$C$2:$C$60*ISNUMBER(SEARCH(Rules!$E$2:$E$60,$D464)))</f>
        <v>0</v>
      </c>
      <c r="P464" s="0" t="n">
        <f aca="false">SUMPRODUCT((Rules!$A$2:$A$60=P$1)*Rules!$C$2:$C$60*ISNUMBER(SEARCH(Rules!$E$2:$E$60,$D464)))</f>
        <v>0</v>
      </c>
      <c r="Q464" s="0" t="n">
        <f aca="false">SUMPRODUCT((Rules!$A$2:$A$60=Q$1)*Rules!$C$2:$C$60*ISNUMBER(SEARCH(Rules!$E$2:$E$60,$D464)))</f>
        <v>2</v>
      </c>
      <c r="R464" s="0" t="str">
        <f aca="false">IF(OR(MAX(L464:Q464)&lt;Rules!$H$1,MAX(L464:Q464)-LARGE(L464:Q464,2)&lt;Rules!$H$2),"No label",INDEX($L$1:$Q$1,MATCH(MAX(L464:Q464),L464:Q464,0)))</f>
        <v>No label</v>
      </c>
      <c r="S464" s="0" t="n">
        <f aca="false">SUMPRODUCT(ISNUMBER(SEARCH(" "&amp;Terms!$A$3:$A$821&amp;" ",$D464))*Terms!B$3:B$821)+Terms!B$2</f>
        <v>-0.615975836963455</v>
      </c>
      <c r="T464" s="0" t="n">
        <f aca="false">SUMPRODUCT(ISNUMBER(SEARCH(" "&amp;Terms!$A$3:$A$821&amp;" ",$D464))*Terms!C$3:C$821)+Terms!C$2</f>
        <v>6.8630936928583</v>
      </c>
      <c r="U464" s="0" t="n">
        <f aca="false">SUMPRODUCT(ISNUMBER(SEARCH(" "&amp;Terms!$A$3:$A$821&amp;" ",$D464))*Terms!D$3:D$821)+Terms!D$2</f>
        <v>-2.73638108429105</v>
      </c>
      <c r="V464" s="0" t="n">
        <f aca="false">SUMPRODUCT(ISNUMBER(SEARCH(" "&amp;Terms!$A$3:$A$821&amp;" ",$D464))*Terms!E$3:E$821)+Terms!E$2</f>
        <v>-1.18079574196335</v>
      </c>
      <c r="W464" s="0" t="n">
        <f aca="false">SUMPRODUCT(ISNUMBER(SEARCH(" "&amp;Terms!$A$3:$A$821&amp;" ",$D464))*Terms!F$3:F$821)+Terms!F$2</f>
        <v>0.173444122798839</v>
      </c>
      <c r="X464" s="0" t="n">
        <f aca="false">SUMPRODUCT(ISNUMBER(SEARCH(" "&amp;Terms!$A$3:$A$821&amp;" ",$D464))*Terms!G$3:G$821)+Terms!G$2</f>
        <v>-2.50338515243919</v>
      </c>
      <c r="Y464" s="0" t="str">
        <f aca="false">INDEX($S$1:$X$1,MATCH(MAX(S464:X464),S464:X464,0))</f>
        <v>Customer Service</v>
      </c>
      <c r="Z464" s="0" t="s">
        <v>2607</v>
      </c>
    </row>
    <row r="465" customFormat="false" ht="15" hidden="false" customHeight="false" outlineLevel="0" collapsed="false">
      <c r="A465" s="0" t="str">
        <f aca="false">Complaints!A465</f>
        <v>C0464</v>
      </c>
      <c r="B465" s="0" t="str">
        <f aca="false">Complaints!B465</f>
        <v>Frankly, A fake text message led me to a website and my money disappeared. Also, why has my interest rate gone up without notice, it is costing me more every month. I want this put right.</v>
      </c>
      <c r="C465" s="0" t="str">
        <f aca="false">Complaints!C465</f>
        <v>Fraud &amp; Scams</v>
      </c>
      <c r="D465" s="0" t="str">
        <f aca="false">" "&amp;TRIM(SUBSTITUTE(SUBSTITUTE(SUBSTITUTE(SUBSTITUTE(SUBSTITUTE(SUBSTITUTE(SUBSTITUTE(SUBSTITUTE(SUBSTITUTE(SUBSTITUTE(SUBSTITUTE(SUBSTITUTE(SUBSTITUTE(SUBSTITUTE(SUBSTITUTE(SUBSTITUTE(LOWER(B465),"."," "),","," "),"'"," "),"’"," "),"!"," "),"?"," "),";"," "),":"," "),"-"," "),"("," "),")"," "),"""", " "),"£"," "),"&amp;"," "),"/"," "),"%"," "))&amp;" "</f>
        <v> frankly a fake text message led me to a website and my money disappeared also why has my interest rate gone up without notice it is costing me more every month i want this put right </v>
      </c>
      <c r="E465" s="0" t="n">
        <f aca="false">SUMPRODUCT((Rules!$A$2:$A$60=E$1)*Rules!$C$2:$C$60*ISNUMBER(SEARCH(Rules!$D$2:$D$60,$D465)))</f>
        <v>2</v>
      </c>
      <c r="F465" s="0" t="n">
        <f aca="false">SUMPRODUCT((Rules!$A$2:$A$60=F$1)*Rules!$C$2:$C$60*ISNUMBER(SEARCH(Rules!$D$2:$D$60,$D465)))</f>
        <v>0</v>
      </c>
      <c r="G465" s="0" t="n">
        <f aca="false">SUMPRODUCT((Rules!$A$2:$A$60=G$1)*Rules!$C$2:$C$60*ISNUMBER(SEARCH(Rules!$D$2:$D$60,$D465)))</f>
        <v>0</v>
      </c>
      <c r="H465" s="0" t="n">
        <f aca="false">SUMPRODUCT((Rules!$A$2:$A$60=H$1)*Rules!$C$2:$C$60*ISNUMBER(SEARCH(Rules!$D$2:$D$60,$D465)))</f>
        <v>2</v>
      </c>
      <c r="I465" s="0" t="n">
        <f aca="false">SUMPRODUCT((Rules!$A$2:$A$60=I$1)*Rules!$C$2:$C$60*ISNUMBER(SEARCH(Rules!$D$2:$D$60,$D465)))</f>
        <v>0</v>
      </c>
      <c r="J465" s="0" t="n">
        <f aca="false">SUMPRODUCT((Rules!$A$2:$A$60=J$1)*Rules!$C$2:$C$60*ISNUMBER(SEARCH(Rules!$D$2:$D$60,$D465)))</f>
        <v>0</v>
      </c>
      <c r="K465" s="0" t="str">
        <f aca="false">IF(OR(MAX(E465:J465)&lt;Rules!$H$1,MAX(E465:J465)-LARGE(E465:J465,2)&lt;Rules!$H$2),"No label",INDEX($E$1:$J$1,MATCH(MAX(E465:J465),E465:J465,0)))</f>
        <v>No label</v>
      </c>
      <c r="L465" s="0" t="n">
        <f aca="false">SUMPRODUCT((Rules!$A$2:$A$60=L$1)*Rules!$C$2:$C$60*ISNUMBER(SEARCH(Rules!$E$2:$E$60,$D465)))</f>
        <v>2</v>
      </c>
      <c r="M465" s="0" t="n">
        <f aca="false">SUMPRODUCT((Rules!$A$2:$A$60=M$1)*Rules!$C$2:$C$60*ISNUMBER(SEARCH(Rules!$E$2:$E$60,$D465)))</f>
        <v>0</v>
      </c>
      <c r="N465" s="0" t="n">
        <f aca="false">SUMPRODUCT((Rules!$A$2:$A$60=N$1)*Rules!$C$2:$C$60*ISNUMBER(SEARCH(Rules!$E$2:$E$60,$D465)))</f>
        <v>0</v>
      </c>
      <c r="O465" s="0" t="n">
        <f aca="false">SUMPRODUCT((Rules!$A$2:$A$60=O$1)*Rules!$C$2:$C$60*ISNUMBER(SEARCH(Rules!$E$2:$E$60,$D465)))</f>
        <v>2</v>
      </c>
      <c r="P465" s="0" t="n">
        <f aca="false">SUMPRODUCT((Rules!$A$2:$A$60=P$1)*Rules!$C$2:$C$60*ISNUMBER(SEARCH(Rules!$E$2:$E$60,$D465)))</f>
        <v>0</v>
      </c>
      <c r="Q465" s="0" t="n">
        <f aca="false">SUMPRODUCT((Rules!$A$2:$A$60=Q$1)*Rules!$C$2:$C$60*ISNUMBER(SEARCH(Rules!$E$2:$E$60,$D465)))</f>
        <v>0</v>
      </c>
      <c r="R465" s="0" t="str">
        <f aca="false">IF(OR(MAX(L465:Q465)&lt;Rules!$H$1,MAX(L465:Q465)-LARGE(L465:Q465,2)&lt;Rules!$H$2),"No label",INDEX($L$1:$Q$1,MATCH(MAX(L465:Q465),L465:Q465,0)))</f>
        <v>No label</v>
      </c>
      <c r="S465" s="0" t="n">
        <f aca="false">SUMPRODUCT(ISNUMBER(SEARCH(" "&amp;Terms!$A$3:$A$821&amp;" ",$D465))*Terms!B$3:B$821)+Terms!B$2</f>
        <v>-2.104671311638</v>
      </c>
      <c r="T465" s="0" t="n">
        <f aca="false">SUMPRODUCT(ISNUMBER(SEARCH(" "&amp;Terms!$A$3:$A$821&amp;" ",$D465))*Terms!C$3:C$821)+Terms!C$2</f>
        <v>-6.83319066774274</v>
      </c>
      <c r="U465" s="0" t="n">
        <f aca="false">SUMPRODUCT(ISNUMBER(SEARCH(" "&amp;Terms!$A$3:$A$821&amp;" ",$D465))*Terms!D$3:D$821)+Terms!D$2</f>
        <v>-2.73935487849589</v>
      </c>
      <c r="V465" s="0" t="n">
        <f aca="false">SUMPRODUCT(ISNUMBER(SEARCH(" "&amp;Terms!$A$3:$A$821&amp;" ",$D465))*Terms!E$3:E$821)+Terms!E$2</f>
        <v>2.27935611729377</v>
      </c>
      <c r="W465" s="0" t="n">
        <f aca="false">SUMPRODUCT(ISNUMBER(SEARCH(" "&amp;Terms!$A$3:$A$821&amp;" ",$D465))*Terms!F$3:F$821)+Terms!F$2</f>
        <v>11.849805461435</v>
      </c>
      <c r="X465" s="0" t="n">
        <f aca="false">SUMPRODUCT(ISNUMBER(SEARCH(" "&amp;Terms!$A$3:$A$821&amp;" ",$D465))*Terms!G$3:G$821)+Terms!G$2</f>
        <v>-2.45194472085205</v>
      </c>
      <c r="Y465" s="0" t="str">
        <f aca="false">INDEX($S$1:$X$1,MATCH(MAX(S465:X465),S465:X465,0))</f>
        <v>Fraud &amp; Scams</v>
      </c>
      <c r="Z465" s="0" t="s">
        <v>2607</v>
      </c>
    </row>
    <row r="466" customFormat="false" ht="15" hidden="false" customHeight="false" outlineLevel="0" collapsed="false">
      <c r="A466" s="0" t="str">
        <f aca="false">Complaints!A466</f>
        <v>C0465</v>
      </c>
      <c r="B466" s="0" t="str">
        <f aca="false">Complaints!B466</f>
        <v>Nothing has been done and I am losing patience. Please sort this out.</v>
      </c>
      <c r="C466" s="0" t="str">
        <f aca="false">Complaints!C466</f>
        <v>Customer Service</v>
      </c>
      <c r="D466" s="0" t="str">
        <f aca="false">" "&amp;TRIM(SUBSTITUTE(SUBSTITUTE(SUBSTITUTE(SUBSTITUTE(SUBSTITUTE(SUBSTITUTE(SUBSTITUTE(SUBSTITUTE(SUBSTITUTE(SUBSTITUTE(SUBSTITUTE(SUBSTITUTE(SUBSTITUTE(SUBSTITUTE(SUBSTITUTE(SUBSTITUTE(LOWER(B466),"."," "),","," "),"'"," "),"’"," "),"!"," "),"?"," "),";"," "),":"," "),"-"," "),"("," "),")"," "),"""", " "),"£"," "),"&amp;"," "),"/"," "),"%"," "))&amp;" "</f>
        <v> nothing has been done and i am losing patience please sort this out </v>
      </c>
      <c r="E466" s="0" t="n">
        <f aca="false">SUMPRODUCT((Rules!$A$2:$A$60=E$1)*Rules!$C$2:$C$60*ISNUMBER(SEARCH(Rules!$D$2:$D$60,$D466)))</f>
        <v>0</v>
      </c>
      <c r="F466" s="0" t="n">
        <f aca="false">SUMPRODUCT((Rules!$A$2:$A$60=F$1)*Rules!$C$2:$C$60*ISNUMBER(SEARCH(Rules!$D$2:$D$60,$D466)))</f>
        <v>0</v>
      </c>
      <c r="G466" s="0" t="n">
        <f aca="false">SUMPRODUCT((Rules!$A$2:$A$60=G$1)*Rules!$C$2:$C$60*ISNUMBER(SEARCH(Rules!$D$2:$D$60,$D466)))</f>
        <v>0</v>
      </c>
      <c r="H466" s="0" t="n">
        <f aca="false">SUMPRODUCT((Rules!$A$2:$A$60=H$1)*Rules!$C$2:$C$60*ISNUMBER(SEARCH(Rules!$D$2:$D$60,$D466)))</f>
        <v>0</v>
      </c>
      <c r="I466" s="0" t="n">
        <f aca="false">SUMPRODUCT((Rules!$A$2:$A$60=I$1)*Rules!$C$2:$C$60*ISNUMBER(SEARCH(Rules!$D$2:$D$60,$D466)))</f>
        <v>0</v>
      </c>
      <c r="J466" s="0" t="n">
        <f aca="false">SUMPRODUCT((Rules!$A$2:$A$60=J$1)*Rules!$C$2:$C$60*ISNUMBER(SEARCH(Rules!$D$2:$D$60,$D466)))</f>
        <v>0</v>
      </c>
      <c r="K466" s="0" t="str">
        <f aca="false">IF(OR(MAX(E466:J466)&lt;Rules!$H$1,MAX(E466:J466)-LARGE(E466:J466,2)&lt;Rules!$H$2),"No label",INDEX($E$1:$J$1,MATCH(MAX(E466:J466),E466:J466,0)))</f>
        <v>No label</v>
      </c>
      <c r="L466" s="0" t="n">
        <f aca="false">SUMPRODUCT((Rules!$A$2:$A$60=L$1)*Rules!$C$2:$C$60*ISNUMBER(SEARCH(Rules!$E$2:$E$60,$D466)))</f>
        <v>0</v>
      </c>
      <c r="M466" s="0" t="n">
        <f aca="false">SUMPRODUCT((Rules!$A$2:$A$60=M$1)*Rules!$C$2:$C$60*ISNUMBER(SEARCH(Rules!$E$2:$E$60,$D466)))</f>
        <v>0</v>
      </c>
      <c r="N466" s="0" t="n">
        <f aca="false">SUMPRODUCT((Rules!$A$2:$A$60=N$1)*Rules!$C$2:$C$60*ISNUMBER(SEARCH(Rules!$E$2:$E$60,$D466)))</f>
        <v>0</v>
      </c>
      <c r="O466" s="0" t="n">
        <f aca="false">SUMPRODUCT((Rules!$A$2:$A$60=O$1)*Rules!$C$2:$C$60*ISNUMBER(SEARCH(Rules!$E$2:$E$60,$D466)))</f>
        <v>0</v>
      </c>
      <c r="P466" s="0" t="n">
        <f aca="false">SUMPRODUCT((Rules!$A$2:$A$60=P$1)*Rules!$C$2:$C$60*ISNUMBER(SEARCH(Rules!$E$2:$E$60,$D466)))</f>
        <v>0</v>
      </c>
      <c r="Q466" s="0" t="n">
        <f aca="false">SUMPRODUCT((Rules!$A$2:$A$60=Q$1)*Rules!$C$2:$C$60*ISNUMBER(SEARCH(Rules!$E$2:$E$60,$D466)))</f>
        <v>0</v>
      </c>
      <c r="R466" s="0" t="str">
        <f aca="false">IF(OR(MAX(L466:Q466)&lt;Rules!$H$1,MAX(L466:Q466)-LARGE(L466:Q466,2)&lt;Rules!$H$2),"No label",INDEX($L$1:$Q$1,MATCH(MAX(L466:Q466),L466:Q466,0)))</f>
        <v>No label</v>
      </c>
      <c r="S466" s="0" t="n">
        <f aca="false">SUMPRODUCT(ISNUMBER(SEARCH(" "&amp;Terms!$A$3:$A$821&amp;" ",$D466))*Terms!B$3:B$821)+Terms!B$2</f>
        <v>-0.642676529704046</v>
      </c>
      <c r="T466" s="0" t="n">
        <f aca="false">SUMPRODUCT(ISNUMBER(SEARCH(" "&amp;Terms!$A$3:$A$821&amp;" ",$D466))*Terms!C$3:C$821)+Terms!C$2</f>
        <v>2.49175869454829</v>
      </c>
      <c r="U466" s="0" t="n">
        <f aca="false">SUMPRODUCT(ISNUMBER(SEARCH(" "&amp;Terms!$A$3:$A$821&amp;" ",$D466))*Terms!D$3:D$821)+Terms!D$2</f>
        <v>-1.64351870576928</v>
      </c>
      <c r="V466" s="0" t="n">
        <f aca="false">SUMPRODUCT(ISNUMBER(SEARCH(" "&amp;Terms!$A$3:$A$821&amp;" ",$D466))*Terms!E$3:E$821)+Terms!E$2</f>
        <v>-0.624617342950688</v>
      </c>
      <c r="W466" s="0" t="n">
        <f aca="false">SUMPRODUCT(ISNUMBER(SEARCH(" "&amp;Terms!$A$3:$A$821&amp;" ",$D466))*Terms!F$3:F$821)+Terms!F$2</f>
        <v>-1.89577767848449</v>
      </c>
      <c r="X466" s="0" t="n">
        <f aca="false">SUMPRODUCT(ISNUMBER(SEARCH(" "&amp;Terms!$A$3:$A$821&amp;" ",$D466))*Terms!G$3:G$821)+Terms!G$2</f>
        <v>2.31483156236032</v>
      </c>
      <c r="Y466" s="0" t="str">
        <f aca="false">INDEX($S$1:$X$1,MATCH(MAX(S466:X466),S466:X466,0))</f>
        <v>Customer Service</v>
      </c>
      <c r="Z466" s="0" t="s">
        <v>2607</v>
      </c>
    </row>
    <row r="467" customFormat="false" ht="15" hidden="false" customHeight="false" outlineLevel="0" collapsed="false">
      <c r="A467" s="0" t="str">
        <f aca="false">Complaints!A467</f>
        <v>C0466</v>
      </c>
      <c r="B467" s="0" t="str">
        <f aca="false">Complaints!B467</f>
        <v>To whom it may concern, I was misled about what the insurance actually included. Also, your advisor gave me different answers on two separate calls. I expect compensation.</v>
      </c>
      <c r="C467" s="0" t="str">
        <f aca="false">Complaints!C467</f>
        <v>Mis-selling</v>
      </c>
      <c r="D467" s="0" t="str">
        <f aca="false">" "&amp;TRIM(SUBSTITUTE(SUBSTITUTE(SUBSTITUTE(SUBSTITUTE(SUBSTITUTE(SUBSTITUTE(SUBSTITUTE(SUBSTITUTE(SUBSTITUTE(SUBSTITUTE(SUBSTITUTE(SUBSTITUTE(SUBSTITUTE(SUBSTITUTE(SUBSTITUTE(SUBSTITUTE(LOWER(B467),"."," "),","," "),"'"," "),"’"," "),"!"," "),"?"," "),";"," "),":"," "),"-"," "),"("," "),")"," "),"""", " "),"£"," "),"&amp;"," "),"/"," "),"%"," "))&amp;" "</f>
        <v> to whom it may concern i was misled about what the insurance actually included also your advisor gave me different answers on two separate calls i expect compensation </v>
      </c>
      <c r="E467" s="0" t="n">
        <f aca="false">SUMPRODUCT((Rules!$A$2:$A$60=E$1)*Rules!$C$2:$C$60*ISNUMBER(SEARCH(Rules!$D$2:$D$60,$D467)))</f>
        <v>0</v>
      </c>
      <c r="F467" s="0" t="n">
        <f aca="false">SUMPRODUCT((Rules!$A$2:$A$60=F$1)*Rules!$C$2:$C$60*ISNUMBER(SEARCH(Rules!$D$2:$D$60,$D467)))</f>
        <v>4</v>
      </c>
      <c r="G467" s="0" t="n">
        <f aca="false">SUMPRODUCT((Rules!$A$2:$A$60=G$1)*Rules!$C$2:$C$60*ISNUMBER(SEARCH(Rules!$D$2:$D$60,$D467)))</f>
        <v>0</v>
      </c>
      <c r="H467" s="0" t="n">
        <f aca="false">SUMPRODUCT((Rules!$A$2:$A$60=H$1)*Rules!$C$2:$C$60*ISNUMBER(SEARCH(Rules!$D$2:$D$60,$D467)))</f>
        <v>0</v>
      </c>
      <c r="I467" s="0" t="n">
        <f aca="false">SUMPRODUCT((Rules!$A$2:$A$60=I$1)*Rules!$C$2:$C$60*ISNUMBER(SEARCH(Rules!$D$2:$D$60,$D467)))</f>
        <v>0</v>
      </c>
      <c r="J467" s="0" t="n">
        <f aca="false">SUMPRODUCT((Rules!$A$2:$A$60=J$1)*Rules!$C$2:$C$60*ISNUMBER(SEARCH(Rules!$D$2:$D$60,$D467)))</f>
        <v>1</v>
      </c>
      <c r="K467" s="0" t="str">
        <f aca="false">IF(OR(MAX(E467:J467)&lt;Rules!$H$1,MAX(E467:J467)-LARGE(E467:J467,2)&lt;Rules!$H$2),"No label",INDEX($E$1:$J$1,MATCH(MAX(E467:J467),E467:J467,0)))</f>
        <v>Mis-selling</v>
      </c>
      <c r="L467" s="0" t="n">
        <f aca="false">SUMPRODUCT((Rules!$A$2:$A$60=L$1)*Rules!$C$2:$C$60*ISNUMBER(SEARCH(Rules!$E$2:$E$60,$D467)))</f>
        <v>0</v>
      </c>
      <c r="M467" s="0" t="n">
        <f aca="false">SUMPRODUCT((Rules!$A$2:$A$60=M$1)*Rules!$C$2:$C$60*ISNUMBER(SEARCH(Rules!$E$2:$E$60,$D467)))</f>
        <v>8</v>
      </c>
      <c r="N467" s="0" t="n">
        <f aca="false">SUMPRODUCT((Rules!$A$2:$A$60=N$1)*Rules!$C$2:$C$60*ISNUMBER(SEARCH(Rules!$E$2:$E$60,$D467)))</f>
        <v>0</v>
      </c>
      <c r="O467" s="0" t="n">
        <f aca="false">SUMPRODUCT((Rules!$A$2:$A$60=O$1)*Rules!$C$2:$C$60*ISNUMBER(SEARCH(Rules!$E$2:$E$60,$D467)))</f>
        <v>0</v>
      </c>
      <c r="P467" s="0" t="n">
        <f aca="false">SUMPRODUCT((Rules!$A$2:$A$60=P$1)*Rules!$C$2:$C$60*ISNUMBER(SEARCH(Rules!$E$2:$E$60,$D467)))</f>
        <v>0</v>
      </c>
      <c r="Q467" s="0" t="n">
        <f aca="false">SUMPRODUCT((Rules!$A$2:$A$60=Q$1)*Rules!$C$2:$C$60*ISNUMBER(SEARCH(Rules!$E$2:$E$60,$D467)))</f>
        <v>1</v>
      </c>
      <c r="R467" s="0" t="str">
        <f aca="false">IF(OR(MAX(L467:Q467)&lt;Rules!$H$1,MAX(L467:Q467)-LARGE(L467:Q467,2)&lt;Rules!$H$2),"No label",INDEX($L$1:$Q$1,MATCH(MAX(L467:Q467),L467:Q467,0)))</f>
        <v>Mis-selling</v>
      </c>
      <c r="S467" s="0" t="n">
        <f aca="false">SUMPRODUCT(ISNUMBER(SEARCH(" "&amp;Terms!$A$3:$A$821&amp;" ",$D467))*Terms!B$3:B$821)+Terms!B$2</f>
        <v>0.0808928578695222</v>
      </c>
      <c r="T467" s="0" t="n">
        <f aca="false">SUMPRODUCT(ISNUMBER(SEARCH(" "&amp;Terms!$A$3:$A$821&amp;" ",$D467))*Terms!C$3:C$821)+Terms!C$2</f>
        <v>7.72472913762779</v>
      </c>
      <c r="U467" s="0" t="n">
        <f aca="false">SUMPRODUCT(ISNUMBER(SEARCH(" "&amp;Terms!$A$3:$A$821&amp;" ",$D467))*Terms!D$3:D$821)+Terms!D$2</f>
        <v>-5.27852708275928</v>
      </c>
      <c r="V467" s="0" t="n">
        <f aca="false">SUMPRODUCT(ISNUMBER(SEARCH(" "&amp;Terms!$A$3:$A$821&amp;" ",$D467))*Terms!E$3:E$821)+Terms!E$2</f>
        <v>-5.03355571016831</v>
      </c>
      <c r="W467" s="0" t="n">
        <f aca="false">SUMPRODUCT(ISNUMBER(SEARCH(" "&amp;Terms!$A$3:$A$821&amp;" ",$D467))*Terms!F$3:F$821)+Terms!F$2</f>
        <v>-5.16992544676837</v>
      </c>
      <c r="X467" s="0" t="n">
        <f aca="false">SUMPRODUCT(ISNUMBER(SEARCH(" "&amp;Terms!$A$3:$A$821&amp;" ",$D467))*Terms!G$3:G$821)+Terms!G$2</f>
        <v>7.67638624419877</v>
      </c>
      <c r="Y467" s="0" t="str">
        <f aca="false">INDEX($S$1:$X$1,MATCH(MAX(S467:X467),S467:X467,0))</f>
        <v>Customer Service</v>
      </c>
      <c r="Z467" s="0" t="s">
        <v>2608</v>
      </c>
    </row>
    <row r="468" customFormat="false" ht="15" hidden="false" customHeight="false" outlineLevel="0" collapsed="false">
      <c r="A468" s="0" t="str">
        <f aca="false">Complaints!A468</f>
        <v>C0467</v>
      </c>
      <c r="B468" s="0" t="str">
        <f aca="false">Complaints!B468</f>
        <v>I sent the form twice and it seems to have been lost in the system.</v>
      </c>
      <c r="C468" s="0" t="str">
        <f aca="false">Complaints!C468</f>
        <v>Delays &amp; Processing</v>
      </c>
      <c r="D468" s="0" t="str">
        <f aca="false">" "&amp;TRIM(SUBSTITUTE(SUBSTITUTE(SUBSTITUTE(SUBSTITUTE(SUBSTITUTE(SUBSTITUTE(SUBSTITUTE(SUBSTITUTE(SUBSTITUTE(SUBSTITUTE(SUBSTITUTE(SUBSTITUTE(SUBSTITUTE(SUBSTITUTE(SUBSTITUTE(SUBSTITUTE(LOWER(B468),"."," "),","," "),"'"," "),"’"," "),"!"," "),"?"," "),";"," "),":"," "),"-"," "),"("," "),")"," "),"""", " "),"£"," "),"&amp;"," "),"/"," "),"%"," "))&amp;" "</f>
        <v> i sent the form twice and it seems to have been lost in the system </v>
      </c>
      <c r="E468" s="0" t="n">
        <f aca="false">SUMPRODUCT((Rules!$A$2:$A$60=E$1)*Rules!$C$2:$C$60*ISNUMBER(SEARCH(Rules!$D$2:$D$60,$D468)))</f>
        <v>0</v>
      </c>
      <c r="F468" s="0" t="n">
        <f aca="false">SUMPRODUCT((Rules!$A$2:$A$60=F$1)*Rules!$C$2:$C$60*ISNUMBER(SEARCH(Rules!$D$2:$D$60,$D468)))</f>
        <v>0</v>
      </c>
      <c r="G468" s="0" t="n">
        <f aca="false">SUMPRODUCT((Rules!$A$2:$A$60=G$1)*Rules!$C$2:$C$60*ISNUMBER(SEARCH(Rules!$D$2:$D$60,$D468)))</f>
        <v>0</v>
      </c>
      <c r="H468" s="0" t="n">
        <f aca="false">SUMPRODUCT((Rules!$A$2:$A$60=H$1)*Rules!$C$2:$C$60*ISNUMBER(SEARCH(Rules!$D$2:$D$60,$D468)))</f>
        <v>0</v>
      </c>
      <c r="I468" s="0" t="n">
        <f aca="false">SUMPRODUCT((Rules!$A$2:$A$60=I$1)*Rules!$C$2:$C$60*ISNUMBER(SEARCH(Rules!$D$2:$D$60,$D468)))</f>
        <v>0</v>
      </c>
      <c r="J468" s="0" t="n">
        <f aca="false">SUMPRODUCT((Rules!$A$2:$A$60=J$1)*Rules!$C$2:$C$60*ISNUMBER(SEARCH(Rules!$D$2:$D$60,$D468)))</f>
        <v>0</v>
      </c>
      <c r="K468" s="0" t="str">
        <f aca="false">IF(OR(MAX(E468:J468)&lt;Rules!$H$1,MAX(E468:J468)-LARGE(E468:J468,2)&lt;Rules!$H$2),"No label",INDEX($E$1:$J$1,MATCH(MAX(E468:J468),E468:J468,0)))</f>
        <v>No label</v>
      </c>
      <c r="L468" s="0" t="n">
        <f aca="false">SUMPRODUCT((Rules!$A$2:$A$60=L$1)*Rules!$C$2:$C$60*ISNUMBER(SEARCH(Rules!$E$2:$E$60,$D468)))</f>
        <v>0</v>
      </c>
      <c r="M468" s="0" t="n">
        <f aca="false">SUMPRODUCT((Rules!$A$2:$A$60=M$1)*Rules!$C$2:$C$60*ISNUMBER(SEARCH(Rules!$E$2:$E$60,$D468)))</f>
        <v>0</v>
      </c>
      <c r="N468" s="0" t="n">
        <f aca="false">SUMPRODUCT((Rules!$A$2:$A$60=N$1)*Rules!$C$2:$C$60*ISNUMBER(SEARCH(Rules!$E$2:$E$60,$D468)))</f>
        <v>0</v>
      </c>
      <c r="O468" s="0" t="n">
        <f aca="false">SUMPRODUCT((Rules!$A$2:$A$60=O$1)*Rules!$C$2:$C$60*ISNUMBER(SEARCH(Rules!$E$2:$E$60,$D468)))</f>
        <v>0</v>
      </c>
      <c r="P468" s="0" t="n">
        <f aca="false">SUMPRODUCT((Rules!$A$2:$A$60=P$1)*Rules!$C$2:$C$60*ISNUMBER(SEARCH(Rules!$E$2:$E$60,$D468)))</f>
        <v>0</v>
      </c>
      <c r="Q468" s="0" t="n">
        <f aca="false">SUMPRODUCT((Rules!$A$2:$A$60=Q$1)*Rules!$C$2:$C$60*ISNUMBER(SEARCH(Rules!$E$2:$E$60,$D468)))</f>
        <v>0</v>
      </c>
      <c r="R468" s="0" t="str">
        <f aca="false">IF(OR(MAX(L468:Q468)&lt;Rules!$H$1,MAX(L468:Q468)-LARGE(L468:Q468,2)&lt;Rules!$H$2),"No label",INDEX($L$1:$Q$1,MATCH(MAX(L468:Q468),L468:Q468,0)))</f>
        <v>No label</v>
      </c>
      <c r="S468" s="0" t="n">
        <f aca="false">SUMPRODUCT(ISNUMBER(SEARCH(" "&amp;Terms!$A$3:$A$821&amp;" ",$D468))*Terms!B$3:B$821)+Terms!B$2</f>
        <v>-3.23044087245094</v>
      </c>
      <c r="T468" s="0" t="n">
        <f aca="false">SUMPRODUCT(ISNUMBER(SEARCH(" "&amp;Terms!$A$3:$A$821&amp;" ",$D468))*Terms!C$3:C$821)+Terms!C$2</f>
        <v>-0.950144809544893</v>
      </c>
      <c r="U468" s="0" t="n">
        <f aca="false">SUMPRODUCT(ISNUMBER(SEARCH(" "&amp;Terms!$A$3:$A$821&amp;" ",$D468))*Terms!D$3:D$821)+Terms!D$2</f>
        <v>9.02776643581</v>
      </c>
      <c r="V468" s="0" t="n">
        <f aca="false">SUMPRODUCT(ISNUMBER(SEARCH(" "&amp;Terms!$A$3:$A$821&amp;" ",$D468))*Terms!E$3:E$821)+Terms!E$2</f>
        <v>0.167603510210074</v>
      </c>
      <c r="W468" s="0" t="n">
        <f aca="false">SUMPRODUCT(ISNUMBER(SEARCH(" "&amp;Terms!$A$3:$A$821&amp;" ",$D468))*Terms!F$3:F$821)+Terms!F$2</f>
        <v>-3.2489022416845</v>
      </c>
      <c r="X468" s="0" t="n">
        <f aca="false">SUMPRODUCT(ISNUMBER(SEARCH(" "&amp;Terms!$A$3:$A$821&amp;" ",$D468))*Terms!G$3:G$821)+Terms!G$2</f>
        <v>-1.76588202233965</v>
      </c>
      <c r="Y468" s="0" t="str">
        <f aca="false">INDEX($S$1:$X$1,MATCH(MAX(S468:X468),S468:X468,0))</f>
        <v>Delays &amp; Processing</v>
      </c>
      <c r="Z468" s="0" t="s">
        <v>2607</v>
      </c>
    </row>
    <row r="469" customFormat="false" ht="15" hidden="false" customHeight="false" outlineLevel="0" collapsed="false">
      <c r="A469" s="0" t="str">
        <f aca="false">Complaints!A469</f>
        <v>C0468</v>
      </c>
      <c r="B469" s="0" t="str">
        <f aca="false">Complaints!B469</f>
        <v>I am writing to complain. There is an unexpected charge on my statement of £60. I also spent ages on hold when I called about it. Please sort this out.</v>
      </c>
      <c r="C469" s="0" t="str">
        <f aca="false">Complaints!C469</f>
        <v>Fees &amp; Charges</v>
      </c>
      <c r="D469" s="0" t="str">
        <f aca="false">" "&amp;TRIM(SUBSTITUTE(SUBSTITUTE(SUBSTITUTE(SUBSTITUTE(SUBSTITUTE(SUBSTITUTE(SUBSTITUTE(SUBSTITUTE(SUBSTITUTE(SUBSTITUTE(SUBSTITUTE(SUBSTITUTE(SUBSTITUTE(SUBSTITUTE(SUBSTITUTE(SUBSTITUTE(LOWER(B469),"."," "),","," "),"'"," "),"’"," "),"!"," "),"?"," "),";"," "),":"," "),"-"," "),"("," "),")"," "),"""", " "),"£"," "),"&amp;"," "),"/"," "),"%"," "))&amp;" "</f>
        <v> i am writing to complain there is an unexpected charge on my statement of 60 i also spent ages on hold when i called about it please sort this out </v>
      </c>
      <c r="E469" s="0" t="n">
        <f aca="false">SUMPRODUCT((Rules!$A$2:$A$60=E$1)*Rules!$C$2:$C$60*ISNUMBER(SEARCH(Rules!$D$2:$D$60,$D469)))</f>
        <v>0</v>
      </c>
      <c r="F469" s="0" t="n">
        <f aca="false">SUMPRODUCT((Rules!$A$2:$A$60=F$1)*Rules!$C$2:$C$60*ISNUMBER(SEARCH(Rules!$D$2:$D$60,$D469)))</f>
        <v>0</v>
      </c>
      <c r="G469" s="0" t="n">
        <f aca="false">SUMPRODUCT((Rules!$A$2:$A$60=G$1)*Rules!$C$2:$C$60*ISNUMBER(SEARCH(Rules!$D$2:$D$60,$D469)))</f>
        <v>0</v>
      </c>
      <c r="H469" s="0" t="n">
        <f aca="false">SUMPRODUCT((Rules!$A$2:$A$60=H$1)*Rules!$C$2:$C$60*ISNUMBER(SEARCH(Rules!$D$2:$D$60,$D469)))</f>
        <v>3</v>
      </c>
      <c r="I469" s="0" t="n">
        <f aca="false">SUMPRODUCT((Rules!$A$2:$A$60=I$1)*Rules!$C$2:$C$60*ISNUMBER(SEARCH(Rules!$D$2:$D$60,$D469)))</f>
        <v>0</v>
      </c>
      <c r="J469" s="0" t="n">
        <f aca="false">SUMPRODUCT((Rules!$A$2:$A$60=J$1)*Rules!$C$2:$C$60*ISNUMBER(SEARCH(Rules!$D$2:$D$60,$D469)))</f>
        <v>3</v>
      </c>
      <c r="K469" s="0" t="str">
        <f aca="false">IF(OR(MAX(E469:J469)&lt;Rules!$H$1,MAX(E469:J469)-LARGE(E469:J469,2)&lt;Rules!$H$2),"No label",INDEX($E$1:$J$1,MATCH(MAX(E469:J469),E469:J469,0)))</f>
        <v>No label</v>
      </c>
      <c r="L469" s="0" t="n">
        <f aca="false">SUMPRODUCT((Rules!$A$2:$A$60=L$1)*Rules!$C$2:$C$60*ISNUMBER(SEARCH(Rules!$E$2:$E$60,$D469)))</f>
        <v>0</v>
      </c>
      <c r="M469" s="0" t="n">
        <f aca="false">SUMPRODUCT((Rules!$A$2:$A$60=M$1)*Rules!$C$2:$C$60*ISNUMBER(SEARCH(Rules!$E$2:$E$60,$D469)))</f>
        <v>0</v>
      </c>
      <c r="N469" s="0" t="n">
        <f aca="false">SUMPRODUCT((Rules!$A$2:$A$60=N$1)*Rules!$C$2:$C$60*ISNUMBER(SEARCH(Rules!$E$2:$E$60,$D469)))</f>
        <v>0</v>
      </c>
      <c r="O469" s="0" t="n">
        <f aca="false">SUMPRODUCT((Rules!$A$2:$A$60=O$1)*Rules!$C$2:$C$60*ISNUMBER(SEARCH(Rules!$E$2:$E$60,$D469)))</f>
        <v>5</v>
      </c>
      <c r="P469" s="0" t="n">
        <f aca="false">SUMPRODUCT((Rules!$A$2:$A$60=P$1)*Rules!$C$2:$C$60*ISNUMBER(SEARCH(Rules!$E$2:$E$60,$D469)))</f>
        <v>0</v>
      </c>
      <c r="Q469" s="0" t="n">
        <f aca="false">SUMPRODUCT((Rules!$A$2:$A$60=Q$1)*Rules!$C$2:$C$60*ISNUMBER(SEARCH(Rules!$E$2:$E$60,$D469)))</f>
        <v>3</v>
      </c>
      <c r="R469" s="0" t="str">
        <f aca="false">IF(OR(MAX(L469:Q469)&lt;Rules!$H$1,MAX(L469:Q469)-LARGE(L469:Q469,2)&lt;Rules!$H$2),"No label",INDEX($L$1:$Q$1,MATCH(MAX(L469:Q469),L469:Q469,0)))</f>
        <v>Fees &amp; Charges</v>
      </c>
      <c r="S469" s="0" t="n">
        <f aca="false">SUMPRODUCT(ISNUMBER(SEARCH(" "&amp;Terms!$A$3:$A$821&amp;" ",$D469))*Terms!B$3:B$821)+Terms!B$2</f>
        <v>-5.47794396594767</v>
      </c>
      <c r="T469" s="0" t="n">
        <f aca="false">SUMPRODUCT(ISNUMBER(SEARCH(" "&amp;Terms!$A$3:$A$821&amp;" ",$D469))*Terms!C$3:C$821)+Terms!C$2</f>
        <v>1.14309132052659</v>
      </c>
      <c r="U469" s="0" t="n">
        <f aca="false">SUMPRODUCT(ISNUMBER(SEARCH(" "&amp;Terms!$A$3:$A$821&amp;" ",$D469))*Terms!D$3:D$821)+Terms!D$2</f>
        <v>-0.924595139486221</v>
      </c>
      <c r="V469" s="0" t="n">
        <f aca="false">SUMPRODUCT(ISNUMBER(SEARCH(" "&amp;Terms!$A$3:$A$821&amp;" ",$D469))*Terms!E$3:E$821)+Terms!E$2</f>
        <v>9.2586531838989</v>
      </c>
      <c r="W469" s="0" t="n">
        <f aca="false">SUMPRODUCT(ISNUMBER(SEARCH(" "&amp;Terms!$A$3:$A$821&amp;" ",$D469))*Terms!F$3:F$821)+Terms!F$2</f>
        <v>-1.77270222242196</v>
      </c>
      <c r="X469" s="0" t="n">
        <f aca="false">SUMPRODUCT(ISNUMBER(SEARCH(" "&amp;Terms!$A$3:$A$821&amp;" ",$D469))*Terms!G$3:G$821)+Terms!G$2</f>
        <v>-2.22650317656955</v>
      </c>
      <c r="Y469" s="0" t="str">
        <f aca="false">INDEX($S$1:$X$1,MATCH(MAX(S469:X469),S469:X469,0))</f>
        <v>Fees &amp; Charges</v>
      </c>
      <c r="Z469" s="0" t="s">
        <v>2607</v>
      </c>
    </row>
    <row r="470" customFormat="false" ht="15" hidden="false" customHeight="false" outlineLevel="0" collapsed="false">
      <c r="A470" s="0" t="str">
        <f aca="false">Complaints!A470</f>
        <v>C0469</v>
      </c>
      <c r="B470" s="0" t="str">
        <f aca="false">Complaints!B470</f>
        <v>The account maintenance fee was taken twice this month. I would like a response in writing.</v>
      </c>
      <c r="C470" s="0" t="str">
        <f aca="false">Complaints!C470</f>
        <v>Fees &amp; Charges</v>
      </c>
      <c r="D470" s="0" t="str">
        <f aca="false">" "&amp;TRIM(SUBSTITUTE(SUBSTITUTE(SUBSTITUTE(SUBSTITUTE(SUBSTITUTE(SUBSTITUTE(SUBSTITUTE(SUBSTITUTE(SUBSTITUTE(SUBSTITUTE(SUBSTITUTE(SUBSTITUTE(SUBSTITUTE(SUBSTITUTE(SUBSTITUTE(SUBSTITUTE(LOWER(B470),"."," "),","," "),"'"," "),"’"," "),"!"," "),"?"," "),";"," "),":"," "),"-"," "),"("," "),")"," "),"""", " "),"£"," "),"&amp;"," "),"/"," "),"%"," "))&amp;" "</f>
        <v> the account maintenance fee was taken twice this month i would like a response in writing </v>
      </c>
      <c r="E470" s="0" t="n">
        <f aca="false">SUMPRODUCT((Rules!$A$2:$A$60=E$1)*Rules!$C$2:$C$60*ISNUMBER(SEARCH(Rules!$D$2:$D$60,$D470)))</f>
        <v>0</v>
      </c>
      <c r="F470" s="0" t="n">
        <f aca="false">SUMPRODUCT((Rules!$A$2:$A$60=F$1)*Rules!$C$2:$C$60*ISNUMBER(SEARCH(Rules!$D$2:$D$60,$D470)))</f>
        <v>0</v>
      </c>
      <c r="G470" s="0" t="n">
        <f aca="false">SUMPRODUCT((Rules!$A$2:$A$60=G$1)*Rules!$C$2:$C$60*ISNUMBER(SEARCH(Rules!$D$2:$D$60,$D470)))</f>
        <v>0</v>
      </c>
      <c r="H470" s="0" t="n">
        <f aca="false">SUMPRODUCT((Rules!$A$2:$A$60=H$1)*Rules!$C$2:$C$60*ISNUMBER(SEARCH(Rules!$D$2:$D$60,$D470)))</f>
        <v>2</v>
      </c>
      <c r="I470" s="0" t="n">
        <f aca="false">SUMPRODUCT((Rules!$A$2:$A$60=I$1)*Rules!$C$2:$C$60*ISNUMBER(SEARCH(Rules!$D$2:$D$60,$D470)))</f>
        <v>0</v>
      </c>
      <c r="J470" s="0" t="n">
        <f aca="false">SUMPRODUCT((Rules!$A$2:$A$60=J$1)*Rules!$C$2:$C$60*ISNUMBER(SEARCH(Rules!$D$2:$D$60,$D470)))</f>
        <v>0</v>
      </c>
      <c r="K470" s="0" t="str">
        <f aca="false">IF(OR(MAX(E470:J470)&lt;Rules!$H$1,MAX(E470:J470)-LARGE(E470:J470,2)&lt;Rules!$H$2),"No label",INDEX($E$1:$J$1,MATCH(MAX(E470:J470),E470:J470,0)))</f>
        <v>No label</v>
      </c>
      <c r="L470" s="0" t="n">
        <f aca="false">SUMPRODUCT((Rules!$A$2:$A$60=L$1)*Rules!$C$2:$C$60*ISNUMBER(SEARCH(Rules!$E$2:$E$60,$D470)))</f>
        <v>0</v>
      </c>
      <c r="M470" s="0" t="n">
        <f aca="false">SUMPRODUCT((Rules!$A$2:$A$60=M$1)*Rules!$C$2:$C$60*ISNUMBER(SEARCH(Rules!$E$2:$E$60,$D470)))</f>
        <v>0</v>
      </c>
      <c r="N470" s="0" t="n">
        <f aca="false">SUMPRODUCT((Rules!$A$2:$A$60=N$1)*Rules!$C$2:$C$60*ISNUMBER(SEARCH(Rules!$E$2:$E$60,$D470)))</f>
        <v>0</v>
      </c>
      <c r="O470" s="0" t="n">
        <f aca="false">SUMPRODUCT((Rules!$A$2:$A$60=O$1)*Rules!$C$2:$C$60*ISNUMBER(SEARCH(Rules!$E$2:$E$60,$D470)))</f>
        <v>2</v>
      </c>
      <c r="P470" s="0" t="n">
        <f aca="false">SUMPRODUCT((Rules!$A$2:$A$60=P$1)*Rules!$C$2:$C$60*ISNUMBER(SEARCH(Rules!$E$2:$E$60,$D470)))</f>
        <v>0</v>
      </c>
      <c r="Q470" s="0" t="n">
        <f aca="false">SUMPRODUCT((Rules!$A$2:$A$60=Q$1)*Rules!$C$2:$C$60*ISNUMBER(SEARCH(Rules!$E$2:$E$60,$D470)))</f>
        <v>0</v>
      </c>
      <c r="R470" s="0" t="str">
        <f aca="false">IF(OR(MAX(L470:Q470)&lt;Rules!$H$1,MAX(L470:Q470)-LARGE(L470:Q470,2)&lt;Rules!$H$2),"No label",INDEX($L$1:$Q$1,MATCH(MAX(L470:Q470),L470:Q470,0)))</f>
        <v>No label</v>
      </c>
      <c r="S470" s="0" t="n">
        <f aca="false">SUMPRODUCT(ISNUMBER(SEARCH(" "&amp;Terms!$A$3:$A$821&amp;" ",$D470))*Terms!B$3:B$821)+Terms!B$2</f>
        <v>-1.02442010257929</v>
      </c>
      <c r="T470" s="0" t="n">
        <f aca="false">SUMPRODUCT(ISNUMBER(SEARCH(" "&amp;Terms!$A$3:$A$821&amp;" ",$D470))*Terms!C$3:C$821)+Terms!C$2</f>
        <v>-3.2160288192124</v>
      </c>
      <c r="U470" s="0" t="n">
        <f aca="false">SUMPRODUCT(ISNUMBER(SEARCH(" "&amp;Terms!$A$3:$A$821&amp;" ",$D470))*Terms!D$3:D$821)+Terms!D$2</f>
        <v>0.106994861303931</v>
      </c>
      <c r="V470" s="0" t="n">
        <f aca="false">SUMPRODUCT(ISNUMBER(SEARCH(" "&amp;Terms!$A$3:$A$821&amp;" ",$D470))*Terms!E$3:E$821)+Terms!E$2</f>
        <v>11.0411921715022</v>
      </c>
      <c r="W470" s="0" t="n">
        <f aca="false">SUMPRODUCT(ISNUMBER(SEARCH(" "&amp;Terms!$A$3:$A$821&amp;" ",$D470))*Terms!F$3:F$821)+Terms!F$2</f>
        <v>-3.49469023629216</v>
      </c>
      <c r="X470" s="0" t="n">
        <f aca="false">SUMPRODUCT(ISNUMBER(SEARCH(" "&amp;Terms!$A$3:$A$821&amp;" ",$D470))*Terms!G$3:G$821)+Terms!G$2</f>
        <v>-3.41304787472223</v>
      </c>
      <c r="Y470" s="0" t="str">
        <f aca="false">INDEX($S$1:$X$1,MATCH(MAX(S470:X470),S470:X470,0))</f>
        <v>Fees &amp; Charges</v>
      </c>
      <c r="Z470" s="0" t="s">
        <v>2607</v>
      </c>
    </row>
    <row r="471" customFormat="false" ht="15" hidden="false" customHeight="false" outlineLevel="0" collapsed="false">
      <c r="A471" s="0" t="str">
        <f aca="false">Complaints!A471</f>
        <v>C0470</v>
      </c>
      <c r="B471" s="0" t="str">
        <f aca="false">Complaints!B471</f>
        <v>To whom it may concern, The website will not let me register for online access. Also, nobody explained the foreign transaction charges before my holiday. Please sort this out.</v>
      </c>
      <c r="C471" s="0" t="str">
        <f aca="false">Complaints!C471</f>
        <v>Account Access</v>
      </c>
      <c r="D471" s="0" t="str">
        <f aca="false">" "&amp;TRIM(SUBSTITUTE(SUBSTITUTE(SUBSTITUTE(SUBSTITUTE(SUBSTITUTE(SUBSTITUTE(SUBSTITUTE(SUBSTITUTE(SUBSTITUTE(SUBSTITUTE(SUBSTITUTE(SUBSTITUTE(SUBSTITUTE(SUBSTITUTE(SUBSTITUTE(SUBSTITUTE(LOWER(B471),"."," "),","," "),"'"," "),"’"," "),"!"," "),"?"," "),";"," "),":"," "),"-"," "),"("," "),")"," "),"""", " "),"£"," "),"&amp;"," "),"/"," "),"%"," "))&amp;" "</f>
        <v> to whom it may concern the website will not let me register for online access also nobody explained the foreign transaction charges before my holiday please sort this out </v>
      </c>
      <c r="E471" s="0" t="n">
        <f aca="false">SUMPRODUCT((Rules!$A$2:$A$60=E$1)*Rules!$C$2:$C$60*ISNUMBER(SEARCH(Rules!$D$2:$D$60,$D471)))</f>
        <v>0</v>
      </c>
      <c r="F471" s="0" t="n">
        <f aca="false">SUMPRODUCT((Rules!$A$2:$A$60=F$1)*Rules!$C$2:$C$60*ISNUMBER(SEARCH(Rules!$D$2:$D$60,$D471)))</f>
        <v>0</v>
      </c>
      <c r="G471" s="0" t="n">
        <f aca="false">SUMPRODUCT((Rules!$A$2:$A$60=G$1)*Rules!$C$2:$C$60*ISNUMBER(SEARCH(Rules!$D$2:$D$60,$D471)))</f>
        <v>1</v>
      </c>
      <c r="H471" s="0" t="n">
        <f aca="false">SUMPRODUCT((Rules!$A$2:$A$60=H$1)*Rules!$C$2:$C$60*ISNUMBER(SEARCH(Rules!$D$2:$D$60,$D471)))</f>
        <v>0</v>
      </c>
      <c r="I471" s="0" t="n">
        <f aca="false">SUMPRODUCT((Rules!$A$2:$A$60=I$1)*Rules!$C$2:$C$60*ISNUMBER(SEARCH(Rules!$D$2:$D$60,$D471)))</f>
        <v>0</v>
      </c>
      <c r="J471" s="0" t="n">
        <f aca="false">SUMPRODUCT((Rules!$A$2:$A$60=J$1)*Rules!$C$2:$C$60*ISNUMBER(SEARCH(Rules!$D$2:$D$60,$D471)))</f>
        <v>0</v>
      </c>
      <c r="K471" s="0" t="str">
        <f aca="false">IF(OR(MAX(E471:J471)&lt;Rules!$H$1,MAX(E471:J471)-LARGE(E471:J471,2)&lt;Rules!$H$2),"No label",INDEX($E$1:$J$1,MATCH(MAX(E471:J471),E471:J471,0)))</f>
        <v>No label</v>
      </c>
      <c r="L471" s="0" t="n">
        <f aca="false">SUMPRODUCT((Rules!$A$2:$A$60=L$1)*Rules!$C$2:$C$60*ISNUMBER(SEARCH(Rules!$E$2:$E$60,$D471)))</f>
        <v>0</v>
      </c>
      <c r="M471" s="0" t="n">
        <f aca="false">SUMPRODUCT((Rules!$A$2:$A$60=M$1)*Rules!$C$2:$C$60*ISNUMBER(SEARCH(Rules!$E$2:$E$60,$D471)))</f>
        <v>0</v>
      </c>
      <c r="N471" s="0" t="n">
        <f aca="false">SUMPRODUCT((Rules!$A$2:$A$60=N$1)*Rules!$C$2:$C$60*ISNUMBER(SEARCH(Rules!$E$2:$E$60,$D471)))</f>
        <v>1</v>
      </c>
      <c r="O471" s="0" t="n">
        <f aca="false">SUMPRODUCT((Rules!$A$2:$A$60=O$1)*Rules!$C$2:$C$60*ISNUMBER(SEARCH(Rules!$E$2:$E$60,$D471)))</f>
        <v>4</v>
      </c>
      <c r="P471" s="0" t="n">
        <f aca="false">SUMPRODUCT((Rules!$A$2:$A$60=P$1)*Rules!$C$2:$C$60*ISNUMBER(SEARCH(Rules!$E$2:$E$60,$D471)))</f>
        <v>0</v>
      </c>
      <c r="Q471" s="0" t="n">
        <f aca="false">SUMPRODUCT((Rules!$A$2:$A$60=Q$1)*Rules!$C$2:$C$60*ISNUMBER(SEARCH(Rules!$E$2:$E$60,$D471)))</f>
        <v>0</v>
      </c>
      <c r="R471" s="0" t="str">
        <f aca="false">IF(OR(MAX(L471:Q471)&lt;Rules!$H$1,MAX(L471:Q471)-LARGE(L471:Q471,2)&lt;Rules!$H$2),"No label",INDEX($L$1:$Q$1,MATCH(MAX(L471:Q471),L471:Q471,0)))</f>
        <v>Fees &amp; Charges</v>
      </c>
      <c r="S471" s="0" t="n">
        <f aca="false">SUMPRODUCT(ISNUMBER(SEARCH(" "&amp;Terms!$A$3:$A$821&amp;" ",$D471))*Terms!B$3:B$821)+Terms!B$2</f>
        <v>6.04572248720603</v>
      </c>
      <c r="T471" s="0" t="n">
        <f aca="false">SUMPRODUCT(ISNUMBER(SEARCH(" "&amp;Terms!$A$3:$A$821&amp;" ",$D471))*Terms!C$3:C$821)+Terms!C$2</f>
        <v>-4.42866792517366</v>
      </c>
      <c r="U471" s="0" t="n">
        <f aca="false">SUMPRODUCT(ISNUMBER(SEARCH(" "&amp;Terms!$A$3:$A$821&amp;" ",$D471))*Terms!D$3:D$821)+Terms!D$2</f>
        <v>-4.5326724612355</v>
      </c>
      <c r="V471" s="0" t="n">
        <f aca="false">SUMPRODUCT(ISNUMBER(SEARCH(" "&amp;Terms!$A$3:$A$821&amp;" ",$D471))*Terms!E$3:E$821)+Terms!E$2</f>
        <v>11.4908498077757</v>
      </c>
      <c r="W471" s="0" t="n">
        <f aca="false">SUMPRODUCT(ISNUMBER(SEARCH(" "&amp;Terms!$A$3:$A$821&amp;" ",$D471))*Terms!F$3:F$821)+Terms!F$2</f>
        <v>-4.94449825114459</v>
      </c>
      <c r="X471" s="0" t="n">
        <f aca="false">SUMPRODUCT(ISNUMBER(SEARCH(" "&amp;Terms!$A$3:$A$821&amp;" ",$D471))*Terms!G$3:G$821)+Terms!G$2</f>
        <v>-3.63073365742792</v>
      </c>
      <c r="Y471" s="0" t="str">
        <f aca="false">INDEX($S$1:$X$1,MATCH(MAX(S471:X471),S471:X471,0))</f>
        <v>Fees &amp; Charges</v>
      </c>
      <c r="Z471" s="0" t="s">
        <v>2607</v>
      </c>
    </row>
    <row r="472" customFormat="false" ht="15" hidden="false" customHeight="false" outlineLevel="0" collapsed="false">
      <c r="A472" s="0" t="str">
        <f aca="false">Complaints!A472</f>
        <v>C0471</v>
      </c>
      <c r="B472" s="0" t="str">
        <f aca="false">Complaints!B472</f>
        <v>To whom i may concern, Your advisor gave me different answers on two separate calls. I want this put right.</v>
      </c>
      <c r="C472" s="0" t="str">
        <f aca="false">Complaints!C472</f>
        <v>Customer Service</v>
      </c>
      <c r="D472" s="0" t="str">
        <f aca="false">" "&amp;TRIM(SUBSTITUTE(SUBSTITUTE(SUBSTITUTE(SUBSTITUTE(SUBSTITUTE(SUBSTITUTE(SUBSTITUTE(SUBSTITUTE(SUBSTITUTE(SUBSTITUTE(SUBSTITUTE(SUBSTITUTE(SUBSTITUTE(SUBSTITUTE(SUBSTITUTE(SUBSTITUTE(LOWER(B472),"."," "),","," "),"'"," "),"’"," "),"!"," "),"?"," "),";"," "),":"," "),"-"," "),"("," "),")"," "),"""", " "),"£"," "),"&amp;"," "),"/"," "),"%"," "))&amp;" "</f>
        <v> to whom i may concern your advisor gave me different answers on two separate calls i want this put right </v>
      </c>
      <c r="E472" s="0" t="n">
        <f aca="false">SUMPRODUCT((Rules!$A$2:$A$60=E$1)*Rules!$C$2:$C$60*ISNUMBER(SEARCH(Rules!$D$2:$D$60,$D472)))</f>
        <v>0</v>
      </c>
      <c r="F472" s="0" t="n">
        <f aca="false">SUMPRODUCT((Rules!$A$2:$A$60=F$1)*Rules!$C$2:$C$60*ISNUMBER(SEARCH(Rules!$D$2:$D$60,$D472)))</f>
        <v>0</v>
      </c>
      <c r="G472" s="0" t="n">
        <f aca="false">SUMPRODUCT((Rules!$A$2:$A$60=G$1)*Rules!$C$2:$C$60*ISNUMBER(SEARCH(Rules!$D$2:$D$60,$D472)))</f>
        <v>0</v>
      </c>
      <c r="H472" s="0" t="n">
        <f aca="false">SUMPRODUCT((Rules!$A$2:$A$60=H$1)*Rules!$C$2:$C$60*ISNUMBER(SEARCH(Rules!$D$2:$D$60,$D472)))</f>
        <v>0</v>
      </c>
      <c r="I472" s="0" t="n">
        <f aca="false">SUMPRODUCT((Rules!$A$2:$A$60=I$1)*Rules!$C$2:$C$60*ISNUMBER(SEARCH(Rules!$D$2:$D$60,$D472)))</f>
        <v>0</v>
      </c>
      <c r="J472" s="0" t="n">
        <f aca="false">SUMPRODUCT((Rules!$A$2:$A$60=J$1)*Rules!$C$2:$C$60*ISNUMBER(SEARCH(Rules!$D$2:$D$60,$D472)))</f>
        <v>1</v>
      </c>
      <c r="K472" s="0" t="str">
        <f aca="false">IF(OR(MAX(E472:J472)&lt;Rules!$H$1,MAX(E472:J472)-LARGE(E472:J472,2)&lt;Rules!$H$2),"No label",INDEX($E$1:$J$1,MATCH(MAX(E472:J472),E472:J472,0)))</f>
        <v>No label</v>
      </c>
      <c r="L472" s="0" t="n">
        <f aca="false">SUMPRODUCT((Rules!$A$2:$A$60=L$1)*Rules!$C$2:$C$60*ISNUMBER(SEARCH(Rules!$E$2:$E$60,$D472)))</f>
        <v>0</v>
      </c>
      <c r="M472" s="0" t="n">
        <f aca="false">SUMPRODUCT((Rules!$A$2:$A$60=M$1)*Rules!$C$2:$C$60*ISNUMBER(SEARCH(Rules!$E$2:$E$60,$D472)))</f>
        <v>4</v>
      </c>
      <c r="N472" s="0" t="n">
        <f aca="false">SUMPRODUCT((Rules!$A$2:$A$60=N$1)*Rules!$C$2:$C$60*ISNUMBER(SEARCH(Rules!$E$2:$E$60,$D472)))</f>
        <v>0</v>
      </c>
      <c r="O472" s="0" t="n">
        <f aca="false">SUMPRODUCT((Rules!$A$2:$A$60=O$1)*Rules!$C$2:$C$60*ISNUMBER(SEARCH(Rules!$E$2:$E$60,$D472)))</f>
        <v>0</v>
      </c>
      <c r="P472" s="0" t="n">
        <f aca="false">SUMPRODUCT((Rules!$A$2:$A$60=P$1)*Rules!$C$2:$C$60*ISNUMBER(SEARCH(Rules!$E$2:$E$60,$D472)))</f>
        <v>0</v>
      </c>
      <c r="Q472" s="0" t="n">
        <f aca="false">SUMPRODUCT((Rules!$A$2:$A$60=Q$1)*Rules!$C$2:$C$60*ISNUMBER(SEARCH(Rules!$E$2:$E$60,$D472)))</f>
        <v>1</v>
      </c>
      <c r="R472" s="0" t="str">
        <f aca="false">IF(OR(MAX(L472:Q472)&lt;Rules!$H$1,MAX(L472:Q472)-LARGE(L472:Q472,2)&lt;Rules!$H$2),"No label",INDEX($L$1:$Q$1,MATCH(MAX(L472:Q472),L472:Q472,0)))</f>
        <v>Mis-selling</v>
      </c>
      <c r="S472" s="0" t="n">
        <f aca="false">SUMPRODUCT(ISNUMBER(SEARCH(" "&amp;Terms!$A$3:$A$821&amp;" ",$D472))*Terms!B$3:B$821)+Terms!B$2</f>
        <v>-1.05658555011248</v>
      </c>
      <c r="T472" s="0" t="n">
        <f aca="false">SUMPRODUCT(ISNUMBER(SEARCH(" "&amp;Terms!$A$3:$A$821&amp;" ",$D472))*Terms!C$3:C$821)+Terms!C$2</f>
        <v>10.6465675658427</v>
      </c>
      <c r="U472" s="0" t="n">
        <f aca="false">SUMPRODUCT(ISNUMBER(SEARCH(" "&amp;Terms!$A$3:$A$821&amp;" ",$D472))*Terms!D$3:D$821)+Terms!D$2</f>
        <v>-3.97776024287633</v>
      </c>
      <c r="V472" s="0" t="n">
        <f aca="false">SUMPRODUCT(ISNUMBER(SEARCH(" "&amp;Terms!$A$3:$A$821&amp;" ",$D472))*Terms!E$3:E$821)+Terms!E$2</f>
        <v>-2.75567172264946</v>
      </c>
      <c r="W472" s="0" t="n">
        <f aca="false">SUMPRODUCT(ISNUMBER(SEARCH(" "&amp;Terms!$A$3:$A$821&amp;" ",$D472))*Terms!F$3:F$821)+Terms!F$2</f>
        <v>-0.115103449528322</v>
      </c>
      <c r="X472" s="0" t="n">
        <f aca="false">SUMPRODUCT(ISNUMBER(SEARCH(" "&amp;Terms!$A$3:$A$821&amp;" ",$D472))*Terms!G$3:G$821)+Terms!G$2</f>
        <v>-2.74144660067599</v>
      </c>
      <c r="Y472" s="0" t="str">
        <f aca="false">INDEX($S$1:$X$1,MATCH(MAX(S472:X472),S472:X472,0))</f>
        <v>Customer Service</v>
      </c>
      <c r="Z472" s="0" t="s">
        <v>2607</v>
      </c>
    </row>
    <row r="473" customFormat="false" ht="15" hidden="false" customHeight="false" outlineLevel="0" collapsed="false">
      <c r="A473" s="0" t="str">
        <f aca="false">Complaints!A473</f>
        <v>C0472</v>
      </c>
      <c r="B473" s="0" t="str">
        <f aca="false">Complaints!B473</f>
        <v>The payment still has not arrived in my account.</v>
      </c>
      <c r="C473" s="0" t="str">
        <f aca="false">Complaints!C473</f>
        <v>Delays &amp; Processing</v>
      </c>
      <c r="D473" s="0" t="str">
        <f aca="false">" "&amp;TRIM(SUBSTITUTE(SUBSTITUTE(SUBSTITUTE(SUBSTITUTE(SUBSTITUTE(SUBSTITUTE(SUBSTITUTE(SUBSTITUTE(SUBSTITUTE(SUBSTITUTE(SUBSTITUTE(SUBSTITUTE(SUBSTITUTE(SUBSTITUTE(SUBSTITUTE(SUBSTITUTE(LOWER(B473),"."," "),","," "),"'"," "),"’"," "),"!"," "),"?"," "),";"," "),":"," "),"-"," "),"("," "),")"," "),"""", " "),"£"," "),"&amp;"," "),"/"," "),"%"," "))&amp;" "</f>
        <v> the payment still has not arrived in my account </v>
      </c>
      <c r="E473" s="0" t="n">
        <f aca="false">SUMPRODUCT((Rules!$A$2:$A$60=E$1)*Rules!$C$2:$C$60*ISNUMBER(SEARCH(Rules!$D$2:$D$60,$D473)))</f>
        <v>0</v>
      </c>
      <c r="F473" s="0" t="n">
        <f aca="false">SUMPRODUCT((Rules!$A$2:$A$60=F$1)*Rules!$C$2:$C$60*ISNUMBER(SEARCH(Rules!$D$2:$D$60,$D473)))</f>
        <v>0</v>
      </c>
      <c r="G473" s="0" t="n">
        <f aca="false">SUMPRODUCT((Rules!$A$2:$A$60=G$1)*Rules!$C$2:$C$60*ISNUMBER(SEARCH(Rules!$D$2:$D$60,$D473)))</f>
        <v>0</v>
      </c>
      <c r="H473" s="0" t="n">
        <f aca="false">SUMPRODUCT((Rules!$A$2:$A$60=H$1)*Rules!$C$2:$C$60*ISNUMBER(SEARCH(Rules!$D$2:$D$60,$D473)))</f>
        <v>0</v>
      </c>
      <c r="I473" s="0" t="n">
        <f aca="false">SUMPRODUCT((Rules!$A$2:$A$60=I$1)*Rules!$C$2:$C$60*ISNUMBER(SEARCH(Rules!$D$2:$D$60,$D473)))</f>
        <v>2</v>
      </c>
      <c r="J473" s="0" t="n">
        <f aca="false">SUMPRODUCT((Rules!$A$2:$A$60=J$1)*Rules!$C$2:$C$60*ISNUMBER(SEARCH(Rules!$D$2:$D$60,$D473)))</f>
        <v>0</v>
      </c>
      <c r="K473" s="0" t="str">
        <f aca="false">IF(OR(MAX(E473:J473)&lt;Rules!$H$1,MAX(E473:J473)-LARGE(E473:J473,2)&lt;Rules!$H$2),"No label",INDEX($E$1:$J$1,MATCH(MAX(E473:J473),E473:J473,0)))</f>
        <v>No label</v>
      </c>
      <c r="L473" s="0" t="n">
        <f aca="false">SUMPRODUCT((Rules!$A$2:$A$60=L$1)*Rules!$C$2:$C$60*ISNUMBER(SEARCH(Rules!$E$2:$E$60,$D473)))</f>
        <v>0</v>
      </c>
      <c r="M473" s="0" t="n">
        <f aca="false">SUMPRODUCT((Rules!$A$2:$A$60=M$1)*Rules!$C$2:$C$60*ISNUMBER(SEARCH(Rules!$E$2:$E$60,$D473)))</f>
        <v>0</v>
      </c>
      <c r="N473" s="0" t="n">
        <f aca="false">SUMPRODUCT((Rules!$A$2:$A$60=N$1)*Rules!$C$2:$C$60*ISNUMBER(SEARCH(Rules!$E$2:$E$60,$D473)))</f>
        <v>0</v>
      </c>
      <c r="O473" s="0" t="n">
        <f aca="false">SUMPRODUCT((Rules!$A$2:$A$60=O$1)*Rules!$C$2:$C$60*ISNUMBER(SEARCH(Rules!$E$2:$E$60,$D473)))</f>
        <v>0</v>
      </c>
      <c r="P473" s="0" t="n">
        <f aca="false">SUMPRODUCT((Rules!$A$2:$A$60=P$1)*Rules!$C$2:$C$60*ISNUMBER(SEARCH(Rules!$E$2:$E$60,$D473)))</f>
        <v>2</v>
      </c>
      <c r="Q473" s="0" t="n">
        <f aca="false">SUMPRODUCT((Rules!$A$2:$A$60=Q$1)*Rules!$C$2:$C$60*ISNUMBER(SEARCH(Rules!$E$2:$E$60,$D473)))</f>
        <v>0</v>
      </c>
      <c r="R473" s="0" t="str">
        <f aca="false">IF(OR(MAX(L473:Q473)&lt;Rules!$H$1,MAX(L473:Q473)-LARGE(L473:Q473,2)&lt;Rules!$H$2),"No label",INDEX($L$1:$Q$1,MATCH(MAX(L473:Q473),L473:Q473,0)))</f>
        <v>No label</v>
      </c>
      <c r="S473" s="0" t="n">
        <f aca="false">SUMPRODUCT(ISNUMBER(SEARCH(" "&amp;Terms!$A$3:$A$821&amp;" ",$D473))*Terms!B$3:B$821)+Terms!B$2</f>
        <v>0.582779571230278</v>
      </c>
      <c r="T473" s="0" t="n">
        <f aca="false">SUMPRODUCT(ISNUMBER(SEARCH(" "&amp;Terms!$A$3:$A$821&amp;" ",$D473))*Terms!C$3:C$821)+Terms!C$2</f>
        <v>-3.06803361999319</v>
      </c>
      <c r="U473" s="0" t="n">
        <f aca="false">SUMPRODUCT(ISNUMBER(SEARCH(" "&amp;Terms!$A$3:$A$821&amp;" ",$D473))*Terms!D$3:D$821)+Terms!D$2</f>
        <v>6.39939939499012</v>
      </c>
      <c r="V473" s="0" t="n">
        <f aca="false">SUMPRODUCT(ISNUMBER(SEARCH(" "&amp;Terms!$A$3:$A$821&amp;" ",$D473))*Terms!E$3:E$821)+Terms!E$2</f>
        <v>-0.601160088521811</v>
      </c>
      <c r="W473" s="0" t="n">
        <f aca="false">SUMPRODUCT(ISNUMBER(SEARCH(" "&amp;Terms!$A$3:$A$821&amp;" ",$D473))*Terms!F$3:F$821)+Terms!F$2</f>
        <v>0.0920140221737045</v>
      </c>
      <c r="X473" s="0" t="n">
        <f aca="false">SUMPRODUCT(ISNUMBER(SEARCH(" "&amp;Terms!$A$3:$A$821&amp;" ",$D473))*Terms!G$3:G$821)+Terms!G$2</f>
        <v>-3.40499927987901</v>
      </c>
      <c r="Y473" s="0" t="str">
        <f aca="false">INDEX($S$1:$X$1,MATCH(MAX(S473:X473),S473:X473,0))</f>
        <v>Delays &amp; Processing</v>
      </c>
      <c r="Z473" s="0" t="s">
        <v>2607</v>
      </c>
    </row>
    <row r="474" customFormat="false" ht="15" hidden="false" customHeight="false" outlineLevel="0" collapsed="false">
      <c r="A474" s="0" t="str">
        <f aca="false">Complaints!A474</f>
        <v>C0473</v>
      </c>
      <c r="B474" s="0" t="str">
        <f aca="false">Complaints!B474</f>
        <v>I have been a customer for years. Two factor codes are not being sent to my phone. Also, a person pretending to be from your bank phoned me and I gave them details.</v>
      </c>
      <c r="C474" s="0" t="str">
        <f aca="false">Complaints!C474</f>
        <v>Account Access</v>
      </c>
      <c r="D474" s="0" t="str">
        <f aca="false">" "&amp;TRIM(SUBSTITUTE(SUBSTITUTE(SUBSTITUTE(SUBSTITUTE(SUBSTITUTE(SUBSTITUTE(SUBSTITUTE(SUBSTITUTE(SUBSTITUTE(SUBSTITUTE(SUBSTITUTE(SUBSTITUTE(SUBSTITUTE(SUBSTITUTE(SUBSTITUTE(SUBSTITUTE(LOWER(B474),"."," "),","," "),"'"," "),"’"," "),"!"," "),"?"," "),";"," "),":"," "),"-"," "),"("," "),")"," "),"""", " "),"£"," "),"&amp;"," "),"/"," "),"%"," "))&amp;" "</f>
        <v> i have been a customer for years two factor codes are not being sent to my phone also a person pretending to be from your bank phoned me and i gave them details </v>
      </c>
      <c r="E474" s="0" t="n">
        <f aca="false">SUMPRODUCT((Rules!$A$2:$A$60=E$1)*Rules!$C$2:$C$60*ISNUMBER(SEARCH(Rules!$D$2:$D$60,$D474)))</f>
        <v>0</v>
      </c>
      <c r="F474" s="0" t="n">
        <f aca="false">SUMPRODUCT((Rules!$A$2:$A$60=F$1)*Rules!$C$2:$C$60*ISNUMBER(SEARCH(Rules!$D$2:$D$60,$D474)))</f>
        <v>0</v>
      </c>
      <c r="G474" s="0" t="n">
        <f aca="false">SUMPRODUCT((Rules!$A$2:$A$60=G$1)*Rules!$C$2:$C$60*ISNUMBER(SEARCH(Rules!$D$2:$D$60,$D474)))</f>
        <v>3</v>
      </c>
      <c r="H474" s="0" t="n">
        <f aca="false">SUMPRODUCT((Rules!$A$2:$A$60=H$1)*Rules!$C$2:$C$60*ISNUMBER(SEARCH(Rules!$D$2:$D$60,$D474)))</f>
        <v>0</v>
      </c>
      <c r="I474" s="0" t="n">
        <f aca="false">SUMPRODUCT((Rules!$A$2:$A$60=I$1)*Rules!$C$2:$C$60*ISNUMBER(SEARCH(Rules!$D$2:$D$60,$D474)))</f>
        <v>0</v>
      </c>
      <c r="J474" s="0" t="n">
        <f aca="false">SUMPRODUCT((Rules!$A$2:$A$60=J$1)*Rules!$C$2:$C$60*ISNUMBER(SEARCH(Rules!$D$2:$D$60,$D474)))</f>
        <v>0</v>
      </c>
      <c r="K474" s="0" t="str">
        <f aca="false">IF(OR(MAX(E474:J474)&lt;Rules!$H$1,MAX(E474:J474)-LARGE(E474:J474,2)&lt;Rules!$H$2),"No label",INDEX($E$1:$J$1,MATCH(MAX(E474:J474),E474:J474,0)))</f>
        <v>Account Access</v>
      </c>
      <c r="L474" s="0" t="n">
        <f aca="false">SUMPRODUCT((Rules!$A$2:$A$60=L$1)*Rules!$C$2:$C$60*ISNUMBER(SEARCH(Rules!$E$2:$E$60,$D474)))</f>
        <v>0</v>
      </c>
      <c r="M474" s="0" t="n">
        <f aca="false">SUMPRODUCT((Rules!$A$2:$A$60=M$1)*Rules!$C$2:$C$60*ISNUMBER(SEARCH(Rules!$E$2:$E$60,$D474)))</f>
        <v>0</v>
      </c>
      <c r="N474" s="0" t="n">
        <f aca="false">SUMPRODUCT((Rules!$A$2:$A$60=N$1)*Rules!$C$2:$C$60*ISNUMBER(SEARCH(Rules!$E$2:$E$60,$D474)))</f>
        <v>3</v>
      </c>
      <c r="O474" s="0" t="n">
        <f aca="false">SUMPRODUCT((Rules!$A$2:$A$60=O$1)*Rules!$C$2:$C$60*ISNUMBER(SEARCH(Rules!$E$2:$E$60,$D474)))</f>
        <v>0</v>
      </c>
      <c r="P474" s="0" t="n">
        <f aca="false">SUMPRODUCT((Rules!$A$2:$A$60=P$1)*Rules!$C$2:$C$60*ISNUMBER(SEARCH(Rules!$E$2:$E$60,$D474)))</f>
        <v>0</v>
      </c>
      <c r="Q474" s="0" t="n">
        <f aca="false">SUMPRODUCT((Rules!$A$2:$A$60=Q$1)*Rules!$C$2:$C$60*ISNUMBER(SEARCH(Rules!$E$2:$E$60,$D474)))</f>
        <v>0</v>
      </c>
      <c r="R474" s="0" t="str">
        <f aca="false">IF(OR(MAX(L474:Q474)&lt;Rules!$H$1,MAX(L474:Q474)-LARGE(L474:Q474,2)&lt;Rules!$H$2),"No label",INDEX($L$1:$Q$1,MATCH(MAX(L474:Q474),L474:Q474,0)))</f>
        <v>Account Access</v>
      </c>
      <c r="S474" s="0" t="n">
        <f aca="false">SUMPRODUCT(ISNUMBER(SEARCH(" "&amp;Terms!$A$3:$A$821&amp;" ",$D474))*Terms!B$3:B$821)+Terms!B$2</f>
        <v>9.13793430489185</v>
      </c>
      <c r="T474" s="0" t="n">
        <f aca="false">SUMPRODUCT(ISNUMBER(SEARCH(" "&amp;Terms!$A$3:$A$821&amp;" ",$D474))*Terms!C$3:C$821)+Terms!C$2</f>
        <v>-5.15901208189481</v>
      </c>
      <c r="U474" s="0" t="n">
        <f aca="false">SUMPRODUCT(ISNUMBER(SEARCH(" "&amp;Terms!$A$3:$A$821&amp;" ",$D474))*Terms!D$3:D$821)+Terms!D$2</f>
        <v>-1.25039194363685</v>
      </c>
      <c r="V474" s="0" t="n">
        <f aca="false">SUMPRODUCT(ISNUMBER(SEARCH(" "&amp;Terms!$A$3:$A$821&amp;" ",$D474))*Terms!E$3:E$821)+Terms!E$2</f>
        <v>-4.97830770590051</v>
      </c>
      <c r="W474" s="0" t="n">
        <f aca="false">SUMPRODUCT(ISNUMBER(SEARCH(" "&amp;Terms!$A$3:$A$821&amp;" ",$D474))*Terms!F$3:F$821)+Terms!F$2</f>
        <v>5.26694356651609</v>
      </c>
      <c r="X474" s="0" t="n">
        <f aca="false">SUMPRODUCT(ISNUMBER(SEARCH(" "&amp;Terms!$A$3:$A$821&amp;" ",$D474))*Terms!G$3:G$821)+Terms!G$2</f>
        <v>-3.0171661399757</v>
      </c>
      <c r="Y474" s="0" t="str">
        <f aca="false">INDEX($S$1:$X$1,MATCH(MAX(S474:X474),S474:X474,0))</f>
        <v>Account Access</v>
      </c>
      <c r="Z474" s="0" t="s">
        <v>2607</v>
      </c>
    </row>
    <row r="475" customFormat="false" ht="15" hidden="false" customHeight="false" outlineLevel="0" collapsed="false">
      <c r="A475" s="0" t="str">
        <f aca="false">Complaints!A475</f>
        <v>C0474</v>
      </c>
      <c r="B475" s="0" t="str">
        <f aca="false">Complaints!B475</f>
        <v>I think I was the victim of a scam and sent money to a fraudster. Also, nobody explained the foreign transaction charges before my holiday.</v>
      </c>
      <c r="C475" s="0" t="str">
        <f aca="false">Complaints!C475</f>
        <v>Fraud &amp; Scams</v>
      </c>
      <c r="D475" s="0" t="str">
        <f aca="false">" "&amp;TRIM(SUBSTITUTE(SUBSTITUTE(SUBSTITUTE(SUBSTITUTE(SUBSTITUTE(SUBSTITUTE(SUBSTITUTE(SUBSTITUTE(SUBSTITUTE(SUBSTITUTE(SUBSTITUTE(SUBSTITUTE(SUBSTITUTE(SUBSTITUTE(SUBSTITUTE(SUBSTITUTE(LOWER(B475),"."," "),","," "),"'"," "),"’"," "),"!"," "),"?"," "),";"," "),":"," "),"-"," "),"("," "),")"," "),"""", " "),"£"," "),"&amp;"," "),"/"," "),"%"," "))&amp;" "</f>
        <v> i think i was the victim of a scam and sent money to a fraudster also nobody explained the foreign transaction charges before my holiday </v>
      </c>
      <c r="E475" s="0" t="n">
        <f aca="false">SUMPRODUCT((Rules!$A$2:$A$60=E$1)*Rules!$C$2:$C$60*ISNUMBER(SEARCH(Rules!$D$2:$D$60,$D475)))</f>
        <v>6</v>
      </c>
      <c r="F475" s="0" t="n">
        <f aca="false">SUMPRODUCT((Rules!$A$2:$A$60=F$1)*Rules!$C$2:$C$60*ISNUMBER(SEARCH(Rules!$D$2:$D$60,$D475)))</f>
        <v>0</v>
      </c>
      <c r="G475" s="0" t="n">
        <f aca="false">SUMPRODUCT((Rules!$A$2:$A$60=G$1)*Rules!$C$2:$C$60*ISNUMBER(SEARCH(Rules!$D$2:$D$60,$D475)))</f>
        <v>0</v>
      </c>
      <c r="H475" s="0" t="n">
        <f aca="false">SUMPRODUCT((Rules!$A$2:$A$60=H$1)*Rules!$C$2:$C$60*ISNUMBER(SEARCH(Rules!$D$2:$D$60,$D475)))</f>
        <v>0</v>
      </c>
      <c r="I475" s="0" t="n">
        <f aca="false">SUMPRODUCT((Rules!$A$2:$A$60=I$1)*Rules!$C$2:$C$60*ISNUMBER(SEARCH(Rules!$D$2:$D$60,$D475)))</f>
        <v>0</v>
      </c>
      <c r="J475" s="0" t="n">
        <f aca="false">SUMPRODUCT((Rules!$A$2:$A$60=J$1)*Rules!$C$2:$C$60*ISNUMBER(SEARCH(Rules!$D$2:$D$60,$D475)))</f>
        <v>0</v>
      </c>
      <c r="K475" s="0" t="str">
        <f aca="false">IF(OR(MAX(E475:J475)&lt;Rules!$H$1,MAX(E475:J475)-LARGE(E475:J475,2)&lt;Rules!$H$2),"No label",INDEX($E$1:$J$1,MATCH(MAX(E475:J475),E475:J475,0)))</f>
        <v>Fraud &amp; Scams</v>
      </c>
      <c r="L475" s="0" t="n">
        <f aca="false">SUMPRODUCT((Rules!$A$2:$A$60=L$1)*Rules!$C$2:$C$60*ISNUMBER(SEARCH(Rules!$E$2:$E$60,$D475)))</f>
        <v>6</v>
      </c>
      <c r="M475" s="0" t="n">
        <f aca="false">SUMPRODUCT((Rules!$A$2:$A$60=M$1)*Rules!$C$2:$C$60*ISNUMBER(SEARCH(Rules!$E$2:$E$60,$D475)))</f>
        <v>0</v>
      </c>
      <c r="N475" s="0" t="n">
        <f aca="false">SUMPRODUCT((Rules!$A$2:$A$60=N$1)*Rules!$C$2:$C$60*ISNUMBER(SEARCH(Rules!$E$2:$E$60,$D475)))</f>
        <v>0</v>
      </c>
      <c r="O475" s="0" t="n">
        <f aca="false">SUMPRODUCT((Rules!$A$2:$A$60=O$1)*Rules!$C$2:$C$60*ISNUMBER(SEARCH(Rules!$E$2:$E$60,$D475)))</f>
        <v>4</v>
      </c>
      <c r="P475" s="0" t="n">
        <f aca="false">SUMPRODUCT((Rules!$A$2:$A$60=P$1)*Rules!$C$2:$C$60*ISNUMBER(SEARCH(Rules!$E$2:$E$60,$D475)))</f>
        <v>0</v>
      </c>
      <c r="Q475" s="0" t="n">
        <f aca="false">SUMPRODUCT((Rules!$A$2:$A$60=Q$1)*Rules!$C$2:$C$60*ISNUMBER(SEARCH(Rules!$E$2:$E$60,$D475)))</f>
        <v>0</v>
      </c>
      <c r="R475" s="0" t="str">
        <f aca="false">IF(OR(MAX(L475:Q475)&lt;Rules!$H$1,MAX(L475:Q475)-LARGE(L475:Q475,2)&lt;Rules!$H$2),"No label",INDEX($L$1:$Q$1,MATCH(MAX(L475:Q475),L475:Q475,0)))</f>
        <v>Fraud &amp; Scams</v>
      </c>
      <c r="S475" s="0" t="n">
        <f aca="false">SUMPRODUCT(ISNUMBER(SEARCH(" "&amp;Terms!$A$3:$A$821&amp;" ",$D475))*Terms!B$3:B$821)+Terms!B$2</f>
        <v>-1.3914614568926</v>
      </c>
      <c r="T475" s="0" t="n">
        <f aca="false">SUMPRODUCT(ISNUMBER(SEARCH(" "&amp;Terms!$A$3:$A$821&amp;" ",$D475))*Terms!C$3:C$821)+Terms!C$2</f>
        <v>-5.33723954681464</v>
      </c>
      <c r="U475" s="0" t="n">
        <f aca="false">SUMPRODUCT(ISNUMBER(SEARCH(" "&amp;Terms!$A$3:$A$821&amp;" ",$D475))*Terms!D$3:D$821)+Terms!D$2</f>
        <v>-3.2604651525756</v>
      </c>
      <c r="V475" s="0" t="n">
        <f aca="false">SUMPRODUCT(ISNUMBER(SEARCH(" "&amp;Terms!$A$3:$A$821&amp;" ",$D475))*Terms!E$3:E$821)+Terms!E$2</f>
        <v>9.09707571311426</v>
      </c>
      <c r="W475" s="0" t="n">
        <f aca="false">SUMPRODUCT(ISNUMBER(SEARCH(" "&amp;Terms!$A$3:$A$821&amp;" ",$D475))*Terms!F$3:F$821)+Terms!F$2</f>
        <v>6.11754456191935</v>
      </c>
      <c r="X475" s="0" t="n">
        <f aca="false">SUMPRODUCT(ISNUMBER(SEARCH(" "&amp;Terms!$A$3:$A$821&amp;" ",$D475))*Terms!G$3:G$821)+Terms!G$2</f>
        <v>-5.22545411875067</v>
      </c>
      <c r="Y475" s="0" t="str">
        <f aca="false">INDEX($S$1:$X$1,MATCH(MAX(S475:X475),S475:X475,0))</f>
        <v>Fees &amp; Charges</v>
      </c>
      <c r="Z475" s="0" t="s">
        <v>2607</v>
      </c>
    </row>
    <row r="476" customFormat="false" ht="15" hidden="false" customHeight="false" outlineLevel="0" collapsed="false">
      <c r="A476" s="0" t="str">
        <f aca="false">Complaints!A476</f>
        <v>C0475</v>
      </c>
      <c r="B476" s="0" t="str">
        <f aca="false">Complaints!B476</f>
        <v>To whom it may concern, The website will not let me register for online access. Please escalate this.</v>
      </c>
      <c r="C476" s="0" t="str">
        <f aca="false">Complaints!C476</f>
        <v>Account Access</v>
      </c>
      <c r="D476" s="0" t="str">
        <f aca="false">" "&amp;TRIM(SUBSTITUTE(SUBSTITUTE(SUBSTITUTE(SUBSTITUTE(SUBSTITUTE(SUBSTITUTE(SUBSTITUTE(SUBSTITUTE(SUBSTITUTE(SUBSTITUTE(SUBSTITUTE(SUBSTITUTE(SUBSTITUTE(SUBSTITUTE(SUBSTITUTE(SUBSTITUTE(LOWER(B476),"."," "),","," "),"'"," "),"’"," "),"!"," "),"?"," "),";"," "),":"," "),"-"," "),"("," "),")"," "),"""", " "),"£"," "),"&amp;"," "),"/"," "),"%"," "))&amp;" "</f>
        <v> to whom it may concern the website will not let me register for online access please escalate this </v>
      </c>
      <c r="E476" s="0" t="n">
        <f aca="false">SUMPRODUCT((Rules!$A$2:$A$60=E$1)*Rules!$C$2:$C$60*ISNUMBER(SEARCH(Rules!$D$2:$D$60,$D476)))</f>
        <v>0</v>
      </c>
      <c r="F476" s="0" t="n">
        <f aca="false">SUMPRODUCT((Rules!$A$2:$A$60=F$1)*Rules!$C$2:$C$60*ISNUMBER(SEARCH(Rules!$D$2:$D$60,$D476)))</f>
        <v>0</v>
      </c>
      <c r="G476" s="0" t="n">
        <f aca="false">SUMPRODUCT((Rules!$A$2:$A$60=G$1)*Rules!$C$2:$C$60*ISNUMBER(SEARCH(Rules!$D$2:$D$60,$D476)))</f>
        <v>1</v>
      </c>
      <c r="H476" s="0" t="n">
        <f aca="false">SUMPRODUCT((Rules!$A$2:$A$60=H$1)*Rules!$C$2:$C$60*ISNUMBER(SEARCH(Rules!$D$2:$D$60,$D476)))</f>
        <v>0</v>
      </c>
      <c r="I476" s="0" t="n">
        <f aca="false">SUMPRODUCT((Rules!$A$2:$A$60=I$1)*Rules!$C$2:$C$60*ISNUMBER(SEARCH(Rules!$D$2:$D$60,$D476)))</f>
        <v>0</v>
      </c>
      <c r="J476" s="0" t="n">
        <f aca="false">SUMPRODUCT((Rules!$A$2:$A$60=J$1)*Rules!$C$2:$C$60*ISNUMBER(SEARCH(Rules!$D$2:$D$60,$D476)))</f>
        <v>0</v>
      </c>
      <c r="K476" s="0" t="str">
        <f aca="false">IF(OR(MAX(E476:J476)&lt;Rules!$H$1,MAX(E476:J476)-LARGE(E476:J476,2)&lt;Rules!$H$2),"No label",INDEX($E$1:$J$1,MATCH(MAX(E476:J476),E476:J476,0)))</f>
        <v>No label</v>
      </c>
      <c r="L476" s="0" t="n">
        <f aca="false">SUMPRODUCT((Rules!$A$2:$A$60=L$1)*Rules!$C$2:$C$60*ISNUMBER(SEARCH(Rules!$E$2:$E$60,$D476)))</f>
        <v>0</v>
      </c>
      <c r="M476" s="0" t="n">
        <f aca="false">SUMPRODUCT((Rules!$A$2:$A$60=M$1)*Rules!$C$2:$C$60*ISNUMBER(SEARCH(Rules!$E$2:$E$60,$D476)))</f>
        <v>0</v>
      </c>
      <c r="N476" s="0" t="n">
        <f aca="false">SUMPRODUCT((Rules!$A$2:$A$60=N$1)*Rules!$C$2:$C$60*ISNUMBER(SEARCH(Rules!$E$2:$E$60,$D476)))</f>
        <v>1</v>
      </c>
      <c r="O476" s="0" t="n">
        <f aca="false">SUMPRODUCT((Rules!$A$2:$A$60=O$1)*Rules!$C$2:$C$60*ISNUMBER(SEARCH(Rules!$E$2:$E$60,$D476)))</f>
        <v>0</v>
      </c>
      <c r="P476" s="0" t="n">
        <f aca="false">SUMPRODUCT((Rules!$A$2:$A$60=P$1)*Rules!$C$2:$C$60*ISNUMBER(SEARCH(Rules!$E$2:$E$60,$D476)))</f>
        <v>0</v>
      </c>
      <c r="Q476" s="0" t="n">
        <f aca="false">SUMPRODUCT((Rules!$A$2:$A$60=Q$1)*Rules!$C$2:$C$60*ISNUMBER(SEARCH(Rules!$E$2:$E$60,$D476)))</f>
        <v>0</v>
      </c>
      <c r="R476" s="0" t="str">
        <f aca="false">IF(OR(MAX(L476:Q476)&lt;Rules!$H$1,MAX(L476:Q476)-LARGE(L476:Q476,2)&lt;Rules!$H$2),"No label",INDEX($L$1:$Q$1,MATCH(MAX(L476:Q476),L476:Q476,0)))</f>
        <v>No label</v>
      </c>
      <c r="S476" s="0" t="n">
        <f aca="false">SUMPRODUCT(ISNUMBER(SEARCH(" "&amp;Terms!$A$3:$A$821&amp;" ",$D476))*Terms!B$3:B$821)+Terms!B$2</f>
        <v>9.46506115075463</v>
      </c>
      <c r="T476" s="0" t="n">
        <f aca="false">SUMPRODUCT(ISNUMBER(SEARCH(" "&amp;Terms!$A$3:$A$821&amp;" ",$D476))*Terms!C$3:C$821)+Terms!C$2</f>
        <v>-3.78973192029111</v>
      </c>
      <c r="U476" s="0" t="n">
        <f aca="false">SUMPRODUCT(ISNUMBER(SEARCH(" "&amp;Terms!$A$3:$A$821&amp;" ",$D476))*Terms!D$3:D$821)+Terms!D$2</f>
        <v>-2.22337293985532</v>
      </c>
      <c r="V476" s="0" t="n">
        <f aca="false">SUMPRODUCT(ISNUMBER(SEARCH(" "&amp;Terms!$A$3:$A$821&amp;" ",$D476))*Terms!E$3:E$821)+Terms!E$2</f>
        <v>-1.09735470683666</v>
      </c>
      <c r="W476" s="0" t="n">
        <f aca="false">SUMPRODUCT(ISNUMBER(SEARCH(" "&amp;Terms!$A$3:$A$821&amp;" ",$D476))*Terms!F$3:F$821)+Terms!F$2</f>
        <v>-2.52101373930079</v>
      </c>
      <c r="X476" s="0" t="n">
        <f aca="false">SUMPRODUCT(ISNUMBER(SEARCH(" "&amp;Terms!$A$3:$A$821&amp;" ",$D476))*Terms!G$3:G$821)+Terms!G$2</f>
        <v>0.166412155529339</v>
      </c>
      <c r="Y476" s="0" t="str">
        <f aca="false">INDEX($S$1:$X$1,MATCH(MAX(S476:X476),S476:X476,0))</f>
        <v>Account Access</v>
      </c>
      <c r="Z476" s="0" t="s">
        <v>2607</v>
      </c>
    </row>
    <row r="477" customFormat="false" ht="15" hidden="false" customHeight="false" outlineLevel="0" collapsed="false">
      <c r="A477" s="0" t="str">
        <f aca="false">Complaints!A477</f>
        <v>C0476</v>
      </c>
      <c r="B477" s="0" t="str">
        <f aca="false">Complaints!B477</f>
        <v>My card wa cloned and used abroad. Please sort this out.</v>
      </c>
      <c r="C477" s="0" t="str">
        <f aca="false">Complaints!C477</f>
        <v>Fraud &amp; Scams</v>
      </c>
      <c r="D477" s="0" t="str">
        <f aca="false">" "&amp;TRIM(SUBSTITUTE(SUBSTITUTE(SUBSTITUTE(SUBSTITUTE(SUBSTITUTE(SUBSTITUTE(SUBSTITUTE(SUBSTITUTE(SUBSTITUTE(SUBSTITUTE(SUBSTITUTE(SUBSTITUTE(SUBSTITUTE(SUBSTITUTE(SUBSTITUTE(SUBSTITUTE(LOWER(B477),"."," "),","," "),"'"," "),"’"," "),"!"," "),"?"," "),";"," "),":"," "),"-"," "),"("," "),")"," "),"""", " "),"£"," "),"&amp;"," "),"/"," "),"%"," "))&amp;" "</f>
        <v> my card wa cloned and used abroad please sort this out </v>
      </c>
      <c r="E477" s="0" t="n">
        <f aca="false">SUMPRODUCT((Rules!$A$2:$A$60=E$1)*Rules!$C$2:$C$60*ISNUMBER(SEARCH(Rules!$D$2:$D$60,$D477)))</f>
        <v>3</v>
      </c>
      <c r="F477" s="0" t="n">
        <f aca="false">SUMPRODUCT((Rules!$A$2:$A$60=F$1)*Rules!$C$2:$C$60*ISNUMBER(SEARCH(Rules!$D$2:$D$60,$D477)))</f>
        <v>0</v>
      </c>
      <c r="G477" s="0" t="n">
        <f aca="false">SUMPRODUCT((Rules!$A$2:$A$60=G$1)*Rules!$C$2:$C$60*ISNUMBER(SEARCH(Rules!$D$2:$D$60,$D477)))</f>
        <v>0</v>
      </c>
      <c r="H477" s="0" t="n">
        <f aca="false">SUMPRODUCT((Rules!$A$2:$A$60=H$1)*Rules!$C$2:$C$60*ISNUMBER(SEARCH(Rules!$D$2:$D$60,$D477)))</f>
        <v>0</v>
      </c>
      <c r="I477" s="0" t="n">
        <f aca="false">SUMPRODUCT((Rules!$A$2:$A$60=I$1)*Rules!$C$2:$C$60*ISNUMBER(SEARCH(Rules!$D$2:$D$60,$D477)))</f>
        <v>0</v>
      </c>
      <c r="J477" s="0" t="n">
        <f aca="false">SUMPRODUCT((Rules!$A$2:$A$60=J$1)*Rules!$C$2:$C$60*ISNUMBER(SEARCH(Rules!$D$2:$D$60,$D477)))</f>
        <v>0</v>
      </c>
      <c r="K477" s="0" t="str">
        <f aca="false">IF(OR(MAX(E477:J477)&lt;Rules!$H$1,MAX(E477:J477)-LARGE(E477:J477,2)&lt;Rules!$H$2),"No label",INDEX($E$1:$J$1,MATCH(MAX(E477:J477),E477:J477,0)))</f>
        <v>Fraud &amp; Scams</v>
      </c>
      <c r="L477" s="0" t="n">
        <f aca="false">SUMPRODUCT((Rules!$A$2:$A$60=L$1)*Rules!$C$2:$C$60*ISNUMBER(SEARCH(Rules!$E$2:$E$60,$D477)))</f>
        <v>3</v>
      </c>
      <c r="M477" s="0" t="n">
        <f aca="false">SUMPRODUCT((Rules!$A$2:$A$60=M$1)*Rules!$C$2:$C$60*ISNUMBER(SEARCH(Rules!$E$2:$E$60,$D477)))</f>
        <v>0</v>
      </c>
      <c r="N477" s="0" t="n">
        <f aca="false">SUMPRODUCT((Rules!$A$2:$A$60=N$1)*Rules!$C$2:$C$60*ISNUMBER(SEARCH(Rules!$E$2:$E$60,$D477)))</f>
        <v>0</v>
      </c>
      <c r="O477" s="0" t="n">
        <f aca="false">SUMPRODUCT((Rules!$A$2:$A$60=O$1)*Rules!$C$2:$C$60*ISNUMBER(SEARCH(Rules!$E$2:$E$60,$D477)))</f>
        <v>0</v>
      </c>
      <c r="P477" s="0" t="n">
        <f aca="false">SUMPRODUCT((Rules!$A$2:$A$60=P$1)*Rules!$C$2:$C$60*ISNUMBER(SEARCH(Rules!$E$2:$E$60,$D477)))</f>
        <v>0</v>
      </c>
      <c r="Q477" s="0" t="n">
        <f aca="false">SUMPRODUCT((Rules!$A$2:$A$60=Q$1)*Rules!$C$2:$C$60*ISNUMBER(SEARCH(Rules!$E$2:$E$60,$D477)))</f>
        <v>0</v>
      </c>
      <c r="R477" s="0" t="str">
        <f aca="false">IF(OR(MAX(L477:Q477)&lt;Rules!$H$1,MAX(L477:Q477)-LARGE(L477:Q477,2)&lt;Rules!$H$2),"No label",INDEX($L$1:$Q$1,MATCH(MAX(L477:Q477),L477:Q477,0)))</f>
        <v>Fraud &amp; Scams</v>
      </c>
      <c r="S477" s="0" t="n">
        <f aca="false">SUMPRODUCT(ISNUMBER(SEARCH(" "&amp;Terms!$A$3:$A$821&amp;" ",$D477))*Terms!B$3:B$821)+Terms!B$2</f>
        <v>-2.41572672063067</v>
      </c>
      <c r="T477" s="0" t="n">
        <f aca="false">SUMPRODUCT(ISNUMBER(SEARCH(" "&amp;Terms!$A$3:$A$821&amp;" ",$D477))*Terms!C$3:C$821)+Terms!C$2</f>
        <v>-0.582592768907884</v>
      </c>
      <c r="U477" s="0" t="n">
        <f aca="false">SUMPRODUCT(ISNUMBER(SEARCH(" "&amp;Terms!$A$3:$A$821&amp;" ",$D477))*Terms!D$3:D$821)+Terms!D$2</f>
        <v>-3.59366140794684</v>
      </c>
      <c r="V477" s="0" t="n">
        <f aca="false">SUMPRODUCT(ISNUMBER(SEARCH(" "&amp;Terms!$A$3:$A$821&amp;" ",$D477))*Terms!E$3:E$821)+Terms!E$2</f>
        <v>-0.537478213226544</v>
      </c>
      <c r="W477" s="0" t="n">
        <f aca="false">SUMPRODUCT(ISNUMBER(SEARCH(" "&amp;Terms!$A$3:$A$821&amp;" ",$D477))*Terms!F$3:F$821)+Terms!F$2</f>
        <v>9.72980872854355</v>
      </c>
      <c r="X477" s="0" t="n">
        <f aca="false">SUMPRODUCT(ISNUMBER(SEARCH(" "&amp;Terms!$A$3:$A$821&amp;" ",$D477))*Terms!G$3:G$821)+Terms!G$2</f>
        <v>-2.60034961783151</v>
      </c>
      <c r="Y477" s="0" t="str">
        <f aca="false">INDEX($S$1:$X$1,MATCH(MAX(S477:X477),S477:X477,0))</f>
        <v>Fraud &amp; Scams</v>
      </c>
      <c r="Z477" s="0" t="s">
        <v>2607</v>
      </c>
    </row>
    <row r="478" customFormat="false" ht="15" hidden="false" customHeight="false" outlineLevel="0" collapsed="false">
      <c r="A478" s="0" t="str">
        <f aca="false">Complaints!A478</f>
        <v>C0477</v>
      </c>
      <c r="B478" s="0" t="str">
        <f aca="false">Complaints!B478</f>
        <v>To whom it may concern, My card was cloned and used abroad. Also, the payment still has not arrived in my account. Please sort this out.</v>
      </c>
      <c r="C478" s="0" t="str">
        <f aca="false">Complaints!C478</f>
        <v>Fraud &amp; Scams</v>
      </c>
      <c r="D478" s="0" t="str">
        <f aca="false">" "&amp;TRIM(SUBSTITUTE(SUBSTITUTE(SUBSTITUTE(SUBSTITUTE(SUBSTITUTE(SUBSTITUTE(SUBSTITUTE(SUBSTITUTE(SUBSTITUTE(SUBSTITUTE(SUBSTITUTE(SUBSTITUTE(SUBSTITUTE(SUBSTITUTE(SUBSTITUTE(SUBSTITUTE(LOWER(B478),"."," "),","," "),"'"," "),"’"," "),"!"," "),"?"," "),";"," "),":"," "),"-"," "),"("," "),")"," "),"""", " "),"£"," "),"&amp;"," "),"/"," "),"%"," "))&amp;" "</f>
        <v> to whom it may concern my card was cloned and used abroad also the payment still has not arrived in my account please sort this out </v>
      </c>
      <c r="E478" s="0" t="n">
        <f aca="false">SUMPRODUCT((Rules!$A$2:$A$60=E$1)*Rules!$C$2:$C$60*ISNUMBER(SEARCH(Rules!$D$2:$D$60,$D478)))</f>
        <v>3</v>
      </c>
      <c r="F478" s="0" t="n">
        <f aca="false">SUMPRODUCT((Rules!$A$2:$A$60=F$1)*Rules!$C$2:$C$60*ISNUMBER(SEARCH(Rules!$D$2:$D$60,$D478)))</f>
        <v>0</v>
      </c>
      <c r="G478" s="0" t="n">
        <f aca="false">SUMPRODUCT((Rules!$A$2:$A$60=G$1)*Rules!$C$2:$C$60*ISNUMBER(SEARCH(Rules!$D$2:$D$60,$D478)))</f>
        <v>0</v>
      </c>
      <c r="H478" s="0" t="n">
        <f aca="false">SUMPRODUCT((Rules!$A$2:$A$60=H$1)*Rules!$C$2:$C$60*ISNUMBER(SEARCH(Rules!$D$2:$D$60,$D478)))</f>
        <v>0</v>
      </c>
      <c r="I478" s="0" t="n">
        <f aca="false">SUMPRODUCT((Rules!$A$2:$A$60=I$1)*Rules!$C$2:$C$60*ISNUMBER(SEARCH(Rules!$D$2:$D$60,$D478)))</f>
        <v>2</v>
      </c>
      <c r="J478" s="0" t="n">
        <f aca="false">SUMPRODUCT((Rules!$A$2:$A$60=J$1)*Rules!$C$2:$C$60*ISNUMBER(SEARCH(Rules!$D$2:$D$60,$D478)))</f>
        <v>0</v>
      </c>
      <c r="K478" s="0" t="str">
        <f aca="false">IF(OR(MAX(E478:J478)&lt;Rules!$H$1,MAX(E478:J478)-LARGE(E478:J478,2)&lt;Rules!$H$2),"No label",INDEX($E$1:$J$1,MATCH(MAX(E478:J478),E478:J478,0)))</f>
        <v>No label</v>
      </c>
      <c r="L478" s="0" t="n">
        <f aca="false">SUMPRODUCT((Rules!$A$2:$A$60=L$1)*Rules!$C$2:$C$60*ISNUMBER(SEARCH(Rules!$E$2:$E$60,$D478)))</f>
        <v>3</v>
      </c>
      <c r="M478" s="0" t="n">
        <f aca="false">SUMPRODUCT((Rules!$A$2:$A$60=M$1)*Rules!$C$2:$C$60*ISNUMBER(SEARCH(Rules!$E$2:$E$60,$D478)))</f>
        <v>0</v>
      </c>
      <c r="N478" s="0" t="n">
        <f aca="false">SUMPRODUCT((Rules!$A$2:$A$60=N$1)*Rules!$C$2:$C$60*ISNUMBER(SEARCH(Rules!$E$2:$E$60,$D478)))</f>
        <v>0</v>
      </c>
      <c r="O478" s="0" t="n">
        <f aca="false">SUMPRODUCT((Rules!$A$2:$A$60=O$1)*Rules!$C$2:$C$60*ISNUMBER(SEARCH(Rules!$E$2:$E$60,$D478)))</f>
        <v>0</v>
      </c>
      <c r="P478" s="0" t="n">
        <f aca="false">SUMPRODUCT((Rules!$A$2:$A$60=P$1)*Rules!$C$2:$C$60*ISNUMBER(SEARCH(Rules!$E$2:$E$60,$D478)))</f>
        <v>2</v>
      </c>
      <c r="Q478" s="0" t="n">
        <f aca="false">SUMPRODUCT((Rules!$A$2:$A$60=Q$1)*Rules!$C$2:$C$60*ISNUMBER(SEARCH(Rules!$E$2:$E$60,$D478)))</f>
        <v>0</v>
      </c>
      <c r="R478" s="0" t="str">
        <f aca="false">IF(OR(MAX(L478:Q478)&lt;Rules!$H$1,MAX(L478:Q478)-LARGE(L478:Q478,2)&lt;Rules!$H$2),"No label",INDEX($L$1:$Q$1,MATCH(MAX(L478:Q478),L478:Q478,0)))</f>
        <v>No label</v>
      </c>
      <c r="S478" s="0" t="n">
        <f aca="false">SUMPRODUCT(ISNUMBER(SEARCH(" "&amp;Terms!$A$3:$A$821&amp;" ",$D478))*Terms!B$3:B$821)+Terms!B$2</f>
        <v>-2.01542529814711</v>
      </c>
      <c r="T478" s="0" t="n">
        <f aca="false">SUMPRODUCT(ISNUMBER(SEARCH(" "&amp;Terms!$A$3:$A$821&amp;" ",$D478))*Terms!C$3:C$821)+Terms!C$2</f>
        <v>-3.5828908579105</v>
      </c>
      <c r="U478" s="0" t="n">
        <f aca="false">SUMPRODUCT(ISNUMBER(SEARCH(" "&amp;Terms!$A$3:$A$821&amp;" ",$D478))*Terms!D$3:D$821)+Terms!D$2</f>
        <v>2.4170235605306</v>
      </c>
      <c r="V478" s="0" t="n">
        <f aca="false">SUMPRODUCT(ISNUMBER(SEARCH(" "&amp;Terms!$A$3:$A$821&amp;" ",$D478))*Terms!E$3:E$821)+Terms!E$2</f>
        <v>0.119303151035629</v>
      </c>
      <c r="W478" s="0" t="n">
        <f aca="false">SUMPRODUCT(ISNUMBER(SEARCH(" "&amp;Terms!$A$3:$A$821&amp;" ",$D478))*Terms!F$3:F$821)+Terms!F$2</f>
        <v>9.59751294061379</v>
      </c>
      <c r="X478" s="0" t="n">
        <f aca="false">SUMPRODUCT(ISNUMBER(SEARCH(" "&amp;Terms!$A$3:$A$821&amp;" ",$D478))*Terms!G$3:G$821)+Terms!G$2</f>
        <v>-6.53552349612232</v>
      </c>
      <c r="Y478" s="0" t="str">
        <f aca="false">INDEX($S$1:$X$1,MATCH(MAX(S478:X478),S478:X478,0))</f>
        <v>Fraud &amp; Scams</v>
      </c>
      <c r="Z478" s="0" t="s">
        <v>2607</v>
      </c>
    </row>
    <row r="479" customFormat="false" ht="15" hidden="false" customHeight="false" outlineLevel="0" collapsed="false">
      <c r="A479" s="0" t="str">
        <f aca="false">Complaints!A479</f>
        <v>C0478</v>
      </c>
      <c r="B479" s="0" t="str">
        <f aca="false">Complaints!B479</f>
        <v>I think I was the victim of a scam and sent money to a fraudster. This is not acceptable.</v>
      </c>
      <c r="C479" s="0" t="str">
        <f aca="false">Complaints!C479</f>
        <v>Fraud &amp; Scams</v>
      </c>
      <c r="D479" s="0" t="str">
        <f aca="false">" "&amp;TRIM(SUBSTITUTE(SUBSTITUTE(SUBSTITUTE(SUBSTITUTE(SUBSTITUTE(SUBSTITUTE(SUBSTITUTE(SUBSTITUTE(SUBSTITUTE(SUBSTITUTE(SUBSTITUTE(SUBSTITUTE(SUBSTITUTE(SUBSTITUTE(SUBSTITUTE(SUBSTITUTE(LOWER(B479),"."," "),","," "),"'"," "),"’"," "),"!"," "),"?"," "),";"," "),":"," "),"-"," "),"("," "),")"," "),"""", " "),"£"," "),"&amp;"," "),"/"," "),"%"," "))&amp;" "</f>
        <v> i think i was the victim of a scam and sent money to a fraudster this is not acceptable </v>
      </c>
      <c r="E479" s="0" t="n">
        <f aca="false">SUMPRODUCT((Rules!$A$2:$A$60=E$1)*Rules!$C$2:$C$60*ISNUMBER(SEARCH(Rules!$D$2:$D$60,$D479)))</f>
        <v>6</v>
      </c>
      <c r="F479" s="0" t="n">
        <f aca="false">SUMPRODUCT((Rules!$A$2:$A$60=F$1)*Rules!$C$2:$C$60*ISNUMBER(SEARCH(Rules!$D$2:$D$60,$D479)))</f>
        <v>0</v>
      </c>
      <c r="G479" s="0" t="n">
        <f aca="false">SUMPRODUCT((Rules!$A$2:$A$60=G$1)*Rules!$C$2:$C$60*ISNUMBER(SEARCH(Rules!$D$2:$D$60,$D479)))</f>
        <v>0</v>
      </c>
      <c r="H479" s="0" t="n">
        <f aca="false">SUMPRODUCT((Rules!$A$2:$A$60=H$1)*Rules!$C$2:$C$60*ISNUMBER(SEARCH(Rules!$D$2:$D$60,$D479)))</f>
        <v>0</v>
      </c>
      <c r="I479" s="0" t="n">
        <f aca="false">SUMPRODUCT((Rules!$A$2:$A$60=I$1)*Rules!$C$2:$C$60*ISNUMBER(SEARCH(Rules!$D$2:$D$60,$D479)))</f>
        <v>0</v>
      </c>
      <c r="J479" s="0" t="n">
        <f aca="false">SUMPRODUCT((Rules!$A$2:$A$60=J$1)*Rules!$C$2:$C$60*ISNUMBER(SEARCH(Rules!$D$2:$D$60,$D479)))</f>
        <v>0</v>
      </c>
      <c r="K479" s="0" t="str">
        <f aca="false">IF(OR(MAX(E479:J479)&lt;Rules!$H$1,MAX(E479:J479)-LARGE(E479:J479,2)&lt;Rules!$H$2),"No label",INDEX($E$1:$J$1,MATCH(MAX(E479:J479),E479:J479,0)))</f>
        <v>Fraud &amp; Scams</v>
      </c>
      <c r="L479" s="0" t="n">
        <f aca="false">SUMPRODUCT((Rules!$A$2:$A$60=L$1)*Rules!$C$2:$C$60*ISNUMBER(SEARCH(Rules!$E$2:$E$60,$D479)))</f>
        <v>6</v>
      </c>
      <c r="M479" s="0" t="n">
        <f aca="false">SUMPRODUCT((Rules!$A$2:$A$60=M$1)*Rules!$C$2:$C$60*ISNUMBER(SEARCH(Rules!$E$2:$E$60,$D479)))</f>
        <v>0</v>
      </c>
      <c r="N479" s="0" t="n">
        <f aca="false">SUMPRODUCT((Rules!$A$2:$A$60=N$1)*Rules!$C$2:$C$60*ISNUMBER(SEARCH(Rules!$E$2:$E$60,$D479)))</f>
        <v>1</v>
      </c>
      <c r="O479" s="0" t="n">
        <f aca="false">SUMPRODUCT((Rules!$A$2:$A$60=O$1)*Rules!$C$2:$C$60*ISNUMBER(SEARCH(Rules!$E$2:$E$60,$D479)))</f>
        <v>0</v>
      </c>
      <c r="P479" s="0" t="n">
        <f aca="false">SUMPRODUCT((Rules!$A$2:$A$60=P$1)*Rules!$C$2:$C$60*ISNUMBER(SEARCH(Rules!$E$2:$E$60,$D479)))</f>
        <v>0</v>
      </c>
      <c r="Q479" s="0" t="n">
        <f aca="false">SUMPRODUCT((Rules!$A$2:$A$60=Q$1)*Rules!$C$2:$C$60*ISNUMBER(SEARCH(Rules!$E$2:$E$60,$D479)))</f>
        <v>0</v>
      </c>
      <c r="R479" s="0" t="str">
        <f aca="false">IF(OR(MAX(L479:Q479)&lt;Rules!$H$1,MAX(L479:Q479)-LARGE(L479:Q479,2)&lt;Rules!$H$2),"No label",INDEX($L$1:$Q$1,MATCH(MAX(L479:Q479),L479:Q479,0)))</f>
        <v>Fraud &amp; Scams</v>
      </c>
      <c r="S479" s="0" t="n">
        <f aca="false">SUMPRODUCT(ISNUMBER(SEARCH(" "&amp;Terms!$A$3:$A$821&amp;" ",$D479))*Terms!B$3:B$821)+Terms!B$2</f>
        <v>0.85850628111962</v>
      </c>
      <c r="T479" s="0" t="n">
        <f aca="false">SUMPRODUCT(ISNUMBER(SEARCH(" "&amp;Terms!$A$3:$A$821&amp;" ",$D479))*Terms!C$3:C$821)+Terms!C$2</f>
        <v>-5.19475593343948</v>
      </c>
      <c r="U479" s="0" t="n">
        <f aca="false">SUMPRODUCT(ISNUMBER(SEARCH(" "&amp;Terms!$A$3:$A$821&amp;" ",$D479))*Terms!D$3:D$821)+Terms!D$2</f>
        <v>0.0530828664015065</v>
      </c>
      <c r="V479" s="0" t="n">
        <f aca="false">SUMPRODUCT(ISNUMBER(SEARCH(" "&amp;Terms!$A$3:$A$821&amp;" ",$D479))*Terms!E$3:E$821)+Terms!E$2</f>
        <v>-3.25413677871987</v>
      </c>
      <c r="W479" s="0" t="n">
        <f aca="false">SUMPRODUCT(ISNUMBER(SEARCH(" "&amp;Terms!$A$3:$A$821&amp;" ",$D479))*Terms!F$3:F$821)+Terms!F$2</f>
        <v>9.4028378486354</v>
      </c>
      <c r="X479" s="0" t="n">
        <f aca="false">SUMPRODUCT(ISNUMBER(SEARCH(" "&amp;Terms!$A$3:$A$821&amp;" ",$D479))*Terms!G$3:G$821)+Terms!G$2</f>
        <v>-1.86553428399708</v>
      </c>
      <c r="Y479" s="0" t="str">
        <f aca="false">INDEX($S$1:$X$1,MATCH(MAX(S479:X479),S479:X479,0))</f>
        <v>Fraud &amp; Scams</v>
      </c>
      <c r="Z479" s="0" t="s">
        <v>2607</v>
      </c>
    </row>
    <row r="480" customFormat="false" ht="15" hidden="false" customHeight="false" outlineLevel="0" collapsed="false">
      <c r="A480" s="0" t="str">
        <f aca="false">Complaints!A480</f>
        <v>C0479</v>
      </c>
      <c r="B480" s="0" t="str">
        <f aca="false">Complaints!B480</f>
        <v>To whom it may concern, The salesperson pushed me into a plan I did not need. Please sort this out.</v>
      </c>
      <c r="C480" s="0" t="str">
        <f aca="false">Complaints!C480</f>
        <v>Mis-selling</v>
      </c>
      <c r="D480" s="0" t="str">
        <f aca="false">" "&amp;TRIM(SUBSTITUTE(SUBSTITUTE(SUBSTITUTE(SUBSTITUTE(SUBSTITUTE(SUBSTITUTE(SUBSTITUTE(SUBSTITUTE(SUBSTITUTE(SUBSTITUTE(SUBSTITUTE(SUBSTITUTE(SUBSTITUTE(SUBSTITUTE(SUBSTITUTE(SUBSTITUTE(LOWER(B480),"."," "),","," "),"'"," "),"’"," "),"!"," "),"?"," "),";"," "),":"," "),"-"," "),"("," "),")"," "),"""", " "),"£"," "),"&amp;"," "),"/"," "),"%"," "))&amp;" "</f>
        <v> to whom it may concern the salesperson pushed me into a plan i did not need please sort this out </v>
      </c>
      <c r="E480" s="0" t="n">
        <f aca="false">SUMPRODUCT((Rules!$A$2:$A$60=E$1)*Rules!$C$2:$C$60*ISNUMBER(SEARCH(Rules!$D$2:$D$60,$D480)))</f>
        <v>0</v>
      </c>
      <c r="F480" s="0" t="n">
        <f aca="false">SUMPRODUCT((Rules!$A$2:$A$60=F$1)*Rules!$C$2:$C$60*ISNUMBER(SEARCH(Rules!$D$2:$D$60,$D480)))</f>
        <v>2</v>
      </c>
      <c r="G480" s="0" t="n">
        <f aca="false">SUMPRODUCT((Rules!$A$2:$A$60=G$1)*Rules!$C$2:$C$60*ISNUMBER(SEARCH(Rules!$D$2:$D$60,$D480)))</f>
        <v>0</v>
      </c>
      <c r="H480" s="0" t="n">
        <f aca="false">SUMPRODUCT((Rules!$A$2:$A$60=H$1)*Rules!$C$2:$C$60*ISNUMBER(SEARCH(Rules!$D$2:$D$60,$D480)))</f>
        <v>0</v>
      </c>
      <c r="I480" s="0" t="n">
        <f aca="false">SUMPRODUCT((Rules!$A$2:$A$60=I$1)*Rules!$C$2:$C$60*ISNUMBER(SEARCH(Rules!$D$2:$D$60,$D480)))</f>
        <v>0</v>
      </c>
      <c r="J480" s="0" t="n">
        <f aca="false">SUMPRODUCT((Rules!$A$2:$A$60=J$1)*Rules!$C$2:$C$60*ISNUMBER(SEARCH(Rules!$D$2:$D$60,$D480)))</f>
        <v>0</v>
      </c>
      <c r="K480" s="0" t="str">
        <f aca="false">IF(OR(MAX(E480:J480)&lt;Rules!$H$1,MAX(E480:J480)-LARGE(E480:J480,2)&lt;Rules!$H$2),"No label",INDEX($E$1:$J$1,MATCH(MAX(E480:J480),E480:J480,0)))</f>
        <v>No label</v>
      </c>
      <c r="L480" s="0" t="n">
        <f aca="false">SUMPRODUCT((Rules!$A$2:$A$60=L$1)*Rules!$C$2:$C$60*ISNUMBER(SEARCH(Rules!$E$2:$E$60,$D480)))</f>
        <v>0</v>
      </c>
      <c r="M480" s="0" t="n">
        <f aca="false">SUMPRODUCT((Rules!$A$2:$A$60=M$1)*Rules!$C$2:$C$60*ISNUMBER(SEARCH(Rules!$E$2:$E$60,$D480)))</f>
        <v>2</v>
      </c>
      <c r="N480" s="0" t="n">
        <f aca="false">SUMPRODUCT((Rules!$A$2:$A$60=N$1)*Rules!$C$2:$C$60*ISNUMBER(SEARCH(Rules!$E$2:$E$60,$D480)))</f>
        <v>0</v>
      </c>
      <c r="O480" s="0" t="n">
        <f aca="false">SUMPRODUCT((Rules!$A$2:$A$60=O$1)*Rules!$C$2:$C$60*ISNUMBER(SEARCH(Rules!$E$2:$E$60,$D480)))</f>
        <v>0</v>
      </c>
      <c r="P480" s="0" t="n">
        <f aca="false">SUMPRODUCT((Rules!$A$2:$A$60=P$1)*Rules!$C$2:$C$60*ISNUMBER(SEARCH(Rules!$E$2:$E$60,$D480)))</f>
        <v>0</v>
      </c>
      <c r="Q480" s="0" t="n">
        <f aca="false">SUMPRODUCT((Rules!$A$2:$A$60=Q$1)*Rules!$C$2:$C$60*ISNUMBER(SEARCH(Rules!$E$2:$E$60,$D480)))</f>
        <v>0</v>
      </c>
      <c r="R480" s="0" t="str">
        <f aca="false">IF(OR(MAX(L480:Q480)&lt;Rules!$H$1,MAX(L480:Q480)-LARGE(L480:Q480,2)&lt;Rules!$H$2),"No label",INDEX($L$1:$Q$1,MATCH(MAX(L480:Q480),L480:Q480,0)))</f>
        <v>No label</v>
      </c>
      <c r="S480" s="0" t="n">
        <f aca="false">SUMPRODUCT(ISNUMBER(SEARCH(" "&amp;Terms!$A$3:$A$821&amp;" ",$D480))*Terms!B$3:B$821)+Terms!B$2</f>
        <v>-5.20126762323279</v>
      </c>
      <c r="T480" s="0" t="n">
        <f aca="false">SUMPRODUCT(ISNUMBER(SEARCH(" "&amp;Terms!$A$3:$A$821&amp;" ",$D480))*Terms!C$3:C$821)+Terms!C$2</f>
        <v>1.39726759622695</v>
      </c>
      <c r="U480" s="0" t="n">
        <f aca="false">SUMPRODUCT(ISNUMBER(SEARCH(" "&amp;Terms!$A$3:$A$821&amp;" ",$D480))*Terms!D$3:D$821)+Terms!D$2</f>
        <v>-4.1471451611571</v>
      </c>
      <c r="V480" s="0" t="n">
        <f aca="false">SUMPRODUCT(ISNUMBER(SEARCH(" "&amp;Terms!$A$3:$A$821&amp;" ",$D480))*Terms!E$3:E$821)+Terms!E$2</f>
        <v>0.256534507372718</v>
      </c>
      <c r="W480" s="0" t="n">
        <f aca="false">SUMPRODUCT(ISNUMBER(SEARCH(" "&amp;Terms!$A$3:$A$821&amp;" ",$D480))*Terms!F$3:F$821)+Terms!F$2</f>
        <v>0.0480665941076263</v>
      </c>
      <c r="X480" s="0" t="n">
        <f aca="false">SUMPRODUCT(ISNUMBER(SEARCH(" "&amp;Terms!$A$3:$A$821&amp;" ",$D480))*Terms!G$3:G$821)+Terms!G$2</f>
        <v>7.6465440866827</v>
      </c>
      <c r="Y480" s="0" t="str">
        <f aca="false">INDEX($S$1:$X$1,MATCH(MAX(S480:X480),S480:X480,0))</f>
        <v>Mis-selling</v>
      </c>
      <c r="Z480" s="0" t="s">
        <v>2607</v>
      </c>
    </row>
    <row r="481" customFormat="false" ht="15" hidden="false" customHeight="false" outlineLevel="0" collapsed="false">
      <c r="A481" s="0" t="str">
        <f aca="false">Complaints!A481</f>
        <v>C0480</v>
      </c>
      <c r="B481" s="0" t="str">
        <f aca="false">Complaints!B481</f>
        <v>This is the second time I have raised this. I was hit with a penalty charge for a payment I made on time.</v>
      </c>
      <c r="C481" s="0" t="str">
        <f aca="false">Complaints!C481</f>
        <v>Fees &amp; Charges</v>
      </c>
      <c r="D481" s="0" t="str">
        <f aca="false">" "&amp;TRIM(SUBSTITUTE(SUBSTITUTE(SUBSTITUTE(SUBSTITUTE(SUBSTITUTE(SUBSTITUTE(SUBSTITUTE(SUBSTITUTE(SUBSTITUTE(SUBSTITUTE(SUBSTITUTE(SUBSTITUTE(SUBSTITUTE(SUBSTITUTE(SUBSTITUTE(SUBSTITUTE(LOWER(B481),"."," "),","," "),"'"," "),"’"," "),"!"," "),"?"," "),";"," "),":"," "),"-"," "),"("," "),")"," "),"""", " "),"£"," "),"&amp;"," "),"/"," "),"%"," "))&amp;" "</f>
        <v> this is the second time i have raised this i was hit with a penalty charge for a payment i made on time </v>
      </c>
      <c r="E481" s="0" t="n">
        <f aca="false">SUMPRODUCT((Rules!$A$2:$A$60=E$1)*Rules!$C$2:$C$60*ISNUMBER(SEARCH(Rules!$D$2:$D$60,$D481)))</f>
        <v>0</v>
      </c>
      <c r="F481" s="0" t="n">
        <f aca="false">SUMPRODUCT((Rules!$A$2:$A$60=F$1)*Rules!$C$2:$C$60*ISNUMBER(SEARCH(Rules!$D$2:$D$60,$D481)))</f>
        <v>0</v>
      </c>
      <c r="G481" s="0" t="n">
        <f aca="false">SUMPRODUCT((Rules!$A$2:$A$60=G$1)*Rules!$C$2:$C$60*ISNUMBER(SEARCH(Rules!$D$2:$D$60,$D481)))</f>
        <v>0</v>
      </c>
      <c r="H481" s="0" t="n">
        <f aca="false">SUMPRODUCT((Rules!$A$2:$A$60=H$1)*Rules!$C$2:$C$60*ISNUMBER(SEARCH(Rules!$D$2:$D$60,$D481)))</f>
        <v>4</v>
      </c>
      <c r="I481" s="0" t="n">
        <f aca="false">SUMPRODUCT((Rules!$A$2:$A$60=I$1)*Rules!$C$2:$C$60*ISNUMBER(SEARCH(Rules!$D$2:$D$60,$D481)))</f>
        <v>0</v>
      </c>
      <c r="J481" s="0" t="n">
        <f aca="false">SUMPRODUCT((Rules!$A$2:$A$60=J$1)*Rules!$C$2:$C$60*ISNUMBER(SEARCH(Rules!$D$2:$D$60,$D481)))</f>
        <v>0</v>
      </c>
      <c r="K481" s="0" t="str">
        <f aca="false">IF(OR(MAX(E481:J481)&lt;Rules!$H$1,MAX(E481:J481)-LARGE(E481:J481,2)&lt;Rules!$H$2),"No label",INDEX($E$1:$J$1,MATCH(MAX(E481:J481),E481:J481,0)))</f>
        <v>Fees &amp; Charges</v>
      </c>
      <c r="L481" s="0" t="n">
        <f aca="false">SUMPRODUCT((Rules!$A$2:$A$60=L$1)*Rules!$C$2:$C$60*ISNUMBER(SEARCH(Rules!$E$2:$E$60,$D481)))</f>
        <v>0</v>
      </c>
      <c r="M481" s="0" t="n">
        <f aca="false">SUMPRODUCT((Rules!$A$2:$A$60=M$1)*Rules!$C$2:$C$60*ISNUMBER(SEARCH(Rules!$E$2:$E$60,$D481)))</f>
        <v>0</v>
      </c>
      <c r="N481" s="0" t="n">
        <f aca="false">SUMPRODUCT((Rules!$A$2:$A$60=N$1)*Rules!$C$2:$C$60*ISNUMBER(SEARCH(Rules!$E$2:$E$60,$D481)))</f>
        <v>0</v>
      </c>
      <c r="O481" s="0" t="n">
        <f aca="false">SUMPRODUCT((Rules!$A$2:$A$60=O$1)*Rules!$C$2:$C$60*ISNUMBER(SEARCH(Rules!$E$2:$E$60,$D481)))</f>
        <v>6</v>
      </c>
      <c r="P481" s="0" t="n">
        <f aca="false">SUMPRODUCT((Rules!$A$2:$A$60=P$1)*Rules!$C$2:$C$60*ISNUMBER(SEARCH(Rules!$E$2:$E$60,$D481)))</f>
        <v>0</v>
      </c>
      <c r="Q481" s="0" t="n">
        <f aca="false">SUMPRODUCT((Rules!$A$2:$A$60=Q$1)*Rules!$C$2:$C$60*ISNUMBER(SEARCH(Rules!$E$2:$E$60,$D481)))</f>
        <v>0</v>
      </c>
      <c r="R481" s="0" t="str">
        <f aca="false">IF(OR(MAX(L481:Q481)&lt;Rules!$H$1,MAX(L481:Q481)-LARGE(L481:Q481,2)&lt;Rules!$H$2),"No label",INDEX($L$1:$Q$1,MATCH(MAX(L481:Q481),L481:Q481,0)))</f>
        <v>Fees &amp; Charges</v>
      </c>
      <c r="S481" s="0" t="n">
        <f aca="false">SUMPRODUCT(ISNUMBER(SEARCH(" "&amp;Terms!$A$3:$A$821&amp;" ",$D481))*Terms!B$3:B$821)+Terms!B$2</f>
        <v>-5.61165416119216</v>
      </c>
      <c r="T481" s="0" t="n">
        <f aca="false">SUMPRODUCT(ISNUMBER(SEARCH(" "&amp;Terms!$A$3:$A$821&amp;" ",$D481))*Terms!C$3:C$821)+Terms!C$2</f>
        <v>1.68992328326777</v>
      </c>
      <c r="U481" s="0" t="n">
        <f aca="false">SUMPRODUCT(ISNUMBER(SEARCH(" "&amp;Terms!$A$3:$A$821&amp;" ",$D481))*Terms!D$3:D$821)+Terms!D$2</f>
        <v>-1.54847572326912</v>
      </c>
      <c r="V481" s="0" t="n">
        <f aca="false">SUMPRODUCT(ISNUMBER(SEARCH(" "&amp;Terms!$A$3:$A$821&amp;" ",$D481))*Terms!E$3:E$821)+Terms!E$2</f>
        <v>9.11659237637826</v>
      </c>
      <c r="W481" s="0" t="n">
        <f aca="false">SUMPRODUCT(ISNUMBER(SEARCH(" "&amp;Terms!$A$3:$A$821&amp;" ",$D481))*Terms!F$3:F$821)+Terms!F$2</f>
        <v>-0.268404767397009</v>
      </c>
      <c r="X481" s="0" t="n">
        <f aca="false">SUMPRODUCT(ISNUMBER(SEARCH(" "&amp;Terms!$A$3:$A$821&amp;" ",$D481))*Terms!G$3:G$821)+Terms!G$2</f>
        <v>-3.37798100778765</v>
      </c>
      <c r="Y481" s="0" t="str">
        <f aca="false">INDEX($S$1:$X$1,MATCH(MAX(S481:X481),S481:X481,0))</f>
        <v>Fees &amp; Charges</v>
      </c>
      <c r="Z481" s="0" t="s">
        <v>2607</v>
      </c>
    </row>
    <row r="482" customFormat="false" ht="15" hidden="false" customHeight="false" outlineLevel="0" collapsed="false">
      <c r="A482" s="0" t="str">
        <f aca="false">Complaints!A482</f>
        <v>C0481</v>
      </c>
      <c r="B482" s="0" t="str">
        <f aca="false">Complaints!B482</f>
        <v>To whom it may concern, The app crashes every time I try to open my statements. I also spent ages on hold when I called about it. I would like a response in writing.</v>
      </c>
      <c r="C482" s="0" t="str">
        <f aca="false">Complaints!C482</f>
        <v>Account Access</v>
      </c>
      <c r="D482" s="0" t="str">
        <f aca="false">" "&amp;TRIM(SUBSTITUTE(SUBSTITUTE(SUBSTITUTE(SUBSTITUTE(SUBSTITUTE(SUBSTITUTE(SUBSTITUTE(SUBSTITUTE(SUBSTITUTE(SUBSTITUTE(SUBSTITUTE(SUBSTITUTE(SUBSTITUTE(SUBSTITUTE(SUBSTITUTE(SUBSTITUTE(LOWER(B482),"."," "),","," "),"'"," "),"’"," "),"!"," "),"?"," "),";"," "),":"," "),"-"," "),"("," "),")"," "),"""", " "),"£"," "),"&amp;"," "),"/"," "),"%"," "))&amp;" "</f>
        <v> to whom it may concern the app crashes every time i try to open my statements i also spent ages on hold when i called about it i would like a response in writing </v>
      </c>
      <c r="E482" s="0" t="n">
        <f aca="false">SUMPRODUCT((Rules!$A$2:$A$60=E$1)*Rules!$C$2:$C$60*ISNUMBER(SEARCH(Rules!$D$2:$D$60,$D482)))</f>
        <v>0</v>
      </c>
      <c r="F482" s="0" t="n">
        <f aca="false">SUMPRODUCT((Rules!$A$2:$A$60=F$1)*Rules!$C$2:$C$60*ISNUMBER(SEARCH(Rules!$D$2:$D$60,$D482)))</f>
        <v>0</v>
      </c>
      <c r="G482" s="0" t="n">
        <f aca="false">SUMPRODUCT((Rules!$A$2:$A$60=G$1)*Rules!$C$2:$C$60*ISNUMBER(SEARCH(Rules!$D$2:$D$60,$D482)))</f>
        <v>3</v>
      </c>
      <c r="H482" s="0" t="n">
        <f aca="false">SUMPRODUCT((Rules!$A$2:$A$60=H$1)*Rules!$C$2:$C$60*ISNUMBER(SEARCH(Rules!$D$2:$D$60,$D482)))</f>
        <v>0</v>
      </c>
      <c r="I482" s="0" t="n">
        <f aca="false">SUMPRODUCT((Rules!$A$2:$A$60=I$1)*Rules!$C$2:$C$60*ISNUMBER(SEARCH(Rules!$D$2:$D$60,$D482)))</f>
        <v>0</v>
      </c>
      <c r="J482" s="0" t="n">
        <f aca="false">SUMPRODUCT((Rules!$A$2:$A$60=J$1)*Rules!$C$2:$C$60*ISNUMBER(SEARCH(Rules!$D$2:$D$60,$D482)))</f>
        <v>3</v>
      </c>
      <c r="K482" s="0" t="str">
        <f aca="false">IF(OR(MAX(E482:J482)&lt;Rules!$H$1,MAX(E482:J482)-LARGE(E482:J482,2)&lt;Rules!$H$2),"No label",INDEX($E$1:$J$1,MATCH(MAX(E482:J482),E482:J482,0)))</f>
        <v>No label</v>
      </c>
      <c r="L482" s="0" t="n">
        <f aca="false">SUMPRODUCT((Rules!$A$2:$A$60=L$1)*Rules!$C$2:$C$60*ISNUMBER(SEARCH(Rules!$E$2:$E$60,$D482)))</f>
        <v>0</v>
      </c>
      <c r="M482" s="0" t="n">
        <f aca="false">SUMPRODUCT((Rules!$A$2:$A$60=M$1)*Rules!$C$2:$C$60*ISNUMBER(SEARCH(Rules!$E$2:$E$60,$D482)))</f>
        <v>0</v>
      </c>
      <c r="N482" s="0" t="n">
        <f aca="false">SUMPRODUCT((Rules!$A$2:$A$60=N$1)*Rules!$C$2:$C$60*ISNUMBER(SEARCH(Rules!$E$2:$E$60,$D482)))</f>
        <v>3</v>
      </c>
      <c r="O482" s="0" t="n">
        <f aca="false">SUMPRODUCT((Rules!$A$2:$A$60=O$1)*Rules!$C$2:$C$60*ISNUMBER(SEARCH(Rules!$E$2:$E$60,$D482)))</f>
        <v>1</v>
      </c>
      <c r="P482" s="0" t="n">
        <f aca="false">SUMPRODUCT((Rules!$A$2:$A$60=P$1)*Rules!$C$2:$C$60*ISNUMBER(SEARCH(Rules!$E$2:$E$60,$D482)))</f>
        <v>0</v>
      </c>
      <c r="Q482" s="0" t="n">
        <f aca="false">SUMPRODUCT((Rules!$A$2:$A$60=Q$1)*Rules!$C$2:$C$60*ISNUMBER(SEARCH(Rules!$E$2:$E$60,$D482)))</f>
        <v>3</v>
      </c>
      <c r="R482" s="0" t="str">
        <f aca="false">IF(OR(MAX(L482:Q482)&lt;Rules!$H$1,MAX(L482:Q482)-LARGE(L482:Q482,2)&lt;Rules!$H$2),"No label",INDEX($L$1:$Q$1,MATCH(MAX(L482:Q482),L482:Q482,0)))</f>
        <v>No label</v>
      </c>
      <c r="S482" s="0" t="n">
        <f aca="false">SUMPRODUCT(ISNUMBER(SEARCH(" "&amp;Terms!$A$3:$A$821&amp;" ",$D482))*Terms!B$3:B$821)+Terms!B$2</f>
        <v>8.68195585338243</v>
      </c>
      <c r="T482" s="0" t="n">
        <f aca="false">SUMPRODUCT(ISNUMBER(SEARCH(" "&amp;Terms!$A$3:$A$821&amp;" ",$D482))*Terms!C$3:C$821)+Terms!C$2</f>
        <v>0.947701217557351</v>
      </c>
      <c r="U482" s="0" t="n">
        <f aca="false">SUMPRODUCT(ISNUMBER(SEARCH(" "&amp;Terms!$A$3:$A$821&amp;" ",$D482))*Terms!D$3:D$821)+Terms!D$2</f>
        <v>-3.34569254426342</v>
      </c>
      <c r="V482" s="0" t="n">
        <f aca="false">SUMPRODUCT(ISNUMBER(SEARCH(" "&amp;Terms!$A$3:$A$821&amp;" ",$D482))*Terms!E$3:E$821)+Terms!E$2</f>
        <v>-0.79469485446718</v>
      </c>
      <c r="W482" s="0" t="n">
        <f aca="false">SUMPRODUCT(ISNUMBER(SEARCH(" "&amp;Terms!$A$3:$A$821&amp;" ",$D482))*Terms!F$3:F$821)+Terms!F$2</f>
        <v>-5.26878221918989</v>
      </c>
      <c r="X482" s="0" t="n">
        <f aca="false">SUMPRODUCT(ISNUMBER(SEARCH(" "&amp;Terms!$A$3:$A$821&amp;" ",$D482))*Terms!G$3:G$821)+Terms!G$2</f>
        <v>-0.220487453019185</v>
      </c>
      <c r="Y482" s="0" t="str">
        <f aca="false">INDEX($S$1:$X$1,MATCH(MAX(S482:X482),S482:X482,0))</f>
        <v>Account Access</v>
      </c>
      <c r="Z482" s="0" t="s">
        <v>2607</v>
      </c>
    </row>
    <row r="483" customFormat="false" ht="15" hidden="false" customHeight="false" outlineLevel="0" collapsed="false">
      <c r="A483" s="0" t="str">
        <f aca="false">Complaints!A483</f>
        <v>C0482</v>
      </c>
      <c r="B483" s="0" t="str">
        <f aca="false">Complaints!B483</f>
        <v>The paperwork was submitted a month ago and I am still waiting. There was also a fee involved. Please escalate this.</v>
      </c>
      <c r="C483" s="0" t="str">
        <f aca="false">Complaints!C483</f>
        <v>Delays &amp; Processing</v>
      </c>
      <c r="D483" s="0" t="str">
        <f aca="false">" "&amp;TRIM(SUBSTITUTE(SUBSTITUTE(SUBSTITUTE(SUBSTITUTE(SUBSTITUTE(SUBSTITUTE(SUBSTITUTE(SUBSTITUTE(SUBSTITUTE(SUBSTITUTE(SUBSTITUTE(SUBSTITUTE(SUBSTITUTE(SUBSTITUTE(SUBSTITUTE(SUBSTITUTE(LOWER(B483),"."," "),","," "),"'"," "),"’"," "),"!"," "),"?"," "),";"," "),":"," "),"-"," "),"("," "),")"," "),"""", " "),"£"," "),"&amp;"," "),"/"," "),"%"," "))&amp;" "</f>
        <v> the paperwork was submitted a month ago and i am still waiting there was also a fee involved please escalate this </v>
      </c>
      <c r="E483" s="0" t="n">
        <f aca="false">SUMPRODUCT((Rules!$A$2:$A$60=E$1)*Rules!$C$2:$C$60*ISNUMBER(SEARCH(Rules!$D$2:$D$60,$D483)))</f>
        <v>0</v>
      </c>
      <c r="F483" s="0" t="n">
        <f aca="false">SUMPRODUCT((Rules!$A$2:$A$60=F$1)*Rules!$C$2:$C$60*ISNUMBER(SEARCH(Rules!$D$2:$D$60,$D483)))</f>
        <v>0</v>
      </c>
      <c r="G483" s="0" t="n">
        <f aca="false">SUMPRODUCT((Rules!$A$2:$A$60=G$1)*Rules!$C$2:$C$60*ISNUMBER(SEARCH(Rules!$D$2:$D$60,$D483)))</f>
        <v>0</v>
      </c>
      <c r="H483" s="0" t="n">
        <f aca="false">SUMPRODUCT((Rules!$A$2:$A$60=H$1)*Rules!$C$2:$C$60*ISNUMBER(SEARCH(Rules!$D$2:$D$60,$D483)))</f>
        <v>2</v>
      </c>
      <c r="I483" s="0" t="n">
        <f aca="false">SUMPRODUCT((Rules!$A$2:$A$60=I$1)*Rules!$C$2:$C$60*ISNUMBER(SEARCH(Rules!$D$2:$D$60,$D483)))</f>
        <v>2</v>
      </c>
      <c r="J483" s="0" t="n">
        <f aca="false">SUMPRODUCT((Rules!$A$2:$A$60=J$1)*Rules!$C$2:$C$60*ISNUMBER(SEARCH(Rules!$D$2:$D$60,$D483)))</f>
        <v>0</v>
      </c>
      <c r="K483" s="0" t="str">
        <f aca="false">IF(OR(MAX(E483:J483)&lt;Rules!$H$1,MAX(E483:J483)-LARGE(E483:J483,2)&lt;Rules!$H$2),"No label",INDEX($E$1:$J$1,MATCH(MAX(E483:J483),E483:J483,0)))</f>
        <v>No label</v>
      </c>
      <c r="L483" s="0" t="n">
        <f aca="false">SUMPRODUCT((Rules!$A$2:$A$60=L$1)*Rules!$C$2:$C$60*ISNUMBER(SEARCH(Rules!$E$2:$E$60,$D483)))</f>
        <v>0</v>
      </c>
      <c r="M483" s="0" t="n">
        <f aca="false">SUMPRODUCT((Rules!$A$2:$A$60=M$1)*Rules!$C$2:$C$60*ISNUMBER(SEARCH(Rules!$E$2:$E$60,$D483)))</f>
        <v>0</v>
      </c>
      <c r="N483" s="0" t="n">
        <f aca="false">SUMPRODUCT((Rules!$A$2:$A$60=N$1)*Rules!$C$2:$C$60*ISNUMBER(SEARCH(Rules!$E$2:$E$60,$D483)))</f>
        <v>0</v>
      </c>
      <c r="O483" s="0" t="n">
        <f aca="false">SUMPRODUCT((Rules!$A$2:$A$60=O$1)*Rules!$C$2:$C$60*ISNUMBER(SEARCH(Rules!$E$2:$E$60,$D483)))</f>
        <v>2</v>
      </c>
      <c r="P483" s="0" t="n">
        <f aca="false">SUMPRODUCT((Rules!$A$2:$A$60=P$1)*Rules!$C$2:$C$60*ISNUMBER(SEARCH(Rules!$E$2:$E$60,$D483)))</f>
        <v>2</v>
      </c>
      <c r="Q483" s="0" t="n">
        <f aca="false">SUMPRODUCT((Rules!$A$2:$A$60=Q$1)*Rules!$C$2:$C$60*ISNUMBER(SEARCH(Rules!$E$2:$E$60,$D483)))</f>
        <v>0</v>
      </c>
      <c r="R483" s="0" t="str">
        <f aca="false">IF(OR(MAX(L483:Q483)&lt;Rules!$H$1,MAX(L483:Q483)-LARGE(L483:Q483,2)&lt;Rules!$H$2),"No label",INDEX($L$1:$Q$1,MATCH(MAX(L483:Q483),L483:Q483,0)))</f>
        <v>No label</v>
      </c>
      <c r="S483" s="0" t="n">
        <f aca="false">SUMPRODUCT(ISNUMBER(SEARCH(" "&amp;Terms!$A$3:$A$821&amp;" ",$D483))*Terms!B$3:B$821)+Terms!B$2</f>
        <v>0.228033653724571</v>
      </c>
      <c r="T483" s="0" t="n">
        <f aca="false">SUMPRODUCT(ISNUMBER(SEARCH(" "&amp;Terms!$A$3:$A$821&amp;" ",$D483))*Terms!C$3:C$821)+Terms!C$2</f>
        <v>-2.35955502727466</v>
      </c>
      <c r="U483" s="0" t="n">
        <f aca="false">SUMPRODUCT(ISNUMBER(SEARCH(" "&amp;Terms!$A$3:$A$821&amp;" ",$D483))*Terms!D$3:D$821)+Terms!D$2</f>
        <v>6.25415887261821</v>
      </c>
      <c r="V483" s="0" t="n">
        <f aca="false">SUMPRODUCT(ISNUMBER(SEARCH(" "&amp;Terms!$A$3:$A$821&amp;" ",$D483))*Terms!E$3:E$821)+Terms!E$2</f>
        <v>1.69199122207668</v>
      </c>
      <c r="W483" s="0" t="n">
        <f aca="false">SUMPRODUCT(ISNUMBER(SEARCH(" "&amp;Terms!$A$3:$A$821&amp;" ",$D483))*Terms!F$3:F$821)+Terms!F$2</f>
        <v>-4.36099588212497</v>
      </c>
      <c r="X483" s="0" t="n">
        <f aca="false">SUMPRODUCT(ISNUMBER(SEARCH(" "&amp;Terms!$A$3:$A$821&amp;" ",$D483))*Terms!G$3:G$821)+Terms!G$2</f>
        <v>-1.45363283901974</v>
      </c>
      <c r="Y483" s="0" t="str">
        <f aca="false">INDEX($S$1:$X$1,MATCH(MAX(S483:X483),S483:X483,0))</f>
        <v>Delays &amp; Processing</v>
      </c>
      <c r="Z483" s="0" t="s">
        <v>2607</v>
      </c>
    </row>
    <row r="484" customFormat="false" ht="15" hidden="false" customHeight="false" outlineLevel="0" collapsed="false">
      <c r="A484" s="0" t="str">
        <f aca="false">Complaints!A484</f>
        <v>C0483</v>
      </c>
      <c r="B484" s="0" t="str">
        <f aca="false">Complaints!B484</f>
        <v>I am very unhappy with how this has been handled. This is not acceptable.</v>
      </c>
      <c r="C484" s="0" t="str">
        <f aca="false">Complaints!C484</f>
        <v>Delays &amp; Processing</v>
      </c>
      <c r="D484" s="0" t="str">
        <f aca="false">" "&amp;TRIM(SUBSTITUTE(SUBSTITUTE(SUBSTITUTE(SUBSTITUTE(SUBSTITUTE(SUBSTITUTE(SUBSTITUTE(SUBSTITUTE(SUBSTITUTE(SUBSTITUTE(SUBSTITUTE(SUBSTITUTE(SUBSTITUTE(SUBSTITUTE(SUBSTITUTE(SUBSTITUTE(LOWER(B484),"."," "),","," "),"'"," "),"’"," "),"!"," "),"?"," "),";"," "),":"," "),"-"," "),"("," "),")"," "),"""", " "),"£"," "),"&amp;"," "),"/"," "),"%"," "))&amp;" "</f>
        <v> i am very unhappy with how this has been handled this is not acceptable </v>
      </c>
      <c r="E484" s="0" t="n">
        <f aca="false">SUMPRODUCT((Rules!$A$2:$A$60=E$1)*Rules!$C$2:$C$60*ISNUMBER(SEARCH(Rules!$D$2:$D$60,$D484)))</f>
        <v>0</v>
      </c>
      <c r="F484" s="0" t="n">
        <f aca="false">SUMPRODUCT((Rules!$A$2:$A$60=F$1)*Rules!$C$2:$C$60*ISNUMBER(SEARCH(Rules!$D$2:$D$60,$D484)))</f>
        <v>0</v>
      </c>
      <c r="G484" s="0" t="n">
        <f aca="false">SUMPRODUCT((Rules!$A$2:$A$60=G$1)*Rules!$C$2:$C$60*ISNUMBER(SEARCH(Rules!$D$2:$D$60,$D484)))</f>
        <v>0</v>
      </c>
      <c r="H484" s="0" t="n">
        <f aca="false">SUMPRODUCT((Rules!$A$2:$A$60=H$1)*Rules!$C$2:$C$60*ISNUMBER(SEARCH(Rules!$D$2:$D$60,$D484)))</f>
        <v>0</v>
      </c>
      <c r="I484" s="0" t="n">
        <f aca="false">SUMPRODUCT((Rules!$A$2:$A$60=I$1)*Rules!$C$2:$C$60*ISNUMBER(SEARCH(Rules!$D$2:$D$60,$D484)))</f>
        <v>0</v>
      </c>
      <c r="J484" s="0" t="n">
        <f aca="false">SUMPRODUCT((Rules!$A$2:$A$60=J$1)*Rules!$C$2:$C$60*ISNUMBER(SEARCH(Rules!$D$2:$D$60,$D484)))</f>
        <v>0</v>
      </c>
      <c r="K484" s="0" t="str">
        <f aca="false">IF(OR(MAX(E484:J484)&lt;Rules!$H$1,MAX(E484:J484)-LARGE(E484:J484,2)&lt;Rules!$H$2),"No label",INDEX($E$1:$J$1,MATCH(MAX(E484:J484),E484:J484,0)))</f>
        <v>No label</v>
      </c>
      <c r="L484" s="0" t="n">
        <f aca="false">SUMPRODUCT((Rules!$A$2:$A$60=L$1)*Rules!$C$2:$C$60*ISNUMBER(SEARCH(Rules!$E$2:$E$60,$D484)))</f>
        <v>0</v>
      </c>
      <c r="M484" s="0" t="n">
        <f aca="false">SUMPRODUCT((Rules!$A$2:$A$60=M$1)*Rules!$C$2:$C$60*ISNUMBER(SEARCH(Rules!$E$2:$E$60,$D484)))</f>
        <v>0</v>
      </c>
      <c r="N484" s="0" t="n">
        <f aca="false">SUMPRODUCT((Rules!$A$2:$A$60=N$1)*Rules!$C$2:$C$60*ISNUMBER(SEARCH(Rules!$E$2:$E$60,$D484)))</f>
        <v>1</v>
      </c>
      <c r="O484" s="0" t="n">
        <f aca="false">SUMPRODUCT((Rules!$A$2:$A$60=O$1)*Rules!$C$2:$C$60*ISNUMBER(SEARCH(Rules!$E$2:$E$60,$D484)))</f>
        <v>0</v>
      </c>
      <c r="P484" s="0" t="n">
        <f aca="false">SUMPRODUCT((Rules!$A$2:$A$60=P$1)*Rules!$C$2:$C$60*ISNUMBER(SEARCH(Rules!$E$2:$E$60,$D484)))</f>
        <v>0</v>
      </c>
      <c r="Q484" s="0" t="n">
        <f aca="false">SUMPRODUCT((Rules!$A$2:$A$60=Q$1)*Rules!$C$2:$C$60*ISNUMBER(SEARCH(Rules!$E$2:$E$60,$D484)))</f>
        <v>0</v>
      </c>
      <c r="R484" s="0" t="str">
        <f aca="false">IF(OR(MAX(L484:Q484)&lt;Rules!$H$1,MAX(L484:Q484)-LARGE(L484:Q484,2)&lt;Rules!$H$2),"No label",INDEX($L$1:$Q$1,MATCH(MAX(L484:Q484),L484:Q484,0)))</f>
        <v>No label</v>
      </c>
      <c r="S484" s="0" t="n">
        <f aca="false">SUMPRODUCT(ISNUMBER(SEARCH(" "&amp;Terms!$A$3:$A$821&amp;" ",$D484))*Terms!B$3:B$821)+Terms!B$2</f>
        <v>3.93034762494252</v>
      </c>
      <c r="T484" s="0" t="n">
        <f aca="false">SUMPRODUCT(ISNUMBER(SEARCH(" "&amp;Terms!$A$3:$A$821&amp;" ",$D484))*Terms!C$3:C$821)+Terms!C$2</f>
        <v>-2.58706501471117</v>
      </c>
      <c r="U484" s="0" t="n">
        <f aca="false">SUMPRODUCT(ISNUMBER(SEARCH(" "&amp;Terms!$A$3:$A$821&amp;" ",$D484))*Terms!D$3:D$821)+Terms!D$2</f>
        <v>2.1824198182986</v>
      </c>
      <c r="V484" s="0" t="n">
        <f aca="false">SUMPRODUCT(ISNUMBER(SEARCH(" "&amp;Terms!$A$3:$A$821&amp;" ",$D484))*Terms!E$3:E$821)+Terms!E$2</f>
        <v>-0.559276415252996</v>
      </c>
      <c r="W484" s="0" t="n">
        <f aca="false">SUMPRODUCT(ISNUMBER(SEARCH(" "&amp;Terms!$A$3:$A$821&amp;" ",$D484))*Terms!F$3:F$821)+Terms!F$2</f>
        <v>-1.68378499713018</v>
      </c>
      <c r="X484" s="0" t="n">
        <f aca="false">SUMPRODUCT(ISNUMBER(SEARCH(" "&amp;Terms!$A$3:$A$821&amp;" ",$D484))*Terms!G$3:G$821)+Terms!G$2</f>
        <v>-1.28264101614667</v>
      </c>
      <c r="Y484" s="0" t="str">
        <f aca="false">INDEX($S$1:$X$1,MATCH(MAX(S484:X484),S484:X484,0))</f>
        <v>Account Access</v>
      </c>
      <c r="Z484" s="0" t="s">
        <v>2607</v>
      </c>
    </row>
    <row r="485" customFormat="false" ht="15" hidden="false" customHeight="false" outlineLevel="0" collapsed="false">
      <c r="A485" s="0" t="str">
        <f aca="false">Complaints!A485</f>
        <v>C0484</v>
      </c>
      <c r="B485" s="0" t="str">
        <f aca="false">Complaints!B485</f>
        <v>To whom it may concern, I am unable to access my account to see my balance. I want this put right.</v>
      </c>
      <c r="C485" s="0" t="str">
        <f aca="false">Complaints!C485</f>
        <v>Account Access</v>
      </c>
      <c r="D485" s="0" t="str">
        <f aca="false">" "&amp;TRIM(SUBSTITUTE(SUBSTITUTE(SUBSTITUTE(SUBSTITUTE(SUBSTITUTE(SUBSTITUTE(SUBSTITUTE(SUBSTITUTE(SUBSTITUTE(SUBSTITUTE(SUBSTITUTE(SUBSTITUTE(SUBSTITUTE(SUBSTITUTE(SUBSTITUTE(SUBSTITUTE(LOWER(B485),"."," "),","," "),"'"," "),"’"," "),"!"," "),"?"," "),";"," "),":"," "),"-"," "),"("," "),")"," "),"""", " "),"£"," "),"&amp;"," "),"/"," "),"%"," "))&amp;" "</f>
        <v> to whom it may concern i am unable to access my account to see my balance i want this put right </v>
      </c>
      <c r="E485" s="0" t="n">
        <f aca="false">SUMPRODUCT((Rules!$A$2:$A$60=E$1)*Rules!$C$2:$C$60*ISNUMBER(SEARCH(Rules!$D$2:$D$60,$D485)))</f>
        <v>0</v>
      </c>
      <c r="F485" s="0" t="n">
        <f aca="false">SUMPRODUCT((Rules!$A$2:$A$60=F$1)*Rules!$C$2:$C$60*ISNUMBER(SEARCH(Rules!$D$2:$D$60,$D485)))</f>
        <v>0</v>
      </c>
      <c r="G485" s="0" t="n">
        <f aca="false">SUMPRODUCT((Rules!$A$2:$A$60=G$1)*Rules!$C$2:$C$60*ISNUMBER(SEARCH(Rules!$D$2:$D$60,$D485)))</f>
        <v>1</v>
      </c>
      <c r="H485" s="0" t="n">
        <f aca="false">SUMPRODUCT((Rules!$A$2:$A$60=H$1)*Rules!$C$2:$C$60*ISNUMBER(SEARCH(Rules!$D$2:$D$60,$D485)))</f>
        <v>0</v>
      </c>
      <c r="I485" s="0" t="n">
        <f aca="false">SUMPRODUCT((Rules!$A$2:$A$60=I$1)*Rules!$C$2:$C$60*ISNUMBER(SEARCH(Rules!$D$2:$D$60,$D485)))</f>
        <v>0</v>
      </c>
      <c r="J485" s="0" t="n">
        <f aca="false">SUMPRODUCT((Rules!$A$2:$A$60=J$1)*Rules!$C$2:$C$60*ISNUMBER(SEARCH(Rules!$D$2:$D$60,$D485)))</f>
        <v>0</v>
      </c>
      <c r="K485" s="0" t="str">
        <f aca="false">IF(OR(MAX(E485:J485)&lt;Rules!$H$1,MAX(E485:J485)-LARGE(E485:J485,2)&lt;Rules!$H$2),"No label",INDEX($E$1:$J$1,MATCH(MAX(E485:J485),E485:J485,0)))</f>
        <v>No label</v>
      </c>
      <c r="L485" s="0" t="n">
        <f aca="false">SUMPRODUCT((Rules!$A$2:$A$60=L$1)*Rules!$C$2:$C$60*ISNUMBER(SEARCH(Rules!$E$2:$E$60,$D485)))</f>
        <v>0</v>
      </c>
      <c r="M485" s="0" t="n">
        <f aca="false">SUMPRODUCT((Rules!$A$2:$A$60=M$1)*Rules!$C$2:$C$60*ISNUMBER(SEARCH(Rules!$E$2:$E$60,$D485)))</f>
        <v>0</v>
      </c>
      <c r="N485" s="0" t="n">
        <f aca="false">SUMPRODUCT((Rules!$A$2:$A$60=N$1)*Rules!$C$2:$C$60*ISNUMBER(SEARCH(Rules!$E$2:$E$60,$D485)))</f>
        <v>1</v>
      </c>
      <c r="O485" s="0" t="n">
        <f aca="false">SUMPRODUCT((Rules!$A$2:$A$60=O$1)*Rules!$C$2:$C$60*ISNUMBER(SEARCH(Rules!$E$2:$E$60,$D485)))</f>
        <v>0</v>
      </c>
      <c r="P485" s="0" t="n">
        <f aca="false">SUMPRODUCT((Rules!$A$2:$A$60=P$1)*Rules!$C$2:$C$60*ISNUMBER(SEARCH(Rules!$E$2:$E$60,$D485)))</f>
        <v>0</v>
      </c>
      <c r="Q485" s="0" t="n">
        <f aca="false">SUMPRODUCT((Rules!$A$2:$A$60=Q$1)*Rules!$C$2:$C$60*ISNUMBER(SEARCH(Rules!$E$2:$E$60,$D485)))</f>
        <v>0</v>
      </c>
      <c r="R485" s="0" t="str">
        <f aca="false">IF(OR(MAX(L485:Q485)&lt;Rules!$H$1,MAX(L485:Q485)-LARGE(L485:Q485,2)&lt;Rules!$H$2),"No label",INDEX($L$1:$Q$1,MATCH(MAX(L485:Q485),L485:Q485,0)))</f>
        <v>No label</v>
      </c>
      <c r="S485" s="0" t="n">
        <f aca="false">SUMPRODUCT(ISNUMBER(SEARCH(" "&amp;Terms!$A$3:$A$821&amp;" ",$D485))*Terms!B$3:B$821)+Terms!B$2</f>
        <v>5.96506573300939</v>
      </c>
      <c r="T485" s="0" t="n">
        <f aca="false">SUMPRODUCT(ISNUMBER(SEARCH(" "&amp;Terms!$A$3:$A$821&amp;" ",$D485))*Terms!C$3:C$821)+Terms!C$2</f>
        <v>-5.32206174989454</v>
      </c>
      <c r="U485" s="0" t="n">
        <f aca="false">SUMPRODUCT(ISNUMBER(SEARCH(" "&amp;Terms!$A$3:$A$821&amp;" ",$D485))*Terms!D$3:D$821)+Terms!D$2</f>
        <v>0.531017985475432</v>
      </c>
      <c r="V485" s="0" t="n">
        <f aca="false">SUMPRODUCT(ISNUMBER(SEARCH(" "&amp;Terms!$A$3:$A$821&amp;" ",$D485))*Terms!E$3:E$821)+Terms!E$2</f>
        <v>1.23752047826631</v>
      </c>
      <c r="W485" s="0" t="n">
        <f aca="false">SUMPRODUCT(ISNUMBER(SEARCH(" "&amp;Terms!$A$3:$A$821&amp;" ",$D485))*Terms!F$3:F$821)+Terms!F$2</f>
        <v>0.776449436773953</v>
      </c>
      <c r="X485" s="0" t="n">
        <f aca="false">SUMPRODUCT(ISNUMBER(SEARCH(" "&amp;Terms!$A$3:$A$821&amp;" ",$D485))*Terms!G$3:G$821)+Terms!G$2</f>
        <v>-3.18799188363046</v>
      </c>
      <c r="Y485" s="0" t="str">
        <f aca="false">INDEX($S$1:$X$1,MATCH(MAX(S485:X485),S485:X485,0))</f>
        <v>Account Access</v>
      </c>
      <c r="Z485" s="0" t="s">
        <v>2607</v>
      </c>
    </row>
    <row r="486" customFormat="false" ht="15" hidden="false" customHeight="false" outlineLevel="0" collapsed="false">
      <c r="A486" s="0" t="str">
        <f aca="false">Complaints!A486</f>
        <v>C0485</v>
      </c>
      <c r="B486" s="0" t="str">
        <f aca="false">Complaints!B486</f>
        <v>A late payment fee appeared and I want it refunded. Also, the adviser did not explain the risks of the investment. This is not acceptable.</v>
      </c>
      <c r="C486" s="0" t="str">
        <f aca="false">Complaints!C486</f>
        <v>Fees &amp; Charges</v>
      </c>
      <c r="D486" s="0" t="str">
        <f aca="false">" "&amp;TRIM(SUBSTITUTE(SUBSTITUTE(SUBSTITUTE(SUBSTITUTE(SUBSTITUTE(SUBSTITUTE(SUBSTITUTE(SUBSTITUTE(SUBSTITUTE(SUBSTITUTE(SUBSTITUTE(SUBSTITUTE(SUBSTITUTE(SUBSTITUTE(SUBSTITUTE(SUBSTITUTE(LOWER(B486),"."," "),","," "),"'"," "),"’"," "),"!"," "),"?"," "),";"," "),":"," "),"-"," "),"("," "),")"," "),"""", " "),"£"," "),"&amp;"," "),"/"," "),"%"," "))&amp;" "</f>
        <v> a late payment fee appeared and i want it refunded also the adviser did not explain the risks of the investment this is not acceptable </v>
      </c>
      <c r="E486" s="0" t="n">
        <f aca="false">SUMPRODUCT((Rules!$A$2:$A$60=E$1)*Rules!$C$2:$C$60*ISNUMBER(SEARCH(Rules!$D$2:$D$60,$D486)))</f>
        <v>0</v>
      </c>
      <c r="F486" s="0" t="n">
        <f aca="false">SUMPRODUCT((Rules!$A$2:$A$60=F$1)*Rules!$C$2:$C$60*ISNUMBER(SEARCH(Rules!$D$2:$D$60,$D486)))</f>
        <v>4</v>
      </c>
      <c r="G486" s="0" t="n">
        <f aca="false">SUMPRODUCT((Rules!$A$2:$A$60=G$1)*Rules!$C$2:$C$60*ISNUMBER(SEARCH(Rules!$D$2:$D$60,$D486)))</f>
        <v>0</v>
      </c>
      <c r="H486" s="0" t="n">
        <f aca="false">SUMPRODUCT((Rules!$A$2:$A$60=H$1)*Rules!$C$2:$C$60*ISNUMBER(SEARCH(Rules!$D$2:$D$60,$D486)))</f>
        <v>2</v>
      </c>
      <c r="I486" s="0" t="n">
        <f aca="false">SUMPRODUCT((Rules!$A$2:$A$60=I$1)*Rules!$C$2:$C$60*ISNUMBER(SEARCH(Rules!$D$2:$D$60,$D486)))</f>
        <v>0</v>
      </c>
      <c r="J486" s="0" t="n">
        <f aca="false">SUMPRODUCT((Rules!$A$2:$A$60=J$1)*Rules!$C$2:$C$60*ISNUMBER(SEARCH(Rules!$D$2:$D$60,$D486)))</f>
        <v>0</v>
      </c>
      <c r="K486" s="0" t="str">
        <f aca="false">IF(OR(MAX(E486:J486)&lt;Rules!$H$1,MAX(E486:J486)-LARGE(E486:J486,2)&lt;Rules!$H$2),"No label",INDEX($E$1:$J$1,MATCH(MAX(E486:J486),E486:J486,0)))</f>
        <v>Mis-selling</v>
      </c>
      <c r="L486" s="0" t="n">
        <f aca="false">SUMPRODUCT((Rules!$A$2:$A$60=L$1)*Rules!$C$2:$C$60*ISNUMBER(SEARCH(Rules!$E$2:$E$60,$D486)))</f>
        <v>0</v>
      </c>
      <c r="M486" s="0" t="n">
        <f aca="false">SUMPRODUCT((Rules!$A$2:$A$60=M$1)*Rules!$C$2:$C$60*ISNUMBER(SEARCH(Rules!$E$2:$E$60,$D486)))</f>
        <v>6</v>
      </c>
      <c r="N486" s="0" t="n">
        <f aca="false">SUMPRODUCT((Rules!$A$2:$A$60=N$1)*Rules!$C$2:$C$60*ISNUMBER(SEARCH(Rules!$E$2:$E$60,$D486)))</f>
        <v>1</v>
      </c>
      <c r="O486" s="0" t="n">
        <f aca="false">SUMPRODUCT((Rules!$A$2:$A$60=O$1)*Rules!$C$2:$C$60*ISNUMBER(SEARCH(Rules!$E$2:$E$60,$D486)))</f>
        <v>2</v>
      </c>
      <c r="P486" s="0" t="n">
        <f aca="false">SUMPRODUCT((Rules!$A$2:$A$60=P$1)*Rules!$C$2:$C$60*ISNUMBER(SEARCH(Rules!$E$2:$E$60,$D486)))</f>
        <v>0</v>
      </c>
      <c r="Q486" s="0" t="n">
        <f aca="false">SUMPRODUCT((Rules!$A$2:$A$60=Q$1)*Rules!$C$2:$C$60*ISNUMBER(SEARCH(Rules!$E$2:$E$60,$D486)))</f>
        <v>1</v>
      </c>
      <c r="R486" s="0" t="str">
        <f aca="false">IF(OR(MAX(L486:Q486)&lt;Rules!$H$1,MAX(L486:Q486)-LARGE(L486:Q486,2)&lt;Rules!$H$2),"No label",INDEX($L$1:$Q$1,MATCH(MAX(L486:Q486),L486:Q486,0)))</f>
        <v>Mis-selling</v>
      </c>
      <c r="S486" s="0" t="n">
        <f aca="false">SUMPRODUCT(ISNUMBER(SEARCH(" "&amp;Terms!$A$3:$A$821&amp;" ",$D486))*Terms!B$3:B$821)+Terms!B$2</f>
        <v>-5.97930112630032</v>
      </c>
      <c r="T486" s="0" t="n">
        <f aca="false">SUMPRODUCT(ISNUMBER(SEARCH(" "&amp;Terms!$A$3:$A$821&amp;" ",$D486))*Terms!C$3:C$821)+Terms!C$2</f>
        <v>-8.06343281623702</v>
      </c>
      <c r="U486" s="0" t="n">
        <f aca="false">SUMPRODUCT(ISNUMBER(SEARCH(" "&amp;Terms!$A$3:$A$821&amp;" ",$D486))*Terms!D$3:D$821)+Terms!D$2</f>
        <v>-3.56456306482734</v>
      </c>
      <c r="V486" s="0" t="n">
        <f aca="false">SUMPRODUCT(ISNUMBER(SEARCH(" "&amp;Terms!$A$3:$A$821&amp;" ",$D486))*Terms!E$3:E$821)+Terms!E$2</f>
        <v>13.9677013096168</v>
      </c>
      <c r="W486" s="0" t="n">
        <f aca="false">SUMPRODUCT(ISNUMBER(SEARCH(" "&amp;Terms!$A$3:$A$821&amp;" ",$D486))*Terms!F$3:F$821)+Terms!F$2</f>
        <v>-0.172494932625033</v>
      </c>
      <c r="X486" s="0" t="n">
        <f aca="false">SUMPRODUCT(ISNUMBER(SEARCH(" "&amp;Terms!$A$3:$A$821&amp;" ",$D486))*Terms!G$3:G$821)+Terms!G$2</f>
        <v>3.81209063037298</v>
      </c>
      <c r="Y486" s="0" t="str">
        <f aca="false">INDEX($S$1:$X$1,MATCH(MAX(S486:X486),S486:X486,0))</f>
        <v>Fees &amp; Charges</v>
      </c>
      <c r="Z486" s="0" t="s">
        <v>2607</v>
      </c>
    </row>
    <row r="487" customFormat="false" ht="15" hidden="false" customHeight="false" outlineLevel="0" collapsed="false">
      <c r="A487" s="0" t="str">
        <f aca="false">Complaints!A487</f>
        <v>C0486</v>
      </c>
      <c r="B487" s="0" t="str">
        <f aca="false">Complaints!B487</f>
        <v>I am writing to complain. My card reader stopped working and I cannot approve payments.</v>
      </c>
      <c r="C487" s="0" t="str">
        <f aca="false">Complaints!C487</f>
        <v>Account Access</v>
      </c>
      <c r="D487" s="0" t="str">
        <f aca="false">" "&amp;TRIM(SUBSTITUTE(SUBSTITUTE(SUBSTITUTE(SUBSTITUTE(SUBSTITUTE(SUBSTITUTE(SUBSTITUTE(SUBSTITUTE(SUBSTITUTE(SUBSTITUTE(SUBSTITUTE(SUBSTITUTE(SUBSTITUTE(SUBSTITUTE(SUBSTITUTE(SUBSTITUTE(LOWER(B487),"."," "),","," "),"'"," "),"’"," "),"!"," "),"?"," "),";"," "),":"," "),"-"," "),"("," "),")"," "),"""", " "),"£"," "),"&amp;"," "),"/"," "),"%"," "))&amp;" "</f>
        <v> i am writing to complain my card reader stopped working and i cannot approve payments </v>
      </c>
      <c r="E487" s="0" t="n">
        <f aca="false">SUMPRODUCT((Rules!$A$2:$A$60=E$1)*Rules!$C$2:$C$60*ISNUMBER(SEARCH(Rules!$D$2:$D$60,$D487)))</f>
        <v>0</v>
      </c>
      <c r="F487" s="0" t="n">
        <f aca="false">SUMPRODUCT((Rules!$A$2:$A$60=F$1)*Rules!$C$2:$C$60*ISNUMBER(SEARCH(Rules!$D$2:$D$60,$D487)))</f>
        <v>0</v>
      </c>
      <c r="G487" s="0" t="n">
        <f aca="false">SUMPRODUCT((Rules!$A$2:$A$60=G$1)*Rules!$C$2:$C$60*ISNUMBER(SEARCH(Rules!$D$2:$D$60,$D487)))</f>
        <v>0</v>
      </c>
      <c r="H487" s="0" t="n">
        <f aca="false">SUMPRODUCT((Rules!$A$2:$A$60=H$1)*Rules!$C$2:$C$60*ISNUMBER(SEARCH(Rules!$D$2:$D$60,$D487)))</f>
        <v>0</v>
      </c>
      <c r="I487" s="0" t="n">
        <f aca="false">SUMPRODUCT((Rules!$A$2:$A$60=I$1)*Rules!$C$2:$C$60*ISNUMBER(SEARCH(Rules!$D$2:$D$60,$D487)))</f>
        <v>0</v>
      </c>
      <c r="J487" s="0" t="n">
        <f aca="false">SUMPRODUCT((Rules!$A$2:$A$60=J$1)*Rules!$C$2:$C$60*ISNUMBER(SEARCH(Rules!$D$2:$D$60,$D487)))</f>
        <v>0</v>
      </c>
      <c r="K487" s="0" t="str">
        <f aca="false">IF(OR(MAX(E487:J487)&lt;Rules!$H$1,MAX(E487:J487)-LARGE(E487:J487,2)&lt;Rules!$H$2),"No label",INDEX($E$1:$J$1,MATCH(MAX(E487:J487),E487:J487,0)))</f>
        <v>No label</v>
      </c>
      <c r="L487" s="0" t="n">
        <f aca="false">SUMPRODUCT((Rules!$A$2:$A$60=L$1)*Rules!$C$2:$C$60*ISNUMBER(SEARCH(Rules!$E$2:$E$60,$D487)))</f>
        <v>0</v>
      </c>
      <c r="M487" s="0" t="n">
        <f aca="false">SUMPRODUCT((Rules!$A$2:$A$60=M$1)*Rules!$C$2:$C$60*ISNUMBER(SEARCH(Rules!$E$2:$E$60,$D487)))</f>
        <v>0</v>
      </c>
      <c r="N487" s="0" t="n">
        <f aca="false">SUMPRODUCT((Rules!$A$2:$A$60=N$1)*Rules!$C$2:$C$60*ISNUMBER(SEARCH(Rules!$E$2:$E$60,$D487)))</f>
        <v>0</v>
      </c>
      <c r="O487" s="0" t="n">
        <f aca="false">SUMPRODUCT((Rules!$A$2:$A$60=O$1)*Rules!$C$2:$C$60*ISNUMBER(SEARCH(Rules!$E$2:$E$60,$D487)))</f>
        <v>0</v>
      </c>
      <c r="P487" s="0" t="n">
        <f aca="false">SUMPRODUCT((Rules!$A$2:$A$60=P$1)*Rules!$C$2:$C$60*ISNUMBER(SEARCH(Rules!$E$2:$E$60,$D487)))</f>
        <v>0</v>
      </c>
      <c r="Q487" s="0" t="n">
        <f aca="false">SUMPRODUCT((Rules!$A$2:$A$60=Q$1)*Rules!$C$2:$C$60*ISNUMBER(SEARCH(Rules!$E$2:$E$60,$D487)))</f>
        <v>0</v>
      </c>
      <c r="R487" s="0" t="str">
        <f aca="false">IF(OR(MAX(L487:Q487)&lt;Rules!$H$1,MAX(L487:Q487)-LARGE(L487:Q487,2)&lt;Rules!$H$2),"No label",INDEX($L$1:$Q$1,MATCH(MAX(L487:Q487),L487:Q487,0)))</f>
        <v>No label</v>
      </c>
      <c r="S487" s="0" t="n">
        <f aca="false">SUMPRODUCT(ISNUMBER(SEARCH(" "&amp;Terms!$A$3:$A$821&amp;" ",$D487))*Terms!B$3:B$821)+Terms!B$2</f>
        <v>15.6114896756069</v>
      </c>
      <c r="T487" s="0" t="n">
        <f aca="false">SUMPRODUCT(ISNUMBER(SEARCH(" "&amp;Terms!$A$3:$A$821&amp;" ",$D487))*Terms!C$3:C$821)+Terms!C$2</f>
        <v>0.725621174926773</v>
      </c>
      <c r="U487" s="0" t="n">
        <f aca="false">SUMPRODUCT(ISNUMBER(SEARCH(" "&amp;Terms!$A$3:$A$821&amp;" ",$D487))*Terms!D$3:D$821)+Terms!D$2</f>
        <v>-1.33204550425919</v>
      </c>
      <c r="V487" s="0" t="n">
        <f aca="false">SUMPRODUCT(ISNUMBER(SEARCH(" "&amp;Terms!$A$3:$A$821&amp;" ",$D487))*Terms!E$3:E$821)+Terms!E$2</f>
        <v>-6.11156481101302</v>
      </c>
      <c r="W487" s="0" t="n">
        <f aca="false">SUMPRODUCT(ISNUMBER(SEARCH(" "&amp;Terms!$A$3:$A$821&amp;" ",$D487))*Terms!F$3:F$821)+Terms!F$2</f>
        <v>-0.711290135774081</v>
      </c>
      <c r="X487" s="0" t="n">
        <f aca="false">SUMPRODUCT(ISNUMBER(SEARCH(" "&amp;Terms!$A$3:$A$821&amp;" ",$D487))*Terms!G$3:G$821)+Terms!G$2</f>
        <v>-8.18221039948726</v>
      </c>
      <c r="Y487" s="0" t="str">
        <f aca="false">INDEX($S$1:$X$1,MATCH(MAX(S487:X487),S487:X487,0))</f>
        <v>Account Access</v>
      </c>
      <c r="Z487" s="0" t="s">
        <v>2607</v>
      </c>
    </row>
    <row r="488" customFormat="false" ht="15" hidden="false" customHeight="false" outlineLevel="0" collapsed="false">
      <c r="A488" s="0" t="str">
        <f aca="false">Complaints!A488</f>
        <v>C0487</v>
      </c>
      <c r="B488" s="0" t="str">
        <f aca="false">Complaints!B488</f>
        <v>My card was cloned and used abroad. Also, a late payment fee appeared and I want it refunded. I want this put right.</v>
      </c>
      <c r="C488" s="0" t="str">
        <f aca="false">Complaints!C488</f>
        <v>Fraud &amp; Scams</v>
      </c>
      <c r="D488" s="0" t="str">
        <f aca="false">" "&amp;TRIM(SUBSTITUTE(SUBSTITUTE(SUBSTITUTE(SUBSTITUTE(SUBSTITUTE(SUBSTITUTE(SUBSTITUTE(SUBSTITUTE(SUBSTITUTE(SUBSTITUTE(SUBSTITUTE(SUBSTITUTE(SUBSTITUTE(SUBSTITUTE(SUBSTITUTE(SUBSTITUTE(LOWER(B488),"."," "),","," "),"'"," "),"’"," "),"!"," "),"?"," "),";"," "),":"," "),"-"," "),"("," "),")"," "),"""", " "),"£"," "),"&amp;"," "),"/"," "),"%"," "))&amp;" "</f>
        <v> my card was cloned and used abroad also a late payment fee appeared and i want it refunded i want this put right </v>
      </c>
      <c r="E488" s="0" t="n">
        <f aca="false">SUMPRODUCT((Rules!$A$2:$A$60=E$1)*Rules!$C$2:$C$60*ISNUMBER(SEARCH(Rules!$D$2:$D$60,$D488)))</f>
        <v>3</v>
      </c>
      <c r="F488" s="0" t="n">
        <f aca="false">SUMPRODUCT((Rules!$A$2:$A$60=F$1)*Rules!$C$2:$C$60*ISNUMBER(SEARCH(Rules!$D$2:$D$60,$D488)))</f>
        <v>0</v>
      </c>
      <c r="G488" s="0" t="n">
        <f aca="false">SUMPRODUCT((Rules!$A$2:$A$60=G$1)*Rules!$C$2:$C$60*ISNUMBER(SEARCH(Rules!$D$2:$D$60,$D488)))</f>
        <v>0</v>
      </c>
      <c r="H488" s="0" t="n">
        <f aca="false">SUMPRODUCT((Rules!$A$2:$A$60=H$1)*Rules!$C$2:$C$60*ISNUMBER(SEARCH(Rules!$D$2:$D$60,$D488)))</f>
        <v>2</v>
      </c>
      <c r="I488" s="0" t="n">
        <f aca="false">SUMPRODUCT((Rules!$A$2:$A$60=I$1)*Rules!$C$2:$C$60*ISNUMBER(SEARCH(Rules!$D$2:$D$60,$D488)))</f>
        <v>0</v>
      </c>
      <c r="J488" s="0" t="n">
        <f aca="false">SUMPRODUCT((Rules!$A$2:$A$60=J$1)*Rules!$C$2:$C$60*ISNUMBER(SEARCH(Rules!$D$2:$D$60,$D488)))</f>
        <v>0</v>
      </c>
      <c r="K488" s="0" t="str">
        <f aca="false">IF(OR(MAX(E488:J488)&lt;Rules!$H$1,MAX(E488:J488)-LARGE(E488:J488,2)&lt;Rules!$H$2),"No label",INDEX($E$1:$J$1,MATCH(MAX(E488:J488),E488:J488,0)))</f>
        <v>No label</v>
      </c>
      <c r="L488" s="0" t="n">
        <f aca="false">SUMPRODUCT((Rules!$A$2:$A$60=L$1)*Rules!$C$2:$C$60*ISNUMBER(SEARCH(Rules!$E$2:$E$60,$D488)))</f>
        <v>3</v>
      </c>
      <c r="M488" s="0" t="n">
        <f aca="false">SUMPRODUCT((Rules!$A$2:$A$60=M$1)*Rules!$C$2:$C$60*ISNUMBER(SEARCH(Rules!$E$2:$E$60,$D488)))</f>
        <v>0</v>
      </c>
      <c r="N488" s="0" t="n">
        <f aca="false">SUMPRODUCT((Rules!$A$2:$A$60=N$1)*Rules!$C$2:$C$60*ISNUMBER(SEARCH(Rules!$E$2:$E$60,$D488)))</f>
        <v>0</v>
      </c>
      <c r="O488" s="0" t="n">
        <f aca="false">SUMPRODUCT((Rules!$A$2:$A$60=O$1)*Rules!$C$2:$C$60*ISNUMBER(SEARCH(Rules!$E$2:$E$60,$D488)))</f>
        <v>2</v>
      </c>
      <c r="P488" s="0" t="n">
        <f aca="false">SUMPRODUCT((Rules!$A$2:$A$60=P$1)*Rules!$C$2:$C$60*ISNUMBER(SEARCH(Rules!$E$2:$E$60,$D488)))</f>
        <v>0</v>
      </c>
      <c r="Q488" s="0" t="n">
        <f aca="false">SUMPRODUCT((Rules!$A$2:$A$60=Q$1)*Rules!$C$2:$C$60*ISNUMBER(SEARCH(Rules!$E$2:$E$60,$D488)))</f>
        <v>0</v>
      </c>
      <c r="R488" s="0" t="str">
        <f aca="false">IF(OR(MAX(L488:Q488)&lt;Rules!$H$1,MAX(L488:Q488)-LARGE(L488:Q488,2)&lt;Rules!$H$2),"No label",INDEX($L$1:$Q$1,MATCH(MAX(L488:Q488),L488:Q488,0)))</f>
        <v>No label</v>
      </c>
      <c r="S488" s="0" t="n">
        <f aca="false">SUMPRODUCT(ISNUMBER(SEARCH(" "&amp;Terms!$A$3:$A$821&amp;" ",$D488))*Terms!B$3:B$821)+Terms!B$2</f>
        <v>-4.65465255958798</v>
      </c>
      <c r="T488" s="0" t="n">
        <f aca="false">SUMPRODUCT(ISNUMBER(SEARCH(" "&amp;Terms!$A$3:$A$821&amp;" ",$D488))*Terms!C$3:C$821)+Terms!C$2</f>
        <v>-8.58150908265956</v>
      </c>
      <c r="U488" s="0" t="n">
        <f aca="false">SUMPRODUCT(ISNUMBER(SEARCH(" "&amp;Terms!$A$3:$A$821&amp;" ",$D488))*Terms!D$3:D$821)+Terms!D$2</f>
        <v>-4.21665028408275</v>
      </c>
      <c r="V488" s="0" t="n">
        <f aca="false">SUMPRODUCT(ISNUMBER(SEARCH(" "&amp;Terms!$A$3:$A$821&amp;" ",$D488))*Terms!E$3:E$821)+Terms!E$2</f>
        <v>13.2147402263476</v>
      </c>
      <c r="W488" s="0" t="n">
        <f aca="false">SUMPRODUCT(ISNUMBER(SEARCH(" "&amp;Terms!$A$3:$A$821&amp;" ",$D488))*Terms!F$3:F$821)+Terms!F$2</f>
        <v>11.5038786307764</v>
      </c>
      <c r="X488" s="0" t="n">
        <f aca="false">SUMPRODUCT(ISNUMBER(SEARCH(" "&amp;Terms!$A$3:$A$821&amp;" ",$D488))*Terms!G$3:G$821)+Terms!G$2</f>
        <v>-7.26580693079361</v>
      </c>
      <c r="Y488" s="0" t="str">
        <f aca="false">INDEX($S$1:$X$1,MATCH(MAX(S488:X488),S488:X488,0))</f>
        <v>Fees &amp; Charges</v>
      </c>
      <c r="Z488" s="0" t="s">
        <v>2607</v>
      </c>
    </row>
    <row r="489" customFormat="false" ht="15" hidden="false" customHeight="false" outlineLevel="0" collapsed="false">
      <c r="A489" s="0" t="str">
        <f aca="false">Complaints!A489</f>
        <v>C0488</v>
      </c>
      <c r="B489" s="0" t="str">
        <f aca="false">Complaints!B489</f>
        <v>To whom it may concern, The adviser did not explain the risks of the investment. I expect compensation.</v>
      </c>
      <c r="C489" s="0" t="str">
        <f aca="false">Complaints!C489</f>
        <v>Mis-selling</v>
      </c>
      <c r="D489" s="0" t="str">
        <f aca="false">" "&amp;TRIM(SUBSTITUTE(SUBSTITUTE(SUBSTITUTE(SUBSTITUTE(SUBSTITUTE(SUBSTITUTE(SUBSTITUTE(SUBSTITUTE(SUBSTITUTE(SUBSTITUTE(SUBSTITUTE(SUBSTITUTE(SUBSTITUTE(SUBSTITUTE(SUBSTITUTE(SUBSTITUTE(LOWER(B489),"."," "),","," "),"'"," "),"’"," "),"!"," "),"?"," "),";"," "),":"," "),"-"," "),"("," "),")"," "),"""", " "),"£"," "),"&amp;"," "),"/"," "),"%"," "))&amp;" "</f>
        <v> to whom it may concern the adviser did not explain the risks of the investment i expect compensation </v>
      </c>
      <c r="E489" s="0" t="n">
        <f aca="false">SUMPRODUCT((Rules!$A$2:$A$60=E$1)*Rules!$C$2:$C$60*ISNUMBER(SEARCH(Rules!$D$2:$D$60,$D489)))</f>
        <v>0</v>
      </c>
      <c r="F489" s="0" t="n">
        <f aca="false">SUMPRODUCT((Rules!$A$2:$A$60=F$1)*Rules!$C$2:$C$60*ISNUMBER(SEARCH(Rules!$D$2:$D$60,$D489)))</f>
        <v>4</v>
      </c>
      <c r="G489" s="0" t="n">
        <f aca="false">SUMPRODUCT((Rules!$A$2:$A$60=G$1)*Rules!$C$2:$C$60*ISNUMBER(SEARCH(Rules!$D$2:$D$60,$D489)))</f>
        <v>0</v>
      </c>
      <c r="H489" s="0" t="n">
        <f aca="false">SUMPRODUCT((Rules!$A$2:$A$60=H$1)*Rules!$C$2:$C$60*ISNUMBER(SEARCH(Rules!$D$2:$D$60,$D489)))</f>
        <v>0</v>
      </c>
      <c r="I489" s="0" t="n">
        <f aca="false">SUMPRODUCT((Rules!$A$2:$A$60=I$1)*Rules!$C$2:$C$60*ISNUMBER(SEARCH(Rules!$D$2:$D$60,$D489)))</f>
        <v>0</v>
      </c>
      <c r="J489" s="0" t="n">
        <f aca="false">SUMPRODUCT((Rules!$A$2:$A$60=J$1)*Rules!$C$2:$C$60*ISNUMBER(SEARCH(Rules!$D$2:$D$60,$D489)))</f>
        <v>0</v>
      </c>
      <c r="K489" s="0" t="str">
        <f aca="false">IF(OR(MAX(E489:J489)&lt;Rules!$H$1,MAX(E489:J489)-LARGE(E489:J489,2)&lt;Rules!$H$2),"No label",INDEX($E$1:$J$1,MATCH(MAX(E489:J489),E489:J489,0)))</f>
        <v>Mis-selling</v>
      </c>
      <c r="L489" s="0" t="n">
        <f aca="false">SUMPRODUCT((Rules!$A$2:$A$60=L$1)*Rules!$C$2:$C$60*ISNUMBER(SEARCH(Rules!$E$2:$E$60,$D489)))</f>
        <v>0</v>
      </c>
      <c r="M489" s="0" t="n">
        <f aca="false">SUMPRODUCT((Rules!$A$2:$A$60=M$1)*Rules!$C$2:$C$60*ISNUMBER(SEARCH(Rules!$E$2:$E$60,$D489)))</f>
        <v>6</v>
      </c>
      <c r="N489" s="0" t="n">
        <f aca="false">SUMPRODUCT((Rules!$A$2:$A$60=N$1)*Rules!$C$2:$C$60*ISNUMBER(SEARCH(Rules!$E$2:$E$60,$D489)))</f>
        <v>0</v>
      </c>
      <c r="O489" s="0" t="n">
        <f aca="false">SUMPRODUCT((Rules!$A$2:$A$60=O$1)*Rules!$C$2:$C$60*ISNUMBER(SEARCH(Rules!$E$2:$E$60,$D489)))</f>
        <v>0</v>
      </c>
      <c r="P489" s="0" t="n">
        <f aca="false">SUMPRODUCT((Rules!$A$2:$A$60=P$1)*Rules!$C$2:$C$60*ISNUMBER(SEARCH(Rules!$E$2:$E$60,$D489)))</f>
        <v>0</v>
      </c>
      <c r="Q489" s="0" t="n">
        <f aca="false">SUMPRODUCT((Rules!$A$2:$A$60=Q$1)*Rules!$C$2:$C$60*ISNUMBER(SEARCH(Rules!$E$2:$E$60,$D489)))</f>
        <v>1</v>
      </c>
      <c r="R489" s="0" t="str">
        <f aca="false">IF(OR(MAX(L489:Q489)&lt;Rules!$H$1,MAX(L489:Q489)-LARGE(L489:Q489,2)&lt;Rules!$H$2),"No label",INDEX($L$1:$Q$1,MATCH(MAX(L489:Q489),L489:Q489,0)))</f>
        <v>Mis-selling</v>
      </c>
      <c r="S489" s="0" t="n">
        <f aca="false">SUMPRODUCT(ISNUMBER(SEARCH(" "&amp;Terms!$A$3:$A$821&amp;" ",$D489))*Terms!B$3:B$821)+Terms!B$2</f>
        <v>-0.774586105339128</v>
      </c>
      <c r="T489" s="0" t="n">
        <f aca="false">SUMPRODUCT(ISNUMBER(SEARCH(" "&amp;Terms!$A$3:$A$821&amp;" ",$D489))*Terms!C$3:C$821)+Terms!C$2</f>
        <v>-1.12157027293235</v>
      </c>
      <c r="U489" s="0" t="n">
        <f aca="false">SUMPRODUCT(ISNUMBER(SEARCH(" "&amp;Terms!$A$3:$A$821&amp;" ",$D489))*Terms!D$3:D$821)+Terms!D$2</f>
        <v>-5.39772309764382</v>
      </c>
      <c r="V489" s="0" t="n">
        <f aca="false">SUMPRODUCT(ISNUMBER(SEARCH(" "&amp;Terms!$A$3:$A$821&amp;" ",$D489))*Terms!E$3:E$821)+Terms!E$2</f>
        <v>0.509004287954142</v>
      </c>
      <c r="W489" s="0" t="n">
        <f aca="false">SUMPRODUCT(ISNUMBER(SEARCH(" "&amp;Terms!$A$3:$A$821&amp;" ",$D489))*Terms!F$3:F$821)+Terms!F$2</f>
        <v>-0.153295469571654</v>
      </c>
      <c r="X489" s="0" t="n">
        <f aca="false">SUMPRODUCT(ISNUMBER(SEARCH(" "&amp;Terms!$A$3:$A$821&amp;" ",$D489))*Terms!G$3:G$821)+Terms!G$2</f>
        <v>6.93817065753289</v>
      </c>
      <c r="Y489" s="0" t="str">
        <f aca="false">INDEX($S$1:$X$1,MATCH(MAX(S489:X489),S489:X489,0))</f>
        <v>Mis-selling</v>
      </c>
      <c r="Z489" s="0" t="s">
        <v>2607</v>
      </c>
    </row>
    <row r="490" customFormat="false" ht="15" hidden="false" customHeight="false" outlineLevel="0" collapsed="false">
      <c r="A490" s="0" t="str">
        <f aca="false">Complaints!A490</f>
        <v>C0489</v>
      </c>
      <c r="B490" s="0" t="str">
        <f aca="false">Complaints!B490</f>
        <v>Hello, I was tricked into moving savings to a safe account that was not safe. I expect compensation.</v>
      </c>
      <c r="C490" s="0" t="str">
        <f aca="false">Complaints!C490</f>
        <v>Fraud &amp; Scams</v>
      </c>
      <c r="D490" s="0" t="str">
        <f aca="false">" "&amp;TRIM(SUBSTITUTE(SUBSTITUTE(SUBSTITUTE(SUBSTITUTE(SUBSTITUTE(SUBSTITUTE(SUBSTITUTE(SUBSTITUTE(SUBSTITUTE(SUBSTITUTE(SUBSTITUTE(SUBSTITUTE(SUBSTITUTE(SUBSTITUTE(SUBSTITUTE(SUBSTITUTE(LOWER(B490),"."," "),","," "),"'"," "),"’"," "),"!"," "),"?"," "),";"," "),":"," "),"-"," "),"("," "),")"," "),"""", " "),"£"," "),"&amp;"," "),"/"," "),"%"," "))&amp;" "</f>
        <v> hello i was tricked into moving savings to a safe account that was not safe i expect compensation </v>
      </c>
      <c r="E490" s="0" t="n">
        <f aca="false">SUMPRODUCT((Rules!$A$2:$A$60=E$1)*Rules!$C$2:$C$60*ISNUMBER(SEARCH(Rules!$D$2:$D$60,$D490)))</f>
        <v>2</v>
      </c>
      <c r="F490" s="0" t="n">
        <f aca="false">SUMPRODUCT((Rules!$A$2:$A$60=F$1)*Rules!$C$2:$C$60*ISNUMBER(SEARCH(Rules!$D$2:$D$60,$D490)))</f>
        <v>0</v>
      </c>
      <c r="G490" s="0" t="n">
        <f aca="false">SUMPRODUCT((Rules!$A$2:$A$60=G$1)*Rules!$C$2:$C$60*ISNUMBER(SEARCH(Rules!$D$2:$D$60,$D490)))</f>
        <v>0</v>
      </c>
      <c r="H490" s="0" t="n">
        <f aca="false">SUMPRODUCT((Rules!$A$2:$A$60=H$1)*Rules!$C$2:$C$60*ISNUMBER(SEARCH(Rules!$D$2:$D$60,$D490)))</f>
        <v>0</v>
      </c>
      <c r="I490" s="0" t="n">
        <f aca="false">SUMPRODUCT((Rules!$A$2:$A$60=I$1)*Rules!$C$2:$C$60*ISNUMBER(SEARCH(Rules!$D$2:$D$60,$D490)))</f>
        <v>0</v>
      </c>
      <c r="J490" s="0" t="n">
        <f aca="false">SUMPRODUCT((Rules!$A$2:$A$60=J$1)*Rules!$C$2:$C$60*ISNUMBER(SEARCH(Rules!$D$2:$D$60,$D490)))</f>
        <v>0</v>
      </c>
      <c r="K490" s="0" t="str">
        <f aca="false">IF(OR(MAX(E490:J490)&lt;Rules!$H$1,MAX(E490:J490)-LARGE(E490:J490,2)&lt;Rules!$H$2),"No label",INDEX($E$1:$J$1,MATCH(MAX(E490:J490),E490:J490,0)))</f>
        <v>No label</v>
      </c>
      <c r="L490" s="0" t="n">
        <f aca="false">SUMPRODUCT((Rules!$A$2:$A$60=L$1)*Rules!$C$2:$C$60*ISNUMBER(SEARCH(Rules!$E$2:$E$60,$D490)))</f>
        <v>2</v>
      </c>
      <c r="M490" s="0" t="n">
        <f aca="false">SUMPRODUCT((Rules!$A$2:$A$60=M$1)*Rules!$C$2:$C$60*ISNUMBER(SEARCH(Rules!$E$2:$E$60,$D490)))</f>
        <v>0</v>
      </c>
      <c r="N490" s="0" t="n">
        <f aca="false">SUMPRODUCT((Rules!$A$2:$A$60=N$1)*Rules!$C$2:$C$60*ISNUMBER(SEARCH(Rules!$E$2:$E$60,$D490)))</f>
        <v>0</v>
      </c>
      <c r="O490" s="0" t="n">
        <f aca="false">SUMPRODUCT((Rules!$A$2:$A$60=O$1)*Rules!$C$2:$C$60*ISNUMBER(SEARCH(Rules!$E$2:$E$60,$D490)))</f>
        <v>0</v>
      </c>
      <c r="P490" s="0" t="n">
        <f aca="false">SUMPRODUCT((Rules!$A$2:$A$60=P$1)*Rules!$C$2:$C$60*ISNUMBER(SEARCH(Rules!$E$2:$E$60,$D490)))</f>
        <v>0</v>
      </c>
      <c r="Q490" s="0" t="n">
        <f aca="false">SUMPRODUCT((Rules!$A$2:$A$60=Q$1)*Rules!$C$2:$C$60*ISNUMBER(SEARCH(Rules!$E$2:$E$60,$D490)))</f>
        <v>0</v>
      </c>
      <c r="R490" s="0" t="str">
        <f aca="false">IF(OR(MAX(L490:Q490)&lt;Rules!$H$1,MAX(L490:Q490)-LARGE(L490:Q490,2)&lt;Rules!$H$2),"No label",INDEX($L$1:$Q$1,MATCH(MAX(L490:Q490),L490:Q490,0)))</f>
        <v>No label</v>
      </c>
      <c r="S490" s="0" t="n">
        <f aca="false">SUMPRODUCT(ISNUMBER(SEARCH(" "&amp;Terms!$A$3:$A$821&amp;" ",$D490))*Terms!B$3:B$821)+Terms!B$2</f>
        <v>1.46858057640297</v>
      </c>
      <c r="T490" s="0" t="n">
        <f aca="false">SUMPRODUCT(ISNUMBER(SEARCH(" "&amp;Terms!$A$3:$A$821&amp;" ",$D490))*Terms!C$3:C$821)+Terms!C$2</f>
        <v>-5.93587818560935</v>
      </c>
      <c r="U490" s="0" t="n">
        <f aca="false">SUMPRODUCT(ISNUMBER(SEARCH(" "&amp;Terms!$A$3:$A$821&amp;" ",$D490))*Terms!D$3:D$821)+Terms!D$2</f>
        <v>0.0946008288682902</v>
      </c>
      <c r="V490" s="0" t="n">
        <f aca="false">SUMPRODUCT(ISNUMBER(SEARCH(" "&amp;Terms!$A$3:$A$821&amp;" ",$D490))*Terms!E$3:E$821)+Terms!E$2</f>
        <v>-1.19348523995654</v>
      </c>
      <c r="W490" s="0" t="n">
        <f aca="false">SUMPRODUCT(ISNUMBER(SEARCH(" "&amp;Terms!$A$3:$A$821&amp;" ",$D490))*Terms!F$3:F$821)+Terms!F$2</f>
        <v>10.9232671934357</v>
      </c>
      <c r="X490" s="0" t="n">
        <f aca="false">SUMPRODUCT(ISNUMBER(SEARCH(" "&amp;Terms!$A$3:$A$821&amp;" ",$D490))*Terms!G$3:G$821)+Terms!G$2</f>
        <v>-5.35708517314101</v>
      </c>
      <c r="Y490" s="0" t="str">
        <f aca="false">INDEX($S$1:$X$1,MATCH(MAX(S490:X490),S490:X490,0))</f>
        <v>Fraud &amp; Scams</v>
      </c>
      <c r="Z490" s="0" t="s">
        <v>2607</v>
      </c>
    </row>
    <row r="491" customFormat="false" ht="15" hidden="false" customHeight="false" outlineLevel="0" collapsed="false">
      <c r="A491" s="0" t="str">
        <f aca="false">Complaints!A491</f>
        <v>C0490</v>
      </c>
      <c r="B491" s="0" t="str">
        <f aca="false">Complaints!B491</f>
        <v>Frankly, I sent the form twice and it seems to have been lost in the system. I would like a response in writing.</v>
      </c>
      <c r="C491" s="0" t="str">
        <f aca="false">Complaints!C491</f>
        <v>Delays &amp; Processing</v>
      </c>
      <c r="D491" s="0" t="str">
        <f aca="false">" "&amp;TRIM(SUBSTITUTE(SUBSTITUTE(SUBSTITUTE(SUBSTITUTE(SUBSTITUTE(SUBSTITUTE(SUBSTITUTE(SUBSTITUTE(SUBSTITUTE(SUBSTITUTE(SUBSTITUTE(SUBSTITUTE(SUBSTITUTE(SUBSTITUTE(SUBSTITUTE(SUBSTITUTE(LOWER(B491),"."," "),","," "),"'"," "),"’"," "),"!"," "),"?"," "),";"," "),":"," "),"-"," "),"("," "),")"," "),"""", " "),"£"," "),"&amp;"," "),"/"," "),"%"," "))&amp;" "</f>
        <v> frankly i sent the form twice and it seems to have been lost in the system i would like a response in writing </v>
      </c>
      <c r="E491" s="0" t="n">
        <f aca="false">SUMPRODUCT((Rules!$A$2:$A$60=E$1)*Rules!$C$2:$C$60*ISNUMBER(SEARCH(Rules!$D$2:$D$60,$D491)))</f>
        <v>0</v>
      </c>
      <c r="F491" s="0" t="n">
        <f aca="false">SUMPRODUCT((Rules!$A$2:$A$60=F$1)*Rules!$C$2:$C$60*ISNUMBER(SEARCH(Rules!$D$2:$D$60,$D491)))</f>
        <v>0</v>
      </c>
      <c r="G491" s="0" t="n">
        <f aca="false">SUMPRODUCT((Rules!$A$2:$A$60=G$1)*Rules!$C$2:$C$60*ISNUMBER(SEARCH(Rules!$D$2:$D$60,$D491)))</f>
        <v>0</v>
      </c>
      <c r="H491" s="0" t="n">
        <f aca="false">SUMPRODUCT((Rules!$A$2:$A$60=H$1)*Rules!$C$2:$C$60*ISNUMBER(SEARCH(Rules!$D$2:$D$60,$D491)))</f>
        <v>0</v>
      </c>
      <c r="I491" s="0" t="n">
        <f aca="false">SUMPRODUCT((Rules!$A$2:$A$60=I$1)*Rules!$C$2:$C$60*ISNUMBER(SEARCH(Rules!$D$2:$D$60,$D491)))</f>
        <v>0</v>
      </c>
      <c r="J491" s="0" t="n">
        <f aca="false">SUMPRODUCT((Rules!$A$2:$A$60=J$1)*Rules!$C$2:$C$60*ISNUMBER(SEARCH(Rules!$D$2:$D$60,$D491)))</f>
        <v>0</v>
      </c>
      <c r="K491" s="0" t="str">
        <f aca="false">IF(OR(MAX(E491:J491)&lt;Rules!$H$1,MAX(E491:J491)-LARGE(E491:J491,2)&lt;Rules!$H$2),"No label",INDEX($E$1:$J$1,MATCH(MAX(E491:J491),E491:J491,0)))</f>
        <v>No label</v>
      </c>
      <c r="L491" s="0" t="n">
        <f aca="false">SUMPRODUCT((Rules!$A$2:$A$60=L$1)*Rules!$C$2:$C$60*ISNUMBER(SEARCH(Rules!$E$2:$E$60,$D491)))</f>
        <v>0</v>
      </c>
      <c r="M491" s="0" t="n">
        <f aca="false">SUMPRODUCT((Rules!$A$2:$A$60=M$1)*Rules!$C$2:$C$60*ISNUMBER(SEARCH(Rules!$E$2:$E$60,$D491)))</f>
        <v>0</v>
      </c>
      <c r="N491" s="0" t="n">
        <f aca="false">SUMPRODUCT((Rules!$A$2:$A$60=N$1)*Rules!$C$2:$C$60*ISNUMBER(SEARCH(Rules!$E$2:$E$60,$D491)))</f>
        <v>0</v>
      </c>
      <c r="O491" s="0" t="n">
        <f aca="false">SUMPRODUCT((Rules!$A$2:$A$60=O$1)*Rules!$C$2:$C$60*ISNUMBER(SEARCH(Rules!$E$2:$E$60,$D491)))</f>
        <v>0</v>
      </c>
      <c r="P491" s="0" t="n">
        <f aca="false">SUMPRODUCT((Rules!$A$2:$A$60=P$1)*Rules!$C$2:$C$60*ISNUMBER(SEARCH(Rules!$E$2:$E$60,$D491)))</f>
        <v>0</v>
      </c>
      <c r="Q491" s="0" t="n">
        <f aca="false">SUMPRODUCT((Rules!$A$2:$A$60=Q$1)*Rules!$C$2:$C$60*ISNUMBER(SEARCH(Rules!$E$2:$E$60,$D491)))</f>
        <v>0</v>
      </c>
      <c r="R491" s="0" t="str">
        <f aca="false">IF(OR(MAX(L491:Q491)&lt;Rules!$H$1,MAX(L491:Q491)-LARGE(L491:Q491,2)&lt;Rules!$H$2),"No label",INDEX($L$1:$Q$1,MATCH(MAX(L491:Q491),L491:Q491,0)))</f>
        <v>No label</v>
      </c>
      <c r="S491" s="0" t="n">
        <f aca="false">SUMPRODUCT(ISNUMBER(SEARCH(" "&amp;Terms!$A$3:$A$821&amp;" ",$D491))*Terms!B$3:B$821)+Terms!B$2</f>
        <v>-3.46652937204266</v>
      </c>
      <c r="T491" s="0" t="n">
        <f aca="false">SUMPRODUCT(ISNUMBER(SEARCH(" "&amp;Terms!$A$3:$A$821&amp;" ",$D491))*Terms!C$3:C$821)+Terms!C$2</f>
        <v>-1.31642942542329</v>
      </c>
      <c r="U491" s="0" t="n">
        <f aca="false">SUMPRODUCT(ISNUMBER(SEARCH(" "&amp;Terms!$A$3:$A$821&amp;" ",$D491))*Terms!D$3:D$821)+Terms!D$2</f>
        <v>8.47018900078906</v>
      </c>
      <c r="V491" s="0" t="n">
        <f aca="false">SUMPRODUCT(ISNUMBER(SEARCH(" "&amp;Terms!$A$3:$A$821&amp;" ",$D491))*Terms!E$3:E$821)+Terms!E$2</f>
        <v>0.0779749477195829</v>
      </c>
      <c r="W491" s="0" t="n">
        <f aca="false">SUMPRODUCT(ISNUMBER(SEARCH(" "&amp;Terms!$A$3:$A$821&amp;" ",$D491))*Terms!F$3:F$821)+Terms!F$2</f>
        <v>-4.15692498336915</v>
      </c>
      <c r="X491" s="0" t="n">
        <f aca="false">SUMPRODUCT(ISNUMBER(SEARCH(" "&amp;Terms!$A$3:$A$821&amp;" ",$D491))*Terms!G$3:G$821)+Terms!G$2</f>
        <v>0.39171983232655</v>
      </c>
      <c r="Y491" s="0" t="str">
        <f aca="false">INDEX($S$1:$X$1,MATCH(MAX(S491:X491),S491:X491,0))</f>
        <v>Delays &amp; Processing</v>
      </c>
      <c r="Z491" s="0" t="s">
        <v>2607</v>
      </c>
    </row>
    <row r="492" customFormat="false" ht="15" hidden="false" customHeight="false" outlineLevel="0" collapsed="false">
      <c r="A492" s="0" t="str">
        <f aca="false">Complaints!A492</f>
        <v>C0491</v>
      </c>
      <c r="B492" s="0" t="str">
        <f aca="false">Complaints!B492</f>
        <v>My appliction has been stuck for weeks with no progress. Please escalate this.</v>
      </c>
      <c r="C492" s="0" t="str">
        <f aca="false">Complaints!C492</f>
        <v>Delays &amp; Processing</v>
      </c>
      <c r="D492" s="0" t="str">
        <f aca="false">" "&amp;TRIM(SUBSTITUTE(SUBSTITUTE(SUBSTITUTE(SUBSTITUTE(SUBSTITUTE(SUBSTITUTE(SUBSTITUTE(SUBSTITUTE(SUBSTITUTE(SUBSTITUTE(SUBSTITUTE(SUBSTITUTE(SUBSTITUTE(SUBSTITUTE(SUBSTITUTE(SUBSTITUTE(LOWER(B492),"."," "),","," "),"'"," "),"’"," "),"!"," "),"?"," "),";"," "),":"," "),"-"," "),"("," "),")"," "),"""", " "),"£"," "),"&amp;"," "),"/"," "),"%"," "))&amp;" "</f>
        <v> my appliction has been stuck for weeks with no progress please escalate this </v>
      </c>
      <c r="E492" s="0" t="n">
        <f aca="false">SUMPRODUCT((Rules!$A$2:$A$60=E$1)*Rules!$C$2:$C$60*ISNUMBER(SEARCH(Rules!$D$2:$D$60,$D492)))</f>
        <v>0</v>
      </c>
      <c r="F492" s="0" t="n">
        <f aca="false">SUMPRODUCT((Rules!$A$2:$A$60=F$1)*Rules!$C$2:$C$60*ISNUMBER(SEARCH(Rules!$D$2:$D$60,$D492)))</f>
        <v>0</v>
      </c>
      <c r="G492" s="0" t="n">
        <f aca="false">SUMPRODUCT((Rules!$A$2:$A$60=G$1)*Rules!$C$2:$C$60*ISNUMBER(SEARCH(Rules!$D$2:$D$60,$D492)))</f>
        <v>0</v>
      </c>
      <c r="H492" s="0" t="n">
        <f aca="false">SUMPRODUCT((Rules!$A$2:$A$60=H$1)*Rules!$C$2:$C$60*ISNUMBER(SEARCH(Rules!$D$2:$D$60,$D492)))</f>
        <v>0</v>
      </c>
      <c r="I492" s="0" t="n">
        <f aca="false">SUMPRODUCT((Rules!$A$2:$A$60=I$1)*Rules!$C$2:$C$60*ISNUMBER(SEARCH(Rules!$D$2:$D$60,$D492)))</f>
        <v>3</v>
      </c>
      <c r="J492" s="0" t="n">
        <f aca="false">SUMPRODUCT((Rules!$A$2:$A$60=J$1)*Rules!$C$2:$C$60*ISNUMBER(SEARCH(Rules!$D$2:$D$60,$D492)))</f>
        <v>0</v>
      </c>
      <c r="K492" s="0" t="str">
        <f aca="false">IF(OR(MAX(E492:J492)&lt;Rules!$H$1,MAX(E492:J492)-LARGE(E492:J492,2)&lt;Rules!$H$2),"No label",INDEX($E$1:$J$1,MATCH(MAX(E492:J492),E492:J492,0)))</f>
        <v>Delays &amp; Processing</v>
      </c>
      <c r="L492" s="0" t="n">
        <f aca="false">SUMPRODUCT((Rules!$A$2:$A$60=L$1)*Rules!$C$2:$C$60*ISNUMBER(SEARCH(Rules!$E$2:$E$60,$D492)))</f>
        <v>0</v>
      </c>
      <c r="M492" s="0" t="n">
        <f aca="false">SUMPRODUCT((Rules!$A$2:$A$60=M$1)*Rules!$C$2:$C$60*ISNUMBER(SEARCH(Rules!$E$2:$E$60,$D492)))</f>
        <v>0</v>
      </c>
      <c r="N492" s="0" t="n">
        <f aca="false">SUMPRODUCT((Rules!$A$2:$A$60=N$1)*Rules!$C$2:$C$60*ISNUMBER(SEARCH(Rules!$E$2:$E$60,$D492)))</f>
        <v>0</v>
      </c>
      <c r="O492" s="0" t="n">
        <f aca="false">SUMPRODUCT((Rules!$A$2:$A$60=O$1)*Rules!$C$2:$C$60*ISNUMBER(SEARCH(Rules!$E$2:$E$60,$D492)))</f>
        <v>0</v>
      </c>
      <c r="P492" s="0" t="n">
        <f aca="false">SUMPRODUCT((Rules!$A$2:$A$60=P$1)*Rules!$C$2:$C$60*ISNUMBER(SEARCH(Rules!$E$2:$E$60,$D492)))</f>
        <v>3</v>
      </c>
      <c r="Q492" s="0" t="n">
        <f aca="false">SUMPRODUCT((Rules!$A$2:$A$60=Q$1)*Rules!$C$2:$C$60*ISNUMBER(SEARCH(Rules!$E$2:$E$60,$D492)))</f>
        <v>0</v>
      </c>
      <c r="R492" s="0" t="str">
        <f aca="false">IF(OR(MAX(L492:Q492)&lt;Rules!$H$1,MAX(L492:Q492)-LARGE(L492:Q492,2)&lt;Rules!$H$2),"No label",INDEX($L$1:$Q$1,MATCH(MAX(L492:Q492),L492:Q492,0)))</f>
        <v>Delays &amp; Processing</v>
      </c>
      <c r="S492" s="0" t="n">
        <f aca="false">SUMPRODUCT(ISNUMBER(SEARCH(" "&amp;Terms!$A$3:$A$821&amp;" ",$D492))*Terms!B$3:B$821)+Terms!B$2</f>
        <v>-2.0168476341947</v>
      </c>
      <c r="T492" s="0" t="n">
        <f aca="false">SUMPRODUCT(ISNUMBER(SEARCH(" "&amp;Terms!$A$3:$A$821&amp;" ",$D492))*Terms!C$3:C$821)+Terms!C$2</f>
        <v>0.00384481885885296</v>
      </c>
      <c r="U492" s="0" t="n">
        <f aca="false">SUMPRODUCT(ISNUMBER(SEARCH(" "&amp;Terms!$A$3:$A$821&amp;" ",$D492))*Terms!D$3:D$821)+Terms!D$2</f>
        <v>6.3745644920389</v>
      </c>
      <c r="V492" s="0" t="n">
        <f aca="false">SUMPRODUCT(ISNUMBER(SEARCH(" "&amp;Terms!$A$3:$A$821&amp;" ",$D492))*Terms!E$3:E$821)+Terms!E$2</f>
        <v>-0.841624904729773</v>
      </c>
      <c r="W492" s="0" t="n">
        <f aca="false">SUMPRODUCT(ISNUMBER(SEARCH(" "&amp;Terms!$A$3:$A$821&amp;" ",$D492))*Terms!F$3:F$821)+Terms!F$2</f>
        <v>-2.58316428789804</v>
      </c>
      <c r="X492" s="0" t="n">
        <f aca="false">SUMPRODUCT(ISNUMBER(SEARCH(" "&amp;Terms!$A$3:$A$821&amp;" ",$D492))*Terms!G$3:G$821)+Terms!G$2</f>
        <v>-0.93677248407515</v>
      </c>
      <c r="Y492" s="0" t="str">
        <f aca="false">INDEX($S$1:$X$1,MATCH(MAX(S492:X492),S492:X492,0))</f>
        <v>Delays &amp; Processing</v>
      </c>
      <c r="Z492" s="0" t="s">
        <v>2607</v>
      </c>
    </row>
    <row r="493" customFormat="false" ht="15" hidden="false" customHeight="false" outlineLevel="0" collapsed="false">
      <c r="A493" s="0" t="str">
        <f aca="false">Complaints!A493</f>
        <v>C0492</v>
      </c>
      <c r="B493" s="0" t="str">
        <f aca="false">Complaints!B493</f>
        <v>The complaints handler was unhelpful and talked over me. I do not think it was explained properly when I bought it.</v>
      </c>
      <c r="C493" s="0" t="str">
        <f aca="false">Complaints!C493</f>
        <v>Customer Service</v>
      </c>
      <c r="D493" s="0" t="str">
        <f aca="false">" "&amp;TRIM(SUBSTITUTE(SUBSTITUTE(SUBSTITUTE(SUBSTITUTE(SUBSTITUTE(SUBSTITUTE(SUBSTITUTE(SUBSTITUTE(SUBSTITUTE(SUBSTITUTE(SUBSTITUTE(SUBSTITUTE(SUBSTITUTE(SUBSTITUTE(SUBSTITUTE(SUBSTITUTE(LOWER(B493),"."," "),","," "),"'"," "),"’"," "),"!"," "),"?"," "),";"," "),":"," "),"-"," "),"("," "),")"," "),"""", " "),"£"," "),"&amp;"," "),"/"," "),"%"," "))&amp;" "</f>
        <v> the complaints handler was unhelpful and talked over me i do not think it was explained properly when i bought it </v>
      </c>
      <c r="E493" s="0" t="n">
        <f aca="false">SUMPRODUCT((Rules!$A$2:$A$60=E$1)*Rules!$C$2:$C$60*ISNUMBER(SEARCH(Rules!$D$2:$D$60,$D493)))</f>
        <v>0</v>
      </c>
      <c r="F493" s="0" t="n">
        <f aca="false">SUMPRODUCT((Rules!$A$2:$A$60=F$1)*Rules!$C$2:$C$60*ISNUMBER(SEARCH(Rules!$D$2:$D$60,$D493)))</f>
        <v>0</v>
      </c>
      <c r="G493" s="0" t="n">
        <f aca="false">SUMPRODUCT((Rules!$A$2:$A$60=G$1)*Rules!$C$2:$C$60*ISNUMBER(SEARCH(Rules!$D$2:$D$60,$D493)))</f>
        <v>0</v>
      </c>
      <c r="H493" s="0" t="n">
        <f aca="false">SUMPRODUCT((Rules!$A$2:$A$60=H$1)*Rules!$C$2:$C$60*ISNUMBER(SEARCH(Rules!$D$2:$D$60,$D493)))</f>
        <v>0</v>
      </c>
      <c r="I493" s="0" t="n">
        <f aca="false">SUMPRODUCT((Rules!$A$2:$A$60=I$1)*Rules!$C$2:$C$60*ISNUMBER(SEARCH(Rules!$D$2:$D$60,$D493)))</f>
        <v>0</v>
      </c>
      <c r="J493" s="0" t="n">
        <f aca="false">SUMPRODUCT((Rules!$A$2:$A$60=J$1)*Rules!$C$2:$C$60*ISNUMBER(SEARCH(Rules!$D$2:$D$60,$D493)))</f>
        <v>2</v>
      </c>
      <c r="K493" s="0" t="str">
        <f aca="false">IF(OR(MAX(E493:J493)&lt;Rules!$H$1,MAX(E493:J493)-LARGE(E493:J493,2)&lt;Rules!$H$2),"No label",INDEX($E$1:$J$1,MATCH(MAX(E493:J493),E493:J493,0)))</f>
        <v>No label</v>
      </c>
      <c r="L493" s="0" t="n">
        <f aca="false">SUMPRODUCT((Rules!$A$2:$A$60=L$1)*Rules!$C$2:$C$60*ISNUMBER(SEARCH(Rules!$E$2:$E$60,$D493)))</f>
        <v>0</v>
      </c>
      <c r="M493" s="0" t="n">
        <f aca="false">SUMPRODUCT((Rules!$A$2:$A$60=M$1)*Rules!$C$2:$C$60*ISNUMBER(SEARCH(Rules!$E$2:$E$60,$D493)))</f>
        <v>0</v>
      </c>
      <c r="N493" s="0" t="n">
        <f aca="false">SUMPRODUCT((Rules!$A$2:$A$60=N$1)*Rules!$C$2:$C$60*ISNUMBER(SEARCH(Rules!$E$2:$E$60,$D493)))</f>
        <v>0</v>
      </c>
      <c r="O493" s="0" t="n">
        <f aca="false">SUMPRODUCT((Rules!$A$2:$A$60=O$1)*Rules!$C$2:$C$60*ISNUMBER(SEARCH(Rules!$E$2:$E$60,$D493)))</f>
        <v>0</v>
      </c>
      <c r="P493" s="0" t="n">
        <f aca="false">SUMPRODUCT((Rules!$A$2:$A$60=P$1)*Rules!$C$2:$C$60*ISNUMBER(SEARCH(Rules!$E$2:$E$60,$D493)))</f>
        <v>0</v>
      </c>
      <c r="Q493" s="0" t="n">
        <f aca="false">SUMPRODUCT((Rules!$A$2:$A$60=Q$1)*Rules!$C$2:$C$60*ISNUMBER(SEARCH(Rules!$E$2:$E$60,$D493)))</f>
        <v>2</v>
      </c>
      <c r="R493" s="0" t="str">
        <f aca="false">IF(OR(MAX(L493:Q493)&lt;Rules!$H$1,MAX(L493:Q493)-LARGE(L493:Q493,2)&lt;Rules!$H$2),"No label",INDEX($L$1:$Q$1,MATCH(MAX(L493:Q493),L493:Q493,0)))</f>
        <v>No label</v>
      </c>
      <c r="S493" s="0" t="n">
        <f aca="false">SUMPRODUCT(ISNUMBER(SEARCH(" "&amp;Terms!$A$3:$A$821&amp;" ",$D493))*Terms!B$3:B$821)+Terms!B$2</f>
        <v>-1.19255380679197</v>
      </c>
      <c r="T493" s="0" t="n">
        <f aca="false">SUMPRODUCT(ISNUMBER(SEARCH(" "&amp;Terms!$A$3:$A$821&amp;" ",$D493))*Terms!C$3:C$821)+Terms!C$2</f>
        <v>7.97301740934083</v>
      </c>
      <c r="U493" s="0" t="n">
        <f aca="false">SUMPRODUCT(ISNUMBER(SEARCH(" "&amp;Terms!$A$3:$A$821&amp;" ",$D493))*Terms!D$3:D$821)+Terms!D$2</f>
        <v>-4.36936133531854</v>
      </c>
      <c r="V493" s="0" t="n">
        <f aca="false">SUMPRODUCT(ISNUMBER(SEARCH(" "&amp;Terms!$A$3:$A$821&amp;" ",$D493))*Terms!E$3:E$821)+Terms!E$2</f>
        <v>1.23847525586843</v>
      </c>
      <c r="W493" s="0" t="n">
        <f aca="false">SUMPRODUCT(ISNUMBER(SEARCH(" "&amp;Terms!$A$3:$A$821&amp;" ",$D493))*Terms!F$3:F$821)+Terms!F$2</f>
        <v>-0.6084386821339</v>
      </c>
      <c r="X493" s="0" t="n">
        <f aca="false">SUMPRODUCT(ISNUMBER(SEARCH(" "&amp;Terms!$A$3:$A$821&amp;" ",$D493))*Terms!G$3:G$821)+Terms!G$2</f>
        <v>-3.04113884096477</v>
      </c>
      <c r="Y493" s="0" t="str">
        <f aca="false">INDEX($S$1:$X$1,MATCH(MAX(S493:X493),S493:X493,0))</f>
        <v>Customer Service</v>
      </c>
      <c r="Z493" s="0" t="s">
        <v>2608</v>
      </c>
    </row>
    <row r="494" customFormat="false" ht="15" hidden="false" customHeight="false" outlineLevel="0" collapsed="false">
      <c r="A494" s="0" t="str">
        <f aca="false">Complaints!A494</f>
        <v>C0493</v>
      </c>
      <c r="B494" s="0" t="str">
        <f aca="false">Complaints!B494</f>
        <v>I have been a customer for years. I was hit with a penalty charg for a payment I made on time. I do not think it was explained properly when I bought it. I expect compensation.</v>
      </c>
      <c r="C494" s="0" t="str">
        <f aca="false">Complaints!C494</f>
        <v>Fees &amp; Charges</v>
      </c>
      <c r="D494" s="0" t="str">
        <f aca="false">" "&amp;TRIM(SUBSTITUTE(SUBSTITUTE(SUBSTITUTE(SUBSTITUTE(SUBSTITUTE(SUBSTITUTE(SUBSTITUTE(SUBSTITUTE(SUBSTITUTE(SUBSTITUTE(SUBSTITUTE(SUBSTITUTE(SUBSTITUTE(SUBSTITUTE(SUBSTITUTE(SUBSTITUTE(LOWER(B494),"."," "),","," "),"'"," "),"’"," "),"!"," "),"?"," "),";"," "),":"," "),"-"," "),"("," "),")"," "),"""", " "),"£"," "),"&amp;"," "),"/"," "),"%"," "))&amp;" "</f>
        <v> i have been a customer for years i was hit with a penalty charg for a payment i made on time i do not think it was explained properly when i bought it i expect compensation </v>
      </c>
      <c r="E494" s="0" t="n">
        <f aca="false">SUMPRODUCT((Rules!$A$2:$A$60=E$1)*Rules!$C$2:$C$60*ISNUMBER(SEARCH(Rules!$D$2:$D$60,$D494)))</f>
        <v>0</v>
      </c>
      <c r="F494" s="0" t="n">
        <f aca="false">SUMPRODUCT((Rules!$A$2:$A$60=F$1)*Rules!$C$2:$C$60*ISNUMBER(SEARCH(Rules!$D$2:$D$60,$D494)))</f>
        <v>0</v>
      </c>
      <c r="G494" s="0" t="n">
        <f aca="false">SUMPRODUCT((Rules!$A$2:$A$60=G$1)*Rules!$C$2:$C$60*ISNUMBER(SEARCH(Rules!$D$2:$D$60,$D494)))</f>
        <v>0</v>
      </c>
      <c r="H494" s="0" t="n">
        <f aca="false">SUMPRODUCT((Rules!$A$2:$A$60=H$1)*Rules!$C$2:$C$60*ISNUMBER(SEARCH(Rules!$D$2:$D$60,$D494)))</f>
        <v>2</v>
      </c>
      <c r="I494" s="0" t="n">
        <f aca="false">SUMPRODUCT((Rules!$A$2:$A$60=I$1)*Rules!$C$2:$C$60*ISNUMBER(SEARCH(Rules!$D$2:$D$60,$D494)))</f>
        <v>0</v>
      </c>
      <c r="J494" s="0" t="n">
        <f aca="false">SUMPRODUCT((Rules!$A$2:$A$60=J$1)*Rules!$C$2:$C$60*ISNUMBER(SEARCH(Rules!$D$2:$D$60,$D494)))</f>
        <v>0</v>
      </c>
      <c r="K494" s="0" t="str">
        <f aca="false">IF(OR(MAX(E494:J494)&lt;Rules!$H$1,MAX(E494:J494)-LARGE(E494:J494,2)&lt;Rules!$H$2),"No label",INDEX($E$1:$J$1,MATCH(MAX(E494:J494),E494:J494,0)))</f>
        <v>No label</v>
      </c>
      <c r="L494" s="0" t="n">
        <f aca="false">SUMPRODUCT((Rules!$A$2:$A$60=L$1)*Rules!$C$2:$C$60*ISNUMBER(SEARCH(Rules!$E$2:$E$60,$D494)))</f>
        <v>0</v>
      </c>
      <c r="M494" s="0" t="n">
        <f aca="false">SUMPRODUCT((Rules!$A$2:$A$60=M$1)*Rules!$C$2:$C$60*ISNUMBER(SEARCH(Rules!$E$2:$E$60,$D494)))</f>
        <v>0</v>
      </c>
      <c r="N494" s="0" t="n">
        <f aca="false">SUMPRODUCT((Rules!$A$2:$A$60=N$1)*Rules!$C$2:$C$60*ISNUMBER(SEARCH(Rules!$E$2:$E$60,$D494)))</f>
        <v>0</v>
      </c>
      <c r="O494" s="0" t="n">
        <f aca="false">SUMPRODUCT((Rules!$A$2:$A$60=O$1)*Rules!$C$2:$C$60*ISNUMBER(SEARCH(Rules!$E$2:$E$60,$D494)))</f>
        <v>6</v>
      </c>
      <c r="P494" s="0" t="n">
        <f aca="false">SUMPRODUCT((Rules!$A$2:$A$60=P$1)*Rules!$C$2:$C$60*ISNUMBER(SEARCH(Rules!$E$2:$E$60,$D494)))</f>
        <v>0</v>
      </c>
      <c r="Q494" s="0" t="n">
        <f aca="false">SUMPRODUCT((Rules!$A$2:$A$60=Q$1)*Rules!$C$2:$C$60*ISNUMBER(SEARCH(Rules!$E$2:$E$60,$D494)))</f>
        <v>0</v>
      </c>
      <c r="R494" s="0" t="str">
        <f aca="false">IF(OR(MAX(L494:Q494)&lt;Rules!$H$1,MAX(L494:Q494)-LARGE(L494:Q494,2)&lt;Rules!$H$2),"No label",INDEX($L$1:$Q$1,MATCH(MAX(L494:Q494),L494:Q494,0)))</f>
        <v>Fees &amp; Charges</v>
      </c>
      <c r="S494" s="0" t="n">
        <f aca="false">SUMPRODUCT(ISNUMBER(SEARCH(" "&amp;Terms!$A$3:$A$821&amp;" ",$D494))*Terms!B$3:B$821)+Terms!B$2</f>
        <v>0.629598876708962</v>
      </c>
      <c r="T494" s="0" t="n">
        <f aca="false">SUMPRODUCT(ISNUMBER(SEARCH(" "&amp;Terms!$A$3:$A$821&amp;" ",$D494))*Terms!C$3:C$821)+Terms!C$2</f>
        <v>-0.539418216876801</v>
      </c>
      <c r="U494" s="0" t="n">
        <f aca="false">SUMPRODUCT(ISNUMBER(SEARCH(" "&amp;Terms!$A$3:$A$821&amp;" ",$D494))*Terms!D$3:D$821)+Terms!D$2</f>
        <v>-1.19421339612562</v>
      </c>
      <c r="V494" s="0" t="n">
        <f aca="false">SUMPRODUCT(ISNUMBER(SEARCH(" "&amp;Terms!$A$3:$A$821&amp;" ",$D494))*Terms!E$3:E$821)+Terms!E$2</f>
        <v>5.89830920060221</v>
      </c>
      <c r="W494" s="0" t="n">
        <f aca="false">SUMPRODUCT(ISNUMBER(SEARCH(" "&amp;Terms!$A$3:$A$821&amp;" ",$D494))*Terms!F$3:F$821)+Terms!F$2</f>
        <v>1.49167816693046</v>
      </c>
      <c r="X494" s="0" t="n">
        <f aca="false">SUMPRODUCT(ISNUMBER(SEARCH(" "&amp;Terms!$A$3:$A$821&amp;" ",$D494))*Terms!G$3:G$821)+Terms!G$2</f>
        <v>-6.28595463123914</v>
      </c>
      <c r="Y494" s="0" t="str">
        <f aca="false">INDEX($S$1:$X$1,MATCH(MAX(S494:X494),S494:X494,0))</f>
        <v>Fees &amp; Charges</v>
      </c>
      <c r="Z494" s="0" t="s">
        <v>2607</v>
      </c>
    </row>
    <row r="495" customFormat="false" ht="15" hidden="false" customHeight="false" outlineLevel="0" collapsed="false">
      <c r="A495" s="0" t="str">
        <f aca="false">Complaints!A495</f>
        <v>C0494</v>
      </c>
      <c r="B495" s="0" t="str">
        <f aca="false">Complaints!B495</f>
        <v>I was misled about what the insurance actually included. I would like a response in writing.</v>
      </c>
      <c r="C495" s="0" t="str">
        <f aca="false">Complaints!C495</f>
        <v>Mis-selling</v>
      </c>
      <c r="D495" s="0" t="str">
        <f aca="false">" "&amp;TRIM(SUBSTITUTE(SUBSTITUTE(SUBSTITUTE(SUBSTITUTE(SUBSTITUTE(SUBSTITUTE(SUBSTITUTE(SUBSTITUTE(SUBSTITUTE(SUBSTITUTE(SUBSTITUTE(SUBSTITUTE(SUBSTITUTE(SUBSTITUTE(SUBSTITUTE(SUBSTITUTE(LOWER(B495),"."," "),","," "),"'"," "),"’"," "),"!"," "),"?"," "),";"," "),":"," "),"-"," "),"("," "),")"," "),"""", " "),"£"," "),"&amp;"," "),"/"," "),"%"," "))&amp;" "</f>
        <v> i was misled about what the insurance actually included i would like a response in writing </v>
      </c>
      <c r="E495" s="0" t="n">
        <f aca="false">SUMPRODUCT((Rules!$A$2:$A$60=E$1)*Rules!$C$2:$C$60*ISNUMBER(SEARCH(Rules!$D$2:$D$60,$D495)))</f>
        <v>0</v>
      </c>
      <c r="F495" s="0" t="n">
        <f aca="false">SUMPRODUCT((Rules!$A$2:$A$60=F$1)*Rules!$C$2:$C$60*ISNUMBER(SEARCH(Rules!$D$2:$D$60,$D495)))</f>
        <v>4</v>
      </c>
      <c r="G495" s="0" t="n">
        <f aca="false">SUMPRODUCT((Rules!$A$2:$A$60=G$1)*Rules!$C$2:$C$60*ISNUMBER(SEARCH(Rules!$D$2:$D$60,$D495)))</f>
        <v>0</v>
      </c>
      <c r="H495" s="0" t="n">
        <f aca="false">SUMPRODUCT((Rules!$A$2:$A$60=H$1)*Rules!$C$2:$C$60*ISNUMBER(SEARCH(Rules!$D$2:$D$60,$D495)))</f>
        <v>0</v>
      </c>
      <c r="I495" s="0" t="n">
        <f aca="false">SUMPRODUCT((Rules!$A$2:$A$60=I$1)*Rules!$C$2:$C$60*ISNUMBER(SEARCH(Rules!$D$2:$D$60,$D495)))</f>
        <v>0</v>
      </c>
      <c r="J495" s="0" t="n">
        <f aca="false">SUMPRODUCT((Rules!$A$2:$A$60=J$1)*Rules!$C$2:$C$60*ISNUMBER(SEARCH(Rules!$D$2:$D$60,$D495)))</f>
        <v>0</v>
      </c>
      <c r="K495" s="0" t="str">
        <f aca="false">IF(OR(MAX(E495:J495)&lt;Rules!$H$1,MAX(E495:J495)-LARGE(E495:J495,2)&lt;Rules!$H$2),"No label",INDEX($E$1:$J$1,MATCH(MAX(E495:J495),E495:J495,0)))</f>
        <v>Mis-selling</v>
      </c>
      <c r="L495" s="0" t="n">
        <f aca="false">SUMPRODUCT((Rules!$A$2:$A$60=L$1)*Rules!$C$2:$C$60*ISNUMBER(SEARCH(Rules!$E$2:$E$60,$D495)))</f>
        <v>0</v>
      </c>
      <c r="M495" s="0" t="n">
        <f aca="false">SUMPRODUCT((Rules!$A$2:$A$60=M$1)*Rules!$C$2:$C$60*ISNUMBER(SEARCH(Rules!$E$2:$E$60,$D495)))</f>
        <v>4</v>
      </c>
      <c r="N495" s="0" t="n">
        <f aca="false">SUMPRODUCT((Rules!$A$2:$A$60=N$1)*Rules!$C$2:$C$60*ISNUMBER(SEARCH(Rules!$E$2:$E$60,$D495)))</f>
        <v>0</v>
      </c>
      <c r="O495" s="0" t="n">
        <f aca="false">SUMPRODUCT((Rules!$A$2:$A$60=O$1)*Rules!$C$2:$C$60*ISNUMBER(SEARCH(Rules!$E$2:$E$60,$D495)))</f>
        <v>0</v>
      </c>
      <c r="P495" s="0" t="n">
        <f aca="false">SUMPRODUCT((Rules!$A$2:$A$60=P$1)*Rules!$C$2:$C$60*ISNUMBER(SEARCH(Rules!$E$2:$E$60,$D495)))</f>
        <v>0</v>
      </c>
      <c r="Q495" s="0" t="n">
        <f aca="false">SUMPRODUCT((Rules!$A$2:$A$60=Q$1)*Rules!$C$2:$C$60*ISNUMBER(SEARCH(Rules!$E$2:$E$60,$D495)))</f>
        <v>0</v>
      </c>
      <c r="R495" s="0" t="str">
        <f aca="false">IF(OR(MAX(L495:Q495)&lt;Rules!$H$1,MAX(L495:Q495)-LARGE(L495:Q495,2)&lt;Rules!$H$2),"No label",INDEX($L$1:$Q$1,MATCH(MAX(L495:Q495),L495:Q495,0)))</f>
        <v>Mis-selling</v>
      </c>
      <c r="S495" s="0" t="n">
        <f aca="false">SUMPRODUCT(ISNUMBER(SEARCH(" "&amp;Terms!$A$3:$A$821&amp;" ",$D495))*Terms!B$3:B$821)+Terms!B$2</f>
        <v>-2.00675123593673</v>
      </c>
      <c r="T495" s="0" t="n">
        <f aca="false">SUMPRODUCT(ISNUMBER(SEARCH(" "&amp;Terms!$A$3:$A$821&amp;" ",$D495))*Terms!C$3:C$821)+Terms!C$2</f>
        <v>-4.05868783086606</v>
      </c>
      <c r="U495" s="0" t="n">
        <f aca="false">SUMPRODUCT(ISNUMBER(SEARCH(" "&amp;Terms!$A$3:$A$821&amp;" ",$D495))*Terms!D$3:D$821)+Terms!D$2</f>
        <v>-1.14847933128478</v>
      </c>
      <c r="V495" s="0" t="n">
        <f aca="false">SUMPRODUCT(ISNUMBER(SEARCH(" "&amp;Terms!$A$3:$A$821&amp;" ",$D495))*Terms!E$3:E$821)+Terms!E$2</f>
        <v>-1.16615052320296</v>
      </c>
      <c r="W495" s="0" t="n">
        <f aca="false">SUMPRODUCT(ISNUMBER(SEARCH(" "&amp;Terms!$A$3:$A$821&amp;" ",$D495))*Terms!F$3:F$821)+Terms!F$2</f>
        <v>-5.67321783273746</v>
      </c>
      <c r="X495" s="0" t="n">
        <f aca="false">SUMPRODUCT(ISNUMBER(SEARCH(" "&amp;Terms!$A$3:$A$821&amp;" ",$D495))*Terms!G$3:G$821)+Terms!G$2</f>
        <v>14.0532867540281</v>
      </c>
      <c r="Y495" s="0" t="str">
        <f aca="false">INDEX($S$1:$X$1,MATCH(MAX(S495:X495),S495:X495,0))</f>
        <v>Mis-selling</v>
      </c>
      <c r="Z495" s="0" t="s">
        <v>2608</v>
      </c>
    </row>
    <row r="496" customFormat="false" ht="15" hidden="false" customHeight="false" outlineLevel="0" collapsed="false">
      <c r="A496" s="0" t="str">
        <f aca="false">Complaints!A496</f>
        <v>C0495</v>
      </c>
      <c r="B496" s="0" t="str">
        <f aca="false">Complaints!B496</f>
        <v>I have been a customer for years. My account was frozen and I cannot get in to move money.</v>
      </c>
      <c r="C496" s="0" t="str">
        <f aca="false">Complaints!C496</f>
        <v>Account Access</v>
      </c>
      <c r="D496" s="0" t="str">
        <f aca="false">" "&amp;TRIM(SUBSTITUTE(SUBSTITUTE(SUBSTITUTE(SUBSTITUTE(SUBSTITUTE(SUBSTITUTE(SUBSTITUTE(SUBSTITUTE(SUBSTITUTE(SUBSTITUTE(SUBSTITUTE(SUBSTITUTE(SUBSTITUTE(SUBSTITUTE(SUBSTITUTE(SUBSTITUTE(LOWER(B496),"."," "),","," "),"'"," "),"’"," "),"!"," "),"?"," "),";"," "),":"," "),"-"," "),"("," "),")"," "),"""", " "),"£"," "),"&amp;"," "),"/"," "),"%"," "))&amp;" "</f>
        <v> i have been a customer for years my account was frozen and i cannot get in to move money </v>
      </c>
      <c r="E496" s="0" t="n">
        <f aca="false">SUMPRODUCT((Rules!$A$2:$A$60=E$1)*Rules!$C$2:$C$60*ISNUMBER(SEARCH(Rules!$D$2:$D$60,$D496)))</f>
        <v>0</v>
      </c>
      <c r="F496" s="0" t="n">
        <f aca="false">SUMPRODUCT((Rules!$A$2:$A$60=F$1)*Rules!$C$2:$C$60*ISNUMBER(SEARCH(Rules!$D$2:$D$60,$D496)))</f>
        <v>0</v>
      </c>
      <c r="G496" s="0" t="n">
        <f aca="false">SUMPRODUCT((Rules!$A$2:$A$60=G$1)*Rules!$C$2:$C$60*ISNUMBER(SEARCH(Rules!$D$2:$D$60,$D496)))</f>
        <v>0</v>
      </c>
      <c r="H496" s="0" t="n">
        <f aca="false">SUMPRODUCT((Rules!$A$2:$A$60=H$1)*Rules!$C$2:$C$60*ISNUMBER(SEARCH(Rules!$D$2:$D$60,$D496)))</f>
        <v>0</v>
      </c>
      <c r="I496" s="0" t="n">
        <f aca="false">SUMPRODUCT((Rules!$A$2:$A$60=I$1)*Rules!$C$2:$C$60*ISNUMBER(SEARCH(Rules!$D$2:$D$60,$D496)))</f>
        <v>0</v>
      </c>
      <c r="J496" s="0" t="n">
        <f aca="false">SUMPRODUCT((Rules!$A$2:$A$60=J$1)*Rules!$C$2:$C$60*ISNUMBER(SEARCH(Rules!$D$2:$D$60,$D496)))</f>
        <v>0</v>
      </c>
      <c r="K496" s="0" t="str">
        <f aca="false">IF(OR(MAX(E496:J496)&lt;Rules!$H$1,MAX(E496:J496)-LARGE(E496:J496,2)&lt;Rules!$H$2),"No label",INDEX($E$1:$J$1,MATCH(MAX(E496:J496),E496:J496,0)))</f>
        <v>No label</v>
      </c>
      <c r="L496" s="0" t="n">
        <f aca="false">SUMPRODUCT((Rules!$A$2:$A$60=L$1)*Rules!$C$2:$C$60*ISNUMBER(SEARCH(Rules!$E$2:$E$60,$D496)))</f>
        <v>0</v>
      </c>
      <c r="M496" s="0" t="n">
        <f aca="false">SUMPRODUCT((Rules!$A$2:$A$60=M$1)*Rules!$C$2:$C$60*ISNUMBER(SEARCH(Rules!$E$2:$E$60,$D496)))</f>
        <v>0</v>
      </c>
      <c r="N496" s="0" t="n">
        <f aca="false">SUMPRODUCT((Rules!$A$2:$A$60=N$1)*Rules!$C$2:$C$60*ISNUMBER(SEARCH(Rules!$E$2:$E$60,$D496)))</f>
        <v>0</v>
      </c>
      <c r="O496" s="0" t="n">
        <f aca="false">SUMPRODUCT((Rules!$A$2:$A$60=O$1)*Rules!$C$2:$C$60*ISNUMBER(SEARCH(Rules!$E$2:$E$60,$D496)))</f>
        <v>0</v>
      </c>
      <c r="P496" s="0" t="n">
        <f aca="false">SUMPRODUCT((Rules!$A$2:$A$60=P$1)*Rules!$C$2:$C$60*ISNUMBER(SEARCH(Rules!$E$2:$E$60,$D496)))</f>
        <v>0</v>
      </c>
      <c r="Q496" s="0" t="n">
        <f aca="false">SUMPRODUCT((Rules!$A$2:$A$60=Q$1)*Rules!$C$2:$C$60*ISNUMBER(SEARCH(Rules!$E$2:$E$60,$D496)))</f>
        <v>0</v>
      </c>
      <c r="R496" s="0" t="str">
        <f aca="false">IF(OR(MAX(L496:Q496)&lt;Rules!$H$1,MAX(L496:Q496)-LARGE(L496:Q496,2)&lt;Rules!$H$2),"No label",INDEX($L$1:$Q$1,MATCH(MAX(L496:Q496),L496:Q496,0)))</f>
        <v>No label</v>
      </c>
      <c r="S496" s="0" t="n">
        <f aca="false">SUMPRODUCT(ISNUMBER(SEARCH(" "&amp;Terms!$A$3:$A$821&amp;" ",$D496))*Terms!B$3:B$821)+Terms!B$2</f>
        <v>5.58374109173717</v>
      </c>
      <c r="T496" s="0" t="n">
        <f aca="false">SUMPRODUCT(ISNUMBER(SEARCH(" "&amp;Terms!$A$3:$A$821&amp;" ",$D496))*Terms!C$3:C$821)+Terms!C$2</f>
        <v>-2.57902344039745</v>
      </c>
      <c r="U496" s="0" t="n">
        <f aca="false">SUMPRODUCT(ISNUMBER(SEARCH(" "&amp;Terms!$A$3:$A$821&amp;" ",$D496))*Terms!D$3:D$821)+Terms!D$2</f>
        <v>1.33419646814167</v>
      </c>
      <c r="V496" s="0" t="n">
        <f aca="false">SUMPRODUCT(ISNUMBER(SEARCH(" "&amp;Terms!$A$3:$A$821&amp;" ",$D496))*Terms!E$3:E$821)+Terms!E$2</f>
        <v>-2.52686212851944</v>
      </c>
      <c r="W496" s="0" t="n">
        <f aca="false">SUMPRODUCT(ISNUMBER(SEARCH(" "&amp;Terms!$A$3:$A$821&amp;" ",$D496))*Terms!F$3:F$821)+Terms!F$2</f>
        <v>0.0515108998182426</v>
      </c>
      <c r="X496" s="0" t="n">
        <f aca="false">SUMPRODUCT(ISNUMBER(SEARCH(" "&amp;Terms!$A$3:$A$821&amp;" ",$D496))*Terms!G$3:G$821)+Terms!G$2</f>
        <v>-1.86356289078011</v>
      </c>
      <c r="Y496" s="0" t="str">
        <f aca="false">INDEX($S$1:$X$1,MATCH(MAX(S496:X496),S496:X496,0))</f>
        <v>Account Access</v>
      </c>
      <c r="Z496" s="0" t="s">
        <v>2608</v>
      </c>
    </row>
    <row r="497" customFormat="false" ht="15" hidden="false" customHeight="false" outlineLevel="0" collapsed="false">
      <c r="A497" s="0" t="str">
        <f aca="false">Complaints!A497</f>
        <v>C0496</v>
      </c>
      <c r="B497" s="0" t="str">
        <f aca="false">Complaints!B497</f>
        <v>Please look into what happened on my account. Please sort this out.</v>
      </c>
      <c r="C497" s="0" t="str">
        <f aca="false">Complaints!C497</f>
        <v>Fees &amp; Charges</v>
      </c>
      <c r="D497" s="0" t="str">
        <f aca="false">" "&amp;TRIM(SUBSTITUTE(SUBSTITUTE(SUBSTITUTE(SUBSTITUTE(SUBSTITUTE(SUBSTITUTE(SUBSTITUTE(SUBSTITUTE(SUBSTITUTE(SUBSTITUTE(SUBSTITUTE(SUBSTITUTE(SUBSTITUTE(SUBSTITUTE(SUBSTITUTE(SUBSTITUTE(LOWER(B497),"."," "),","," "),"'"," "),"’"," "),"!"," "),"?"," "),";"," "),":"," "),"-"," "),"("," "),")"," "),"""", " "),"£"," "),"&amp;"," "),"/"," "),"%"," "))&amp;" "</f>
        <v> please look into what happened on my account please sort this out </v>
      </c>
      <c r="E497" s="0" t="n">
        <f aca="false">SUMPRODUCT((Rules!$A$2:$A$60=E$1)*Rules!$C$2:$C$60*ISNUMBER(SEARCH(Rules!$D$2:$D$60,$D497)))</f>
        <v>0</v>
      </c>
      <c r="F497" s="0" t="n">
        <f aca="false">SUMPRODUCT((Rules!$A$2:$A$60=F$1)*Rules!$C$2:$C$60*ISNUMBER(SEARCH(Rules!$D$2:$D$60,$D497)))</f>
        <v>0</v>
      </c>
      <c r="G497" s="0" t="n">
        <f aca="false">SUMPRODUCT((Rules!$A$2:$A$60=G$1)*Rules!$C$2:$C$60*ISNUMBER(SEARCH(Rules!$D$2:$D$60,$D497)))</f>
        <v>0</v>
      </c>
      <c r="H497" s="0" t="n">
        <f aca="false">SUMPRODUCT((Rules!$A$2:$A$60=H$1)*Rules!$C$2:$C$60*ISNUMBER(SEARCH(Rules!$D$2:$D$60,$D497)))</f>
        <v>0</v>
      </c>
      <c r="I497" s="0" t="n">
        <f aca="false">SUMPRODUCT((Rules!$A$2:$A$60=I$1)*Rules!$C$2:$C$60*ISNUMBER(SEARCH(Rules!$D$2:$D$60,$D497)))</f>
        <v>0</v>
      </c>
      <c r="J497" s="0" t="n">
        <f aca="false">SUMPRODUCT((Rules!$A$2:$A$60=J$1)*Rules!$C$2:$C$60*ISNUMBER(SEARCH(Rules!$D$2:$D$60,$D497)))</f>
        <v>0</v>
      </c>
      <c r="K497" s="0" t="str">
        <f aca="false">IF(OR(MAX(E497:J497)&lt;Rules!$H$1,MAX(E497:J497)-LARGE(E497:J497,2)&lt;Rules!$H$2),"No label",INDEX($E$1:$J$1,MATCH(MAX(E497:J497),E497:J497,0)))</f>
        <v>No label</v>
      </c>
      <c r="L497" s="0" t="n">
        <f aca="false">SUMPRODUCT((Rules!$A$2:$A$60=L$1)*Rules!$C$2:$C$60*ISNUMBER(SEARCH(Rules!$E$2:$E$60,$D497)))</f>
        <v>0</v>
      </c>
      <c r="M497" s="0" t="n">
        <f aca="false">SUMPRODUCT((Rules!$A$2:$A$60=M$1)*Rules!$C$2:$C$60*ISNUMBER(SEARCH(Rules!$E$2:$E$60,$D497)))</f>
        <v>0</v>
      </c>
      <c r="N497" s="0" t="n">
        <f aca="false">SUMPRODUCT((Rules!$A$2:$A$60=N$1)*Rules!$C$2:$C$60*ISNUMBER(SEARCH(Rules!$E$2:$E$60,$D497)))</f>
        <v>0</v>
      </c>
      <c r="O497" s="0" t="n">
        <f aca="false">SUMPRODUCT((Rules!$A$2:$A$60=O$1)*Rules!$C$2:$C$60*ISNUMBER(SEARCH(Rules!$E$2:$E$60,$D497)))</f>
        <v>0</v>
      </c>
      <c r="P497" s="0" t="n">
        <f aca="false">SUMPRODUCT((Rules!$A$2:$A$60=P$1)*Rules!$C$2:$C$60*ISNUMBER(SEARCH(Rules!$E$2:$E$60,$D497)))</f>
        <v>0</v>
      </c>
      <c r="Q497" s="0" t="n">
        <f aca="false">SUMPRODUCT((Rules!$A$2:$A$60=Q$1)*Rules!$C$2:$C$60*ISNUMBER(SEARCH(Rules!$E$2:$E$60,$D497)))</f>
        <v>0</v>
      </c>
      <c r="R497" s="0" t="str">
        <f aca="false">IF(OR(MAX(L497:Q497)&lt;Rules!$H$1,MAX(L497:Q497)-LARGE(L497:Q497,2)&lt;Rules!$H$2),"No label",INDEX($L$1:$Q$1,MATCH(MAX(L497:Q497),L497:Q497,0)))</f>
        <v>No label</v>
      </c>
      <c r="S497" s="0" t="n">
        <f aca="false">SUMPRODUCT(ISNUMBER(SEARCH(" "&amp;Terms!$A$3:$A$821&amp;" ",$D497))*Terms!B$3:B$821)+Terms!B$2</f>
        <v>-0.993225599013411</v>
      </c>
      <c r="T497" s="0" t="n">
        <f aca="false">SUMPRODUCT(ISNUMBER(SEARCH(" "&amp;Terms!$A$3:$A$821&amp;" ",$D497))*Terms!C$3:C$821)+Terms!C$2</f>
        <v>-0.964749104070052</v>
      </c>
      <c r="U497" s="0" t="n">
        <f aca="false">SUMPRODUCT(ISNUMBER(SEARCH(" "&amp;Terms!$A$3:$A$821&amp;" ",$D497))*Terms!D$3:D$821)+Terms!D$2</f>
        <v>2.87126602026821</v>
      </c>
      <c r="V497" s="0" t="n">
        <f aca="false">SUMPRODUCT(ISNUMBER(SEARCH(" "&amp;Terms!$A$3:$A$821&amp;" ",$D497))*Terms!E$3:E$821)+Terms!E$2</f>
        <v>1.14290932615599</v>
      </c>
      <c r="W497" s="0" t="n">
        <f aca="false">SUMPRODUCT(ISNUMBER(SEARCH(" "&amp;Terms!$A$3:$A$821&amp;" ",$D497))*Terms!F$3:F$821)+Terms!F$2</f>
        <v>0.100119925607868</v>
      </c>
      <c r="X497" s="0" t="n">
        <f aca="false">SUMPRODUCT(ISNUMBER(SEARCH(" "&amp;Terms!$A$3:$A$821&amp;" ",$D497))*Terms!G$3:G$821)+Terms!G$2</f>
        <v>-2.15632056894851</v>
      </c>
      <c r="Y497" s="0" t="str">
        <f aca="false">INDEX($S$1:$X$1,MATCH(MAX(S497:X497),S497:X497,0))</f>
        <v>Delays &amp; Processing</v>
      </c>
      <c r="Z497" s="0" t="s">
        <v>2607</v>
      </c>
    </row>
    <row r="498" customFormat="false" ht="15" hidden="false" customHeight="false" outlineLevel="0" collapsed="false">
      <c r="A498" s="0" t="str">
        <f aca="false">Complaints!A498</f>
        <v>C0497</v>
      </c>
      <c r="B498" s="0" t="str">
        <f aca="false">Complaints!B498</f>
        <v>I have been a customer for years. I was misled about what the insurance actually included. I want this put right.</v>
      </c>
      <c r="C498" s="0" t="str">
        <f aca="false">Complaints!C498</f>
        <v>Mis-selling</v>
      </c>
      <c r="D498" s="0" t="str">
        <f aca="false">" "&amp;TRIM(SUBSTITUTE(SUBSTITUTE(SUBSTITUTE(SUBSTITUTE(SUBSTITUTE(SUBSTITUTE(SUBSTITUTE(SUBSTITUTE(SUBSTITUTE(SUBSTITUTE(SUBSTITUTE(SUBSTITUTE(SUBSTITUTE(SUBSTITUTE(SUBSTITUTE(SUBSTITUTE(LOWER(B498),"."," "),","," "),"'"," "),"’"," "),"!"," "),"?"," "),";"," "),":"," "),"-"," "),"("," "),")"," "),"""", " "),"£"," "),"&amp;"," "),"/"," "),"%"," "))&amp;" "</f>
        <v> i have been a customer for years i was misled about what the insurance actually included i want this put right </v>
      </c>
      <c r="E498" s="0" t="n">
        <f aca="false">SUMPRODUCT((Rules!$A$2:$A$60=E$1)*Rules!$C$2:$C$60*ISNUMBER(SEARCH(Rules!$D$2:$D$60,$D498)))</f>
        <v>0</v>
      </c>
      <c r="F498" s="0" t="n">
        <f aca="false">SUMPRODUCT((Rules!$A$2:$A$60=F$1)*Rules!$C$2:$C$60*ISNUMBER(SEARCH(Rules!$D$2:$D$60,$D498)))</f>
        <v>4</v>
      </c>
      <c r="G498" s="0" t="n">
        <f aca="false">SUMPRODUCT((Rules!$A$2:$A$60=G$1)*Rules!$C$2:$C$60*ISNUMBER(SEARCH(Rules!$D$2:$D$60,$D498)))</f>
        <v>0</v>
      </c>
      <c r="H498" s="0" t="n">
        <f aca="false">SUMPRODUCT((Rules!$A$2:$A$60=H$1)*Rules!$C$2:$C$60*ISNUMBER(SEARCH(Rules!$D$2:$D$60,$D498)))</f>
        <v>0</v>
      </c>
      <c r="I498" s="0" t="n">
        <f aca="false">SUMPRODUCT((Rules!$A$2:$A$60=I$1)*Rules!$C$2:$C$60*ISNUMBER(SEARCH(Rules!$D$2:$D$60,$D498)))</f>
        <v>0</v>
      </c>
      <c r="J498" s="0" t="n">
        <f aca="false">SUMPRODUCT((Rules!$A$2:$A$60=J$1)*Rules!$C$2:$C$60*ISNUMBER(SEARCH(Rules!$D$2:$D$60,$D498)))</f>
        <v>0</v>
      </c>
      <c r="K498" s="0" t="str">
        <f aca="false">IF(OR(MAX(E498:J498)&lt;Rules!$H$1,MAX(E498:J498)-LARGE(E498:J498,2)&lt;Rules!$H$2),"No label",INDEX($E$1:$J$1,MATCH(MAX(E498:J498),E498:J498,0)))</f>
        <v>Mis-selling</v>
      </c>
      <c r="L498" s="0" t="n">
        <f aca="false">SUMPRODUCT((Rules!$A$2:$A$60=L$1)*Rules!$C$2:$C$60*ISNUMBER(SEARCH(Rules!$E$2:$E$60,$D498)))</f>
        <v>0</v>
      </c>
      <c r="M498" s="0" t="n">
        <f aca="false">SUMPRODUCT((Rules!$A$2:$A$60=M$1)*Rules!$C$2:$C$60*ISNUMBER(SEARCH(Rules!$E$2:$E$60,$D498)))</f>
        <v>4</v>
      </c>
      <c r="N498" s="0" t="n">
        <f aca="false">SUMPRODUCT((Rules!$A$2:$A$60=N$1)*Rules!$C$2:$C$60*ISNUMBER(SEARCH(Rules!$E$2:$E$60,$D498)))</f>
        <v>0</v>
      </c>
      <c r="O498" s="0" t="n">
        <f aca="false">SUMPRODUCT((Rules!$A$2:$A$60=O$1)*Rules!$C$2:$C$60*ISNUMBER(SEARCH(Rules!$E$2:$E$60,$D498)))</f>
        <v>0</v>
      </c>
      <c r="P498" s="0" t="n">
        <f aca="false">SUMPRODUCT((Rules!$A$2:$A$60=P$1)*Rules!$C$2:$C$60*ISNUMBER(SEARCH(Rules!$E$2:$E$60,$D498)))</f>
        <v>0</v>
      </c>
      <c r="Q498" s="0" t="n">
        <f aca="false">SUMPRODUCT((Rules!$A$2:$A$60=Q$1)*Rules!$C$2:$C$60*ISNUMBER(SEARCH(Rules!$E$2:$E$60,$D498)))</f>
        <v>0</v>
      </c>
      <c r="R498" s="0" t="str">
        <f aca="false">IF(OR(MAX(L498:Q498)&lt;Rules!$H$1,MAX(L498:Q498)-LARGE(L498:Q498,2)&lt;Rules!$H$2),"No label",INDEX($L$1:$Q$1,MATCH(MAX(L498:Q498),L498:Q498,0)))</f>
        <v>Mis-selling</v>
      </c>
      <c r="S498" s="0" t="n">
        <f aca="false">SUMPRODUCT(ISNUMBER(SEARCH(" "&amp;Terms!$A$3:$A$821&amp;" ",$D498))*Terms!B$3:B$821)+Terms!B$2</f>
        <v>-2.41038012992244</v>
      </c>
      <c r="T498" s="0" t="n">
        <f aca="false">SUMPRODUCT(ISNUMBER(SEARCH(" "&amp;Terms!$A$3:$A$821&amp;" ",$D498))*Terms!C$3:C$821)+Terms!C$2</f>
        <v>-4.62689720244677</v>
      </c>
      <c r="U498" s="0" t="n">
        <f aca="false">SUMPRODUCT(ISNUMBER(SEARCH(" "&amp;Terms!$A$3:$A$821&amp;" ",$D498))*Terms!D$3:D$821)+Terms!D$2</f>
        <v>-0.921933832131138</v>
      </c>
      <c r="V498" s="0" t="n">
        <f aca="false">SUMPRODUCT(ISNUMBER(SEARCH(" "&amp;Terms!$A$3:$A$821&amp;" ",$D498))*Terms!E$3:E$821)+Terms!E$2</f>
        <v>0.0235180725801128</v>
      </c>
      <c r="W498" s="0" t="n">
        <f aca="false">SUMPRODUCT(ISNUMBER(SEARCH(" "&amp;Terms!$A$3:$A$821&amp;" ",$D498))*Terms!F$3:F$821)+Terms!F$2</f>
        <v>-3.18276587092397</v>
      </c>
      <c r="X498" s="0" t="n">
        <f aca="false">SUMPRODUCT(ISNUMBER(SEARCH(" "&amp;Terms!$A$3:$A$821&amp;" ",$D498))*Terms!G$3:G$821)+Terms!G$2</f>
        <v>11.1184589628443</v>
      </c>
      <c r="Y498" s="0" t="str">
        <f aca="false">INDEX($S$1:$X$1,MATCH(MAX(S498:X498),S498:X498,0))</f>
        <v>Mis-selling</v>
      </c>
      <c r="Z498" s="0" t="s">
        <v>2607</v>
      </c>
    </row>
    <row r="499" customFormat="false" ht="15" hidden="false" customHeight="false" outlineLevel="0" collapsed="false">
      <c r="A499" s="0" t="str">
        <f aca="false">Complaints!A499</f>
        <v>C0498</v>
      </c>
      <c r="B499" s="0" t="str">
        <f aca="false">Complaints!B499</f>
        <v>The staff member was rude and dismissive when I clled. Also, i keep getting an error message when I sign in. Please escalate this.</v>
      </c>
      <c r="C499" s="0" t="str">
        <f aca="false">Complaints!C499</f>
        <v>Customer Service</v>
      </c>
      <c r="D499" s="0" t="str">
        <f aca="false">" "&amp;TRIM(SUBSTITUTE(SUBSTITUTE(SUBSTITUTE(SUBSTITUTE(SUBSTITUTE(SUBSTITUTE(SUBSTITUTE(SUBSTITUTE(SUBSTITUTE(SUBSTITUTE(SUBSTITUTE(SUBSTITUTE(SUBSTITUTE(SUBSTITUTE(SUBSTITUTE(SUBSTITUTE(LOWER(B499),"."," "),","," "),"'"," "),"’"," "),"!"," "),"?"," "),";"," "),":"," "),"-"," "),"("," "),")"," "),"""", " "),"£"," "),"&amp;"," "),"/"," "),"%"," "))&amp;" "</f>
        <v> the staff member was rude and dismissive when i clled also i keep getting an error message when i sign in please escalate this </v>
      </c>
      <c r="E499" s="0" t="n">
        <f aca="false">SUMPRODUCT((Rules!$A$2:$A$60=E$1)*Rules!$C$2:$C$60*ISNUMBER(SEARCH(Rules!$D$2:$D$60,$D499)))</f>
        <v>0</v>
      </c>
      <c r="F499" s="0" t="n">
        <f aca="false">SUMPRODUCT((Rules!$A$2:$A$60=F$1)*Rules!$C$2:$C$60*ISNUMBER(SEARCH(Rules!$D$2:$D$60,$D499)))</f>
        <v>0</v>
      </c>
      <c r="G499" s="0" t="n">
        <f aca="false">SUMPRODUCT((Rules!$A$2:$A$60=G$1)*Rules!$C$2:$C$60*ISNUMBER(SEARCH(Rules!$D$2:$D$60,$D499)))</f>
        <v>3</v>
      </c>
      <c r="H499" s="0" t="n">
        <f aca="false">SUMPRODUCT((Rules!$A$2:$A$60=H$1)*Rules!$C$2:$C$60*ISNUMBER(SEARCH(Rules!$D$2:$D$60,$D499)))</f>
        <v>0</v>
      </c>
      <c r="I499" s="0" t="n">
        <f aca="false">SUMPRODUCT((Rules!$A$2:$A$60=I$1)*Rules!$C$2:$C$60*ISNUMBER(SEARCH(Rules!$D$2:$D$60,$D499)))</f>
        <v>0</v>
      </c>
      <c r="J499" s="0" t="n">
        <f aca="false">SUMPRODUCT((Rules!$A$2:$A$60=J$1)*Rules!$C$2:$C$60*ISNUMBER(SEARCH(Rules!$D$2:$D$60,$D499)))</f>
        <v>4</v>
      </c>
      <c r="K499" s="0" t="str">
        <f aca="false">IF(OR(MAX(E499:J499)&lt;Rules!$H$1,MAX(E499:J499)-LARGE(E499:J499,2)&lt;Rules!$H$2),"No label",INDEX($E$1:$J$1,MATCH(MAX(E499:J499),E499:J499,0)))</f>
        <v>No label</v>
      </c>
      <c r="L499" s="0" t="n">
        <f aca="false">SUMPRODUCT((Rules!$A$2:$A$60=L$1)*Rules!$C$2:$C$60*ISNUMBER(SEARCH(Rules!$E$2:$E$60,$D499)))</f>
        <v>0</v>
      </c>
      <c r="M499" s="0" t="n">
        <f aca="false">SUMPRODUCT((Rules!$A$2:$A$60=M$1)*Rules!$C$2:$C$60*ISNUMBER(SEARCH(Rules!$E$2:$E$60,$D499)))</f>
        <v>0</v>
      </c>
      <c r="N499" s="0" t="n">
        <f aca="false">SUMPRODUCT((Rules!$A$2:$A$60=N$1)*Rules!$C$2:$C$60*ISNUMBER(SEARCH(Rules!$E$2:$E$60,$D499)))</f>
        <v>3</v>
      </c>
      <c r="O499" s="0" t="n">
        <f aca="false">SUMPRODUCT((Rules!$A$2:$A$60=O$1)*Rules!$C$2:$C$60*ISNUMBER(SEARCH(Rules!$E$2:$E$60,$D499)))</f>
        <v>0</v>
      </c>
      <c r="P499" s="0" t="n">
        <f aca="false">SUMPRODUCT((Rules!$A$2:$A$60=P$1)*Rules!$C$2:$C$60*ISNUMBER(SEARCH(Rules!$E$2:$E$60,$D499)))</f>
        <v>0</v>
      </c>
      <c r="Q499" s="0" t="n">
        <f aca="false">SUMPRODUCT((Rules!$A$2:$A$60=Q$1)*Rules!$C$2:$C$60*ISNUMBER(SEARCH(Rules!$E$2:$E$60,$D499)))</f>
        <v>4</v>
      </c>
      <c r="R499" s="0" t="str">
        <f aca="false">IF(OR(MAX(L499:Q499)&lt;Rules!$H$1,MAX(L499:Q499)-LARGE(L499:Q499,2)&lt;Rules!$H$2),"No label",INDEX($L$1:$Q$1,MATCH(MAX(L499:Q499),L499:Q499,0)))</f>
        <v>No label</v>
      </c>
      <c r="S499" s="0" t="n">
        <f aca="false">SUMPRODUCT(ISNUMBER(SEARCH(" "&amp;Terms!$A$3:$A$821&amp;" ",$D499))*Terms!B$3:B$821)+Terms!B$2</f>
        <v>6.47775716470391</v>
      </c>
      <c r="T499" s="0" t="n">
        <f aca="false">SUMPRODUCT(ISNUMBER(SEARCH(" "&amp;Terms!$A$3:$A$821&amp;" ",$D499))*Terms!C$3:C$821)+Terms!C$2</f>
        <v>10.1100974325945</v>
      </c>
      <c r="U499" s="0" t="n">
        <f aca="false">SUMPRODUCT(ISNUMBER(SEARCH(" "&amp;Terms!$A$3:$A$821&amp;" ",$D499))*Terms!D$3:D$821)+Terms!D$2</f>
        <v>-3.07508322059013</v>
      </c>
      <c r="V499" s="0" t="n">
        <f aca="false">SUMPRODUCT(ISNUMBER(SEARCH(" "&amp;Terms!$A$3:$A$821&amp;" ",$D499))*Terms!E$3:E$821)+Terms!E$2</f>
        <v>-4.38911181028693</v>
      </c>
      <c r="W499" s="0" t="n">
        <f aca="false">SUMPRODUCT(ISNUMBER(SEARCH(" "&amp;Terms!$A$3:$A$821&amp;" ",$D499))*Terms!F$3:F$821)+Terms!F$2</f>
        <v>-2.9008808624391</v>
      </c>
      <c r="X499" s="0" t="n">
        <f aca="false">SUMPRODUCT(ISNUMBER(SEARCH(" "&amp;Terms!$A$3:$A$821&amp;" ",$D499))*Terms!G$3:G$821)+Terms!G$2</f>
        <v>-6.22277870398213</v>
      </c>
      <c r="Y499" s="0" t="str">
        <f aca="false">INDEX($S$1:$X$1,MATCH(MAX(S499:X499),S499:X499,0))</f>
        <v>Customer Service</v>
      </c>
      <c r="Z499" s="0" t="s">
        <v>2607</v>
      </c>
    </row>
    <row r="500" customFormat="false" ht="15" hidden="false" customHeight="false" outlineLevel="0" collapsed="false">
      <c r="A500" s="0" t="str">
        <f aca="false">Complaints!A500</f>
        <v>C0499</v>
      </c>
      <c r="B500" s="0" t="str">
        <f aca="false">Complaints!B500</f>
        <v>Hello, I was hit with a penalty charge for a payment I made on time.</v>
      </c>
      <c r="C500" s="0" t="str">
        <f aca="false">Complaints!C500</f>
        <v>Fees &amp; Charges</v>
      </c>
      <c r="D500" s="0" t="str">
        <f aca="false">" "&amp;TRIM(SUBSTITUTE(SUBSTITUTE(SUBSTITUTE(SUBSTITUTE(SUBSTITUTE(SUBSTITUTE(SUBSTITUTE(SUBSTITUTE(SUBSTITUTE(SUBSTITUTE(SUBSTITUTE(SUBSTITUTE(SUBSTITUTE(SUBSTITUTE(SUBSTITUTE(SUBSTITUTE(LOWER(B500),"."," "),","," "),"'"," "),"’"," "),"!"," "),"?"," "),";"," "),":"," "),"-"," "),"("," "),")"," "),"""", " "),"£"," "),"&amp;"," "),"/"," "),"%"," "))&amp;" "</f>
        <v> hello i was hit with a penalty charge for a payment i made on time </v>
      </c>
      <c r="E500" s="0" t="n">
        <f aca="false">SUMPRODUCT((Rules!$A$2:$A$60=E$1)*Rules!$C$2:$C$60*ISNUMBER(SEARCH(Rules!$D$2:$D$60,$D500)))</f>
        <v>0</v>
      </c>
      <c r="F500" s="0" t="n">
        <f aca="false">SUMPRODUCT((Rules!$A$2:$A$60=F$1)*Rules!$C$2:$C$60*ISNUMBER(SEARCH(Rules!$D$2:$D$60,$D500)))</f>
        <v>0</v>
      </c>
      <c r="G500" s="0" t="n">
        <f aca="false">SUMPRODUCT((Rules!$A$2:$A$60=G$1)*Rules!$C$2:$C$60*ISNUMBER(SEARCH(Rules!$D$2:$D$60,$D500)))</f>
        <v>0</v>
      </c>
      <c r="H500" s="0" t="n">
        <f aca="false">SUMPRODUCT((Rules!$A$2:$A$60=H$1)*Rules!$C$2:$C$60*ISNUMBER(SEARCH(Rules!$D$2:$D$60,$D500)))</f>
        <v>4</v>
      </c>
      <c r="I500" s="0" t="n">
        <f aca="false">SUMPRODUCT((Rules!$A$2:$A$60=I$1)*Rules!$C$2:$C$60*ISNUMBER(SEARCH(Rules!$D$2:$D$60,$D500)))</f>
        <v>0</v>
      </c>
      <c r="J500" s="0" t="n">
        <f aca="false">SUMPRODUCT((Rules!$A$2:$A$60=J$1)*Rules!$C$2:$C$60*ISNUMBER(SEARCH(Rules!$D$2:$D$60,$D500)))</f>
        <v>0</v>
      </c>
      <c r="K500" s="0" t="str">
        <f aca="false">IF(OR(MAX(E500:J500)&lt;Rules!$H$1,MAX(E500:J500)-LARGE(E500:J500,2)&lt;Rules!$H$2),"No label",INDEX($E$1:$J$1,MATCH(MAX(E500:J500),E500:J500,0)))</f>
        <v>Fees &amp; Charges</v>
      </c>
      <c r="L500" s="0" t="n">
        <f aca="false">SUMPRODUCT((Rules!$A$2:$A$60=L$1)*Rules!$C$2:$C$60*ISNUMBER(SEARCH(Rules!$E$2:$E$60,$D500)))</f>
        <v>0</v>
      </c>
      <c r="M500" s="0" t="n">
        <f aca="false">SUMPRODUCT((Rules!$A$2:$A$60=M$1)*Rules!$C$2:$C$60*ISNUMBER(SEARCH(Rules!$E$2:$E$60,$D500)))</f>
        <v>0</v>
      </c>
      <c r="N500" s="0" t="n">
        <f aca="false">SUMPRODUCT((Rules!$A$2:$A$60=N$1)*Rules!$C$2:$C$60*ISNUMBER(SEARCH(Rules!$E$2:$E$60,$D500)))</f>
        <v>0</v>
      </c>
      <c r="O500" s="0" t="n">
        <f aca="false">SUMPRODUCT((Rules!$A$2:$A$60=O$1)*Rules!$C$2:$C$60*ISNUMBER(SEARCH(Rules!$E$2:$E$60,$D500)))</f>
        <v>6</v>
      </c>
      <c r="P500" s="0" t="n">
        <f aca="false">SUMPRODUCT((Rules!$A$2:$A$60=P$1)*Rules!$C$2:$C$60*ISNUMBER(SEARCH(Rules!$E$2:$E$60,$D500)))</f>
        <v>0</v>
      </c>
      <c r="Q500" s="0" t="n">
        <f aca="false">SUMPRODUCT((Rules!$A$2:$A$60=Q$1)*Rules!$C$2:$C$60*ISNUMBER(SEARCH(Rules!$E$2:$E$60,$D500)))</f>
        <v>0</v>
      </c>
      <c r="R500" s="0" t="str">
        <f aca="false">IF(OR(MAX(L500:Q500)&lt;Rules!$H$1,MAX(L500:Q500)-LARGE(L500:Q500,2)&lt;Rules!$H$2),"No label",INDEX($L$1:$Q$1,MATCH(MAX(L500:Q500),L500:Q500,0)))</f>
        <v>Fees &amp; Charges</v>
      </c>
      <c r="S500" s="0" t="n">
        <f aca="false">SUMPRODUCT(ISNUMBER(SEARCH(" "&amp;Terms!$A$3:$A$821&amp;" ",$D500))*Terms!B$3:B$821)+Terms!B$2</f>
        <v>-3.61674932127596</v>
      </c>
      <c r="T500" s="0" t="n">
        <f aca="false">SUMPRODUCT(ISNUMBER(SEARCH(" "&amp;Terms!$A$3:$A$821&amp;" ",$D500))*Terms!C$3:C$821)+Terms!C$2</f>
        <v>0.35740428219416</v>
      </c>
      <c r="U500" s="0" t="n">
        <f aca="false">SUMPRODUCT(ISNUMBER(SEARCH(" "&amp;Terms!$A$3:$A$821&amp;" ",$D500))*Terms!D$3:D$821)+Terms!D$2</f>
        <v>-2.4911366862422</v>
      </c>
      <c r="V500" s="0" t="n">
        <f aca="false">SUMPRODUCT(ISNUMBER(SEARCH(" "&amp;Terms!$A$3:$A$821&amp;" ",$D500))*Terms!E$3:E$821)+Terms!E$2</f>
        <v>9.65133578919274</v>
      </c>
      <c r="W500" s="0" t="n">
        <f aca="false">SUMPRODUCT(ISNUMBER(SEARCH(" "&amp;Terms!$A$3:$A$821&amp;" ",$D500))*Terms!F$3:F$821)+Terms!F$2</f>
        <v>-1.72586777452001</v>
      </c>
      <c r="X500" s="0" t="n">
        <f aca="false">SUMPRODUCT(ISNUMBER(SEARCH(" "&amp;Terms!$A$3:$A$821&amp;" ",$D500))*Terms!G$3:G$821)+Terms!G$2</f>
        <v>-2.17498628934865</v>
      </c>
      <c r="Y500" s="0" t="str">
        <f aca="false">INDEX($S$1:$X$1,MATCH(MAX(S500:X500),S500:X500,0))</f>
        <v>Fees &amp; Charges</v>
      </c>
      <c r="Z500" s="0" t="s">
        <v>2607</v>
      </c>
    </row>
    <row r="501" customFormat="false" ht="15" hidden="false" customHeight="false" outlineLevel="0" collapsed="false">
      <c r="A501" s="0" t="str">
        <f aca="false">Complaints!A501</f>
        <v>C0500</v>
      </c>
      <c r="B501" s="0" t="str">
        <f aca="false">Complaints!B501</f>
        <v>This is the second time I have raised this. The paperwork was submitted a month ago and I am still waiting. I want this put right.</v>
      </c>
      <c r="C501" s="0" t="str">
        <f aca="false">Complaints!C501</f>
        <v>Delays &amp; Processing</v>
      </c>
      <c r="D501" s="0" t="str">
        <f aca="false">" "&amp;TRIM(SUBSTITUTE(SUBSTITUTE(SUBSTITUTE(SUBSTITUTE(SUBSTITUTE(SUBSTITUTE(SUBSTITUTE(SUBSTITUTE(SUBSTITUTE(SUBSTITUTE(SUBSTITUTE(SUBSTITUTE(SUBSTITUTE(SUBSTITUTE(SUBSTITUTE(SUBSTITUTE(LOWER(B501),"."," "),","," "),"'"," "),"’"," "),"!"," "),"?"," "),";"," "),":"," "),"-"," "),"("," "),")"," "),"""", " "),"£"," "),"&amp;"," "),"/"," "),"%"," "))&amp;" "</f>
        <v> this is the second time i have raised this the paperwork was submitted a month ago and i am still waiting i want this put right </v>
      </c>
      <c r="E501" s="0" t="n">
        <f aca="false">SUMPRODUCT((Rules!$A$2:$A$60=E$1)*Rules!$C$2:$C$60*ISNUMBER(SEARCH(Rules!$D$2:$D$60,$D501)))</f>
        <v>0</v>
      </c>
      <c r="F501" s="0" t="n">
        <f aca="false">SUMPRODUCT((Rules!$A$2:$A$60=F$1)*Rules!$C$2:$C$60*ISNUMBER(SEARCH(Rules!$D$2:$D$60,$D501)))</f>
        <v>0</v>
      </c>
      <c r="G501" s="0" t="n">
        <f aca="false">SUMPRODUCT((Rules!$A$2:$A$60=G$1)*Rules!$C$2:$C$60*ISNUMBER(SEARCH(Rules!$D$2:$D$60,$D501)))</f>
        <v>0</v>
      </c>
      <c r="H501" s="0" t="n">
        <f aca="false">SUMPRODUCT((Rules!$A$2:$A$60=H$1)*Rules!$C$2:$C$60*ISNUMBER(SEARCH(Rules!$D$2:$D$60,$D501)))</f>
        <v>0</v>
      </c>
      <c r="I501" s="0" t="n">
        <f aca="false">SUMPRODUCT((Rules!$A$2:$A$60=I$1)*Rules!$C$2:$C$60*ISNUMBER(SEARCH(Rules!$D$2:$D$60,$D501)))</f>
        <v>2</v>
      </c>
      <c r="J501" s="0" t="n">
        <f aca="false">SUMPRODUCT((Rules!$A$2:$A$60=J$1)*Rules!$C$2:$C$60*ISNUMBER(SEARCH(Rules!$D$2:$D$60,$D501)))</f>
        <v>0</v>
      </c>
      <c r="K501" s="0" t="str">
        <f aca="false">IF(OR(MAX(E501:J501)&lt;Rules!$H$1,MAX(E501:J501)-LARGE(E501:J501,2)&lt;Rules!$H$2),"No label",INDEX($E$1:$J$1,MATCH(MAX(E501:J501),E501:J501,0)))</f>
        <v>No label</v>
      </c>
      <c r="L501" s="0" t="n">
        <f aca="false">SUMPRODUCT((Rules!$A$2:$A$60=L$1)*Rules!$C$2:$C$60*ISNUMBER(SEARCH(Rules!$E$2:$E$60,$D501)))</f>
        <v>0</v>
      </c>
      <c r="M501" s="0" t="n">
        <f aca="false">SUMPRODUCT((Rules!$A$2:$A$60=M$1)*Rules!$C$2:$C$60*ISNUMBER(SEARCH(Rules!$E$2:$E$60,$D501)))</f>
        <v>0</v>
      </c>
      <c r="N501" s="0" t="n">
        <f aca="false">SUMPRODUCT((Rules!$A$2:$A$60=N$1)*Rules!$C$2:$C$60*ISNUMBER(SEARCH(Rules!$E$2:$E$60,$D501)))</f>
        <v>0</v>
      </c>
      <c r="O501" s="0" t="n">
        <f aca="false">SUMPRODUCT((Rules!$A$2:$A$60=O$1)*Rules!$C$2:$C$60*ISNUMBER(SEARCH(Rules!$E$2:$E$60,$D501)))</f>
        <v>0</v>
      </c>
      <c r="P501" s="0" t="n">
        <f aca="false">SUMPRODUCT((Rules!$A$2:$A$60=P$1)*Rules!$C$2:$C$60*ISNUMBER(SEARCH(Rules!$E$2:$E$60,$D501)))</f>
        <v>2</v>
      </c>
      <c r="Q501" s="0" t="n">
        <f aca="false">SUMPRODUCT((Rules!$A$2:$A$60=Q$1)*Rules!$C$2:$C$60*ISNUMBER(SEARCH(Rules!$E$2:$E$60,$D501)))</f>
        <v>0</v>
      </c>
      <c r="R501" s="0" t="str">
        <f aca="false">IF(OR(MAX(L501:Q501)&lt;Rules!$H$1,MAX(L501:Q501)-LARGE(L501:Q501,2)&lt;Rules!$H$2),"No label",INDEX($L$1:$Q$1,MATCH(MAX(L501:Q501),L501:Q501,0)))</f>
        <v>No label</v>
      </c>
      <c r="S501" s="0" t="n">
        <f aca="false">SUMPRODUCT(ISNUMBER(SEARCH(" "&amp;Terms!$A$3:$A$821&amp;" ",$D501))*Terms!B$3:B$821)+Terms!B$2</f>
        <v>-3.20263850096872</v>
      </c>
      <c r="T501" s="0" t="n">
        <f aca="false">SUMPRODUCT(ISNUMBER(SEARCH(" "&amp;Terms!$A$3:$A$821&amp;" ",$D501))*Terms!C$3:C$821)+Terms!C$2</f>
        <v>-0.812680510372302</v>
      </c>
      <c r="U501" s="0" t="n">
        <f aca="false">SUMPRODUCT(ISNUMBER(SEARCH(" "&amp;Terms!$A$3:$A$821&amp;" ",$D501))*Terms!D$3:D$821)+Terms!D$2</f>
        <v>5.31230188128788</v>
      </c>
      <c r="V501" s="0" t="n">
        <f aca="false">SUMPRODUCT(ISNUMBER(SEARCH(" "&amp;Terms!$A$3:$A$821&amp;" ",$D501))*Terms!E$3:E$821)+Terms!E$2</f>
        <v>1.20652350192211</v>
      </c>
      <c r="W501" s="0" t="n">
        <f aca="false">SUMPRODUCT(ISNUMBER(SEARCH(" "&amp;Terms!$A$3:$A$821&amp;" ",$D501))*Terms!F$3:F$821)+Terms!F$2</f>
        <v>-0.37509426427699</v>
      </c>
      <c r="X501" s="0" t="n">
        <f aca="false">SUMPRODUCT(ISNUMBER(SEARCH(" "&amp;Terms!$A$3:$A$821&amp;" ",$D501))*Terms!G$3:G$821)+Terms!G$2</f>
        <v>-2.12841210759188</v>
      </c>
      <c r="Y501" s="0" t="str">
        <f aca="false">INDEX($S$1:$X$1,MATCH(MAX(S501:X501),S501:X501,0))</f>
        <v>Delays &amp; Processing</v>
      </c>
      <c r="Z501" s="0" t="s">
        <v>2607</v>
      </c>
    </row>
    <row r="502" customFormat="false" ht="15" hidden="false" customHeight="false" outlineLevel="0" collapsed="false">
      <c r="A502" s="0" t="str">
        <f aca="false">Complaints!A502</f>
        <v>C0501</v>
      </c>
      <c r="B502" s="0" t="str">
        <f aca="false">Complaints!B502</f>
        <v>The direct debit setup was delayed and I missed a bill because of it. This is not acceptable.</v>
      </c>
      <c r="C502" s="0" t="str">
        <f aca="false">Complaints!C502</f>
        <v>Delays &amp; Processing</v>
      </c>
      <c r="D502" s="0" t="str">
        <f aca="false">" "&amp;TRIM(SUBSTITUTE(SUBSTITUTE(SUBSTITUTE(SUBSTITUTE(SUBSTITUTE(SUBSTITUTE(SUBSTITUTE(SUBSTITUTE(SUBSTITUTE(SUBSTITUTE(SUBSTITUTE(SUBSTITUTE(SUBSTITUTE(SUBSTITUTE(SUBSTITUTE(SUBSTITUTE(LOWER(B502),"."," "),","," "),"'"," "),"’"," "),"!"," "),"?"," "),";"," "),":"," "),"-"," "),"("," "),")"," "),"""", " "),"£"," "),"&amp;"," "),"/"," "),"%"," "))&amp;" "</f>
        <v> the direct debit setup was delayed and i missed a bill because of it this is not acceptable </v>
      </c>
      <c r="E502" s="0" t="n">
        <f aca="false">SUMPRODUCT((Rules!$A$2:$A$60=E$1)*Rules!$C$2:$C$60*ISNUMBER(SEARCH(Rules!$D$2:$D$60,$D502)))</f>
        <v>0</v>
      </c>
      <c r="F502" s="0" t="n">
        <f aca="false">SUMPRODUCT((Rules!$A$2:$A$60=F$1)*Rules!$C$2:$C$60*ISNUMBER(SEARCH(Rules!$D$2:$D$60,$D502)))</f>
        <v>0</v>
      </c>
      <c r="G502" s="0" t="n">
        <f aca="false">SUMPRODUCT((Rules!$A$2:$A$60=G$1)*Rules!$C$2:$C$60*ISNUMBER(SEARCH(Rules!$D$2:$D$60,$D502)))</f>
        <v>0</v>
      </c>
      <c r="H502" s="0" t="n">
        <f aca="false">SUMPRODUCT((Rules!$A$2:$A$60=H$1)*Rules!$C$2:$C$60*ISNUMBER(SEARCH(Rules!$D$2:$D$60,$D502)))</f>
        <v>0</v>
      </c>
      <c r="I502" s="0" t="n">
        <f aca="false">SUMPRODUCT((Rules!$A$2:$A$60=I$1)*Rules!$C$2:$C$60*ISNUMBER(SEARCH(Rules!$D$2:$D$60,$D502)))</f>
        <v>2</v>
      </c>
      <c r="J502" s="0" t="n">
        <f aca="false">SUMPRODUCT((Rules!$A$2:$A$60=J$1)*Rules!$C$2:$C$60*ISNUMBER(SEARCH(Rules!$D$2:$D$60,$D502)))</f>
        <v>0</v>
      </c>
      <c r="K502" s="0" t="str">
        <f aca="false">IF(OR(MAX(E502:J502)&lt;Rules!$H$1,MAX(E502:J502)-LARGE(E502:J502,2)&lt;Rules!$H$2),"No label",INDEX($E$1:$J$1,MATCH(MAX(E502:J502),E502:J502,0)))</f>
        <v>No label</v>
      </c>
      <c r="L502" s="0" t="n">
        <f aca="false">SUMPRODUCT((Rules!$A$2:$A$60=L$1)*Rules!$C$2:$C$60*ISNUMBER(SEARCH(Rules!$E$2:$E$60,$D502)))</f>
        <v>0</v>
      </c>
      <c r="M502" s="0" t="n">
        <f aca="false">SUMPRODUCT((Rules!$A$2:$A$60=M$1)*Rules!$C$2:$C$60*ISNUMBER(SEARCH(Rules!$E$2:$E$60,$D502)))</f>
        <v>0</v>
      </c>
      <c r="N502" s="0" t="n">
        <f aca="false">SUMPRODUCT((Rules!$A$2:$A$60=N$1)*Rules!$C$2:$C$60*ISNUMBER(SEARCH(Rules!$E$2:$E$60,$D502)))</f>
        <v>1</v>
      </c>
      <c r="O502" s="0" t="n">
        <f aca="false">SUMPRODUCT((Rules!$A$2:$A$60=O$1)*Rules!$C$2:$C$60*ISNUMBER(SEARCH(Rules!$E$2:$E$60,$D502)))</f>
        <v>2</v>
      </c>
      <c r="P502" s="0" t="n">
        <f aca="false">SUMPRODUCT((Rules!$A$2:$A$60=P$1)*Rules!$C$2:$C$60*ISNUMBER(SEARCH(Rules!$E$2:$E$60,$D502)))</f>
        <v>2</v>
      </c>
      <c r="Q502" s="0" t="n">
        <f aca="false">SUMPRODUCT((Rules!$A$2:$A$60=Q$1)*Rules!$C$2:$C$60*ISNUMBER(SEARCH(Rules!$E$2:$E$60,$D502)))</f>
        <v>0</v>
      </c>
      <c r="R502" s="0" t="str">
        <f aca="false">IF(OR(MAX(L502:Q502)&lt;Rules!$H$1,MAX(L502:Q502)-LARGE(L502:Q502,2)&lt;Rules!$H$2),"No label",INDEX($L$1:$Q$1,MATCH(MAX(L502:Q502),L502:Q502,0)))</f>
        <v>No label</v>
      </c>
      <c r="S502" s="0" t="n">
        <f aca="false">SUMPRODUCT(ISNUMBER(SEARCH(" "&amp;Terms!$A$3:$A$821&amp;" ",$D502))*Terms!B$3:B$821)+Terms!B$2</f>
        <v>-2.33600182242197</v>
      </c>
      <c r="T502" s="0" t="n">
        <f aca="false">SUMPRODUCT(ISNUMBER(SEARCH(" "&amp;Terms!$A$3:$A$821&amp;" ",$D502))*Terms!C$3:C$821)+Terms!C$2</f>
        <v>-3.54802485026087</v>
      </c>
      <c r="U502" s="0" t="n">
        <f aca="false">SUMPRODUCT(ISNUMBER(SEARCH(" "&amp;Terms!$A$3:$A$821&amp;" ",$D502))*Terms!D$3:D$821)+Terms!D$2</f>
        <v>11.7752038729854</v>
      </c>
      <c r="V502" s="0" t="n">
        <f aca="false">SUMPRODUCT(ISNUMBER(SEARCH(" "&amp;Terms!$A$3:$A$821&amp;" ",$D502))*Terms!E$3:E$821)+Terms!E$2</f>
        <v>-4.04696104222767</v>
      </c>
      <c r="W502" s="0" t="n">
        <f aca="false">SUMPRODUCT(ISNUMBER(SEARCH(" "&amp;Terms!$A$3:$A$821&amp;" ",$D502))*Terms!F$3:F$821)+Terms!F$2</f>
        <v>0.0507111530228932</v>
      </c>
      <c r="X502" s="0" t="n">
        <f aca="false">SUMPRODUCT(ISNUMBER(SEARCH(" "&amp;Terms!$A$3:$A$821&amp;" ",$D502))*Terms!G$3:G$821)+Terms!G$2</f>
        <v>-1.89492731109768</v>
      </c>
      <c r="Y502" s="0" t="str">
        <f aca="false">INDEX($S$1:$X$1,MATCH(MAX(S502:X502),S502:X502,0))</f>
        <v>Delays &amp; Processing</v>
      </c>
      <c r="Z502" s="0" t="s">
        <v>2607</v>
      </c>
    </row>
    <row r="503" customFormat="false" ht="15" hidden="false" customHeight="false" outlineLevel="0" collapsed="false">
      <c r="A503" s="0" t="str">
        <f aca="false">Complaints!A503</f>
        <v>C0502</v>
      </c>
      <c r="B503" s="0" t="str">
        <f aca="false">Complaints!B503</f>
        <v>I have been a customer for years. My application has been stuck for weeks with no progress. I also spent ages on hold when I called about it. Please sort this out.</v>
      </c>
      <c r="C503" s="0" t="str">
        <f aca="false">Complaints!C503</f>
        <v>Delays &amp; Processing</v>
      </c>
      <c r="D503" s="0" t="str">
        <f aca="false">" "&amp;TRIM(SUBSTITUTE(SUBSTITUTE(SUBSTITUTE(SUBSTITUTE(SUBSTITUTE(SUBSTITUTE(SUBSTITUTE(SUBSTITUTE(SUBSTITUTE(SUBSTITUTE(SUBSTITUTE(SUBSTITUTE(SUBSTITUTE(SUBSTITUTE(SUBSTITUTE(SUBSTITUTE(LOWER(B503),"."," "),","," "),"'"," "),"’"," "),"!"," "),"?"," "),";"," "),":"," "),"-"," "),"("," "),")"," "),"""", " "),"£"," "),"&amp;"," "),"/"," "),"%"," "))&amp;" "</f>
        <v> i have been a customer for years my application has been stuck for weeks with no progress i also spent ages on hold when i called about it please sort this out </v>
      </c>
      <c r="E503" s="0" t="n">
        <f aca="false">SUMPRODUCT((Rules!$A$2:$A$60=E$1)*Rules!$C$2:$C$60*ISNUMBER(SEARCH(Rules!$D$2:$D$60,$D503)))</f>
        <v>0</v>
      </c>
      <c r="F503" s="0" t="n">
        <f aca="false">SUMPRODUCT((Rules!$A$2:$A$60=F$1)*Rules!$C$2:$C$60*ISNUMBER(SEARCH(Rules!$D$2:$D$60,$D503)))</f>
        <v>0</v>
      </c>
      <c r="G503" s="0" t="n">
        <f aca="false">SUMPRODUCT((Rules!$A$2:$A$60=G$1)*Rules!$C$2:$C$60*ISNUMBER(SEARCH(Rules!$D$2:$D$60,$D503)))</f>
        <v>0</v>
      </c>
      <c r="H503" s="0" t="n">
        <f aca="false">SUMPRODUCT((Rules!$A$2:$A$60=H$1)*Rules!$C$2:$C$60*ISNUMBER(SEARCH(Rules!$D$2:$D$60,$D503)))</f>
        <v>0</v>
      </c>
      <c r="I503" s="0" t="n">
        <f aca="false">SUMPRODUCT((Rules!$A$2:$A$60=I$1)*Rules!$C$2:$C$60*ISNUMBER(SEARCH(Rules!$D$2:$D$60,$D503)))</f>
        <v>3</v>
      </c>
      <c r="J503" s="0" t="n">
        <f aca="false">SUMPRODUCT((Rules!$A$2:$A$60=J$1)*Rules!$C$2:$C$60*ISNUMBER(SEARCH(Rules!$D$2:$D$60,$D503)))</f>
        <v>3</v>
      </c>
      <c r="K503" s="0" t="str">
        <f aca="false">IF(OR(MAX(E503:J503)&lt;Rules!$H$1,MAX(E503:J503)-LARGE(E503:J503,2)&lt;Rules!$H$2),"No label",INDEX($E$1:$J$1,MATCH(MAX(E503:J503),E503:J503,0)))</f>
        <v>No label</v>
      </c>
      <c r="L503" s="0" t="n">
        <f aca="false">SUMPRODUCT((Rules!$A$2:$A$60=L$1)*Rules!$C$2:$C$60*ISNUMBER(SEARCH(Rules!$E$2:$E$60,$D503)))</f>
        <v>0</v>
      </c>
      <c r="M503" s="0" t="n">
        <f aca="false">SUMPRODUCT((Rules!$A$2:$A$60=M$1)*Rules!$C$2:$C$60*ISNUMBER(SEARCH(Rules!$E$2:$E$60,$D503)))</f>
        <v>0</v>
      </c>
      <c r="N503" s="0" t="n">
        <f aca="false">SUMPRODUCT((Rules!$A$2:$A$60=N$1)*Rules!$C$2:$C$60*ISNUMBER(SEARCH(Rules!$E$2:$E$60,$D503)))</f>
        <v>0</v>
      </c>
      <c r="O503" s="0" t="n">
        <f aca="false">SUMPRODUCT((Rules!$A$2:$A$60=O$1)*Rules!$C$2:$C$60*ISNUMBER(SEARCH(Rules!$E$2:$E$60,$D503)))</f>
        <v>0</v>
      </c>
      <c r="P503" s="0" t="n">
        <f aca="false">SUMPRODUCT((Rules!$A$2:$A$60=P$1)*Rules!$C$2:$C$60*ISNUMBER(SEARCH(Rules!$E$2:$E$60,$D503)))</f>
        <v>3</v>
      </c>
      <c r="Q503" s="0" t="n">
        <f aca="false">SUMPRODUCT((Rules!$A$2:$A$60=Q$1)*Rules!$C$2:$C$60*ISNUMBER(SEARCH(Rules!$E$2:$E$60,$D503)))</f>
        <v>3</v>
      </c>
      <c r="R503" s="0" t="str">
        <f aca="false">IF(OR(MAX(L503:Q503)&lt;Rules!$H$1,MAX(L503:Q503)-LARGE(L503:Q503,2)&lt;Rules!$H$2),"No label",INDEX($L$1:$Q$1,MATCH(MAX(L503:Q503),L503:Q503,0)))</f>
        <v>No label</v>
      </c>
      <c r="S503" s="0" t="n">
        <f aca="false">SUMPRODUCT(ISNUMBER(SEARCH(" "&amp;Terms!$A$3:$A$821&amp;" ",$D503))*Terms!B$3:B$821)+Terms!B$2</f>
        <v>-4.30143481164028</v>
      </c>
      <c r="T503" s="0" t="n">
        <f aca="false">SUMPRODUCT(ISNUMBER(SEARCH(" "&amp;Terms!$A$3:$A$821&amp;" ",$D503))*Terms!C$3:C$821)+Terms!C$2</f>
        <v>3.09856724497154</v>
      </c>
      <c r="U503" s="0" t="n">
        <f aca="false">SUMPRODUCT(ISNUMBER(SEARCH(" "&amp;Terms!$A$3:$A$821&amp;" ",$D503))*Terms!D$3:D$821)+Terms!D$2</f>
        <v>8.80195929022149</v>
      </c>
      <c r="V503" s="0" t="n">
        <f aca="false">SUMPRODUCT(ISNUMBER(SEARCH(" "&amp;Terms!$A$3:$A$821&amp;" ",$D503))*Terms!E$3:E$821)+Terms!E$2</f>
        <v>-1.47678990491344</v>
      </c>
      <c r="W503" s="0" t="n">
        <f aca="false">SUMPRODUCT(ISNUMBER(SEARCH(" "&amp;Terms!$A$3:$A$821&amp;" ",$D503))*Terms!F$3:F$821)+Terms!F$2</f>
        <v>-3.9307582211146</v>
      </c>
      <c r="X503" s="0" t="n">
        <f aca="false">SUMPRODUCT(ISNUMBER(SEARCH(" "&amp;Terms!$A$3:$A$821&amp;" ",$D503))*Terms!G$3:G$821)+Terms!G$2</f>
        <v>-2.19154359752462</v>
      </c>
      <c r="Y503" s="0" t="str">
        <f aca="false">INDEX($S$1:$X$1,MATCH(MAX(S503:X503),S503:X503,0))</f>
        <v>Delays &amp; Processing</v>
      </c>
      <c r="Z503" s="0" t="s">
        <v>2607</v>
      </c>
    </row>
    <row r="504" customFormat="false" ht="15" hidden="false" customHeight="false" outlineLevel="0" collapsed="false">
      <c r="A504" s="0" t="str">
        <f aca="false">Complaints!A504</f>
        <v>C0503</v>
      </c>
      <c r="B504" s="0" t="str">
        <f aca="false">Complaints!B504</f>
        <v>I have been a customer for years. My transfer has been pending for over a week. Also, a late payment fee appeared and I want it refunded.</v>
      </c>
      <c r="C504" s="0" t="str">
        <f aca="false">Complaints!C504</f>
        <v>Delays &amp; Processing</v>
      </c>
      <c r="D504" s="0" t="str">
        <f aca="false">" "&amp;TRIM(SUBSTITUTE(SUBSTITUTE(SUBSTITUTE(SUBSTITUTE(SUBSTITUTE(SUBSTITUTE(SUBSTITUTE(SUBSTITUTE(SUBSTITUTE(SUBSTITUTE(SUBSTITUTE(SUBSTITUTE(SUBSTITUTE(SUBSTITUTE(SUBSTITUTE(SUBSTITUTE(LOWER(B504),"."," "),","," "),"'"," "),"’"," "),"!"," "),"?"," "),";"," "),":"," "),"-"," "),"("," "),")"," "),"""", " "),"£"," "),"&amp;"," "),"/"," "),"%"," "))&amp;" "</f>
        <v> i have been a customer for years my transfer has been pending for over a week also a late payment fee appeared and i want it refunded </v>
      </c>
      <c r="E504" s="0" t="n">
        <f aca="false">SUMPRODUCT((Rules!$A$2:$A$60=E$1)*Rules!$C$2:$C$60*ISNUMBER(SEARCH(Rules!$D$2:$D$60,$D504)))</f>
        <v>0</v>
      </c>
      <c r="F504" s="0" t="n">
        <f aca="false">SUMPRODUCT((Rules!$A$2:$A$60=F$1)*Rules!$C$2:$C$60*ISNUMBER(SEARCH(Rules!$D$2:$D$60,$D504)))</f>
        <v>0</v>
      </c>
      <c r="G504" s="0" t="n">
        <f aca="false">SUMPRODUCT((Rules!$A$2:$A$60=G$1)*Rules!$C$2:$C$60*ISNUMBER(SEARCH(Rules!$D$2:$D$60,$D504)))</f>
        <v>0</v>
      </c>
      <c r="H504" s="0" t="n">
        <f aca="false">SUMPRODUCT((Rules!$A$2:$A$60=H$1)*Rules!$C$2:$C$60*ISNUMBER(SEARCH(Rules!$D$2:$D$60,$D504)))</f>
        <v>2</v>
      </c>
      <c r="I504" s="0" t="n">
        <f aca="false">SUMPRODUCT((Rules!$A$2:$A$60=I$1)*Rules!$C$2:$C$60*ISNUMBER(SEARCH(Rules!$D$2:$D$60,$D504)))</f>
        <v>2</v>
      </c>
      <c r="J504" s="0" t="n">
        <f aca="false">SUMPRODUCT((Rules!$A$2:$A$60=J$1)*Rules!$C$2:$C$60*ISNUMBER(SEARCH(Rules!$D$2:$D$60,$D504)))</f>
        <v>0</v>
      </c>
      <c r="K504" s="0" t="str">
        <f aca="false">IF(OR(MAX(E504:J504)&lt;Rules!$H$1,MAX(E504:J504)-LARGE(E504:J504,2)&lt;Rules!$H$2),"No label",INDEX($E$1:$J$1,MATCH(MAX(E504:J504),E504:J504,0)))</f>
        <v>No label</v>
      </c>
      <c r="L504" s="0" t="n">
        <f aca="false">SUMPRODUCT((Rules!$A$2:$A$60=L$1)*Rules!$C$2:$C$60*ISNUMBER(SEARCH(Rules!$E$2:$E$60,$D504)))</f>
        <v>0</v>
      </c>
      <c r="M504" s="0" t="n">
        <f aca="false">SUMPRODUCT((Rules!$A$2:$A$60=M$1)*Rules!$C$2:$C$60*ISNUMBER(SEARCH(Rules!$E$2:$E$60,$D504)))</f>
        <v>0</v>
      </c>
      <c r="N504" s="0" t="n">
        <f aca="false">SUMPRODUCT((Rules!$A$2:$A$60=N$1)*Rules!$C$2:$C$60*ISNUMBER(SEARCH(Rules!$E$2:$E$60,$D504)))</f>
        <v>0</v>
      </c>
      <c r="O504" s="0" t="n">
        <f aca="false">SUMPRODUCT((Rules!$A$2:$A$60=O$1)*Rules!$C$2:$C$60*ISNUMBER(SEARCH(Rules!$E$2:$E$60,$D504)))</f>
        <v>2</v>
      </c>
      <c r="P504" s="0" t="n">
        <f aca="false">SUMPRODUCT((Rules!$A$2:$A$60=P$1)*Rules!$C$2:$C$60*ISNUMBER(SEARCH(Rules!$E$2:$E$60,$D504)))</f>
        <v>2</v>
      </c>
      <c r="Q504" s="0" t="n">
        <f aca="false">SUMPRODUCT((Rules!$A$2:$A$60=Q$1)*Rules!$C$2:$C$60*ISNUMBER(SEARCH(Rules!$E$2:$E$60,$D504)))</f>
        <v>0</v>
      </c>
      <c r="R504" s="0" t="str">
        <f aca="false">IF(OR(MAX(L504:Q504)&lt;Rules!$H$1,MAX(L504:Q504)-LARGE(L504:Q504,2)&lt;Rules!$H$2),"No label",INDEX($L$1:$Q$1,MATCH(MAX(L504:Q504),L504:Q504,0)))</f>
        <v>No label</v>
      </c>
      <c r="S504" s="0" t="n">
        <f aca="false">SUMPRODUCT(ISNUMBER(SEARCH(" "&amp;Terms!$A$3:$A$821&amp;" ",$D504))*Terms!B$3:B$821)+Terms!B$2</f>
        <v>-4.8790676000598</v>
      </c>
      <c r="T504" s="0" t="n">
        <f aca="false">SUMPRODUCT(ISNUMBER(SEARCH(" "&amp;Terms!$A$3:$A$821&amp;" ",$D504))*Terms!C$3:C$821)+Terms!C$2</f>
        <v>-6.34745370963927</v>
      </c>
      <c r="U504" s="0" t="n">
        <f aca="false">SUMPRODUCT(ISNUMBER(SEARCH(" "&amp;Terms!$A$3:$A$821&amp;" ",$D504))*Terms!D$3:D$821)+Terms!D$2</f>
        <v>7.43738563386784</v>
      </c>
      <c r="V504" s="0" t="n">
        <f aca="false">SUMPRODUCT(ISNUMBER(SEARCH(" "&amp;Terms!$A$3:$A$821&amp;" ",$D504))*Terms!E$3:E$821)+Terms!E$2</f>
        <v>11.3318067447837</v>
      </c>
      <c r="W504" s="0" t="n">
        <f aca="false">SUMPRODUCT(ISNUMBER(SEARCH(" "&amp;Terms!$A$3:$A$821&amp;" ",$D504))*Terms!F$3:F$821)+Terms!F$2</f>
        <v>0.00376043639979412</v>
      </c>
      <c r="X504" s="0" t="n">
        <f aca="false">SUMPRODUCT(ISNUMBER(SEARCH(" "&amp;Terms!$A$3:$A$821&amp;" ",$D504))*Terms!G$3:G$821)+Terms!G$2</f>
        <v>-7.54643150535219</v>
      </c>
      <c r="Y504" s="0" t="str">
        <f aca="false">INDEX($S$1:$X$1,MATCH(MAX(S504:X504),S504:X504,0))</f>
        <v>Fees &amp; Charges</v>
      </c>
      <c r="Z504" s="0" t="s">
        <v>2607</v>
      </c>
    </row>
    <row r="505" customFormat="false" ht="15" hidden="false" customHeight="false" outlineLevel="0" collapsed="false">
      <c r="A505" s="0" t="str">
        <f aca="false">Complaints!A505</f>
        <v>C0504</v>
      </c>
      <c r="B505" s="0" t="str">
        <f aca="false">Complaints!B505</f>
        <v>I have been a customer for years. The complaints handler was unhelpful and talked over me. I do not think it was explained properly when I bought it. I would like a response in writing.</v>
      </c>
      <c r="C505" s="0" t="str">
        <f aca="false">Complaints!C505</f>
        <v>Customer Service</v>
      </c>
      <c r="D505" s="0" t="str">
        <f aca="false">" "&amp;TRIM(SUBSTITUTE(SUBSTITUTE(SUBSTITUTE(SUBSTITUTE(SUBSTITUTE(SUBSTITUTE(SUBSTITUTE(SUBSTITUTE(SUBSTITUTE(SUBSTITUTE(SUBSTITUTE(SUBSTITUTE(SUBSTITUTE(SUBSTITUTE(SUBSTITUTE(SUBSTITUTE(LOWER(B505),"."," "),","," "),"'"," "),"’"," "),"!"," "),"?"," "),";"," "),":"," "),"-"," "),"("," "),")"," "),"""", " "),"£"," "),"&amp;"," "),"/"," "),"%"," "))&amp;" "</f>
        <v> i have been a customer for years the complaints handler was unhelpful and talked over me i do not think it was explained properly when i bought it i would like a response in writing </v>
      </c>
      <c r="E505" s="0" t="n">
        <f aca="false">SUMPRODUCT((Rules!$A$2:$A$60=E$1)*Rules!$C$2:$C$60*ISNUMBER(SEARCH(Rules!$D$2:$D$60,$D505)))</f>
        <v>0</v>
      </c>
      <c r="F505" s="0" t="n">
        <f aca="false">SUMPRODUCT((Rules!$A$2:$A$60=F$1)*Rules!$C$2:$C$60*ISNUMBER(SEARCH(Rules!$D$2:$D$60,$D505)))</f>
        <v>0</v>
      </c>
      <c r="G505" s="0" t="n">
        <f aca="false">SUMPRODUCT((Rules!$A$2:$A$60=G$1)*Rules!$C$2:$C$60*ISNUMBER(SEARCH(Rules!$D$2:$D$60,$D505)))</f>
        <v>0</v>
      </c>
      <c r="H505" s="0" t="n">
        <f aca="false">SUMPRODUCT((Rules!$A$2:$A$60=H$1)*Rules!$C$2:$C$60*ISNUMBER(SEARCH(Rules!$D$2:$D$60,$D505)))</f>
        <v>0</v>
      </c>
      <c r="I505" s="0" t="n">
        <f aca="false">SUMPRODUCT((Rules!$A$2:$A$60=I$1)*Rules!$C$2:$C$60*ISNUMBER(SEARCH(Rules!$D$2:$D$60,$D505)))</f>
        <v>0</v>
      </c>
      <c r="J505" s="0" t="n">
        <f aca="false">SUMPRODUCT((Rules!$A$2:$A$60=J$1)*Rules!$C$2:$C$60*ISNUMBER(SEARCH(Rules!$D$2:$D$60,$D505)))</f>
        <v>2</v>
      </c>
      <c r="K505" s="0" t="str">
        <f aca="false">IF(OR(MAX(E505:J505)&lt;Rules!$H$1,MAX(E505:J505)-LARGE(E505:J505,2)&lt;Rules!$H$2),"No label",INDEX($E$1:$J$1,MATCH(MAX(E505:J505),E505:J505,0)))</f>
        <v>No label</v>
      </c>
      <c r="L505" s="0" t="n">
        <f aca="false">SUMPRODUCT((Rules!$A$2:$A$60=L$1)*Rules!$C$2:$C$60*ISNUMBER(SEARCH(Rules!$E$2:$E$60,$D505)))</f>
        <v>0</v>
      </c>
      <c r="M505" s="0" t="n">
        <f aca="false">SUMPRODUCT((Rules!$A$2:$A$60=M$1)*Rules!$C$2:$C$60*ISNUMBER(SEARCH(Rules!$E$2:$E$60,$D505)))</f>
        <v>0</v>
      </c>
      <c r="N505" s="0" t="n">
        <f aca="false">SUMPRODUCT((Rules!$A$2:$A$60=N$1)*Rules!$C$2:$C$60*ISNUMBER(SEARCH(Rules!$E$2:$E$60,$D505)))</f>
        <v>0</v>
      </c>
      <c r="O505" s="0" t="n">
        <f aca="false">SUMPRODUCT((Rules!$A$2:$A$60=O$1)*Rules!$C$2:$C$60*ISNUMBER(SEARCH(Rules!$E$2:$E$60,$D505)))</f>
        <v>0</v>
      </c>
      <c r="P505" s="0" t="n">
        <f aca="false">SUMPRODUCT((Rules!$A$2:$A$60=P$1)*Rules!$C$2:$C$60*ISNUMBER(SEARCH(Rules!$E$2:$E$60,$D505)))</f>
        <v>0</v>
      </c>
      <c r="Q505" s="0" t="n">
        <f aca="false">SUMPRODUCT((Rules!$A$2:$A$60=Q$1)*Rules!$C$2:$C$60*ISNUMBER(SEARCH(Rules!$E$2:$E$60,$D505)))</f>
        <v>2</v>
      </c>
      <c r="R505" s="0" t="str">
        <f aca="false">IF(OR(MAX(L505:Q505)&lt;Rules!$H$1,MAX(L505:Q505)-LARGE(L505:Q505,2)&lt;Rules!$H$2),"No label",INDEX($L$1:$Q$1,MATCH(MAX(L505:Q505),L505:Q505,0)))</f>
        <v>No label</v>
      </c>
      <c r="S505" s="0" t="n">
        <f aca="false">SUMPRODUCT(ISNUMBER(SEARCH(" "&amp;Terms!$A$3:$A$821&amp;" ",$D505))*Terms!B$3:B$821)+Terms!B$2</f>
        <v>-0.257344563222189</v>
      </c>
      <c r="T505" s="0" t="n">
        <f aca="false">SUMPRODUCT(ISNUMBER(SEARCH(" "&amp;Terms!$A$3:$A$821&amp;" ",$D505))*Terms!C$3:C$821)+Terms!C$2</f>
        <v>8.49612482199556</v>
      </c>
      <c r="U505" s="0" t="n">
        <f aca="false">SUMPRODUCT(ISNUMBER(SEARCH(" "&amp;Terms!$A$3:$A$821&amp;" ",$D505))*Terms!D$3:D$821)+Terms!D$2</f>
        <v>-3.7022627069794</v>
      </c>
      <c r="V505" s="0" t="n">
        <f aca="false">SUMPRODUCT(ISNUMBER(SEARCH(" "&amp;Terms!$A$3:$A$821&amp;" ",$D505))*Terms!E$3:E$821)+Terms!E$2</f>
        <v>-0.23305975146901</v>
      </c>
      <c r="W505" s="0" t="n">
        <f aca="false">SUMPRODUCT(ISNUMBER(SEARCH(" "&amp;Terms!$A$3:$A$821&amp;" ",$D505))*Terms!F$3:F$821)+Terms!F$2</f>
        <v>-2.59688009897858</v>
      </c>
      <c r="X505" s="0" t="n">
        <f aca="false">SUMPRODUCT(ISNUMBER(SEARCH(" "&amp;Terms!$A$3:$A$821&amp;" ",$D505))*Terms!G$3:G$821)+Terms!G$2</f>
        <v>-1.7065777013463</v>
      </c>
      <c r="Y505" s="0" t="str">
        <f aca="false">INDEX($S$1:$X$1,MATCH(MAX(S505:X505),S505:X505,0))</f>
        <v>Customer Service</v>
      </c>
      <c r="Z505" s="0" t="s">
        <v>2608</v>
      </c>
    </row>
    <row r="506" customFormat="false" ht="15" hidden="false" customHeight="false" outlineLevel="0" collapsed="false">
      <c r="A506" s="0" t="str">
        <f aca="false">Complaints!A506</f>
        <v>C0505</v>
      </c>
      <c r="B506" s="0" t="str">
        <f aca="false">Complaints!B506</f>
        <v>The direct debit setup was delayed and I missed a bill because of it. There was also a fee involved.</v>
      </c>
      <c r="C506" s="0" t="str">
        <f aca="false">Complaints!C506</f>
        <v>Delays &amp; Processing</v>
      </c>
      <c r="D506" s="0" t="str">
        <f aca="false">" "&amp;TRIM(SUBSTITUTE(SUBSTITUTE(SUBSTITUTE(SUBSTITUTE(SUBSTITUTE(SUBSTITUTE(SUBSTITUTE(SUBSTITUTE(SUBSTITUTE(SUBSTITUTE(SUBSTITUTE(SUBSTITUTE(SUBSTITUTE(SUBSTITUTE(SUBSTITUTE(SUBSTITUTE(LOWER(B506),"."," "),","," "),"'"," "),"’"," "),"!"," "),"?"," "),";"," "),":"," "),"-"," "),"("," "),")"," "),"""", " "),"£"," "),"&amp;"," "),"/"," "),"%"," "))&amp;" "</f>
        <v> the direct debit setup was delayed and i missed a bill because of it there was also a fee involved </v>
      </c>
      <c r="E506" s="0" t="n">
        <f aca="false">SUMPRODUCT((Rules!$A$2:$A$60=E$1)*Rules!$C$2:$C$60*ISNUMBER(SEARCH(Rules!$D$2:$D$60,$D506)))</f>
        <v>0</v>
      </c>
      <c r="F506" s="0" t="n">
        <f aca="false">SUMPRODUCT((Rules!$A$2:$A$60=F$1)*Rules!$C$2:$C$60*ISNUMBER(SEARCH(Rules!$D$2:$D$60,$D506)))</f>
        <v>0</v>
      </c>
      <c r="G506" s="0" t="n">
        <f aca="false">SUMPRODUCT((Rules!$A$2:$A$60=G$1)*Rules!$C$2:$C$60*ISNUMBER(SEARCH(Rules!$D$2:$D$60,$D506)))</f>
        <v>0</v>
      </c>
      <c r="H506" s="0" t="n">
        <f aca="false">SUMPRODUCT((Rules!$A$2:$A$60=H$1)*Rules!$C$2:$C$60*ISNUMBER(SEARCH(Rules!$D$2:$D$60,$D506)))</f>
        <v>2</v>
      </c>
      <c r="I506" s="0" t="n">
        <f aca="false">SUMPRODUCT((Rules!$A$2:$A$60=I$1)*Rules!$C$2:$C$60*ISNUMBER(SEARCH(Rules!$D$2:$D$60,$D506)))</f>
        <v>2</v>
      </c>
      <c r="J506" s="0" t="n">
        <f aca="false">SUMPRODUCT((Rules!$A$2:$A$60=J$1)*Rules!$C$2:$C$60*ISNUMBER(SEARCH(Rules!$D$2:$D$60,$D506)))</f>
        <v>0</v>
      </c>
      <c r="K506" s="0" t="str">
        <f aca="false">IF(OR(MAX(E506:J506)&lt;Rules!$H$1,MAX(E506:J506)-LARGE(E506:J506,2)&lt;Rules!$H$2),"No label",INDEX($E$1:$J$1,MATCH(MAX(E506:J506),E506:J506,0)))</f>
        <v>No label</v>
      </c>
      <c r="L506" s="0" t="n">
        <f aca="false">SUMPRODUCT((Rules!$A$2:$A$60=L$1)*Rules!$C$2:$C$60*ISNUMBER(SEARCH(Rules!$E$2:$E$60,$D506)))</f>
        <v>0</v>
      </c>
      <c r="M506" s="0" t="n">
        <f aca="false">SUMPRODUCT((Rules!$A$2:$A$60=M$1)*Rules!$C$2:$C$60*ISNUMBER(SEARCH(Rules!$E$2:$E$60,$D506)))</f>
        <v>0</v>
      </c>
      <c r="N506" s="0" t="n">
        <f aca="false">SUMPRODUCT((Rules!$A$2:$A$60=N$1)*Rules!$C$2:$C$60*ISNUMBER(SEARCH(Rules!$E$2:$E$60,$D506)))</f>
        <v>0</v>
      </c>
      <c r="O506" s="0" t="n">
        <f aca="false">SUMPRODUCT((Rules!$A$2:$A$60=O$1)*Rules!$C$2:$C$60*ISNUMBER(SEARCH(Rules!$E$2:$E$60,$D506)))</f>
        <v>4</v>
      </c>
      <c r="P506" s="0" t="n">
        <f aca="false">SUMPRODUCT((Rules!$A$2:$A$60=P$1)*Rules!$C$2:$C$60*ISNUMBER(SEARCH(Rules!$E$2:$E$60,$D506)))</f>
        <v>2</v>
      </c>
      <c r="Q506" s="0" t="n">
        <f aca="false">SUMPRODUCT((Rules!$A$2:$A$60=Q$1)*Rules!$C$2:$C$60*ISNUMBER(SEARCH(Rules!$E$2:$E$60,$D506)))</f>
        <v>0</v>
      </c>
      <c r="R506" s="0" t="str">
        <f aca="false">IF(OR(MAX(L506:Q506)&lt;Rules!$H$1,MAX(L506:Q506)-LARGE(L506:Q506,2)&lt;Rules!$H$2),"No label",INDEX($L$1:$Q$1,MATCH(MAX(L506:Q506),L506:Q506,0)))</f>
        <v>Fees &amp; Charges</v>
      </c>
      <c r="S506" s="0" t="n">
        <f aca="false">SUMPRODUCT(ISNUMBER(SEARCH(" "&amp;Terms!$A$3:$A$821&amp;" ",$D506))*Terms!B$3:B$821)+Terms!B$2</f>
        <v>-2.68719938153158</v>
      </c>
      <c r="T506" s="0" t="n">
        <f aca="false">SUMPRODUCT(ISNUMBER(SEARCH(" "&amp;Terms!$A$3:$A$821&amp;" ",$D506))*Terms!C$3:C$821)+Terms!C$2</f>
        <v>-3.90333467003822</v>
      </c>
      <c r="U506" s="0" t="n">
        <f aca="false">SUMPRODUCT(ISNUMBER(SEARCH(" "&amp;Terms!$A$3:$A$821&amp;" ",$D506))*Terms!D$3:D$821)+Terms!D$2</f>
        <v>11.0202112987331</v>
      </c>
      <c r="V506" s="0" t="n">
        <f aca="false">SUMPRODUCT(ISNUMBER(SEARCH(" "&amp;Terms!$A$3:$A$821&amp;" ",$D506))*Terms!E$3:E$821)+Terms!E$2</f>
        <v>-1.36853418225626</v>
      </c>
      <c r="W506" s="0" t="n">
        <f aca="false">SUMPRODUCT(ISNUMBER(SEARCH(" "&amp;Terms!$A$3:$A$821&amp;" ",$D506))*Terms!F$3:F$821)+Terms!F$2</f>
        <v>-0.594117344488284</v>
      </c>
      <c r="X506" s="0" t="n">
        <f aca="false">SUMPRODUCT(ISNUMBER(SEARCH(" "&amp;Terms!$A$3:$A$821&amp;" ",$D506))*Terms!G$3:G$821)+Terms!G$2</f>
        <v>-2.46702572041867</v>
      </c>
      <c r="Y506" s="0" t="str">
        <f aca="false">INDEX($S$1:$X$1,MATCH(MAX(S506:X506),S506:X506,0))</f>
        <v>Delays &amp; Processing</v>
      </c>
      <c r="Z506" s="0" t="s">
        <v>2607</v>
      </c>
    </row>
    <row r="507" customFormat="false" ht="15" hidden="false" customHeight="false" outlineLevel="0" collapsed="false">
      <c r="A507" s="0" t="str">
        <f aca="false">Complaints!A507</f>
        <v>C0506</v>
      </c>
      <c r="B507" s="0" t="str">
        <f aca="false">Complaints!B507</f>
        <v>I was advised to take out cover that duplicates what I already had. Please sort this out.</v>
      </c>
      <c r="C507" s="0" t="str">
        <f aca="false">Complaints!C507</f>
        <v>Mis-selling</v>
      </c>
      <c r="D507" s="0" t="str">
        <f aca="false">" "&amp;TRIM(SUBSTITUTE(SUBSTITUTE(SUBSTITUTE(SUBSTITUTE(SUBSTITUTE(SUBSTITUTE(SUBSTITUTE(SUBSTITUTE(SUBSTITUTE(SUBSTITUTE(SUBSTITUTE(SUBSTITUTE(SUBSTITUTE(SUBSTITUTE(SUBSTITUTE(SUBSTITUTE(LOWER(B507),"."," "),","," "),"'"," "),"’"," "),"!"," "),"?"," "),";"," "),":"," "),"-"," "),"("," "),")"," "),"""", " "),"£"," "),"&amp;"," "),"/"," "),"%"," "))&amp;" "</f>
        <v> i was advised to take out cover that duplicates what i already had please sort this out </v>
      </c>
      <c r="E507" s="0" t="n">
        <f aca="false">SUMPRODUCT((Rules!$A$2:$A$60=E$1)*Rules!$C$2:$C$60*ISNUMBER(SEARCH(Rules!$D$2:$D$60,$D507)))</f>
        <v>0</v>
      </c>
      <c r="F507" s="0" t="n">
        <f aca="false">SUMPRODUCT((Rules!$A$2:$A$60=F$1)*Rules!$C$2:$C$60*ISNUMBER(SEARCH(Rules!$D$2:$D$60,$D507)))</f>
        <v>0</v>
      </c>
      <c r="G507" s="0" t="n">
        <f aca="false">SUMPRODUCT((Rules!$A$2:$A$60=G$1)*Rules!$C$2:$C$60*ISNUMBER(SEARCH(Rules!$D$2:$D$60,$D507)))</f>
        <v>0</v>
      </c>
      <c r="H507" s="0" t="n">
        <f aca="false">SUMPRODUCT((Rules!$A$2:$A$60=H$1)*Rules!$C$2:$C$60*ISNUMBER(SEARCH(Rules!$D$2:$D$60,$D507)))</f>
        <v>0</v>
      </c>
      <c r="I507" s="0" t="n">
        <f aca="false">SUMPRODUCT((Rules!$A$2:$A$60=I$1)*Rules!$C$2:$C$60*ISNUMBER(SEARCH(Rules!$D$2:$D$60,$D507)))</f>
        <v>0</v>
      </c>
      <c r="J507" s="0" t="n">
        <f aca="false">SUMPRODUCT((Rules!$A$2:$A$60=J$1)*Rules!$C$2:$C$60*ISNUMBER(SEARCH(Rules!$D$2:$D$60,$D507)))</f>
        <v>0</v>
      </c>
      <c r="K507" s="0" t="str">
        <f aca="false">IF(OR(MAX(E507:J507)&lt;Rules!$H$1,MAX(E507:J507)-LARGE(E507:J507,2)&lt;Rules!$H$2),"No label",INDEX($E$1:$J$1,MATCH(MAX(E507:J507),E507:J507,0)))</f>
        <v>No label</v>
      </c>
      <c r="L507" s="0" t="n">
        <f aca="false">SUMPRODUCT((Rules!$A$2:$A$60=L$1)*Rules!$C$2:$C$60*ISNUMBER(SEARCH(Rules!$E$2:$E$60,$D507)))</f>
        <v>0</v>
      </c>
      <c r="M507" s="0" t="n">
        <f aca="false">SUMPRODUCT((Rules!$A$2:$A$60=M$1)*Rules!$C$2:$C$60*ISNUMBER(SEARCH(Rules!$E$2:$E$60,$D507)))</f>
        <v>4</v>
      </c>
      <c r="N507" s="0" t="n">
        <f aca="false">SUMPRODUCT((Rules!$A$2:$A$60=N$1)*Rules!$C$2:$C$60*ISNUMBER(SEARCH(Rules!$E$2:$E$60,$D507)))</f>
        <v>0</v>
      </c>
      <c r="O507" s="0" t="n">
        <f aca="false">SUMPRODUCT((Rules!$A$2:$A$60=O$1)*Rules!$C$2:$C$60*ISNUMBER(SEARCH(Rules!$E$2:$E$60,$D507)))</f>
        <v>0</v>
      </c>
      <c r="P507" s="0" t="n">
        <f aca="false">SUMPRODUCT((Rules!$A$2:$A$60=P$1)*Rules!$C$2:$C$60*ISNUMBER(SEARCH(Rules!$E$2:$E$60,$D507)))</f>
        <v>0</v>
      </c>
      <c r="Q507" s="0" t="n">
        <f aca="false">SUMPRODUCT((Rules!$A$2:$A$60=Q$1)*Rules!$C$2:$C$60*ISNUMBER(SEARCH(Rules!$E$2:$E$60,$D507)))</f>
        <v>1</v>
      </c>
      <c r="R507" s="0" t="str">
        <f aca="false">IF(OR(MAX(L507:Q507)&lt;Rules!$H$1,MAX(L507:Q507)-LARGE(L507:Q507,2)&lt;Rules!$H$2),"No label",INDEX($L$1:$Q$1,MATCH(MAX(L507:Q507),L507:Q507,0)))</f>
        <v>Mis-selling</v>
      </c>
      <c r="S507" s="0" t="n">
        <f aca="false">SUMPRODUCT(ISNUMBER(SEARCH(" "&amp;Terms!$A$3:$A$821&amp;" ",$D507))*Terms!B$3:B$821)+Terms!B$2</f>
        <v>-2.98478949560957</v>
      </c>
      <c r="T507" s="0" t="n">
        <f aca="false">SUMPRODUCT(ISNUMBER(SEARCH(" "&amp;Terms!$A$3:$A$821&amp;" ",$D507))*Terms!C$3:C$821)+Terms!C$2</f>
        <v>0.153430315889953</v>
      </c>
      <c r="U507" s="0" t="n">
        <f aca="false">SUMPRODUCT(ISNUMBER(SEARCH(" "&amp;Terms!$A$3:$A$821&amp;" ",$D507))*Terms!D$3:D$821)+Terms!D$2</f>
        <v>-1.33973433395848</v>
      </c>
      <c r="V507" s="0" t="n">
        <f aca="false">SUMPRODUCT(ISNUMBER(SEARCH(" "&amp;Terms!$A$3:$A$821&amp;" ",$D507))*Terms!E$3:E$821)+Terms!E$2</f>
        <v>0.0379423444823796</v>
      </c>
      <c r="W507" s="0" t="n">
        <f aca="false">SUMPRODUCT(ISNUMBER(SEARCH(" "&amp;Terms!$A$3:$A$821&amp;" ",$D507))*Terms!F$3:F$821)+Terms!F$2</f>
        <v>-1.22482065847801</v>
      </c>
      <c r="X507" s="0" t="n">
        <f aca="false">SUMPRODUCT(ISNUMBER(SEARCH(" "&amp;Terms!$A$3:$A$821&amp;" ",$D507))*Terms!G$3:G$821)+Terms!G$2</f>
        <v>5.3579718276738</v>
      </c>
      <c r="Y507" s="0" t="str">
        <f aca="false">INDEX($S$1:$X$1,MATCH(MAX(S507:X507),S507:X507,0))</f>
        <v>Mis-selling</v>
      </c>
      <c r="Z507" s="0" t="s">
        <v>2607</v>
      </c>
    </row>
    <row r="508" customFormat="false" ht="15" hidden="false" customHeight="false" outlineLevel="0" collapsed="false">
      <c r="A508" s="0" t="str">
        <f aca="false">Complaints!A508</f>
        <v>C0507</v>
      </c>
      <c r="B508" s="0" t="str">
        <f aca="false">Complaints!B508</f>
        <v>I am writing to complain. The account maintenance fee was taken twice this month. Also, two factor codes are not being sent to my phone. I expect compensation.</v>
      </c>
      <c r="C508" s="0" t="str">
        <f aca="false">Complaints!C508</f>
        <v>Fees &amp; Charges</v>
      </c>
      <c r="D508" s="0" t="str">
        <f aca="false">" "&amp;TRIM(SUBSTITUTE(SUBSTITUTE(SUBSTITUTE(SUBSTITUTE(SUBSTITUTE(SUBSTITUTE(SUBSTITUTE(SUBSTITUTE(SUBSTITUTE(SUBSTITUTE(SUBSTITUTE(SUBSTITUTE(SUBSTITUTE(SUBSTITUTE(SUBSTITUTE(SUBSTITUTE(LOWER(B508),"."," "),","," "),"'"," "),"’"," "),"!"," "),"?"," "),";"," "),":"," "),"-"," "),"("," "),")"," "),"""", " "),"£"," "),"&amp;"," "),"/"," "),"%"," "))&amp;" "</f>
        <v> i am writing to complain the account maintenance fee was taken twice this month also two factor codes are not being sent to my phone i expect compensation </v>
      </c>
      <c r="E508" s="0" t="n">
        <f aca="false">SUMPRODUCT((Rules!$A$2:$A$60=E$1)*Rules!$C$2:$C$60*ISNUMBER(SEARCH(Rules!$D$2:$D$60,$D508)))</f>
        <v>0</v>
      </c>
      <c r="F508" s="0" t="n">
        <f aca="false">SUMPRODUCT((Rules!$A$2:$A$60=F$1)*Rules!$C$2:$C$60*ISNUMBER(SEARCH(Rules!$D$2:$D$60,$D508)))</f>
        <v>0</v>
      </c>
      <c r="G508" s="0" t="n">
        <f aca="false">SUMPRODUCT((Rules!$A$2:$A$60=G$1)*Rules!$C$2:$C$60*ISNUMBER(SEARCH(Rules!$D$2:$D$60,$D508)))</f>
        <v>3</v>
      </c>
      <c r="H508" s="0" t="n">
        <f aca="false">SUMPRODUCT((Rules!$A$2:$A$60=H$1)*Rules!$C$2:$C$60*ISNUMBER(SEARCH(Rules!$D$2:$D$60,$D508)))</f>
        <v>2</v>
      </c>
      <c r="I508" s="0" t="n">
        <f aca="false">SUMPRODUCT((Rules!$A$2:$A$60=I$1)*Rules!$C$2:$C$60*ISNUMBER(SEARCH(Rules!$D$2:$D$60,$D508)))</f>
        <v>0</v>
      </c>
      <c r="J508" s="0" t="n">
        <f aca="false">SUMPRODUCT((Rules!$A$2:$A$60=J$1)*Rules!$C$2:$C$60*ISNUMBER(SEARCH(Rules!$D$2:$D$60,$D508)))</f>
        <v>0</v>
      </c>
      <c r="K508" s="0" t="str">
        <f aca="false">IF(OR(MAX(E508:J508)&lt;Rules!$H$1,MAX(E508:J508)-LARGE(E508:J508,2)&lt;Rules!$H$2),"No label",INDEX($E$1:$J$1,MATCH(MAX(E508:J508),E508:J508,0)))</f>
        <v>No label</v>
      </c>
      <c r="L508" s="0" t="n">
        <f aca="false">SUMPRODUCT((Rules!$A$2:$A$60=L$1)*Rules!$C$2:$C$60*ISNUMBER(SEARCH(Rules!$E$2:$E$60,$D508)))</f>
        <v>0</v>
      </c>
      <c r="M508" s="0" t="n">
        <f aca="false">SUMPRODUCT((Rules!$A$2:$A$60=M$1)*Rules!$C$2:$C$60*ISNUMBER(SEARCH(Rules!$E$2:$E$60,$D508)))</f>
        <v>0</v>
      </c>
      <c r="N508" s="0" t="n">
        <f aca="false">SUMPRODUCT((Rules!$A$2:$A$60=N$1)*Rules!$C$2:$C$60*ISNUMBER(SEARCH(Rules!$E$2:$E$60,$D508)))</f>
        <v>3</v>
      </c>
      <c r="O508" s="0" t="n">
        <f aca="false">SUMPRODUCT((Rules!$A$2:$A$60=O$1)*Rules!$C$2:$C$60*ISNUMBER(SEARCH(Rules!$E$2:$E$60,$D508)))</f>
        <v>2</v>
      </c>
      <c r="P508" s="0" t="n">
        <f aca="false">SUMPRODUCT((Rules!$A$2:$A$60=P$1)*Rules!$C$2:$C$60*ISNUMBER(SEARCH(Rules!$E$2:$E$60,$D508)))</f>
        <v>0</v>
      </c>
      <c r="Q508" s="0" t="n">
        <f aca="false">SUMPRODUCT((Rules!$A$2:$A$60=Q$1)*Rules!$C$2:$C$60*ISNUMBER(SEARCH(Rules!$E$2:$E$60,$D508)))</f>
        <v>0</v>
      </c>
      <c r="R508" s="0" t="str">
        <f aca="false">IF(OR(MAX(L508:Q508)&lt;Rules!$H$1,MAX(L508:Q508)-LARGE(L508:Q508,2)&lt;Rules!$H$2),"No label",INDEX($L$1:$Q$1,MATCH(MAX(L508:Q508),L508:Q508,0)))</f>
        <v>No label</v>
      </c>
      <c r="S508" s="0" t="n">
        <f aca="false">SUMPRODUCT(ISNUMBER(SEARCH(" "&amp;Terms!$A$3:$A$821&amp;" ",$D508))*Terms!B$3:B$821)+Terms!B$2</f>
        <v>9.97030870090405</v>
      </c>
      <c r="T508" s="0" t="n">
        <f aca="false">SUMPRODUCT(ISNUMBER(SEARCH(" "&amp;Terms!$A$3:$A$821&amp;" ",$D508))*Terms!C$3:C$821)+Terms!C$2</f>
        <v>-6.36269280368471</v>
      </c>
      <c r="U508" s="0" t="n">
        <f aca="false">SUMPRODUCT(ISNUMBER(SEARCH(" "&amp;Terms!$A$3:$A$821&amp;" ",$D508))*Terms!D$3:D$821)+Terms!D$2</f>
        <v>3.47173331738055</v>
      </c>
      <c r="V508" s="0" t="n">
        <f aca="false">SUMPRODUCT(ISNUMBER(SEARCH(" "&amp;Terms!$A$3:$A$821&amp;" ",$D508))*Terms!E$3:E$821)+Terms!E$2</f>
        <v>8.18977090535825</v>
      </c>
      <c r="W508" s="0" t="n">
        <f aca="false">SUMPRODUCT(ISNUMBER(SEARCH(" "&amp;Terms!$A$3:$A$821&amp;" ",$D508))*Terms!F$3:F$821)+Terms!F$2</f>
        <v>-5.70332001550996</v>
      </c>
      <c r="X508" s="0" t="n">
        <f aca="false">SUMPRODUCT(ISNUMBER(SEARCH(" "&amp;Terms!$A$3:$A$821&amp;" ",$D508))*Terms!G$3:G$821)+Terms!G$2</f>
        <v>-9.56580010444813</v>
      </c>
      <c r="Y508" s="0" t="str">
        <f aca="false">INDEX($S$1:$X$1,MATCH(MAX(S508:X508),S508:X508,0))</f>
        <v>Account Access</v>
      </c>
      <c r="Z508" s="0" t="s">
        <v>2608</v>
      </c>
    </row>
    <row r="509" customFormat="false" ht="15" hidden="false" customHeight="false" outlineLevel="0" collapsed="false">
      <c r="A509" s="0" t="str">
        <f aca="false">Complaints!A509</f>
        <v>C0508</v>
      </c>
      <c r="B509" s="0" t="str">
        <f aca="false">Complaints!B509</f>
        <v>I am writing to complain. The fraud team closed my case without investigating properly. This is not acceptable.</v>
      </c>
      <c r="C509" s="0" t="str">
        <f aca="false">Complaints!C509</f>
        <v>Fraud &amp; Scams</v>
      </c>
      <c r="D509" s="0" t="str">
        <f aca="false">" "&amp;TRIM(SUBSTITUTE(SUBSTITUTE(SUBSTITUTE(SUBSTITUTE(SUBSTITUTE(SUBSTITUTE(SUBSTITUTE(SUBSTITUTE(SUBSTITUTE(SUBSTITUTE(SUBSTITUTE(SUBSTITUTE(SUBSTITUTE(SUBSTITUTE(SUBSTITUTE(SUBSTITUTE(LOWER(B509),"."," "),","," "),"'"," "),"’"," "),"!"," "),"?"," "),";"," "),":"," "),"-"," "),"("," "),")"," "),"""", " "),"£"," "),"&amp;"," "),"/"," "),"%"," "))&amp;" "</f>
        <v> i am writing to complain the fraud team closed my case without investigating properly this is not acceptable </v>
      </c>
      <c r="E509" s="0" t="n">
        <f aca="false">SUMPRODUCT((Rules!$A$2:$A$60=E$1)*Rules!$C$2:$C$60*ISNUMBER(SEARCH(Rules!$D$2:$D$60,$D509)))</f>
        <v>3</v>
      </c>
      <c r="F509" s="0" t="n">
        <f aca="false">SUMPRODUCT((Rules!$A$2:$A$60=F$1)*Rules!$C$2:$C$60*ISNUMBER(SEARCH(Rules!$D$2:$D$60,$D509)))</f>
        <v>0</v>
      </c>
      <c r="G509" s="0" t="n">
        <f aca="false">SUMPRODUCT((Rules!$A$2:$A$60=G$1)*Rules!$C$2:$C$60*ISNUMBER(SEARCH(Rules!$D$2:$D$60,$D509)))</f>
        <v>0</v>
      </c>
      <c r="H509" s="0" t="n">
        <f aca="false">SUMPRODUCT((Rules!$A$2:$A$60=H$1)*Rules!$C$2:$C$60*ISNUMBER(SEARCH(Rules!$D$2:$D$60,$D509)))</f>
        <v>0</v>
      </c>
      <c r="I509" s="0" t="n">
        <f aca="false">SUMPRODUCT((Rules!$A$2:$A$60=I$1)*Rules!$C$2:$C$60*ISNUMBER(SEARCH(Rules!$D$2:$D$60,$D509)))</f>
        <v>0</v>
      </c>
      <c r="J509" s="0" t="n">
        <f aca="false">SUMPRODUCT((Rules!$A$2:$A$60=J$1)*Rules!$C$2:$C$60*ISNUMBER(SEARCH(Rules!$D$2:$D$60,$D509)))</f>
        <v>0</v>
      </c>
      <c r="K509" s="0" t="str">
        <f aca="false">IF(OR(MAX(E509:J509)&lt;Rules!$H$1,MAX(E509:J509)-LARGE(E509:J509,2)&lt;Rules!$H$2),"No label",INDEX($E$1:$J$1,MATCH(MAX(E509:J509),E509:J509,0)))</f>
        <v>Fraud &amp; Scams</v>
      </c>
      <c r="L509" s="0" t="n">
        <f aca="false">SUMPRODUCT((Rules!$A$2:$A$60=L$1)*Rules!$C$2:$C$60*ISNUMBER(SEARCH(Rules!$E$2:$E$60,$D509)))</f>
        <v>3</v>
      </c>
      <c r="M509" s="0" t="n">
        <f aca="false">SUMPRODUCT((Rules!$A$2:$A$60=M$1)*Rules!$C$2:$C$60*ISNUMBER(SEARCH(Rules!$E$2:$E$60,$D509)))</f>
        <v>0</v>
      </c>
      <c r="N509" s="0" t="n">
        <f aca="false">SUMPRODUCT((Rules!$A$2:$A$60=N$1)*Rules!$C$2:$C$60*ISNUMBER(SEARCH(Rules!$E$2:$E$60,$D509)))</f>
        <v>1</v>
      </c>
      <c r="O509" s="0" t="n">
        <f aca="false">SUMPRODUCT((Rules!$A$2:$A$60=O$1)*Rules!$C$2:$C$60*ISNUMBER(SEARCH(Rules!$E$2:$E$60,$D509)))</f>
        <v>0</v>
      </c>
      <c r="P509" s="0" t="n">
        <f aca="false">SUMPRODUCT((Rules!$A$2:$A$60=P$1)*Rules!$C$2:$C$60*ISNUMBER(SEARCH(Rules!$E$2:$E$60,$D509)))</f>
        <v>0</v>
      </c>
      <c r="Q509" s="0" t="n">
        <f aca="false">SUMPRODUCT((Rules!$A$2:$A$60=Q$1)*Rules!$C$2:$C$60*ISNUMBER(SEARCH(Rules!$E$2:$E$60,$D509)))</f>
        <v>0</v>
      </c>
      <c r="R509" s="0" t="str">
        <f aca="false">IF(OR(MAX(L509:Q509)&lt;Rules!$H$1,MAX(L509:Q509)-LARGE(L509:Q509,2)&lt;Rules!$H$2),"No label",INDEX($L$1:$Q$1,MATCH(MAX(L509:Q509),L509:Q509,0)))</f>
        <v>Fraud &amp; Scams</v>
      </c>
      <c r="S509" s="0" t="n">
        <f aca="false">SUMPRODUCT(ISNUMBER(SEARCH(" "&amp;Terms!$A$3:$A$821&amp;" ",$D509))*Terms!B$3:B$821)+Terms!B$2</f>
        <v>-2.75313206116886</v>
      </c>
      <c r="T509" s="0" t="n">
        <f aca="false">SUMPRODUCT(ISNUMBER(SEARCH(" "&amp;Terms!$A$3:$A$821&amp;" ",$D509))*Terms!C$3:C$821)+Terms!C$2</f>
        <v>-0.66901115350886</v>
      </c>
      <c r="U509" s="0" t="n">
        <f aca="false">SUMPRODUCT(ISNUMBER(SEARCH(" "&amp;Terms!$A$3:$A$821&amp;" ",$D509))*Terms!D$3:D$821)+Terms!D$2</f>
        <v>-0.284612955207683</v>
      </c>
      <c r="V509" s="0" t="n">
        <f aca="false">SUMPRODUCT(ISNUMBER(SEARCH(" "&amp;Terms!$A$3:$A$821&amp;" ",$D509))*Terms!E$3:E$821)+Terms!E$2</f>
        <v>-5.16139982365912</v>
      </c>
      <c r="W509" s="0" t="n">
        <f aca="false">SUMPRODUCT(ISNUMBER(SEARCH(" "&amp;Terms!$A$3:$A$821&amp;" ",$D509))*Terms!F$3:F$821)+Terms!F$2</f>
        <v>10.8378981526931</v>
      </c>
      <c r="X509" s="0" t="n">
        <f aca="false">SUMPRODUCT(ISNUMBER(SEARCH(" "&amp;Terms!$A$3:$A$821&amp;" ",$D509))*Terms!G$3:G$821)+Terms!G$2</f>
        <v>-1.96974215914852</v>
      </c>
      <c r="Y509" s="0" t="str">
        <f aca="false">INDEX($S$1:$X$1,MATCH(MAX(S509:X509),S509:X509,0))</f>
        <v>Fraud &amp; Scams</v>
      </c>
      <c r="Z509" s="0" t="s">
        <v>2607</v>
      </c>
    </row>
    <row r="510" customFormat="false" ht="15" hidden="false" customHeight="false" outlineLevel="0" collapsed="false">
      <c r="A510" s="0" t="str">
        <f aca="false">Complaints!A510</f>
        <v>C0509</v>
      </c>
      <c r="B510" s="0" t="str">
        <f aca="false">Complaints!B510</f>
        <v>I am extremely disappointed and want this resolved. I would like a response in writing.</v>
      </c>
      <c r="C510" s="0" t="str">
        <f aca="false">Complaints!C510</f>
        <v>Customer Service</v>
      </c>
      <c r="D510" s="0" t="str">
        <f aca="false">" "&amp;TRIM(SUBSTITUTE(SUBSTITUTE(SUBSTITUTE(SUBSTITUTE(SUBSTITUTE(SUBSTITUTE(SUBSTITUTE(SUBSTITUTE(SUBSTITUTE(SUBSTITUTE(SUBSTITUTE(SUBSTITUTE(SUBSTITUTE(SUBSTITUTE(SUBSTITUTE(SUBSTITUTE(LOWER(B510),"."," "),","," "),"'"," "),"’"," "),"!"," "),"?"," "),";"," "),":"," "),"-"," "),"("," "),")"," "),"""", " "),"£"," "),"&amp;"," "),"/"," "),"%"," "))&amp;" "</f>
        <v> i am extremely disappointed and want this resolved i would like a response in writing </v>
      </c>
      <c r="E510" s="0" t="n">
        <f aca="false">SUMPRODUCT((Rules!$A$2:$A$60=E$1)*Rules!$C$2:$C$60*ISNUMBER(SEARCH(Rules!$D$2:$D$60,$D510)))</f>
        <v>0</v>
      </c>
      <c r="F510" s="0" t="n">
        <f aca="false">SUMPRODUCT((Rules!$A$2:$A$60=F$1)*Rules!$C$2:$C$60*ISNUMBER(SEARCH(Rules!$D$2:$D$60,$D510)))</f>
        <v>0</v>
      </c>
      <c r="G510" s="0" t="n">
        <f aca="false">SUMPRODUCT((Rules!$A$2:$A$60=G$1)*Rules!$C$2:$C$60*ISNUMBER(SEARCH(Rules!$D$2:$D$60,$D510)))</f>
        <v>0</v>
      </c>
      <c r="H510" s="0" t="n">
        <f aca="false">SUMPRODUCT((Rules!$A$2:$A$60=H$1)*Rules!$C$2:$C$60*ISNUMBER(SEARCH(Rules!$D$2:$D$60,$D510)))</f>
        <v>0</v>
      </c>
      <c r="I510" s="0" t="n">
        <f aca="false">SUMPRODUCT((Rules!$A$2:$A$60=I$1)*Rules!$C$2:$C$60*ISNUMBER(SEARCH(Rules!$D$2:$D$60,$D510)))</f>
        <v>0</v>
      </c>
      <c r="J510" s="0" t="n">
        <f aca="false">SUMPRODUCT((Rules!$A$2:$A$60=J$1)*Rules!$C$2:$C$60*ISNUMBER(SEARCH(Rules!$D$2:$D$60,$D510)))</f>
        <v>0</v>
      </c>
      <c r="K510" s="0" t="str">
        <f aca="false">IF(OR(MAX(E510:J510)&lt;Rules!$H$1,MAX(E510:J510)-LARGE(E510:J510,2)&lt;Rules!$H$2),"No label",INDEX($E$1:$J$1,MATCH(MAX(E510:J510),E510:J510,0)))</f>
        <v>No label</v>
      </c>
      <c r="L510" s="0" t="n">
        <f aca="false">SUMPRODUCT((Rules!$A$2:$A$60=L$1)*Rules!$C$2:$C$60*ISNUMBER(SEARCH(Rules!$E$2:$E$60,$D510)))</f>
        <v>0</v>
      </c>
      <c r="M510" s="0" t="n">
        <f aca="false">SUMPRODUCT((Rules!$A$2:$A$60=M$1)*Rules!$C$2:$C$60*ISNUMBER(SEARCH(Rules!$E$2:$E$60,$D510)))</f>
        <v>0</v>
      </c>
      <c r="N510" s="0" t="n">
        <f aca="false">SUMPRODUCT((Rules!$A$2:$A$60=N$1)*Rules!$C$2:$C$60*ISNUMBER(SEARCH(Rules!$E$2:$E$60,$D510)))</f>
        <v>0</v>
      </c>
      <c r="O510" s="0" t="n">
        <f aca="false">SUMPRODUCT((Rules!$A$2:$A$60=O$1)*Rules!$C$2:$C$60*ISNUMBER(SEARCH(Rules!$E$2:$E$60,$D510)))</f>
        <v>0</v>
      </c>
      <c r="P510" s="0" t="n">
        <f aca="false">SUMPRODUCT((Rules!$A$2:$A$60=P$1)*Rules!$C$2:$C$60*ISNUMBER(SEARCH(Rules!$E$2:$E$60,$D510)))</f>
        <v>0</v>
      </c>
      <c r="Q510" s="0" t="n">
        <f aca="false">SUMPRODUCT((Rules!$A$2:$A$60=Q$1)*Rules!$C$2:$C$60*ISNUMBER(SEARCH(Rules!$E$2:$E$60,$D510)))</f>
        <v>0</v>
      </c>
      <c r="R510" s="0" t="str">
        <f aca="false">IF(OR(MAX(L510:Q510)&lt;Rules!$H$1,MAX(L510:Q510)-LARGE(L510:Q510,2)&lt;Rules!$H$2),"No label",INDEX($L$1:$Q$1,MATCH(MAX(L510:Q510),L510:Q510,0)))</f>
        <v>No label</v>
      </c>
      <c r="S510" s="0" t="n">
        <f aca="false">SUMPRODUCT(ISNUMBER(SEARCH(" "&amp;Terms!$A$3:$A$821&amp;" ",$D510))*Terms!B$3:B$821)+Terms!B$2</f>
        <v>0.228284827446081</v>
      </c>
      <c r="T510" s="0" t="n">
        <f aca="false">SUMPRODUCT(ISNUMBER(SEARCH(" "&amp;Terms!$A$3:$A$821&amp;" ",$D510))*Terms!C$3:C$821)+Terms!C$2</f>
        <v>-0.00783029250933358</v>
      </c>
      <c r="U510" s="0" t="n">
        <f aca="false">SUMPRODUCT(ISNUMBER(SEARCH(" "&amp;Terms!$A$3:$A$821&amp;" ",$D510))*Terms!D$3:D$821)+Terms!D$2</f>
        <v>-2.37299366655215</v>
      </c>
      <c r="V510" s="0" t="n">
        <f aca="false">SUMPRODUCT(ISNUMBER(SEARCH(" "&amp;Terms!$A$3:$A$821&amp;" ",$D510))*Terms!E$3:E$821)+Terms!E$2</f>
        <v>-2.07160701561719</v>
      </c>
      <c r="W510" s="0" t="n">
        <f aca="false">SUMPRODUCT(ISNUMBER(SEARCH(" "&amp;Terms!$A$3:$A$821&amp;" ",$D510))*Terms!F$3:F$821)+Terms!F$2</f>
        <v>0.93780257876835</v>
      </c>
      <c r="X510" s="0" t="n">
        <f aca="false">SUMPRODUCT(ISNUMBER(SEARCH(" "&amp;Terms!$A$3:$A$821&amp;" ",$D510))*Terms!G$3:G$821)+Terms!G$2</f>
        <v>3.28634356846434</v>
      </c>
      <c r="Y510" s="0" t="str">
        <f aca="false">INDEX($S$1:$X$1,MATCH(MAX(S510:X510),S510:X510,0))</f>
        <v>Mis-selling</v>
      </c>
      <c r="Z510" s="0" t="s">
        <v>2607</v>
      </c>
    </row>
    <row r="511" customFormat="false" ht="15" hidden="false" customHeight="false" outlineLevel="0" collapsed="false">
      <c r="A511" s="0" t="str">
        <f aca="false">Complaints!A511</f>
        <v>C0510</v>
      </c>
      <c r="B511" s="0" t="str">
        <f aca="false">Complaints!B511</f>
        <v>Hello, Nobody has responded to my emails despite three reminders.</v>
      </c>
      <c r="C511" s="0" t="str">
        <f aca="false">Complaints!C511</f>
        <v>Customer Service</v>
      </c>
      <c r="D511" s="0" t="str">
        <f aca="false">" "&amp;TRIM(SUBSTITUTE(SUBSTITUTE(SUBSTITUTE(SUBSTITUTE(SUBSTITUTE(SUBSTITUTE(SUBSTITUTE(SUBSTITUTE(SUBSTITUTE(SUBSTITUTE(SUBSTITUTE(SUBSTITUTE(SUBSTITUTE(SUBSTITUTE(SUBSTITUTE(SUBSTITUTE(LOWER(B511),"."," "),","," "),"'"," "),"’"," "),"!"," "),"?"," "),";"," "),":"," "),"-"," "),"("," "),")"," "),"""", " "),"£"," "),"&amp;"," "),"/"," "),"%"," "))&amp;" "</f>
        <v> hello nobody has responded to my emails despite three reminders </v>
      </c>
      <c r="E511" s="0" t="n">
        <f aca="false">SUMPRODUCT((Rules!$A$2:$A$60=E$1)*Rules!$C$2:$C$60*ISNUMBER(SEARCH(Rules!$D$2:$D$60,$D511)))</f>
        <v>0</v>
      </c>
      <c r="F511" s="0" t="n">
        <f aca="false">SUMPRODUCT((Rules!$A$2:$A$60=F$1)*Rules!$C$2:$C$60*ISNUMBER(SEARCH(Rules!$D$2:$D$60,$D511)))</f>
        <v>0</v>
      </c>
      <c r="G511" s="0" t="n">
        <f aca="false">SUMPRODUCT((Rules!$A$2:$A$60=G$1)*Rules!$C$2:$C$60*ISNUMBER(SEARCH(Rules!$D$2:$D$60,$D511)))</f>
        <v>0</v>
      </c>
      <c r="H511" s="0" t="n">
        <f aca="false">SUMPRODUCT((Rules!$A$2:$A$60=H$1)*Rules!$C$2:$C$60*ISNUMBER(SEARCH(Rules!$D$2:$D$60,$D511)))</f>
        <v>0</v>
      </c>
      <c r="I511" s="0" t="n">
        <f aca="false">SUMPRODUCT((Rules!$A$2:$A$60=I$1)*Rules!$C$2:$C$60*ISNUMBER(SEARCH(Rules!$D$2:$D$60,$D511)))</f>
        <v>0</v>
      </c>
      <c r="J511" s="0" t="n">
        <f aca="false">SUMPRODUCT((Rules!$A$2:$A$60=J$1)*Rules!$C$2:$C$60*ISNUMBER(SEARCH(Rules!$D$2:$D$60,$D511)))</f>
        <v>2</v>
      </c>
      <c r="K511" s="0" t="str">
        <f aca="false">IF(OR(MAX(E511:J511)&lt;Rules!$H$1,MAX(E511:J511)-LARGE(E511:J511,2)&lt;Rules!$H$2),"No label",INDEX($E$1:$J$1,MATCH(MAX(E511:J511),E511:J511,0)))</f>
        <v>No label</v>
      </c>
      <c r="L511" s="0" t="n">
        <f aca="false">SUMPRODUCT((Rules!$A$2:$A$60=L$1)*Rules!$C$2:$C$60*ISNUMBER(SEARCH(Rules!$E$2:$E$60,$D511)))</f>
        <v>0</v>
      </c>
      <c r="M511" s="0" t="n">
        <f aca="false">SUMPRODUCT((Rules!$A$2:$A$60=M$1)*Rules!$C$2:$C$60*ISNUMBER(SEARCH(Rules!$E$2:$E$60,$D511)))</f>
        <v>0</v>
      </c>
      <c r="N511" s="0" t="n">
        <f aca="false">SUMPRODUCT((Rules!$A$2:$A$60=N$1)*Rules!$C$2:$C$60*ISNUMBER(SEARCH(Rules!$E$2:$E$60,$D511)))</f>
        <v>0</v>
      </c>
      <c r="O511" s="0" t="n">
        <f aca="false">SUMPRODUCT((Rules!$A$2:$A$60=O$1)*Rules!$C$2:$C$60*ISNUMBER(SEARCH(Rules!$E$2:$E$60,$D511)))</f>
        <v>0</v>
      </c>
      <c r="P511" s="0" t="n">
        <f aca="false">SUMPRODUCT((Rules!$A$2:$A$60=P$1)*Rules!$C$2:$C$60*ISNUMBER(SEARCH(Rules!$E$2:$E$60,$D511)))</f>
        <v>0</v>
      </c>
      <c r="Q511" s="0" t="n">
        <f aca="false">SUMPRODUCT((Rules!$A$2:$A$60=Q$1)*Rules!$C$2:$C$60*ISNUMBER(SEARCH(Rules!$E$2:$E$60,$D511)))</f>
        <v>2</v>
      </c>
      <c r="R511" s="0" t="str">
        <f aca="false">IF(OR(MAX(L511:Q511)&lt;Rules!$H$1,MAX(L511:Q511)-LARGE(L511:Q511,2)&lt;Rules!$H$2),"No label",INDEX($L$1:$Q$1,MATCH(MAX(L511:Q511),L511:Q511,0)))</f>
        <v>No label</v>
      </c>
      <c r="S511" s="0" t="n">
        <f aca="false">SUMPRODUCT(ISNUMBER(SEARCH(" "&amp;Terms!$A$3:$A$821&amp;" ",$D511))*Terms!B$3:B$821)+Terms!B$2</f>
        <v>-2.83608791574276</v>
      </c>
      <c r="T511" s="0" t="n">
        <f aca="false">SUMPRODUCT(ISNUMBER(SEARCH(" "&amp;Terms!$A$3:$A$821&amp;" ",$D511))*Terms!C$3:C$821)+Terms!C$2</f>
        <v>9.82438726380138</v>
      </c>
      <c r="U511" s="0" t="n">
        <f aca="false">SUMPRODUCT(ISNUMBER(SEARCH(" "&amp;Terms!$A$3:$A$821&amp;" ",$D511))*Terms!D$3:D$821)+Terms!D$2</f>
        <v>-2.92398390716198</v>
      </c>
      <c r="V511" s="0" t="n">
        <f aca="false">SUMPRODUCT(ISNUMBER(SEARCH(" "&amp;Terms!$A$3:$A$821&amp;" ",$D511))*Terms!E$3:E$821)+Terms!E$2</f>
        <v>-0.885935938712105</v>
      </c>
      <c r="W511" s="0" t="n">
        <f aca="false">SUMPRODUCT(ISNUMBER(SEARCH(" "&amp;Terms!$A$3:$A$821&amp;" ",$D511))*Terms!F$3:F$821)+Terms!F$2</f>
        <v>-1.95332373722434</v>
      </c>
      <c r="X511" s="0" t="n">
        <f aca="false">SUMPRODUCT(ISNUMBER(SEARCH(" "&amp;Terms!$A$3:$A$821&amp;" ",$D511))*Terms!G$3:G$821)+Terms!G$2</f>
        <v>-1.2250557649601</v>
      </c>
      <c r="Y511" s="0" t="str">
        <f aca="false">INDEX($S$1:$X$1,MATCH(MAX(S511:X511),S511:X511,0))</f>
        <v>Customer Service</v>
      </c>
      <c r="Z511" s="0" t="s">
        <v>2607</v>
      </c>
    </row>
    <row r="512" customFormat="false" ht="15" hidden="false" customHeight="false" outlineLevel="0" collapsed="false">
      <c r="A512" s="0" t="str">
        <f aca="false">Complaints!A512</f>
        <v>C0511</v>
      </c>
      <c r="B512" s="0" t="str">
        <f aca="false">Complaints!B512</f>
        <v>I have been a customer for years. The complaints handler was unhelpful and talked over me.</v>
      </c>
      <c r="C512" s="0" t="str">
        <f aca="false">Complaints!C512</f>
        <v>Customer Service</v>
      </c>
      <c r="D512" s="0" t="str">
        <f aca="false">" "&amp;TRIM(SUBSTITUTE(SUBSTITUTE(SUBSTITUTE(SUBSTITUTE(SUBSTITUTE(SUBSTITUTE(SUBSTITUTE(SUBSTITUTE(SUBSTITUTE(SUBSTITUTE(SUBSTITUTE(SUBSTITUTE(SUBSTITUTE(SUBSTITUTE(SUBSTITUTE(SUBSTITUTE(LOWER(B512),"."," "),","," "),"'"," "),"’"," "),"!"," "),"?"," "),";"," "),":"," "),"-"," "),"("," "),")"," "),"""", " "),"£"," "),"&amp;"," "),"/"," "),"%"," "))&amp;" "</f>
        <v> i have been a customer for years the complaints handler was unhelpful and talked over me </v>
      </c>
      <c r="E512" s="0" t="n">
        <f aca="false">SUMPRODUCT((Rules!$A$2:$A$60=E$1)*Rules!$C$2:$C$60*ISNUMBER(SEARCH(Rules!$D$2:$D$60,$D512)))</f>
        <v>0</v>
      </c>
      <c r="F512" s="0" t="n">
        <f aca="false">SUMPRODUCT((Rules!$A$2:$A$60=F$1)*Rules!$C$2:$C$60*ISNUMBER(SEARCH(Rules!$D$2:$D$60,$D512)))</f>
        <v>0</v>
      </c>
      <c r="G512" s="0" t="n">
        <f aca="false">SUMPRODUCT((Rules!$A$2:$A$60=G$1)*Rules!$C$2:$C$60*ISNUMBER(SEARCH(Rules!$D$2:$D$60,$D512)))</f>
        <v>0</v>
      </c>
      <c r="H512" s="0" t="n">
        <f aca="false">SUMPRODUCT((Rules!$A$2:$A$60=H$1)*Rules!$C$2:$C$60*ISNUMBER(SEARCH(Rules!$D$2:$D$60,$D512)))</f>
        <v>0</v>
      </c>
      <c r="I512" s="0" t="n">
        <f aca="false">SUMPRODUCT((Rules!$A$2:$A$60=I$1)*Rules!$C$2:$C$60*ISNUMBER(SEARCH(Rules!$D$2:$D$60,$D512)))</f>
        <v>0</v>
      </c>
      <c r="J512" s="0" t="n">
        <f aca="false">SUMPRODUCT((Rules!$A$2:$A$60=J$1)*Rules!$C$2:$C$60*ISNUMBER(SEARCH(Rules!$D$2:$D$60,$D512)))</f>
        <v>2</v>
      </c>
      <c r="K512" s="0" t="str">
        <f aca="false">IF(OR(MAX(E512:J512)&lt;Rules!$H$1,MAX(E512:J512)-LARGE(E512:J512,2)&lt;Rules!$H$2),"No label",INDEX($E$1:$J$1,MATCH(MAX(E512:J512),E512:J512,0)))</f>
        <v>No label</v>
      </c>
      <c r="L512" s="0" t="n">
        <f aca="false">SUMPRODUCT((Rules!$A$2:$A$60=L$1)*Rules!$C$2:$C$60*ISNUMBER(SEARCH(Rules!$E$2:$E$60,$D512)))</f>
        <v>0</v>
      </c>
      <c r="M512" s="0" t="n">
        <f aca="false">SUMPRODUCT((Rules!$A$2:$A$60=M$1)*Rules!$C$2:$C$60*ISNUMBER(SEARCH(Rules!$E$2:$E$60,$D512)))</f>
        <v>0</v>
      </c>
      <c r="N512" s="0" t="n">
        <f aca="false">SUMPRODUCT((Rules!$A$2:$A$60=N$1)*Rules!$C$2:$C$60*ISNUMBER(SEARCH(Rules!$E$2:$E$60,$D512)))</f>
        <v>0</v>
      </c>
      <c r="O512" s="0" t="n">
        <f aca="false">SUMPRODUCT((Rules!$A$2:$A$60=O$1)*Rules!$C$2:$C$60*ISNUMBER(SEARCH(Rules!$E$2:$E$60,$D512)))</f>
        <v>0</v>
      </c>
      <c r="P512" s="0" t="n">
        <f aca="false">SUMPRODUCT((Rules!$A$2:$A$60=P$1)*Rules!$C$2:$C$60*ISNUMBER(SEARCH(Rules!$E$2:$E$60,$D512)))</f>
        <v>0</v>
      </c>
      <c r="Q512" s="0" t="n">
        <f aca="false">SUMPRODUCT((Rules!$A$2:$A$60=Q$1)*Rules!$C$2:$C$60*ISNUMBER(SEARCH(Rules!$E$2:$E$60,$D512)))</f>
        <v>2</v>
      </c>
      <c r="R512" s="0" t="str">
        <f aca="false">IF(OR(MAX(L512:Q512)&lt;Rules!$H$1,MAX(L512:Q512)-LARGE(L512:Q512,2)&lt;Rules!$H$2),"No label",INDEX($L$1:$Q$1,MATCH(MAX(L512:Q512),L512:Q512,0)))</f>
        <v>No label</v>
      </c>
      <c r="S512" s="0" t="n">
        <f aca="false">SUMPRODUCT(ISNUMBER(SEARCH(" "&amp;Terms!$A$3:$A$821&amp;" ",$D512))*Terms!B$3:B$821)+Terms!B$2</f>
        <v>-0.237962509855466</v>
      </c>
      <c r="T512" s="0" t="n">
        <f aca="false">SUMPRODUCT(ISNUMBER(SEARCH(" "&amp;Terms!$A$3:$A$821&amp;" ",$D512))*Terms!C$3:C$821)+Terms!C$2</f>
        <v>9.02968357615621</v>
      </c>
      <c r="U512" s="0" t="n">
        <f aca="false">SUMPRODUCT(ISNUMBER(SEARCH(" "&amp;Terms!$A$3:$A$821&amp;" ",$D512))*Terms!D$3:D$821)+Terms!D$2</f>
        <v>-2.58864509437982</v>
      </c>
      <c r="V512" s="0" t="n">
        <f aca="false">SUMPRODUCT(ISNUMBER(SEARCH(" "&amp;Terms!$A$3:$A$821&amp;" ",$D512))*Terms!E$3:E$821)+Terms!E$2</f>
        <v>-1.73072743812409</v>
      </c>
      <c r="W512" s="0" t="n">
        <f aca="false">SUMPRODUCT(ISNUMBER(SEARCH(" "&amp;Terms!$A$3:$A$821&amp;" ",$D512))*Terms!F$3:F$821)+Terms!F$2</f>
        <v>-3.27515592270421</v>
      </c>
      <c r="X512" s="0" t="n">
        <f aca="false">SUMPRODUCT(ISNUMBER(SEARCH(" "&amp;Terms!$A$3:$A$821&amp;" ",$D512))*Terms!G$3:G$821)+Terms!G$2</f>
        <v>-1.19719261109252</v>
      </c>
      <c r="Y512" s="0" t="str">
        <f aca="false">INDEX($S$1:$X$1,MATCH(MAX(S512:X512),S512:X512,0))</f>
        <v>Customer Service</v>
      </c>
      <c r="Z512" s="0" t="s">
        <v>2607</v>
      </c>
    </row>
    <row r="513" customFormat="false" ht="15" hidden="false" customHeight="false" outlineLevel="0" collapsed="false">
      <c r="A513" s="0" t="str">
        <f aca="false">Complaints!A513</f>
        <v>C0512</v>
      </c>
      <c r="B513" s="0" t="str">
        <f aca="false">Complaints!B513</f>
        <v>I am very unhappy with how this has been handled. Please sort this out.</v>
      </c>
      <c r="C513" s="0" t="str">
        <f aca="false">Complaints!C513</f>
        <v>Delays &amp; Processing</v>
      </c>
      <c r="D513" s="0" t="str">
        <f aca="false">" "&amp;TRIM(SUBSTITUTE(SUBSTITUTE(SUBSTITUTE(SUBSTITUTE(SUBSTITUTE(SUBSTITUTE(SUBSTITUTE(SUBSTITUTE(SUBSTITUTE(SUBSTITUTE(SUBSTITUTE(SUBSTITUTE(SUBSTITUTE(SUBSTITUTE(SUBSTITUTE(SUBSTITUTE(LOWER(B513),"."," "),","," "),"'"," "),"’"," "),"!"," "),"?"," "),";"," "),":"," "),"-"," "),"("," "),")"," "),"""", " "),"£"," "),"&amp;"," "),"/"," "),"%"," "))&amp;" "</f>
        <v> i am very unhappy with how this has been handled please sort this out </v>
      </c>
      <c r="E513" s="0" t="n">
        <f aca="false">SUMPRODUCT((Rules!$A$2:$A$60=E$1)*Rules!$C$2:$C$60*ISNUMBER(SEARCH(Rules!$D$2:$D$60,$D513)))</f>
        <v>0</v>
      </c>
      <c r="F513" s="0" t="n">
        <f aca="false">SUMPRODUCT((Rules!$A$2:$A$60=F$1)*Rules!$C$2:$C$60*ISNUMBER(SEARCH(Rules!$D$2:$D$60,$D513)))</f>
        <v>0</v>
      </c>
      <c r="G513" s="0" t="n">
        <f aca="false">SUMPRODUCT((Rules!$A$2:$A$60=G$1)*Rules!$C$2:$C$60*ISNUMBER(SEARCH(Rules!$D$2:$D$60,$D513)))</f>
        <v>0</v>
      </c>
      <c r="H513" s="0" t="n">
        <f aca="false">SUMPRODUCT((Rules!$A$2:$A$60=H$1)*Rules!$C$2:$C$60*ISNUMBER(SEARCH(Rules!$D$2:$D$60,$D513)))</f>
        <v>0</v>
      </c>
      <c r="I513" s="0" t="n">
        <f aca="false">SUMPRODUCT((Rules!$A$2:$A$60=I$1)*Rules!$C$2:$C$60*ISNUMBER(SEARCH(Rules!$D$2:$D$60,$D513)))</f>
        <v>0</v>
      </c>
      <c r="J513" s="0" t="n">
        <f aca="false">SUMPRODUCT((Rules!$A$2:$A$60=J$1)*Rules!$C$2:$C$60*ISNUMBER(SEARCH(Rules!$D$2:$D$60,$D513)))</f>
        <v>0</v>
      </c>
      <c r="K513" s="0" t="str">
        <f aca="false">IF(OR(MAX(E513:J513)&lt;Rules!$H$1,MAX(E513:J513)-LARGE(E513:J513,2)&lt;Rules!$H$2),"No label",INDEX($E$1:$J$1,MATCH(MAX(E513:J513),E513:J513,0)))</f>
        <v>No label</v>
      </c>
      <c r="L513" s="0" t="n">
        <f aca="false">SUMPRODUCT((Rules!$A$2:$A$60=L$1)*Rules!$C$2:$C$60*ISNUMBER(SEARCH(Rules!$E$2:$E$60,$D513)))</f>
        <v>0</v>
      </c>
      <c r="M513" s="0" t="n">
        <f aca="false">SUMPRODUCT((Rules!$A$2:$A$60=M$1)*Rules!$C$2:$C$60*ISNUMBER(SEARCH(Rules!$E$2:$E$60,$D513)))</f>
        <v>0</v>
      </c>
      <c r="N513" s="0" t="n">
        <f aca="false">SUMPRODUCT((Rules!$A$2:$A$60=N$1)*Rules!$C$2:$C$60*ISNUMBER(SEARCH(Rules!$E$2:$E$60,$D513)))</f>
        <v>0</v>
      </c>
      <c r="O513" s="0" t="n">
        <f aca="false">SUMPRODUCT((Rules!$A$2:$A$60=O$1)*Rules!$C$2:$C$60*ISNUMBER(SEARCH(Rules!$E$2:$E$60,$D513)))</f>
        <v>0</v>
      </c>
      <c r="P513" s="0" t="n">
        <f aca="false">SUMPRODUCT((Rules!$A$2:$A$60=P$1)*Rules!$C$2:$C$60*ISNUMBER(SEARCH(Rules!$E$2:$E$60,$D513)))</f>
        <v>0</v>
      </c>
      <c r="Q513" s="0" t="n">
        <f aca="false">SUMPRODUCT((Rules!$A$2:$A$60=Q$1)*Rules!$C$2:$C$60*ISNUMBER(SEARCH(Rules!$E$2:$E$60,$D513)))</f>
        <v>0</v>
      </c>
      <c r="R513" s="0" t="str">
        <f aca="false">IF(OR(MAX(L513:Q513)&lt;Rules!$H$1,MAX(L513:Q513)-LARGE(L513:Q513,2)&lt;Rules!$H$2),"No label",INDEX($L$1:$Q$1,MATCH(MAX(L513:Q513),L513:Q513,0)))</f>
        <v>No label</v>
      </c>
      <c r="S513" s="0" t="n">
        <f aca="false">SUMPRODUCT(ISNUMBER(SEARCH(" "&amp;Terms!$A$3:$A$821&amp;" ",$D513))*Terms!B$3:B$821)+Terms!B$2</f>
        <v>0.928779597775485</v>
      </c>
      <c r="T513" s="0" t="n">
        <f aca="false">SUMPRODUCT(ISNUMBER(SEARCH(" "&amp;Terms!$A$3:$A$821&amp;" ",$D513))*Terms!C$3:C$821)+Terms!C$2</f>
        <v>-0.680941124109639</v>
      </c>
      <c r="U513" s="0" t="n">
        <f aca="false">SUMPRODUCT(ISNUMBER(SEARCH(" "&amp;Terms!$A$3:$A$821&amp;" ",$D513))*Terms!D$3:D$821)+Terms!D$2</f>
        <v>1.86289791687212</v>
      </c>
      <c r="V513" s="0" t="n">
        <f aca="false">SUMPRODUCT(ISNUMBER(SEARCH(" "&amp;Terms!$A$3:$A$821&amp;" ",$D513))*Terms!E$3:E$821)+Terms!E$2</f>
        <v>1.62850574874202</v>
      </c>
      <c r="W513" s="0" t="n">
        <f aca="false">SUMPRODUCT(ISNUMBER(SEARCH(" "&amp;Terms!$A$3:$A$821&amp;" ",$D513))*Terms!F$3:F$821)+Terms!F$2</f>
        <v>-1.71871094198669</v>
      </c>
      <c r="X513" s="0" t="n">
        <f aca="false">SUMPRODUCT(ISNUMBER(SEARCH(" "&amp;Terms!$A$3:$A$821&amp;" ",$D513))*Terms!G$3:G$821)+Terms!G$2</f>
        <v>-2.0205311972932</v>
      </c>
      <c r="Y513" s="0" t="str">
        <f aca="false">INDEX($S$1:$X$1,MATCH(MAX(S513:X513),S513:X513,0))</f>
        <v>Delays &amp; Processing</v>
      </c>
      <c r="Z513" s="0" t="s">
        <v>2607</v>
      </c>
    </row>
    <row r="514" customFormat="false" ht="15" hidden="false" customHeight="false" outlineLevel="0" collapsed="false">
      <c r="A514" s="0" t="str">
        <f aca="false">Complaints!A514</f>
        <v>C0513</v>
      </c>
      <c r="B514" s="0" t="str">
        <f aca="false">Complaints!B514</f>
        <v>I am writing to complain. I think I was the victim of a scam and sent money to a fraudster.</v>
      </c>
      <c r="C514" s="0" t="str">
        <f aca="false">Complaints!C514</f>
        <v>Fraud &amp; Scams</v>
      </c>
      <c r="D514" s="0" t="str">
        <f aca="false">" "&amp;TRIM(SUBSTITUTE(SUBSTITUTE(SUBSTITUTE(SUBSTITUTE(SUBSTITUTE(SUBSTITUTE(SUBSTITUTE(SUBSTITUTE(SUBSTITUTE(SUBSTITUTE(SUBSTITUTE(SUBSTITUTE(SUBSTITUTE(SUBSTITUTE(SUBSTITUTE(SUBSTITUTE(LOWER(B514),"."," "),","," "),"'"," "),"’"," "),"!"," "),"?"," "),";"," "),":"," "),"-"," "),"("," "),")"," "),"""", " "),"£"," "),"&amp;"," "),"/"," "),"%"," "))&amp;" "</f>
        <v> i am writing to complain i think i was the victim of a scam and sent money to a fraudster </v>
      </c>
      <c r="E514" s="0" t="n">
        <f aca="false">SUMPRODUCT((Rules!$A$2:$A$60=E$1)*Rules!$C$2:$C$60*ISNUMBER(SEARCH(Rules!$D$2:$D$60,$D514)))</f>
        <v>6</v>
      </c>
      <c r="F514" s="0" t="n">
        <f aca="false">SUMPRODUCT((Rules!$A$2:$A$60=F$1)*Rules!$C$2:$C$60*ISNUMBER(SEARCH(Rules!$D$2:$D$60,$D514)))</f>
        <v>0</v>
      </c>
      <c r="G514" s="0" t="n">
        <f aca="false">SUMPRODUCT((Rules!$A$2:$A$60=G$1)*Rules!$C$2:$C$60*ISNUMBER(SEARCH(Rules!$D$2:$D$60,$D514)))</f>
        <v>0</v>
      </c>
      <c r="H514" s="0" t="n">
        <f aca="false">SUMPRODUCT((Rules!$A$2:$A$60=H$1)*Rules!$C$2:$C$60*ISNUMBER(SEARCH(Rules!$D$2:$D$60,$D514)))</f>
        <v>0</v>
      </c>
      <c r="I514" s="0" t="n">
        <f aca="false">SUMPRODUCT((Rules!$A$2:$A$60=I$1)*Rules!$C$2:$C$60*ISNUMBER(SEARCH(Rules!$D$2:$D$60,$D514)))</f>
        <v>0</v>
      </c>
      <c r="J514" s="0" t="n">
        <f aca="false">SUMPRODUCT((Rules!$A$2:$A$60=J$1)*Rules!$C$2:$C$60*ISNUMBER(SEARCH(Rules!$D$2:$D$60,$D514)))</f>
        <v>0</v>
      </c>
      <c r="K514" s="0" t="str">
        <f aca="false">IF(OR(MAX(E514:J514)&lt;Rules!$H$1,MAX(E514:J514)-LARGE(E514:J514,2)&lt;Rules!$H$2),"No label",INDEX($E$1:$J$1,MATCH(MAX(E514:J514),E514:J514,0)))</f>
        <v>Fraud &amp; Scams</v>
      </c>
      <c r="L514" s="0" t="n">
        <f aca="false">SUMPRODUCT((Rules!$A$2:$A$60=L$1)*Rules!$C$2:$C$60*ISNUMBER(SEARCH(Rules!$E$2:$E$60,$D514)))</f>
        <v>6</v>
      </c>
      <c r="M514" s="0" t="n">
        <f aca="false">SUMPRODUCT((Rules!$A$2:$A$60=M$1)*Rules!$C$2:$C$60*ISNUMBER(SEARCH(Rules!$E$2:$E$60,$D514)))</f>
        <v>0</v>
      </c>
      <c r="N514" s="0" t="n">
        <f aca="false">SUMPRODUCT((Rules!$A$2:$A$60=N$1)*Rules!$C$2:$C$60*ISNUMBER(SEARCH(Rules!$E$2:$E$60,$D514)))</f>
        <v>0</v>
      </c>
      <c r="O514" s="0" t="n">
        <f aca="false">SUMPRODUCT((Rules!$A$2:$A$60=O$1)*Rules!$C$2:$C$60*ISNUMBER(SEARCH(Rules!$E$2:$E$60,$D514)))</f>
        <v>0</v>
      </c>
      <c r="P514" s="0" t="n">
        <f aca="false">SUMPRODUCT((Rules!$A$2:$A$60=P$1)*Rules!$C$2:$C$60*ISNUMBER(SEARCH(Rules!$E$2:$E$60,$D514)))</f>
        <v>0</v>
      </c>
      <c r="Q514" s="0" t="n">
        <f aca="false">SUMPRODUCT((Rules!$A$2:$A$60=Q$1)*Rules!$C$2:$C$60*ISNUMBER(SEARCH(Rules!$E$2:$E$60,$D514)))</f>
        <v>0</v>
      </c>
      <c r="R514" s="0" t="str">
        <f aca="false">IF(OR(MAX(L514:Q514)&lt;Rules!$H$1,MAX(L514:Q514)-LARGE(L514:Q514,2)&lt;Rules!$H$2),"No label",INDEX($L$1:$Q$1,MATCH(MAX(L514:Q514),L514:Q514,0)))</f>
        <v>Fraud &amp; Scams</v>
      </c>
      <c r="S514" s="0" t="n">
        <f aca="false">SUMPRODUCT(ISNUMBER(SEARCH(" "&amp;Terms!$A$3:$A$821&amp;" ",$D514))*Terms!B$3:B$821)+Terms!B$2</f>
        <v>-0.231388568709628</v>
      </c>
      <c r="T514" s="0" t="n">
        <f aca="false">SUMPRODUCT(ISNUMBER(SEARCH(" "&amp;Terms!$A$3:$A$821&amp;" ",$D514))*Terms!C$3:C$821)+Terms!C$2</f>
        <v>-3.35880463504433</v>
      </c>
      <c r="U514" s="0" t="n">
        <f aca="false">SUMPRODUCT(ISNUMBER(SEARCH(" "&amp;Terms!$A$3:$A$821&amp;" ",$D514))*Terms!D$3:D$821)+Terms!D$2</f>
        <v>1.09242327986405</v>
      </c>
      <c r="V514" s="0" t="n">
        <f aca="false">SUMPRODUCT(ISNUMBER(SEARCH(" "&amp;Terms!$A$3:$A$821&amp;" ",$D514))*Terms!E$3:E$821)+Terms!E$2</f>
        <v>-3.63398041181521</v>
      </c>
      <c r="W514" s="0" t="n">
        <f aca="false">SUMPRODUCT(ISNUMBER(SEARCH(" "&amp;Terms!$A$3:$A$821&amp;" ",$D514))*Terms!F$3:F$821)+Terms!F$2</f>
        <v>8.57434860255562</v>
      </c>
      <c r="X514" s="0" t="n">
        <f aca="false">SUMPRODUCT(ISNUMBER(SEARCH(" "&amp;Terms!$A$3:$A$821&amp;" ",$D514))*Terms!G$3:G$821)+Terms!G$2</f>
        <v>-2.4425982668504</v>
      </c>
      <c r="Y514" s="0" t="str">
        <f aca="false">INDEX($S$1:$X$1,MATCH(MAX(S514:X514),S514:X514,0))</f>
        <v>Fraud &amp; Scams</v>
      </c>
      <c r="Z514" s="0" t="s">
        <v>2607</v>
      </c>
    </row>
    <row r="515" customFormat="false" ht="15" hidden="false" customHeight="false" outlineLevel="0" collapsed="false">
      <c r="A515" s="0" t="str">
        <f aca="false">Complaints!A515</f>
        <v>C0514</v>
      </c>
      <c r="B515" s="0" t="str">
        <f aca="false">Complaints!B515</f>
        <v>This is the second time I have raised this. I was tricked into moving savings to a safe account that was not safe. I want this put right.</v>
      </c>
      <c r="C515" s="0" t="str">
        <f aca="false">Complaints!C515</f>
        <v>Fraud &amp; Scams</v>
      </c>
      <c r="D515" s="0" t="str">
        <f aca="false">" "&amp;TRIM(SUBSTITUTE(SUBSTITUTE(SUBSTITUTE(SUBSTITUTE(SUBSTITUTE(SUBSTITUTE(SUBSTITUTE(SUBSTITUTE(SUBSTITUTE(SUBSTITUTE(SUBSTITUTE(SUBSTITUTE(SUBSTITUTE(SUBSTITUTE(SUBSTITUTE(SUBSTITUTE(LOWER(B515),"."," "),","," "),"'"," "),"’"," "),"!"," "),"?"," "),";"," "),":"," "),"-"," "),"("," "),")"," "),"""", " "),"£"," "),"&amp;"," "),"/"," "),"%"," "))&amp;" "</f>
        <v> this is the second time i have raised this i was tricked into moving savings to a safe account that was not safe i want this put right </v>
      </c>
      <c r="E515" s="0" t="n">
        <f aca="false">SUMPRODUCT((Rules!$A$2:$A$60=E$1)*Rules!$C$2:$C$60*ISNUMBER(SEARCH(Rules!$D$2:$D$60,$D515)))</f>
        <v>2</v>
      </c>
      <c r="F515" s="0" t="n">
        <f aca="false">SUMPRODUCT((Rules!$A$2:$A$60=F$1)*Rules!$C$2:$C$60*ISNUMBER(SEARCH(Rules!$D$2:$D$60,$D515)))</f>
        <v>0</v>
      </c>
      <c r="G515" s="0" t="n">
        <f aca="false">SUMPRODUCT((Rules!$A$2:$A$60=G$1)*Rules!$C$2:$C$60*ISNUMBER(SEARCH(Rules!$D$2:$D$60,$D515)))</f>
        <v>0</v>
      </c>
      <c r="H515" s="0" t="n">
        <f aca="false">SUMPRODUCT((Rules!$A$2:$A$60=H$1)*Rules!$C$2:$C$60*ISNUMBER(SEARCH(Rules!$D$2:$D$60,$D515)))</f>
        <v>0</v>
      </c>
      <c r="I515" s="0" t="n">
        <f aca="false">SUMPRODUCT((Rules!$A$2:$A$60=I$1)*Rules!$C$2:$C$60*ISNUMBER(SEARCH(Rules!$D$2:$D$60,$D515)))</f>
        <v>0</v>
      </c>
      <c r="J515" s="0" t="n">
        <f aca="false">SUMPRODUCT((Rules!$A$2:$A$60=J$1)*Rules!$C$2:$C$60*ISNUMBER(SEARCH(Rules!$D$2:$D$60,$D515)))</f>
        <v>0</v>
      </c>
      <c r="K515" s="0" t="str">
        <f aca="false">IF(OR(MAX(E515:J515)&lt;Rules!$H$1,MAX(E515:J515)-LARGE(E515:J515,2)&lt;Rules!$H$2),"No label",INDEX($E$1:$J$1,MATCH(MAX(E515:J515),E515:J515,0)))</f>
        <v>No label</v>
      </c>
      <c r="L515" s="0" t="n">
        <f aca="false">SUMPRODUCT((Rules!$A$2:$A$60=L$1)*Rules!$C$2:$C$60*ISNUMBER(SEARCH(Rules!$E$2:$E$60,$D515)))</f>
        <v>2</v>
      </c>
      <c r="M515" s="0" t="n">
        <f aca="false">SUMPRODUCT((Rules!$A$2:$A$60=M$1)*Rules!$C$2:$C$60*ISNUMBER(SEARCH(Rules!$E$2:$E$60,$D515)))</f>
        <v>0</v>
      </c>
      <c r="N515" s="0" t="n">
        <f aca="false">SUMPRODUCT((Rules!$A$2:$A$60=N$1)*Rules!$C$2:$C$60*ISNUMBER(SEARCH(Rules!$E$2:$E$60,$D515)))</f>
        <v>0</v>
      </c>
      <c r="O515" s="0" t="n">
        <f aca="false">SUMPRODUCT((Rules!$A$2:$A$60=O$1)*Rules!$C$2:$C$60*ISNUMBER(SEARCH(Rules!$E$2:$E$60,$D515)))</f>
        <v>0</v>
      </c>
      <c r="P515" s="0" t="n">
        <f aca="false">SUMPRODUCT((Rules!$A$2:$A$60=P$1)*Rules!$C$2:$C$60*ISNUMBER(SEARCH(Rules!$E$2:$E$60,$D515)))</f>
        <v>0</v>
      </c>
      <c r="Q515" s="0" t="n">
        <f aca="false">SUMPRODUCT((Rules!$A$2:$A$60=Q$1)*Rules!$C$2:$C$60*ISNUMBER(SEARCH(Rules!$E$2:$E$60,$D515)))</f>
        <v>0</v>
      </c>
      <c r="R515" s="0" t="str">
        <f aca="false">IF(OR(MAX(L515:Q515)&lt;Rules!$H$1,MAX(L515:Q515)-LARGE(L515:Q515,2)&lt;Rules!$H$2),"No label",INDEX($L$1:$Q$1,MATCH(MAX(L515:Q515),L515:Q515,0)))</f>
        <v>No label</v>
      </c>
      <c r="S515" s="0" t="n">
        <f aca="false">SUMPRODUCT(ISNUMBER(SEARCH(" "&amp;Terms!$A$3:$A$821&amp;" ",$D515))*Terms!B$3:B$821)+Terms!B$2</f>
        <v>-4.21708340114571</v>
      </c>
      <c r="T515" s="0" t="n">
        <f aca="false">SUMPRODUCT(ISNUMBER(SEARCH(" "&amp;Terms!$A$3:$A$821&amp;" ",$D515))*Terms!C$3:C$821)+Terms!C$2</f>
        <v>-5.44007439489921</v>
      </c>
      <c r="U515" s="0" t="n">
        <f aca="false">SUMPRODUCT(ISNUMBER(SEARCH(" "&amp;Terms!$A$3:$A$821&amp;" ",$D515))*Terms!D$3:D$821)+Terms!D$2</f>
        <v>0.953634948779765</v>
      </c>
      <c r="V515" s="0" t="n">
        <f aca="false">SUMPRODUCT(ISNUMBER(SEARCH(" "&amp;Terms!$A$3:$A$821&amp;" ",$D515))*Terms!E$3:E$821)+Terms!E$2</f>
        <v>0.75593470446177</v>
      </c>
      <c r="W515" s="0" t="n">
        <f aca="false">SUMPRODUCT(ISNUMBER(SEARCH(" "&amp;Terms!$A$3:$A$821&amp;" ",$D515))*Terms!F$3:F$821)+Terms!F$2</f>
        <v>12.6882851096384</v>
      </c>
      <c r="X515" s="0" t="n">
        <f aca="false">SUMPRODUCT(ISNUMBER(SEARCH(" "&amp;Terms!$A$3:$A$821&amp;" ",$D515))*Terms!G$3:G$821)+Terms!G$2</f>
        <v>-4.74069696683496</v>
      </c>
      <c r="Y515" s="0" t="str">
        <f aca="false">INDEX($S$1:$X$1,MATCH(MAX(S515:X515),S515:X515,0))</f>
        <v>Fraud &amp; Scams</v>
      </c>
      <c r="Z515" s="0" t="s">
        <v>2607</v>
      </c>
    </row>
    <row r="516" customFormat="false" ht="15" hidden="false" customHeight="false" outlineLevel="0" collapsed="false">
      <c r="A516" s="0" t="str">
        <f aca="false">Complaints!A516</f>
        <v>C0515</v>
      </c>
      <c r="B516" s="0" t="str">
        <f aca="false">Complaints!B516</f>
        <v>I am writing to complain. The app crashes every time I try to open my statements. I would like a response in writing.</v>
      </c>
      <c r="C516" s="0" t="str">
        <f aca="false">Complaints!C516</f>
        <v>Account Access</v>
      </c>
      <c r="D516" s="0" t="str">
        <f aca="false">" "&amp;TRIM(SUBSTITUTE(SUBSTITUTE(SUBSTITUTE(SUBSTITUTE(SUBSTITUTE(SUBSTITUTE(SUBSTITUTE(SUBSTITUTE(SUBSTITUTE(SUBSTITUTE(SUBSTITUTE(SUBSTITUTE(SUBSTITUTE(SUBSTITUTE(SUBSTITUTE(SUBSTITUTE(LOWER(B516),"."," "),","," "),"'"," "),"’"," "),"!"," "),"?"," "),";"," "),":"," "),"-"," "),"("," "),")"," "),"""", " "),"£"," "),"&amp;"," "),"/"," "),"%"," "))&amp;" "</f>
        <v> i am writing to complain the app crashes every time i try to open my statements i would like a response in writing </v>
      </c>
      <c r="E516" s="0" t="n">
        <f aca="false">SUMPRODUCT((Rules!$A$2:$A$60=E$1)*Rules!$C$2:$C$60*ISNUMBER(SEARCH(Rules!$D$2:$D$60,$D516)))</f>
        <v>0</v>
      </c>
      <c r="F516" s="0" t="n">
        <f aca="false">SUMPRODUCT((Rules!$A$2:$A$60=F$1)*Rules!$C$2:$C$60*ISNUMBER(SEARCH(Rules!$D$2:$D$60,$D516)))</f>
        <v>0</v>
      </c>
      <c r="G516" s="0" t="n">
        <f aca="false">SUMPRODUCT((Rules!$A$2:$A$60=G$1)*Rules!$C$2:$C$60*ISNUMBER(SEARCH(Rules!$D$2:$D$60,$D516)))</f>
        <v>3</v>
      </c>
      <c r="H516" s="0" t="n">
        <f aca="false">SUMPRODUCT((Rules!$A$2:$A$60=H$1)*Rules!$C$2:$C$60*ISNUMBER(SEARCH(Rules!$D$2:$D$60,$D516)))</f>
        <v>0</v>
      </c>
      <c r="I516" s="0" t="n">
        <f aca="false">SUMPRODUCT((Rules!$A$2:$A$60=I$1)*Rules!$C$2:$C$60*ISNUMBER(SEARCH(Rules!$D$2:$D$60,$D516)))</f>
        <v>0</v>
      </c>
      <c r="J516" s="0" t="n">
        <f aca="false">SUMPRODUCT((Rules!$A$2:$A$60=J$1)*Rules!$C$2:$C$60*ISNUMBER(SEARCH(Rules!$D$2:$D$60,$D516)))</f>
        <v>0</v>
      </c>
      <c r="K516" s="0" t="str">
        <f aca="false">IF(OR(MAX(E516:J516)&lt;Rules!$H$1,MAX(E516:J516)-LARGE(E516:J516,2)&lt;Rules!$H$2),"No label",INDEX($E$1:$J$1,MATCH(MAX(E516:J516),E516:J516,0)))</f>
        <v>Account Access</v>
      </c>
      <c r="L516" s="0" t="n">
        <f aca="false">SUMPRODUCT((Rules!$A$2:$A$60=L$1)*Rules!$C$2:$C$60*ISNUMBER(SEARCH(Rules!$E$2:$E$60,$D516)))</f>
        <v>0</v>
      </c>
      <c r="M516" s="0" t="n">
        <f aca="false">SUMPRODUCT((Rules!$A$2:$A$60=M$1)*Rules!$C$2:$C$60*ISNUMBER(SEARCH(Rules!$E$2:$E$60,$D516)))</f>
        <v>0</v>
      </c>
      <c r="N516" s="0" t="n">
        <f aca="false">SUMPRODUCT((Rules!$A$2:$A$60=N$1)*Rules!$C$2:$C$60*ISNUMBER(SEARCH(Rules!$E$2:$E$60,$D516)))</f>
        <v>3</v>
      </c>
      <c r="O516" s="0" t="n">
        <f aca="false">SUMPRODUCT((Rules!$A$2:$A$60=O$1)*Rules!$C$2:$C$60*ISNUMBER(SEARCH(Rules!$E$2:$E$60,$D516)))</f>
        <v>1</v>
      </c>
      <c r="P516" s="0" t="n">
        <f aca="false">SUMPRODUCT((Rules!$A$2:$A$60=P$1)*Rules!$C$2:$C$60*ISNUMBER(SEARCH(Rules!$E$2:$E$60,$D516)))</f>
        <v>0</v>
      </c>
      <c r="Q516" s="0" t="n">
        <f aca="false">SUMPRODUCT((Rules!$A$2:$A$60=Q$1)*Rules!$C$2:$C$60*ISNUMBER(SEARCH(Rules!$E$2:$E$60,$D516)))</f>
        <v>0</v>
      </c>
      <c r="R516" s="0" t="str">
        <f aca="false">IF(OR(MAX(L516:Q516)&lt;Rules!$H$1,MAX(L516:Q516)-LARGE(L516:Q516,2)&lt;Rules!$H$2),"No label",INDEX($L$1:$Q$1,MATCH(MAX(L516:Q516),L516:Q516,0)))</f>
        <v>Account Access</v>
      </c>
      <c r="S516" s="0" t="n">
        <f aca="false">SUMPRODUCT(ISNUMBER(SEARCH(" "&amp;Terms!$A$3:$A$821&amp;" ",$D516))*Terms!B$3:B$821)+Terms!B$2</f>
        <v>8.89895964659875</v>
      </c>
      <c r="T516" s="0" t="n">
        <f aca="false">SUMPRODUCT(ISNUMBER(SEARCH(" "&amp;Terms!$A$3:$A$821&amp;" ",$D516))*Terms!C$3:C$821)+Terms!C$2</f>
        <v>-0.205647643348953</v>
      </c>
      <c r="U516" s="0" t="n">
        <f aca="false">SUMPRODUCT(ISNUMBER(SEARCH(" "&amp;Terms!$A$3:$A$821&amp;" ",$D516))*Terms!D$3:D$821)+Terms!D$2</f>
        <v>-1.47418266240958</v>
      </c>
      <c r="V516" s="0" t="n">
        <f aca="false">SUMPRODUCT(ISNUMBER(SEARCH(" "&amp;Terms!$A$3:$A$821&amp;" ",$D516))*Terms!E$3:E$821)+Terms!E$2</f>
        <v>-1.96157497855447</v>
      </c>
      <c r="W516" s="0" t="n">
        <f aca="false">SUMPRODUCT(ISNUMBER(SEARCH(" "&amp;Terms!$A$3:$A$821&amp;" ",$D516))*Terms!F$3:F$821)+Terms!F$2</f>
        <v>-4.38200367062606</v>
      </c>
      <c r="X516" s="0" t="n">
        <f aca="false">SUMPRODUCT(ISNUMBER(SEARCH(" "&amp;Terms!$A$3:$A$821&amp;" ",$D516))*Terms!G$3:G$821)+Terms!G$2</f>
        <v>-0.875550691659586</v>
      </c>
      <c r="Y516" s="0" t="str">
        <f aca="false">INDEX($S$1:$X$1,MATCH(MAX(S516:X516),S516:X516,0))</f>
        <v>Account Access</v>
      </c>
      <c r="Z516" s="0" t="s">
        <v>2608</v>
      </c>
    </row>
    <row r="517" customFormat="false" ht="15" hidden="false" customHeight="false" outlineLevel="0" collapsed="false">
      <c r="A517" s="0" t="str">
        <f aca="false">Complaints!A517</f>
        <v>C0516</v>
      </c>
      <c r="B517" s="0" t="str">
        <f aca="false">Complaints!B517</f>
        <v>To whom it may concern, Nobody explained the foreign transaction charges before my hliday.</v>
      </c>
      <c r="C517" s="0" t="str">
        <f aca="false">Complaints!C517</f>
        <v>Fees &amp; Charges</v>
      </c>
      <c r="D517" s="0" t="str">
        <f aca="false">" "&amp;TRIM(SUBSTITUTE(SUBSTITUTE(SUBSTITUTE(SUBSTITUTE(SUBSTITUTE(SUBSTITUTE(SUBSTITUTE(SUBSTITUTE(SUBSTITUTE(SUBSTITUTE(SUBSTITUTE(SUBSTITUTE(SUBSTITUTE(SUBSTITUTE(SUBSTITUTE(SUBSTITUTE(LOWER(B517),"."," "),","," "),"'"," "),"’"," "),"!"," "),"?"," "),";"," "),":"," "),"-"," "),"("," "),")"," "),"""", " "),"£"," "),"&amp;"," "),"/"," "),"%"," "))&amp;" "</f>
        <v> to whom it may concern nobody explained the foreign transaction charges before my hliday </v>
      </c>
      <c r="E517" s="0" t="n">
        <f aca="false">SUMPRODUCT((Rules!$A$2:$A$60=E$1)*Rules!$C$2:$C$60*ISNUMBER(SEARCH(Rules!$D$2:$D$60,$D517)))</f>
        <v>0</v>
      </c>
      <c r="F517" s="0" t="n">
        <f aca="false">SUMPRODUCT((Rules!$A$2:$A$60=F$1)*Rules!$C$2:$C$60*ISNUMBER(SEARCH(Rules!$D$2:$D$60,$D517)))</f>
        <v>0</v>
      </c>
      <c r="G517" s="0" t="n">
        <f aca="false">SUMPRODUCT((Rules!$A$2:$A$60=G$1)*Rules!$C$2:$C$60*ISNUMBER(SEARCH(Rules!$D$2:$D$60,$D517)))</f>
        <v>0</v>
      </c>
      <c r="H517" s="0" t="n">
        <f aca="false">SUMPRODUCT((Rules!$A$2:$A$60=H$1)*Rules!$C$2:$C$60*ISNUMBER(SEARCH(Rules!$D$2:$D$60,$D517)))</f>
        <v>0</v>
      </c>
      <c r="I517" s="0" t="n">
        <f aca="false">SUMPRODUCT((Rules!$A$2:$A$60=I$1)*Rules!$C$2:$C$60*ISNUMBER(SEARCH(Rules!$D$2:$D$60,$D517)))</f>
        <v>0</v>
      </c>
      <c r="J517" s="0" t="n">
        <f aca="false">SUMPRODUCT((Rules!$A$2:$A$60=J$1)*Rules!$C$2:$C$60*ISNUMBER(SEARCH(Rules!$D$2:$D$60,$D517)))</f>
        <v>0</v>
      </c>
      <c r="K517" s="0" t="str">
        <f aca="false">IF(OR(MAX(E517:J517)&lt;Rules!$H$1,MAX(E517:J517)-LARGE(E517:J517,2)&lt;Rules!$H$2),"No label",INDEX($E$1:$J$1,MATCH(MAX(E517:J517),E517:J517,0)))</f>
        <v>No label</v>
      </c>
      <c r="L517" s="0" t="n">
        <f aca="false">SUMPRODUCT((Rules!$A$2:$A$60=L$1)*Rules!$C$2:$C$60*ISNUMBER(SEARCH(Rules!$E$2:$E$60,$D517)))</f>
        <v>0</v>
      </c>
      <c r="M517" s="0" t="n">
        <f aca="false">SUMPRODUCT((Rules!$A$2:$A$60=M$1)*Rules!$C$2:$C$60*ISNUMBER(SEARCH(Rules!$E$2:$E$60,$D517)))</f>
        <v>0</v>
      </c>
      <c r="N517" s="0" t="n">
        <f aca="false">SUMPRODUCT((Rules!$A$2:$A$60=N$1)*Rules!$C$2:$C$60*ISNUMBER(SEARCH(Rules!$E$2:$E$60,$D517)))</f>
        <v>0</v>
      </c>
      <c r="O517" s="0" t="n">
        <f aca="false">SUMPRODUCT((Rules!$A$2:$A$60=O$1)*Rules!$C$2:$C$60*ISNUMBER(SEARCH(Rules!$E$2:$E$60,$D517)))</f>
        <v>4</v>
      </c>
      <c r="P517" s="0" t="n">
        <f aca="false">SUMPRODUCT((Rules!$A$2:$A$60=P$1)*Rules!$C$2:$C$60*ISNUMBER(SEARCH(Rules!$E$2:$E$60,$D517)))</f>
        <v>0</v>
      </c>
      <c r="Q517" s="0" t="n">
        <f aca="false">SUMPRODUCT((Rules!$A$2:$A$60=Q$1)*Rules!$C$2:$C$60*ISNUMBER(SEARCH(Rules!$E$2:$E$60,$D517)))</f>
        <v>0</v>
      </c>
      <c r="R517" s="0" t="str">
        <f aca="false">IF(OR(MAX(L517:Q517)&lt;Rules!$H$1,MAX(L517:Q517)-LARGE(L517:Q517,2)&lt;Rules!$H$2),"No label",INDEX($L$1:$Q$1,MATCH(MAX(L517:Q517),L517:Q517,0)))</f>
        <v>Fees &amp; Charges</v>
      </c>
      <c r="S517" s="0" t="n">
        <f aca="false">SUMPRODUCT(ISNUMBER(SEARCH(" "&amp;Terms!$A$3:$A$821&amp;" ",$D517))*Terms!B$3:B$821)+Terms!B$2</f>
        <v>-1.06974583709151</v>
      </c>
      <c r="T517" s="0" t="n">
        <f aca="false">SUMPRODUCT(ISNUMBER(SEARCH(" "&amp;Terms!$A$3:$A$821&amp;" ",$D517))*Terms!C$3:C$821)+Terms!C$2</f>
        <v>-0.793637398287624</v>
      </c>
      <c r="U517" s="0" t="n">
        <f aca="false">SUMPRODUCT(ISNUMBER(SEARCH(" "&amp;Terms!$A$3:$A$821&amp;" ",$D517))*Terms!D$3:D$821)+Terms!D$2</f>
        <v>-2.61792237646916</v>
      </c>
      <c r="V517" s="0" t="n">
        <f aca="false">SUMPRODUCT(ISNUMBER(SEARCH(" "&amp;Terms!$A$3:$A$821&amp;" ",$D517))*Terms!E$3:E$821)+Terms!E$2</f>
        <v>10.9712821600351</v>
      </c>
      <c r="W517" s="0" t="n">
        <f aca="false">SUMPRODUCT(ISNUMBER(SEARCH(" "&amp;Terms!$A$3:$A$821&amp;" ",$D517))*Terms!F$3:F$821)+Terms!F$2</f>
        <v>-3.3495445025264</v>
      </c>
      <c r="X517" s="0" t="n">
        <f aca="false">SUMPRODUCT(ISNUMBER(SEARCH(" "&amp;Terms!$A$3:$A$821&amp;" ",$D517))*Terms!G$3:G$821)+Terms!G$2</f>
        <v>-3.14043204566031</v>
      </c>
      <c r="Y517" s="0" t="str">
        <f aca="false">INDEX($S$1:$X$1,MATCH(MAX(S517:X517),S517:X517,0))</f>
        <v>Fees &amp; Charges</v>
      </c>
      <c r="Z517" s="0" t="s">
        <v>2607</v>
      </c>
    </row>
    <row r="518" customFormat="false" ht="15" hidden="false" customHeight="false" outlineLevel="0" collapsed="false">
      <c r="A518" s="0" t="str">
        <f aca="false">Complaints!A518</f>
        <v>C0517</v>
      </c>
      <c r="B518" s="0" t="str">
        <f aca="false">Complaints!B518</f>
        <v>Hello, I think I was the victim of a scam and sent money to a fraudster. I also spent ages on hold when I called about it.</v>
      </c>
      <c r="C518" s="0" t="str">
        <f aca="false">Complaints!C518</f>
        <v>Fraud &amp; Scams</v>
      </c>
      <c r="D518" s="0" t="str">
        <f aca="false">" "&amp;TRIM(SUBSTITUTE(SUBSTITUTE(SUBSTITUTE(SUBSTITUTE(SUBSTITUTE(SUBSTITUTE(SUBSTITUTE(SUBSTITUTE(SUBSTITUTE(SUBSTITUTE(SUBSTITUTE(SUBSTITUTE(SUBSTITUTE(SUBSTITUTE(SUBSTITUTE(SUBSTITUTE(LOWER(B518),"."," "),","," "),"'"," "),"’"," "),"!"," "),"?"," "),";"," "),":"," "),"-"," "),"("," "),")"," "),"""", " "),"£"," "),"&amp;"," "),"/"," "),"%"," "))&amp;" "</f>
        <v> hello i think i was the victim of a scam and sent money to a fraudster i also spent ages on hold when i called about it </v>
      </c>
      <c r="E518" s="0" t="n">
        <f aca="false">SUMPRODUCT((Rules!$A$2:$A$60=E$1)*Rules!$C$2:$C$60*ISNUMBER(SEARCH(Rules!$D$2:$D$60,$D518)))</f>
        <v>6</v>
      </c>
      <c r="F518" s="0" t="n">
        <f aca="false">SUMPRODUCT((Rules!$A$2:$A$60=F$1)*Rules!$C$2:$C$60*ISNUMBER(SEARCH(Rules!$D$2:$D$60,$D518)))</f>
        <v>0</v>
      </c>
      <c r="G518" s="0" t="n">
        <f aca="false">SUMPRODUCT((Rules!$A$2:$A$60=G$1)*Rules!$C$2:$C$60*ISNUMBER(SEARCH(Rules!$D$2:$D$60,$D518)))</f>
        <v>0</v>
      </c>
      <c r="H518" s="0" t="n">
        <f aca="false">SUMPRODUCT((Rules!$A$2:$A$60=H$1)*Rules!$C$2:$C$60*ISNUMBER(SEARCH(Rules!$D$2:$D$60,$D518)))</f>
        <v>0</v>
      </c>
      <c r="I518" s="0" t="n">
        <f aca="false">SUMPRODUCT((Rules!$A$2:$A$60=I$1)*Rules!$C$2:$C$60*ISNUMBER(SEARCH(Rules!$D$2:$D$60,$D518)))</f>
        <v>0</v>
      </c>
      <c r="J518" s="0" t="n">
        <f aca="false">SUMPRODUCT((Rules!$A$2:$A$60=J$1)*Rules!$C$2:$C$60*ISNUMBER(SEARCH(Rules!$D$2:$D$60,$D518)))</f>
        <v>3</v>
      </c>
      <c r="K518" s="0" t="str">
        <f aca="false">IF(OR(MAX(E518:J518)&lt;Rules!$H$1,MAX(E518:J518)-LARGE(E518:J518,2)&lt;Rules!$H$2),"No label",INDEX($E$1:$J$1,MATCH(MAX(E518:J518),E518:J518,0)))</f>
        <v>Fraud &amp; Scams</v>
      </c>
      <c r="L518" s="0" t="n">
        <f aca="false">SUMPRODUCT((Rules!$A$2:$A$60=L$1)*Rules!$C$2:$C$60*ISNUMBER(SEARCH(Rules!$E$2:$E$60,$D518)))</f>
        <v>6</v>
      </c>
      <c r="M518" s="0" t="n">
        <f aca="false">SUMPRODUCT((Rules!$A$2:$A$60=M$1)*Rules!$C$2:$C$60*ISNUMBER(SEARCH(Rules!$E$2:$E$60,$D518)))</f>
        <v>0</v>
      </c>
      <c r="N518" s="0" t="n">
        <f aca="false">SUMPRODUCT((Rules!$A$2:$A$60=N$1)*Rules!$C$2:$C$60*ISNUMBER(SEARCH(Rules!$E$2:$E$60,$D518)))</f>
        <v>0</v>
      </c>
      <c r="O518" s="0" t="n">
        <f aca="false">SUMPRODUCT((Rules!$A$2:$A$60=O$1)*Rules!$C$2:$C$60*ISNUMBER(SEARCH(Rules!$E$2:$E$60,$D518)))</f>
        <v>0</v>
      </c>
      <c r="P518" s="0" t="n">
        <f aca="false">SUMPRODUCT((Rules!$A$2:$A$60=P$1)*Rules!$C$2:$C$60*ISNUMBER(SEARCH(Rules!$E$2:$E$60,$D518)))</f>
        <v>0</v>
      </c>
      <c r="Q518" s="0" t="n">
        <f aca="false">SUMPRODUCT((Rules!$A$2:$A$60=Q$1)*Rules!$C$2:$C$60*ISNUMBER(SEARCH(Rules!$E$2:$E$60,$D518)))</f>
        <v>3</v>
      </c>
      <c r="R518" s="0" t="str">
        <f aca="false">IF(OR(MAX(L518:Q518)&lt;Rules!$H$1,MAX(L518:Q518)-LARGE(L518:Q518,2)&lt;Rules!$H$2),"No label",INDEX($L$1:$Q$1,MATCH(MAX(L518:Q518),L518:Q518,0)))</f>
        <v>Fraud &amp; Scams</v>
      </c>
      <c r="S518" s="0" t="n">
        <f aca="false">SUMPRODUCT(ISNUMBER(SEARCH(" "&amp;Terms!$A$3:$A$821&amp;" ",$D518))*Terms!B$3:B$821)+Terms!B$2</f>
        <v>0.091920318477025</v>
      </c>
      <c r="T518" s="0" t="n">
        <f aca="false">SUMPRODUCT(ISNUMBER(SEARCH(" "&amp;Terms!$A$3:$A$821&amp;" ",$D518))*Terms!C$3:C$821)+Terms!C$2</f>
        <v>-2.13241934962582</v>
      </c>
      <c r="U518" s="0" t="n">
        <f aca="false">SUMPRODUCT(ISNUMBER(SEARCH(" "&amp;Terms!$A$3:$A$821&amp;" ",$D518))*Terms!D$3:D$821)+Terms!D$2</f>
        <v>-2.24941291812476</v>
      </c>
      <c r="V518" s="0" t="n">
        <f aca="false">SUMPRODUCT(ISNUMBER(SEARCH(" "&amp;Terms!$A$3:$A$821&amp;" ",$D518))*Terms!E$3:E$821)+Terms!E$2</f>
        <v>-2.60242297268914</v>
      </c>
      <c r="W518" s="0" t="n">
        <f aca="false">SUMPRODUCT(ISNUMBER(SEARCH(" "&amp;Terms!$A$3:$A$821&amp;" ",$D518))*Terms!F$3:F$821)+Terms!F$2</f>
        <v>8.39263855276085</v>
      </c>
      <c r="X518" s="0" t="n">
        <f aca="false">SUMPRODUCT(ISNUMBER(SEARCH(" "&amp;Terms!$A$3:$A$821&amp;" ",$D518))*Terms!G$3:G$821)+Terms!G$2</f>
        <v>-1.50030363079804</v>
      </c>
      <c r="Y518" s="0" t="str">
        <f aca="false">INDEX($S$1:$X$1,MATCH(MAX(S518:X518),S518:X518,0))</f>
        <v>Fraud &amp; Scams</v>
      </c>
      <c r="Z518" s="0" t="s">
        <v>2608</v>
      </c>
    </row>
    <row r="519" customFormat="false" ht="15" hidden="false" customHeight="false" outlineLevel="0" collapsed="false">
      <c r="A519" s="0" t="str">
        <f aca="false">Complaints!A519</f>
        <v>C0518</v>
      </c>
      <c r="B519" s="0" t="str">
        <f aca="false">Complaints!B519</f>
        <v>I have been billed an annual fee I never agreed to. I also spent ages on hold when I called about it. Please escalate this.</v>
      </c>
      <c r="C519" s="0" t="str">
        <f aca="false">Complaints!C519</f>
        <v>Fees &amp; Charges</v>
      </c>
      <c r="D519" s="0" t="str">
        <f aca="false">" "&amp;TRIM(SUBSTITUTE(SUBSTITUTE(SUBSTITUTE(SUBSTITUTE(SUBSTITUTE(SUBSTITUTE(SUBSTITUTE(SUBSTITUTE(SUBSTITUTE(SUBSTITUTE(SUBSTITUTE(SUBSTITUTE(SUBSTITUTE(SUBSTITUTE(SUBSTITUTE(SUBSTITUTE(LOWER(B519),"."," "),","," "),"'"," "),"’"," "),"!"," "),"?"," "),";"," "),":"," "),"-"," "),"("," "),")"," "),"""", " "),"£"," "),"&amp;"," "),"/"," "),"%"," "))&amp;" "</f>
        <v> i have been billed an annual fee i never agreed to i also spent ages on hold when i called about it please escalate this </v>
      </c>
      <c r="E519" s="0" t="n">
        <f aca="false">SUMPRODUCT((Rules!$A$2:$A$60=E$1)*Rules!$C$2:$C$60*ISNUMBER(SEARCH(Rules!$D$2:$D$60,$D519)))</f>
        <v>0</v>
      </c>
      <c r="F519" s="0" t="n">
        <f aca="false">SUMPRODUCT((Rules!$A$2:$A$60=F$1)*Rules!$C$2:$C$60*ISNUMBER(SEARCH(Rules!$D$2:$D$60,$D519)))</f>
        <v>0</v>
      </c>
      <c r="G519" s="0" t="n">
        <f aca="false">SUMPRODUCT((Rules!$A$2:$A$60=G$1)*Rules!$C$2:$C$60*ISNUMBER(SEARCH(Rules!$D$2:$D$60,$D519)))</f>
        <v>0</v>
      </c>
      <c r="H519" s="0" t="n">
        <f aca="false">SUMPRODUCT((Rules!$A$2:$A$60=H$1)*Rules!$C$2:$C$60*ISNUMBER(SEARCH(Rules!$D$2:$D$60,$D519)))</f>
        <v>4</v>
      </c>
      <c r="I519" s="0" t="n">
        <f aca="false">SUMPRODUCT((Rules!$A$2:$A$60=I$1)*Rules!$C$2:$C$60*ISNUMBER(SEARCH(Rules!$D$2:$D$60,$D519)))</f>
        <v>0</v>
      </c>
      <c r="J519" s="0" t="n">
        <f aca="false">SUMPRODUCT((Rules!$A$2:$A$60=J$1)*Rules!$C$2:$C$60*ISNUMBER(SEARCH(Rules!$D$2:$D$60,$D519)))</f>
        <v>3</v>
      </c>
      <c r="K519" s="0" t="str">
        <f aca="false">IF(OR(MAX(E519:J519)&lt;Rules!$H$1,MAX(E519:J519)-LARGE(E519:J519,2)&lt;Rules!$H$2),"No label",INDEX($E$1:$J$1,MATCH(MAX(E519:J519),E519:J519,0)))</f>
        <v>No label</v>
      </c>
      <c r="L519" s="0" t="n">
        <f aca="false">SUMPRODUCT((Rules!$A$2:$A$60=L$1)*Rules!$C$2:$C$60*ISNUMBER(SEARCH(Rules!$E$2:$E$60,$D519)))</f>
        <v>0</v>
      </c>
      <c r="M519" s="0" t="n">
        <f aca="false">SUMPRODUCT((Rules!$A$2:$A$60=M$1)*Rules!$C$2:$C$60*ISNUMBER(SEARCH(Rules!$E$2:$E$60,$D519)))</f>
        <v>0</v>
      </c>
      <c r="N519" s="0" t="n">
        <f aca="false">SUMPRODUCT((Rules!$A$2:$A$60=N$1)*Rules!$C$2:$C$60*ISNUMBER(SEARCH(Rules!$E$2:$E$60,$D519)))</f>
        <v>0</v>
      </c>
      <c r="O519" s="0" t="n">
        <f aca="false">SUMPRODUCT((Rules!$A$2:$A$60=O$1)*Rules!$C$2:$C$60*ISNUMBER(SEARCH(Rules!$E$2:$E$60,$D519)))</f>
        <v>4</v>
      </c>
      <c r="P519" s="0" t="n">
        <f aca="false">SUMPRODUCT((Rules!$A$2:$A$60=P$1)*Rules!$C$2:$C$60*ISNUMBER(SEARCH(Rules!$E$2:$E$60,$D519)))</f>
        <v>0</v>
      </c>
      <c r="Q519" s="0" t="n">
        <f aca="false">SUMPRODUCT((Rules!$A$2:$A$60=Q$1)*Rules!$C$2:$C$60*ISNUMBER(SEARCH(Rules!$E$2:$E$60,$D519)))</f>
        <v>3</v>
      </c>
      <c r="R519" s="0" t="str">
        <f aca="false">IF(OR(MAX(L519:Q519)&lt;Rules!$H$1,MAX(L519:Q519)-LARGE(L519:Q519,2)&lt;Rules!$H$2),"No label",INDEX($L$1:$Q$1,MATCH(MAX(L519:Q519),L519:Q519,0)))</f>
        <v>No label</v>
      </c>
      <c r="S519" s="0" t="n">
        <f aca="false">SUMPRODUCT(ISNUMBER(SEARCH(" "&amp;Terms!$A$3:$A$821&amp;" ",$D519))*Terms!B$3:B$821)+Terms!B$2</f>
        <v>-0.811735801584854</v>
      </c>
      <c r="T519" s="0" t="n">
        <f aca="false">SUMPRODUCT(ISNUMBER(SEARCH(" "&amp;Terms!$A$3:$A$821&amp;" ",$D519))*Terms!C$3:C$821)+Terms!C$2</f>
        <v>-0.00522541198144529</v>
      </c>
      <c r="U519" s="0" t="n">
        <f aca="false">SUMPRODUCT(ISNUMBER(SEARCH(" "&amp;Terms!$A$3:$A$821&amp;" ",$D519))*Terms!D$3:D$821)+Terms!D$2</f>
        <v>-2.74013920524838</v>
      </c>
      <c r="V519" s="0" t="n">
        <f aca="false">SUMPRODUCT(ISNUMBER(SEARCH(" "&amp;Terms!$A$3:$A$821&amp;" ",$D519))*Terms!E$3:E$821)+Terms!E$2</f>
        <v>10.9351310784918</v>
      </c>
      <c r="W519" s="0" t="n">
        <f aca="false">SUMPRODUCT(ISNUMBER(SEARCH(" "&amp;Terms!$A$3:$A$821&amp;" ",$D519))*Terms!F$3:F$821)+Terms!F$2</f>
        <v>-6.2861482470517</v>
      </c>
      <c r="X519" s="0" t="n">
        <f aca="false">SUMPRODUCT(ISNUMBER(SEARCH(" "&amp;Terms!$A$3:$A$821&amp;" ",$D519))*Terms!G$3:G$821)+Terms!G$2</f>
        <v>-1.09188241262534</v>
      </c>
      <c r="Y519" s="0" t="str">
        <f aca="false">INDEX($S$1:$X$1,MATCH(MAX(S519:X519),S519:X519,0))</f>
        <v>Fees &amp; Charges</v>
      </c>
      <c r="Z519" s="0" t="s">
        <v>2607</v>
      </c>
    </row>
    <row r="520" customFormat="false" ht="15" hidden="false" customHeight="false" outlineLevel="0" collapsed="false">
      <c r="A520" s="0" t="str">
        <f aca="false">Complaints!A520</f>
        <v>C0519</v>
      </c>
      <c r="B520" s="0" t="str">
        <f aca="false">Complaints!B520</f>
        <v>Please look into what hapened on my account.</v>
      </c>
      <c r="C520" s="0" t="str">
        <f aca="false">Complaints!C520</f>
        <v>Delays &amp; Processing</v>
      </c>
      <c r="D520" s="0" t="str">
        <f aca="false">" "&amp;TRIM(SUBSTITUTE(SUBSTITUTE(SUBSTITUTE(SUBSTITUTE(SUBSTITUTE(SUBSTITUTE(SUBSTITUTE(SUBSTITUTE(SUBSTITUTE(SUBSTITUTE(SUBSTITUTE(SUBSTITUTE(SUBSTITUTE(SUBSTITUTE(SUBSTITUTE(SUBSTITUTE(LOWER(B520),"."," "),","," "),"'"," "),"’"," "),"!"," "),"?"," "),";"," "),":"," "),"-"," "),"("," "),")"," "),"""", " "),"£"," "),"&amp;"," "),"/"," "),"%"," "))&amp;" "</f>
        <v> please look into what hapened on my account </v>
      </c>
      <c r="E520" s="0" t="n">
        <f aca="false">SUMPRODUCT((Rules!$A$2:$A$60=E$1)*Rules!$C$2:$C$60*ISNUMBER(SEARCH(Rules!$D$2:$D$60,$D520)))</f>
        <v>0</v>
      </c>
      <c r="F520" s="0" t="n">
        <f aca="false">SUMPRODUCT((Rules!$A$2:$A$60=F$1)*Rules!$C$2:$C$60*ISNUMBER(SEARCH(Rules!$D$2:$D$60,$D520)))</f>
        <v>0</v>
      </c>
      <c r="G520" s="0" t="n">
        <f aca="false">SUMPRODUCT((Rules!$A$2:$A$60=G$1)*Rules!$C$2:$C$60*ISNUMBER(SEARCH(Rules!$D$2:$D$60,$D520)))</f>
        <v>0</v>
      </c>
      <c r="H520" s="0" t="n">
        <f aca="false">SUMPRODUCT((Rules!$A$2:$A$60=H$1)*Rules!$C$2:$C$60*ISNUMBER(SEARCH(Rules!$D$2:$D$60,$D520)))</f>
        <v>0</v>
      </c>
      <c r="I520" s="0" t="n">
        <f aca="false">SUMPRODUCT((Rules!$A$2:$A$60=I$1)*Rules!$C$2:$C$60*ISNUMBER(SEARCH(Rules!$D$2:$D$60,$D520)))</f>
        <v>0</v>
      </c>
      <c r="J520" s="0" t="n">
        <f aca="false">SUMPRODUCT((Rules!$A$2:$A$60=J$1)*Rules!$C$2:$C$60*ISNUMBER(SEARCH(Rules!$D$2:$D$60,$D520)))</f>
        <v>0</v>
      </c>
      <c r="K520" s="0" t="str">
        <f aca="false">IF(OR(MAX(E520:J520)&lt;Rules!$H$1,MAX(E520:J520)-LARGE(E520:J520,2)&lt;Rules!$H$2),"No label",INDEX($E$1:$J$1,MATCH(MAX(E520:J520),E520:J520,0)))</f>
        <v>No label</v>
      </c>
      <c r="L520" s="0" t="n">
        <f aca="false">SUMPRODUCT((Rules!$A$2:$A$60=L$1)*Rules!$C$2:$C$60*ISNUMBER(SEARCH(Rules!$E$2:$E$60,$D520)))</f>
        <v>0</v>
      </c>
      <c r="M520" s="0" t="n">
        <f aca="false">SUMPRODUCT((Rules!$A$2:$A$60=M$1)*Rules!$C$2:$C$60*ISNUMBER(SEARCH(Rules!$E$2:$E$60,$D520)))</f>
        <v>0</v>
      </c>
      <c r="N520" s="0" t="n">
        <f aca="false">SUMPRODUCT((Rules!$A$2:$A$60=N$1)*Rules!$C$2:$C$60*ISNUMBER(SEARCH(Rules!$E$2:$E$60,$D520)))</f>
        <v>0</v>
      </c>
      <c r="O520" s="0" t="n">
        <f aca="false">SUMPRODUCT((Rules!$A$2:$A$60=O$1)*Rules!$C$2:$C$60*ISNUMBER(SEARCH(Rules!$E$2:$E$60,$D520)))</f>
        <v>0</v>
      </c>
      <c r="P520" s="0" t="n">
        <f aca="false">SUMPRODUCT((Rules!$A$2:$A$60=P$1)*Rules!$C$2:$C$60*ISNUMBER(SEARCH(Rules!$E$2:$E$60,$D520)))</f>
        <v>0</v>
      </c>
      <c r="Q520" s="0" t="n">
        <f aca="false">SUMPRODUCT((Rules!$A$2:$A$60=Q$1)*Rules!$C$2:$C$60*ISNUMBER(SEARCH(Rules!$E$2:$E$60,$D520)))</f>
        <v>0</v>
      </c>
      <c r="R520" s="0" t="str">
        <f aca="false">IF(OR(MAX(L520:Q520)&lt;Rules!$H$1,MAX(L520:Q520)-LARGE(L520:Q520,2)&lt;Rules!$H$2),"No label",INDEX($L$1:$Q$1,MATCH(MAX(L520:Q520),L520:Q520,0)))</f>
        <v>No label</v>
      </c>
      <c r="S520" s="0" t="n">
        <f aca="false">SUMPRODUCT(ISNUMBER(SEARCH(" "&amp;Terms!$A$3:$A$821&amp;" ",$D520))*Terms!B$3:B$821)+Terms!B$2</f>
        <v>1.21634295155805</v>
      </c>
      <c r="T520" s="0" t="n">
        <f aca="false">SUMPRODUCT(ISNUMBER(SEARCH(" "&amp;Terms!$A$3:$A$821&amp;" ",$D520))*Terms!C$3:C$821)+Terms!C$2</f>
        <v>-2.75945201762045</v>
      </c>
      <c r="U520" s="0" t="n">
        <f aca="false">SUMPRODUCT(ISNUMBER(SEARCH(" "&amp;Terms!$A$3:$A$821&amp;" ",$D520))*Terms!D$3:D$821)+Terms!D$2</f>
        <v>3.75157279883265</v>
      </c>
      <c r="V520" s="0" t="n">
        <f aca="false">SUMPRODUCT(ISNUMBER(SEARCH(" "&amp;Terms!$A$3:$A$821&amp;" ",$D520))*Terms!E$3:E$821)+Terms!E$2</f>
        <v>-0.5097016068699</v>
      </c>
      <c r="W520" s="0" t="n">
        <f aca="false">SUMPRODUCT(ISNUMBER(SEARCH(" "&amp;Terms!$A$3:$A$821&amp;" ",$D520))*Terms!F$3:F$821)+Terms!F$2</f>
        <v>-0.00443148874246457</v>
      </c>
      <c r="X520" s="0" t="n">
        <f aca="false">SUMPRODUCT(ISNUMBER(SEARCH(" "&amp;Terms!$A$3:$A$821&amp;" ",$D520))*Terms!G$3:G$821)+Terms!G$2</f>
        <v>-1.69433063715779</v>
      </c>
      <c r="Y520" s="0" t="str">
        <f aca="false">INDEX($S$1:$X$1,MATCH(MAX(S520:X520),S520:X520,0))</f>
        <v>Delays &amp; Processing</v>
      </c>
      <c r="Z520" s="0" t="s">
        <v>2607</v>
      </c>
    </row>
    <row r="521" customFormat="false" ht="15" hidden="false" customHeight="false" outlineLevel="0" collapsed="false">
      <c r="A521" s="0" t="str">
        <f aca="false">Complaints!A521</f>
        <v>C0520</v>
      </c>
      <c r="B521" s="0" t="str">
        <f aca="false">Complaints!B521</f>
        <v>The fraud team closed my case without investigating properly. Please escalate this.</v>
      </c>
      <c r="C521" s="0" t="str">
        <f aca="false">Complaints!C521</f>
        <v>Fraud &amp; Scams</v>
      </c>
      <c r="D521" s="0" t="str">
        <f aca="false">" "&amp;TRIM(SUBSTITUTE(SUBSTITUTE(SUBSTITUTE(SUBSTITUTE(SUBSTITUTE(SUBSTITUTE(SUBSTITUTE(SUBSTITUTE(SUBSTITUTE(SUBSTITUTE(SUBSTITUTE(SUBSTITUTE(SUBSTITUTE(SUBSTITUTE(SUBSTITUTE(SUBSTITUTE(LOWER(B521),"."," "),","," "),"'"," "),"’"," "),"!"," "),"?"," "),";"," "),":"," "),"-"," "),"("," "),")"," "),"""", " "),"£"," "),"&amp;"," "),"/"," "),"%"," "))&amp;" "</f>
        <v> the fraud team closed my case without investigating properly please escalate this </v>
      </c>
      <c r="E521" s="0" t="n">
        <f aca="false">SUMPRODUCT((Rules!$A$2:$A$60=E$1)*Rules!$C$2:$C$60*ISNUMBER(SEARCH(Rules!$D$2:$D$60,$D521)))</f>
        <v>3</v>
      </c>
      <c r="F521" s="0" t="n">
        <f aca="false">SUMPRODUCT((Rules!$A$2:$A$60=F$1)*Rules!$C$2:$C$60*ISNUMBER(SEARCH(Rules!$D$2:$D$60,$D521)))</f>
        <v>0</v>
      </c>
      <c r="G521" s="0" t="n">
        <f aca="false">SUMPRODUCT((Rules!$A$2:$A$60=G$1)*Rules!$C$2:$C$60*ISNUMBER(SEARCH(Rules!$D$2:$D$60,$D521)))</f>
        <v>0</v>
      </c>
      <c r="H521" s="0" t="n">
        <f aca="false">SUMPRODUCT((Rules!$A$2:$A$60=H$1)*Rules!$C$2:$C$60*ISNUMBER(SEARCH(Rules!$D$2:$D$60,$D521)))</f>
        <v>0</v>
      </c>
      <c r="I521" s="0" t="n">
        <f aca="false">SUMPRODUCT((Rules!$A$2:$A$60=I$1)*Rules!$C$2:$C$60*ISNUMBER(SEARCH(Rules!$D$2:$D$60,$D521)))</f>
        <v>0</v>
      </c>
      <c r="J521" s="0" t="n">
        <f aca="false">SUMPRODUCT((Rules!$A$2:$A$60=J$1)*Rules!$C$2:$C$60*ISNUMBER(SEARCH(Rules!$D$2:$D$60,$D521)))</f>
        <v>0</v>
      </c>
      <c r="K521" s="0" t="str">
        <f aca="false">IF(OR(MAX(E521:J521)&lt;Rules!$H$1,MAX(E521:J521)-LARGE(E521:J521,2)&lt;Rules!$H$2),"No label",INDEX($E$1:$J$1,MATCH(MAX(E521:J521),E521:J521,0)))</f>
        <v>Fraud &amp; Scams</v>
      </c>
      <c r="L521" s="0" t="n">
        <f aca="false">SUMPRODUCT((Rules!$A$2:$A$60=L$1)*Rules!$C$2:$C$60*ISNUMBER(SEARCH(Rules!$E$2:$E$60,$D521)))</f>
        <v>3</v>
      </c>
      <c r="M521" s="0" t="n">
        <f aca="false">SUMPRODUCT((Rules!$A$2:$A$60=M$1)*Rules!$C$2:$C$60*ISNUMBER(SEARCH(Rules!$E$2:$E$60,$D521)))</f>
        <v>0</v>
      </c>
      <c r="N521" s="0" t="n">
        <f aca="false">SUMPRODUCT((Rules!$A$2:$A$60=N$1)*Rules!$C$2:$C$60*ISNUMBER(SEARCH(Rules!$E$2:$E$60,$D521)))</f>
        <v>0</v>
      </c>
      <c r="O521" s="0" t="n">
        <f aca="false">SUMPRODUCT((Rules!$A$2:$A$60=O$1)*Rules!$C$2:$C$60*ISNUMBER(SEARCH(Rules!$E$2:$E$60,$D521)))</f>
        <v>0</v>
      </c>
      <c r="P521" s="0" t="n">
        <f aca="false">SUMPRODUCT((Rules!$A$2:$A$60=P$1)*Rules!$C$2:$C$60*ISNUMBER(SEARCH(Rules!$E$2:$E$60,$D521)))</f>
        <v>0</v>
      </c>
      <c r="Q521" s="0" t="n">
        <f aca="false">SUMPRODUCT((Rules!$A$2:$A$60=Q$1)*Rules!$C$2:$C$60*ISNUMBER(SEARCH(Rules!$E$2:$E$60,$D521)))</f>
        <v>0</v>
      </c>
      <c r="R521" s="0" t="str">
        <f aca="false">IF(OR(MAX(L521:Q521)&lt;Rules!$H$1,MAX(L521:Q521)-LARGE(L521:Q521,2)&lt;Rules!$H$2),"No label",INDEX($L$1:$Q$1,MATCH(MAX(L521:Q521),L521:Q521,0)))</f>
        <v>Fraud &amp; Scams</v>
      </c>
      <c r="S521" s="0" t="n">
        <f aca="false">SUMPRODUCT(ISNUMBER(SEARCH(" "&amp;Terms!$A$3:$A$821&amp;" ",$D521))*Terms!B$3:B$821)+Terms!B$2</f>
        <v>-3.49543431297026</v>
      </c>
      <c r="T521" s="0" t="n">
        <f aca="false">SUMPRODUCT(ISNUMBER(SEARCH(" "&amp;Terms!$A$3:$A$821&amp;" ",$D521))*Terms!C$3:C$821)+Terms!C$2</f>
        <v>-0.102386169795101</v>
      </c>
      <c r="U521" s="0" t="n">
        <f aca="false">SUMPRODUCT(ISNUMBER(SEARCH(" "&amp;Terms!$A$3:$A$821&amp;" ",$D521))*Terms!D$3:D$821)+Terms!D$2</f>
        <v>-2.64772376769364</v>
      </c>
      <c r="V521" s="0" t="n">
        <f aca="false">SUMPRODUCT(ISNUMBER(SEARCH(" "&amp;Terms!$A$3:$A$821&amp;" ",$D521))*Terms!E$3:E$821)+Terms!E$2</f>
        <v>-2.830766049347</v>
      </c>
      <c r="W521" s="0" t="n">
        <f aca="false">SUMPRODUCT(ISNUMBER(SEARCH(" "&amp;Terms!$A$3:$A$821&amp;" ",$D521))*Terms!F$3:F$821)+Terms!F$2</f>
        <v>10.7696526790442</v>
      </c>
      <c r="X521" s="0" t="n">
        <f aca="false">SUMPRODUCT(ISNUMBER(SEARCH(" "&amp;Terms!$A$3:$A$821&amp;" ",$D521))*Terms!G$3:G$821)+Terms!G$2</f>
        <v>-1.69334237923806</v>
      </c>
      <c r="Y521" s="0" t="str">
        <f aca="false">INDEX($S$1:$X$1,MATCH(MAX(S521:X521),S521:X521,0))</f>
        <v>Fraud &amp; Scams</v>
      </c>
      <c r="Z521" s="0" t="s">
        <v>2607</v>
      </c>
    </row>
    <row r="522" customFormat="false" ht="15" hidden="false" customHeight="false" outlineLevel="0" collapsed="false">
      <c r="A522" s="0" t="str">
        <f aca="false">Complaints!A522</f>
        <v>C0521</v>
      </c>
      <c r="B522" s="0" t="str">
        <f aca="false">Complaints!B522</f>
        <v>I have been billed an annual fee I never agreed to. It has also been taking far too long. I expect compensation.</v>
      </c>
      <c r="C522" s="0" t="str">
        <f aca="false">Complaints!C522</f>
        <v>Fees &amp; Charges</v>
      </c>
      <c r="D522" s="0" t="str">
        <f aca="false">" "&amp;TRIM(SUBSTITUTE(SUBSTITUTE(SUBSTITUTE(SUBSTITUTE(SUBSTITUTE(SUBSTITUTE(SUBSTITUTE(SUBSTITUTE(SUBSTITUTE(SUBSTITUTE(SUBSTITUTE(SUBSTITUTE(SUBSTITUTE(SUBSTITUTE(SUBSTITUTE(SUBSTITUTE(LOWER(B522),"."," "),","," "),"'"," "),"’"," "),"!"," "),"?"," "),";"," "),":"," "),"-"," "),"("," "),")"," "),"""", " "),"£"," "),"&amp;"," "),"/"," "),"%"," "))&amp;" "</f>
        <v> i have been billed an annual fee i never agreed to it has also been taking far too long i expect compensation </v>
      </c>
      <c r="E522" s="0" t="n">
        <f aca="false">SUMPRODUCT((Rules!$A$2:$A$60=E$1)*Rules!$C$2:$C$60*ISNUMBER(SEARCH(Rules!$D$2:$D$60,$D522)))</f>
        <v>0</v>
      </c>
      <c r="F522" s="0" t="n">
        <f aca="false">SUMPRODUCT((Rules!$A$2:$A$60=F$1)*Rules!$C$2:$C$60*ISNUMBER(SEARCH(Rules!$D$2:$D$60,$D522)))</f>
        <v>0</v>
      </c>
      <c r="G522" s="0" t="n">
        <f aca="false">SUMPRODUCT((Rules!$A$2:$A$60=G$1)*Rules!$C$2:$C$60*ISNUMBER(SEARCH(Rules!$D$2:$D$60,$D522)))</f>
        <v>0</v>
      </c>
      <c r="H522" s="0" t="n">
        <f aca="false">SUMPRODUCT((Rules!$A$2:$A$60=H$1)*Rules!$C$2:$C$60*ISNUMBER(SEARCH(Rules!$D$2:$D$60,$D522)))</f>
        <v>4</v>
      </c>
      <c r="I522" s="0" t="n">
        <f aca="false">SUMPRODUCT((Rules!$A$2:$A$60=I$1)*Rules!$C$2:$C$60*ISNUMBER(SEARCH(Rules!$D$2:$D$60,$D522)))</f>
        <v>0</v>
      </c>
      <c r="J522" s="0" t="n">
        <f aca="false">SUMPRODUCT((Rules!$A$2:$A$60=J$1)*Rules!$C$2:$C$60*ISNUMBER(SEARCH(Rules!$D$2:$D$60,$D522)))</f>
        <v>0</v>
      </c>
      <c r="K522" s="0" t="str">
        <f aca="false">IF(OR(MAX(E522:J522)&lt;Rules!$H$1,MAX(E522:J522)-LARGE(E522:J522,2)&lt;Rules!$H$2),"No label",INDEX($E$1:$J$1,MATCH(MAX(E522:J522),E522:J522,0)))</f>
        <v>Fees &amp; Charges</v>
      </c>
      <c r="L522" s="0" t="n">
        <f aca="false">SUMPRODUCT((Rules!$A$2:$A$60=L$1)*Rules!$C$2:$C$60*ISNUMBER(SEARCH(Rules!$E$2:$E$60,$D522)))</f>
        <v>0</v>
      </c>
      <c r="M522" s="0" t="n">
        <f aca="false">SUMPRODUCT((Rules!$A$2:$A$60=M$1)*Rules!$C$2:$C$60*ISNUMBER(SEARCH(Rules!$E$2:$E$60,$D522)))</f>
        <v>0</v>
      </c>
      <c r="N522" s="0" t="n">
        <f aca="false">SUMPRODUCT((Rules!$A$2:$A$60=N$1)*Rules!$C$2:$C$60*ISNUMBER(SEARCH(Rules!$E$2:$E$60,$D522)))</f>
        <v>0</v>
      </c>
      <c r="O522" s="0" t="n">
        <f aca="false">SUMPRODUCT((Rules!$A$2:$A$60=O$1)*Rules!$C$2:$C$60*ISNUMBER(SEARCH(Rules!$E$2:$E$60,$D522)))</f>
        <v>4</v>
      </c>
      <c r="P522" s="0" t="n">
        <f aca="false">SUMPRODUCT((Rules!$A$2:$A$60=P$1)*Rules!$C$2:$C$60*ISNUMBER(SEARCH(Rules!$E$2:$E$60,$D522)))</f>
        <v>0</v>
      </c>
      <c r="Q522" s="0" t="n">
        <f aca="false">SUMPRODUCT((Rules!$A$2:$A$60=Q$1)*Rules!$C$2:$C$60*ISNUMBER(SEARCH(Rules!$E$2:$E$60,$D522)))</f>
        <v>0</v>
      </c>
      <c r="R522" s="0" t="str">
        <f aca="false">IF(OR(MAX(L522:Q522)&lt;Rules!$H$1,MAX(L522:Q522)-LARGE(L522:Q522,2)&lt;Rules!$H$2),"No label",INDEX($L$1:$Q$1,MATCH(MAX(L522:Q522),L522:Q522,0)))</f>
        <v>Fees &amp; Charges</v>
      </c>
      <c r="S522" s="0" t="n">
        <f aca="false">SUMPRODUCT(ISNUMBER(SEARCH(" "&amp;Terms!$A$3:$A$821&amp;" ",$D522))*Terms!B$3:B$821)+Terms!B$2</f>
        <v>1.10454231672072</v>
      </c>
      <c r="T522" s="0" t="n">
        <f aca="false">SUMPRODUCT(ISNUMBER(SEARCH(" "&amp;Terms!$A$3:$A$821&amp;" ",$D522))*Terms!C$3:C$821)+Terms!C$2</f>
        <v>-2.21290963532602</v>
      </c>
      <c r="U522" s="0" t="n">
        <f aca="false">SUMPRODUCT(ISNUMBER(SEARCH(" "&amp;Terms!$A$3:$A$821&amp;" ",$D522))*Terms!D$3:D$821)+Terms!D$2</f>
        <v>-2.44864645429596</v>
      </c>
      <c r="V522" s="0" t="n">
        <f aca="false">SUMPRODUCT(ISNUMBER(SEARCH(" "&amp;Terms!$A$3:$A$821&amp;" ",$D522))*Terms!E$3:E$821)+Terms!E$2</f>
        <v>11.2205832446423</v>
      </c>
      <c r="W522" s="0" t="n">
        <f aca="false">SUMPRODUCT(ISNUMBER(SEARCH(" "&amp;Terms!$A$3:$A$821&amp;" ",$D522))*Terms!F$3:F$821)+Terms!F$2</f>
        <v>-3.78856772885606</v>
      </c>
      <c r="X522" s="0" t="n">
        <f aca="false">SUMPRODUCT(ISNUMBER(SEARCH(" "&amp;Terms!$A$3:$A$821&amp;" ",$D522))*Terms!G$3:G$821)+Terms!G$2</f>
        <v>-3.87500174288488</v>
      </c>
      <c r="Y522" s="0" t="str">
        <f aca="false">INDEX($S$1:$X$1,MATCH(MAX(S522:X522),S522:X522,0))</f>
        <v>Fees &amp; Charges</v>
      </c>
      <c r="Z522" s="0" t="s">
        <v>2607</v>
      </c>
    </row>
    <row r="523" customFormat="false" ht="15" hidden="false" customHeight="false" outlineLevel="0" collapsed="false">
      <c r="A523" s="0" t="str">
        <f aca="false">Complaints!A523</f>
        <v>C0522</v>
      </c>
      <c r="B523" s="0" t="str">
        <f aca="false">Complaints!B523</f>
        <v>I have been a customer for years. I reported the unauthorised payment but you refused to reimburse me. I want this ut right.</v>
      </c>
      <c r="C523" s="0" t="str">
        <f aca="false">Complaints!C523</f>
        <v>Fraud &amp; Scams</v>
      </c>
      <c r="D523" s="0" t="str">
        <f aca="false">" "&amp;TRIM(SUBSTITUTE(SUBSTITUTE(SUBSTITUTE(SUBSTITUTE(SUBSTITUTE(SUBSTITUTE(SUBSTITUTE(SUBSTITUTE(SUBSTITUTE(SUBSTITUTE(SUBSTITUTE(SUBSTITUTE(SUBSTITUTE(SUBSTITUTE(SUBSTITUTE(SUBSTITUTE(LOWER(B523),"."," "),","," "),"'"," "),"’"," "),"!"," "),"?"," "),";"," "),":"," "),"-"," "),"("," "),")"," "),"""", " "),"£"," "),"&amp;"," "),"/"," "),"%"," "))&amp;" "</f>
        <v> i have been a customer for years i reported the unauthorised payment but you refused to reimburse me i want this ut right </v>
      </c>
      <c r="E523" s="0" t="n">
        <f aca="false">SUMPRODUCT((Rules!$A$2:$A$60=E$1)*Rules!$C$2:$C$60*ISNUMBER(SEARCH(Rules!$D$2:$D$60,$D523)))</f>
        <v>3</v>
      </c>
      <c r="F523" s="0" t="n">
        <f aca="false">SUMPRODUCT((Rules!$A$2:$A$60=F$1)*Rules!$C$2:$C$60*ISNUMBER(SEARCH(Rules!$D$2:$D$60,$D523)))</f>
        <v>0</v>
      </c>
      <c r="G523" s="0" t="n">
        <f aca="false">SUMPRODUCT((Rules!$A$2:$A$60=G$1)*Rules!$C$2:$C$60*ISNUMBER(SEARCH(Rules!$D$2:$D$60,$D523)))</f>
        <v>0</v>
      </c>
      <c r="H523" s="0" t="n">
        <f aca="false">SUMPRODUCT((Rules!$A$2:$A$60=H$1)*Rules!$C$2:$C$60*ISNUMBER(SEARCH(Rules!$D$2:$D$60,$D523)))</f>
        <v>0</v>
      </c>
      <c r="I523" s="0" t="n">
        <f aca="false">SUMPRODUCT((Rules!$A$2:$A$60=I$1)*Rules!$C$2:$C$60*ISNUMBER(SEARCH(Rules!$D$2:$D$60,$D523)))</f>
        <v>0</v>
      </c>
      <c r="J523" s="0" t="n">
        <f aca="false">SUMPRODUCT((Rules!$A$2:$A$60=J$1)*Rules!$C$2:$C$60*ISNUMBER(SEARCH(Rules!$D$2:$D$60,$D523)))</f>
        <v>0</v>
      </c>
      <c r="K523" s="0" t="str">
        <f aca="false">IF(OR(MAX(E523:J523)&lt;Rules!$H$1,MAX(E523:J523)-LARGE(E523:J523,2)&lt;Rules!$H$2),"No label",INDEX($E$1:$J$1,MATCH(MAX(E523:J523),E523:J523,0)))</f>
        <v>Fraud &amp; Scams</v>
      </c>
      <c r="L523" s="0" t="n">
        <f aca="false">SUMPRODUCT((Rules!$A$2:$A$60=L$1)*Rules!$C$2:$C$60*ISNUMBER(SEARCH(Rules!$E$2:$E$60,$D523)))</f>
        <v>3</v>
      </c>
      <c r="M523" s="0" t="n">
        <f aca="false">SUMPRODUCT((Rules!$A$2:$A$60=M$1)*Rules!$C$2:$C$60*ISNUMBER(SEARCH(Rules!$E$2:$E$60,$D523)))</f>
        <v>0</v>
      </c>
      <c r="N523" s="0" t="n">
        <f aca="false">SUMPRODUCT((Rules!$A$2:$A$60=N$1)*Rules!$C$2:$C$60*ISNUMBER(SEARCH(Rules!$E$2:$E$60,$D523)))</f>
        <v>0</v>
      </c>
      <c r="O523" s="0" t="n">
        <f aca="false">SUMPRODUCT((Rules!$A$2:$A$60=O$1)*Rules!$C$2:$C$60*ISNUMBER(SEARCH(Rules!$E$2:$E$60,$D523)))</f>
        <v>0</v>
      </c>
      <c r="P523" s="0" t="n">
        <f aca="false">SUMPRODUCT((Rules!$A$2:$A$60=P$1)*Rules!$C$2:$C$60*ISNUMBER(SEARCH(Rules!$E$2:$E$60,$D523)))</f>
        <v>0</v>
      </c>
      <c r="Q523" s="0" t="n">
        <f aca="false">SUMPRODUCT((Rules!$A$2:$A$60=Q$1)*Rules!$C$2:$C$60*ISNUMBER(SEARCH(Rules!$E$2:$E$60,$D523)))</f>
        <v>0</v>
      </c>
      <c r="R523" s="0" t="str">
        <f aca="false">IF(OR(MAX(L523:Q523)&lt;Rules!$H$1,MAX(L523:Q523)-LARGE(L523:Q523,2)&lt;Rules!$H$2),"No label",INDEX($L$1:$Q$1,MATCH(MAX(L523:Q523),L523:Q523,0)))</f>
        <v>Fraud &amp; Scams</v>
      </c>
      <c r="S523" s="0" t="n">
        <f aca="false">SUMPRODUCT(ISNUMBER(SEARCH(" "&amp;Terms!$A$3:$A$821&amp;" ",$D523))*Terms!B$3:B$821)+Terms!B$2</f>
        <v>-0.46614580840588</v>
      </c>
      <c r="T523" s="0" t="n">
        <f aca="false">SUMPRODUCT(ISNUMBER(SEARCH(" "&amp;Terms!$A$3:$A$821&amp;" ",$D523))*Terms!C$3:C$821)+Terms!C$2</f>
        <v>-4.9256930610863</v>
      </c>
      <c r="U523" s="0" t="n">
        <f aca="false">SUMPRODUCT(ISNUMBER(SEARCH(" "&amp;Terms!$A$3:$A$821&amp;" ",$D523))*Terms!D$3:D$821)+Terms!D$2</f>
        <v>-0.511340966598733</v>
      </c>
      <c r="V523" s="0" t="n">
        <f aca="false">SUMPRODUCT(ISNUMBER(SEARCH(" "&amp;Terms!$A$3:$A$821&amp;" ",$D523))*Terms!E$3:E$821)+Terms!E$2</f>
        <v>-1.32831191572807</v>
      </c>
      <c r="W523" s="0" t="n">
        <f aca="false">SUMPRODUCT(ISNUMBER(SEARCH(" "&amp;Terms!$A$3:$A$821&amp;" ",$D523))*Terms!F$3:F$821)+Terms!F$2</f>
        <v>10.450682740173</v>
      </c>
      <c r="X523" s="0" t="n">
        <f aca="false">SUMPRODUCT(ISNUMBER(SEARCH(" "&amp;Terms!$A$3:$A$821&amp;" ",$D523))*Terms!G$3:G$821)+Terms!G$2</f>
        <v>-3.2191909883539</v>
      </c>
      <c r="Y523" s="0" t="str">
        <f aca="false">INDEX($S$1:$X$1,MATCH(MAX(S523:X523),S523:X523,0))</f>
        <v>Fraud &amp; Scams</v>
      </c>
      <c r="Z523" s="0" t="s">
        <v>2607</v>
      </c>
    </row>
    <row r="524" customFormat="false" ht="15" hidden="false" customHeight="false" outlineLevel="0" collapsed="false">
      <c r="A524" s="0" t="str">
        <f aca="false">Complaints!A524</f>
        <v>C0523</v>
      </c>
      <c r="B524" s="0" t="str">
        <f aca="false">Complaints!B524</f>
        <v>I am writing to complain. I spent an hour on hold and then the call was cut off. Please escalate this.</v>
      </c>
      <c r="C524" s="0" t="str">
        <f aca="false">Complaints!C524</f>
        <v>Customer Service</v>
      </c>
      <c r="D524" s="0" t="str">
        <f aca="false">" "&amp;TRIM(SUBSTITUTE(SUBSTITUTE(SUBSTITUTE(SUBSTITUTE(SUBSTITUTE(SUBSTITUTE(SUBSTITUTE(SUBSTITUTE(SUBSTITUTE(SUBSTITUTE(SUBSTITUTE(SUBSTITUTE(SUBSTITUTE(SUBSTITUTE(SUBSTITUTE(SUBSTITUTE(LOWER(B524),"."," "),","," "),"'"," "),"’"," "),"!"," "),"?"," "),";"," "),":"," "),"-"," "),"("," "),")"," "),"""", " "),"£"," "),"&amp;"," "),"/"," "),"%"," "))&amp;" "</f>
        <v> i am writing to complain i spent an hour on hold and then the call was cut off please escalate this </v>
      </c>
      <c r="E524" s="0" t="n">
        <f aca="false">SUMPRODUCT((Rules!$A$2:$A$60=E$1)*Rules!$C$2:$C$60*ISNUMBER(SEARCH(Rules!$D$2:$D$60,$D524)))</f>
        <v>0</v>
      </c>
      <c r="F524" s="0" t="n">
        <f aca="false">SUMPRODUCT((Rules!$A$2:$A$60=F$1)*Rules!$C$2:$C$60*ISNUMBER(SEARCH(Rules!$D$2:$D$60,$D524)))</f>
        <v>0</v>
      </c>
      <c r="G524" s="0" t="n">
        <f aca="false">SUMPRODUCT((Rules!$A$2:$A$60=G$1)*Rules!$C$2:$C$60*ISNUMBER(SEARCH(Rules!$D$2:$D$60,$D524)))</f>
        <v>0</v>
      </c>
      <c r="H524" s="0" t="n">
        <f aca="false">SUMPRODUCT((Rules!$A$2:$A$60=H$1)*Rules!$C$2:$C$60*ISNUMBER(SEARCH(Rules!$D$2:$D$60,$D524)))</f>
        <v>0</v>
      </c>
      <c r="I524" s="0" t="n">
        <f aca="false">SUMPRODUCT((Rules!$A$2:$A$60=I$1)*Rules!$C$2:$C$60*ISNUMBER(SEARCH(Rules!$D$2:$D$60,$D524)))</f>
        <v>0</v>
      </c>
      <c r="J524" s="0" t="n">
        <f aca="false">SUMPRODUCT((Rules!$A$2:$A$60=J$1)*Rules!$C$2:$C$60*ISNUMBER(SEARCH(Rules!$D$2:$D$60,$D524)))</f>
        <v>3</v>
      </c>
      <c r="K524" s="0" t="str">
        <f aca="false">IF(OR(MAX(E524:J524)&lt;Rules!$H$1,MAX(E524:J524)-LARGE(E524:J524,2)&lt;Rules!$H$2),"No label",INDEX($E$1:$J$1,MATCH(MAX(E524:J524),E524:J524,0)))</f>
        <v>Customer Service</v>
      </c>
      <c r="L524" s="0" t="n">
        <f aca="false">SUMPRODUCT((Rules!$A$2:$A$60=L$1)*Rules!$C$2:$C$60*ISNUMBER(SEARCH(Rules!$E$2:$E$60,$D524)))</f>
        <v>0</v>
      </c>
      <c r="M524" s="0" t="n">
        <f aca="false">SUMPRODUCT((Rules!$A$2:$A$60=M$1)*Rules!$C$2:$C$60*ISNUMBER(SEARCH(Rules!$E$2:$E$60,$D524)))</f>
        <v>0</v>
      </c>
      <c r="N524" s="0" t="n">
        <f aca="false">SUMPRODUCT((Rules!$A$2:$A$60=N$1)*Rules!$C$2:$C$60*ISNUMBER(SEARCH(Rules!$E$2:$E$60,$D524)))</f>
        <v>0</v>
      </c>
      <c r="O524" s="0" t="n">
        <f aca="false">SUMPRODUCT((Rules!$A$2:$A$60=O$1)*Rules!$C$2:$C$60*ISNUMBER(SEARCH(Rules!$E$2:$E$60,$D524)))</f>
        <v>0</v>
      </c>
      <c r="P524" s="0" t="n">
        <f aca="false">SUMPRODUCT((Rules!$A$2:$A$60=P$1)*Rules!$C$2:$C$60*ISNUMBER(SEARCH(Rules!$E$2:$E$60,$D524)))</f>
        <v>0</v>
      </c>
      <c r="Q524" s="0" t="n">
        <f aca="false">SUMPRODUCT((Rules!$A$2:$A$60=Q$1)*Rules!$C$2:$C$60*ISNUMBER(SEARCH(Rules!$E$2:$E$60,$D524)))</f>
        <v>3</v>
      </c>
      <c r="R524" s="0" t="str">
        <f aca="false">IF(OR(MAX(L524:Q524)&lt;Rules!$H$1,MAX(L524:Q524)-LARGE(L524:Q524,2)&lt;Rules!$H$2),"No label",INDEX($L$1:$Q$1,MATCH(MAX(L524:Q524),L524:Q524,0)))</f>
        <v>Customer Service</v>
      </c>
      <c r="S524" s="0" t="n">
        <f aca="false">SUMPRODUCT(ISNUMBER(SEARCH(" "&amp;Terms!$A$3:$A$821&amp;" ",$D524))*Terms!B$3:B$821)+Terms!B$2</f>
        <v>-1.14403862541971</v>
      </c>
      <c r="T524" s="0" t="n">
        <f aca="false">SUMPRODUCT(ISNUMBER(SEARCH(" "&amp;Terms!$A$3:$A$821&amp;" ",$D524))*Terms!C$3:C$821)+Terms!C$2</f>
        <v>7.5804404101105</v>
      </c>
      <c r="U524" s="0" t="n">
        <f aca="false">SUMPRODUCT(ISNUMBER(SEARCH(" "&amp;Terms!$A$3:$A$821&amp;" ",$D524))*Terms!D$3:D$821)+Terms!D$2</f>
        <v>-0.123005531186366</v>
      </c>
      <c r="V524" s="0" t="n">
        <f aca="false">SUMPRODUCT(ISNUMBER(SEARCH(" "&amp;Terms!$A$3:$A$821&amp;" ",$D524))*Terms!E$3:E$821)+Terms!E$2</f>
        <v>-4.14896005303186</v>
      </c>
      <c r="W524" s="0" t="n">
        <f aca="false">SUMPRODUCT(ISNUMBER(SEARCH(" "&amp;Terms!$A$3:$A$821&amp;" ",$D524))*Terms!F$3:F$821)+Terms!F$2</f>
        <v>-1.91365469002192</v>
      </c>
      <c r="X524" s="0" t="n">
        <f aca="false">SUMPRODUCT(ISNUMBER(SEARCH(" "&amp;Terms!$A$3:$A$821&amp;" ",$D524))*Terms!G$3:G$821)+Terms!G$2</f>
        <v>-0.250781510450545</v>
      </c>
      <c r="Y524" s="0" t="str">
        <f aca="false">INDEX($S$1:$X$1,MATCH(MAX(S524:X524),S524:X524,0))</f>
        <v>Customer Service</v>
      </c>
      <c r="Z524" s="0" t="s">
        <v>2607</v>
      </c>
    </row>
    <row r="525" customFormat="false" ht="15" hidden="false" customHeight="false" outlineLevel="0" collapsed="false">
      <c r="A525" s="0" t="str">
        <f aca="false">Complaints!A525</f>
        <v>C0524</v>
      </c>
      <c r="B525" s="0" t="str">
        <f aca="false">Complaints!B525</f>
        <v>A late payment fee appeared and I want it refunded. I would like a response in writing.</v>
      </c>
      <c r="C525" s="0" t="str">
        <f aca="false">Complaints!C525</f>
        <v>Fees &amp; Charges</v>
      </c>
      <c r="D525" s="0" t="str">
        <f aca="false">" "&amp;TRIM(SUBSTITUTE(SUBSTITUTE(SUBSTITUTE(SUBSTITUTE(SUBSTITUTE(SUBSTITUTE(SUBSTITUTE(SUBSTITUTE(SUBSTITUTE(SUBSTITUTE(SUBSTITUTE(SUBSTITUTE(SUBSTITUTE(SUBSTITUTE(SUBSTITUTE(SUBSTITUTE(LOWER(B525),"."," "),","," "),"'"," "),"’"," "),"!"," "),"?"," "),";"," "),":"," "),"-"," "),"("," "),")"," "),"""", " "),"£"," "),"&amp;"," "),"/"," "),"%"," "))&amp;" "</f>
        <v> a late payment fee appeared and i want it refunded i would like a response in writing </v>
      </c>
      <c r="E525" s="0" t="n">
        <f aca="false">SUMPRODUCT((Rules!$A$2:$A$60=E$1)*Rules!$C$2:$C$60*ISNUMBER(SEARCH(Rules!$D$2:$D$60,$D525)))</f>
        <v>0</v>
      </c>
      <c r="F525" s="0" t="n">
        <f aca="false">SUMPRODUCT((Rules!$A$2:$A$60=F$1)*Rules!$C$2:$C$60*ISNUMBER(SEARCH(Rules!$D$2:$D$60,$D525)))</f>
        <v>0</v>
      </c>
      <c r="G525" s="0" t="n">
        <f aca="false">SUMPRODUCT((Rules!$A$2:$A$60=G$1)*Rules!$C$2:$C$60*ISNUMBER(SEARCH(Rules!$D$2:$D$60,$D525)))</f>
        <v>0</v>
      </c>
      <c r="H525" s="0" t="n">
        <f aca="false">SUMPRODUCT((Rules!$A$2:$A$60=H$1)*Rules!$C$2:$C$60*ISNUMBER(SEARCH(Rules!$D$2:$D$60,$D525)))</f>
        <v>2</v>
      </c>
      <c r="I525" s="0" t="n">
        <f aca="false">SUMPRODUCT((Rules!$A$2:$A$60=I$1)*Rules!$C$2:$C$60*ISNUMBER(SEARCH(Rules!$D$2:$D$60,$D525)))</f>
        <v>0</v>
      </c>
      <c r="J525" s="0" t="n">
        <f aca="false">SUMPRODUCT((Rules!$A$2:$A$60=J$1)*Rules!$C$2:$C$60*ISNUMBER(SEARCH(Rules!$D$2:$D$60,$D525)))</f>
        <v>0</v>
      </c>
      <c r="K525" s="0" t="str">
        <f aca="false">IF(OR(MAX(E525:J525)&lt;Rules!$H$1,MAX(E525:J525)-LARGE(E525:J525,2)&lt;Rules!$H$2),"No label",INDEX($E$1:$J$1,MATCH(MAX(E525:J525),E525:J525,0)))</f>
        <v>No label</v>
      </c>
      <c r="L525" s="0" t="n">
        <f aca="false">SUMPRODUCT((Rules!$A$2:$A$60=L$1)*Rules!$C$2:$C$60*ISNUMBER(SEARCH(Rules!$E$2:$E$60,$D525)))</f>
        <v>0</v>
      </c>
      <c r="M525" s="0" t="n">
        <f aca="false">SUMPRODUCT((Rules!$A$2:$A$60=M$1)*Rules!$C$2:$C$60*ISNUMBER(SEARCH(Rules!$E$2:$E$60,$D525)))</f>
        <v>0</v>
      </c>
      <c r="N525" s="0" t="n">
        <f aca="false">SUMPRODUCT((Rules!$A$2:$A$60=N$1)*Rules!$C$2:$C$60*ISNUMBER(SEARCH(Rules!$E$2:$E$60,$D525)))</f>
        <v>0</v>
      </c>
      <c r="O525" s="0" t="n">
        <f aca="false">SUMPRODUCT((Rules!$A$2:$A$60=O$1)*Rules!$C$2:$C$60*ISNUMBER(SEARCH(Rules!$E$2:$E$60,$D525)))</f>
        <v>2</v>
      </c>
      <c r="P525" s="0" t="n">
        <f aca="false">SUMPRODUCT((Rules!$A$2:$A$60=P$1)*Rules!$C$2:$C$60*ISNUMBER(SEARCH(Rules!$E$2:$E$60,$D525)))</f>
        <v>0</v>
      </c>
      <c r="Q525" s="0" t="n">
        <f aca="false">SUMPRODUCT((Rules!$A$2:$A$60=Q$1)*Rules!$C$2:$C$60*ISNUMBER(SEARCH(Rules!$E$2:$E$60,$D525)))</f>
        <v>0</v>
      </c>
      <c r="R525" s="0" t="str">
        <f aca="false">IF(OR(MAX(L525:Q525)&lt;Rules!$H$1,MAX(L525:Q525)-LARGE(L525:Q525,2)&lt;Rules!$H$2),"No label",INDEX($L$1:$Q$1,MATCH(MAX(L525:Q525),L525:Q525,0)))</f>
        <v>No label</v>
      </c>
      <c r="S525" s="0" t="n">
        <f aca="false">SUMPRODUCT(ISNUMBER(SEARCH(" "&amp;Terms!$A$3:$A$821&amp;" ",$D525))*Terms!B$3:B$821)+Terms!B$2</f>
        <v>-3.49906961967013</v>
      </c>
      <c r="T525" s="0" t="n">
        <f aca="false">SUMPRODUCT(ISNUMBER(SEARCH(" "&amp;Terms!$A$3:$A$821&amp;" ",$D525))*Terms!C$3:C$821)+Terms!C$2</f>
        <v>-6.59608236092151</v>
      </c>
      <c r="U525" s="0" t="n">
        <f aca="false">SUMPRODUCT(ISNUMBER(SEARCH(" "&amp;Terms!$A$3:$A$821&amp;" ",$D525))*Terms!D$3:D$821)+Terms!D$2</f>
        <v>-0.0971003357207675</v>
      </c>
      <c r="V525" s="0" t="n">
        <f aca="false">SUMPRODUCT(ISNUMBER(SEARCH(" "&amp;Terms!$A$3:$A$821&amp;" ",$D525))*Terms!E$3:E$821)+Terms!E$2</f>
        <v>13.9485243903481</v>
      </c>
      <c r="W525" s="0" t="n">
        <f aca="false">SUMPRODUCT(ISNUMBER(SEARCH(" "&amp;Terms!$A$3:$A$821&amp;" ",$D525))*Terms!F$3:F$821)+Terms!F$2</f>
        <v>-0.609105996413329</v>
      </c>
      <c r="X525" s="0" t="n">
        <f aca="false">SUMPRODUCT(ISNUMBER(SEARCH(" "&amp;Terms!$A$3:$A$821&amp;" ",$D525))*Terms!G$3:G$821)+Terms!G$2</f>
        <v>-3.14716607762229</v>
      </c>
      <c r="Y525" s="0" t="str">
        <f aca="false">INDEX($S$1:$X$1,MATCH(MAX(S525:X525),S525:X525,0))</f>
        <v>Fees &amp; Charges</v>
      </c>
      <c r="Z525" s="0" t="s">
        <v>2607</v>
      </c>
    </row>
    <row r="526" customFormat="false" ht="15" hidden="false" customHeight="false" outlineLevel="0" collapsed="false">
      <c r="A526" s="0" t="str">
        <f aca="false">Complaints!A526</f>
        <v>C0525</v>
      </c>
      <c r="B526" s="0" t="str">
        <f aca="false">Complaints!B526</f>
        <v>Hello, I was sold a product that was not suitable for my circumstances. I want this put right.</v>
      </c>
      <c r="C526" s="0" t="str">
        <f aca="false">Complaints!C526</f>
        <v>Mis-selling</v>
      </c>
      <c r="D526" s="0" t="str">
        <f aca="false">" "&amp;TRIM(SUBSTITUTE(SUBSTITUTE(SUBSTITUTE(SUBSTITUTE(SUBSTITUTE(SUBSTITUTE(SUBSTITUTE(SUBSTITUTE(SUBSTITUTE(SUBSTITUTE(SUBSTITUTE(SUBSTITUTE(SUBSTITUTE(SUBSTITUTE(SUBSTITUTE(SUBSTITUTE(LOWER(B526),"."," "),","," "),"'"," "),"’"," "),"!"," "),"?"," "),";"," "),":"," "),"-"," "),"("," "),")"," "),"""", " "),"£"," "),"&amp;"," "),"/"," "),"%"," "))&amp;" "</f>
        <v> hello i was sold a product that was not suitable for my circumstances i want this put right </v>
      </c>
      <c r="E526" s="0" t="n">
        <f aca="false">SUMPRODUCT((Rules!$A$2:$A$60=E$1)*Rules!$C$2:$C$60*ISNUMBER(SEARCH(Rules!$D$2:$D$60,$D526)))</f>
        <v>0</v>
      </c>
      <c r="F526" s="0" t="n">
        <f aca="false">SUMPRODUCT((Rules!$A$2:$A$60=F$1)*Rules!$C$2:$C$60*ISNUMBER(SEARCH(Rules!$D$2:$D$60,$D526)))</f>
        <v>5</v>
      </c>
      <c r="G526" s="0" t="n">
        <f aca="false">SUMPRODUCT((Rules!$A$2:$A$60=G$1)*Rules!$C$2:$C$60*ISNUMBER(SEARCH(Rules!$D$2:$D$60,$D526)))</f>
        <v>0</v>
      </c>
      <c r="H526" s="0" t="n">
        <f aca="false">SUMPRODUCT((Rules!$A$2:$A$60=H$1)*Rules!$C$2:$C$60*ISNUMBER(SEARCH(Rules!$D$2:$D$60,$D526)))</f>
        <v>0</v>
      </c>
      <c r="I526" s="0" t="n">
        <f aca="false">SUMPRODUCT((Rules!$A$2:$A$60=I$1)*Rules!$C$2:$C$60*ISNUMBER(SEARCH(Rules!$D$2:$D$60,$D526)))</f>
        <v>0</v>
      </c>
      <c r="J526" s="0" t="n">
        <f aca="false">SUMPRODUCT((Rules!$A$2:$A$60=J$1)*Rules!$C$2:$C$60*ISNUMBER(SEARCH(Rules!$D$2:$D$60,$D526)))</f>
        <v>0</v>
      </c>
      <c r="K526" s="0" t="str">
        <f aca="false">IF(OR(MAX(E526:J526)&lt;Rules!$H$1,MAX(E526:J526)-LARGE(E526:J526,2)&lt;Rules!$H$2),"No label",INDEX($E$1:$J$1,MATCH(MAX(E526:J526),E526:J526,0)))</f>
        <v>Mis-selling</v>
      </c>
      <c r="L526" s="0" t="n">
        <f aca="false">SUMPRODUCT((Rules!$A$2:$A$60=L$1)*Rules!$C$2:$C$60*ISNUMBER(SEARCH(Rules!$E$2:$E$60,$D526)))</f>
        <v>0</v>
      </c>
      <c r="M526" s="0" t="n">
        <f aca="false">SUMPRODUCT((Rules!$A$2:$A$60=M$1)*Rules!$C$2:$C$60*ISNUMBER(SEARCH(Rules!$E$2:$E$60,$D526)))</f>
        <v>5</v>
      </c>
      <c r="N526" s="0" t="n">
        <f aca="false">SUMPRODUCT((Rules!$A$2:$A$60=N$1)*Rules!$C$2:$C$60*ISNUMBER(SEARCH(Rules!$E$2:$E$60,$D526)))</f>
        <v>0</v>
      </c>
      <c r="O526" s="0" t="n">
        <f aca="false">SUMPRODUCT((Rules!$A$2:$A$60=O$1)*Rules!$C$2:$C$60*ISNUMBER(SEARCH(Rules!$E$2:$E$60,$D526)))</f>
        <v>0</v>
      </c>
      <c r="P526" s="0" t="n">
        <f aca="false">SUMPRODUCT((Rules!$A$2:$A$60=P$1)*Rules!$C$2:$C$60*ISNUMBER(SEARCH(Rules!$E$2:$E$60,$D526)))</f>
        <v>0</v>
      </c>
      <c r="Q526" s="0" t="n">
        <f aca="false">SUMPRODUCT((Rules!$A$2:$A$60=Q$1)*Rules!$C$2:$C$60*ISNUMBER(SEARCH(Rules!$E$2:$E$60,$D526)))</f>
        <v>0</v>
      </c>
      <c r="R526" s="0" t="str">
        <f aca="false">IF(OR(MAX(L526:Q526)&lt;Rules!$H$1,MAX(L526:Q526)-LARGE(L526:Q526,2)&lt;Rules!$H$2),"No label",INDEX($L$1:$Q$1,MATCH(MAX(L526:Q526),L526:Q526,0)))</f>
        <v>Mis-selling</v>
      </c>
      <c r="S526" s="0" t="n">
        <f aca="false">SUMPRODUCT(ISNUMBER(SEARCH(" "&amp;Terms!$A$3:$A$821&amp;" ",$D526))*Terms!B$3:B$821)+Terms!B$2</f>
        <v>-1.86202524900098</v>
      </c>
      <c r="T526" s="0" t="n">
        <f aca="false">SUMPRODUCT(ISNUMBER(SEARCH(" "&amp;Terms!$A$3:$A$821&amp;" ",$D526))*Terms!C$3:C$821)+Terms!C$2</f>
        <v>-2.84390001317284</v>
      </c>
      <c r="U526" s="0" t="n">
        <f aca="false">SUMPRODUCT(ISNUMBER(SEARCH(" "&amp;Terms!$A$3:$A$821&amp;" ",$D526))*Terms!D$3:D$821)+Terms!D$2</f>
        <v>-2.2741546571658</v>
      </c>
      <c r="V526" s="0" t="n">
        <f aca="false">SUMPRODUCT(ISNUMBER(SEARCH(" "&amp;Terms!$A$3:$A$821&amp;" ",$D526))*Terms!E$3:E$821)+Terms!E$2</f>
        <v>0.0305059320567005</v>
      </c>
      <c r="W526" s="0" t="n">
        <f aca="false">SUMPRODUCT(ISNUMBER(SEARCH(" "&amp;Terms!$A$3:$A$821&amp;" ",$D526))*Terms!F$3:F$821)+Terms!F$2</f>
        <v>0.214086679436747</v>
      </c>
      <c r="X526" s="0" t="n">
        <f aca="false">SUMPRODUCT(ISNUMBER(SEARCH(" "&amp;Terms!$A$3:$A$821&amp;" ",$D526))*Terms!G$3:G$821)+Terms!G$2</f>
        <v>6.73548730784628</v>
      </c>
      <c r="Y526" s="0" t="str">
        <f aca="false">INDEX($S$1:$X$1,MATCH(MAX(S526:X526),S526:X526,0))</f>
        <v>Mis-selling</v>
      </c>
      <c r="Z526" s="0" t="s">
        <v>2608</v>
      </c>
    </row>
    <row r="527" customFormat="false" ht="15" hidden="false" customHeight="false" outlineLevel="0" collapsed="false">
      <c r="A527" s="0" t="str">
        <f aca="false">Complaints!A527</f>
        <v>C0526</v>
      </c>
      <c r="B527" s="0" t="str">
        <f aca="false">Complaints!B527</f>
        <v>The payment still has not arrived in my account. This is not acceptable.</v>
      </c>
      <c r="C527" s="0" t="str">
        <f aca="false">Complaints!C527</f>
        <v>Delays &amp; Processing</v>
      </c>
      <c r="D527" s="0" t="str">
        <f aca="false">" "&amp;TRIM(SUBSTITUTE(SUBSTITUTE(SUBSTITUTE(SUBSTITUTE(SUBSTITUTE(SUBSTITUTE(SUBSTITUTE(SUBSTITUTE(SUBSTITUTE(SUBSTITUTE(SUBSTITUTE(SUBSTITUTE(SUBSTITUTE(SUBSTITUTE(SUBSTITUTE(SUBSTITUTE(LOWER(B527),"."," "),","," "),"'"," "),"’"," "),"!"," "),"?"," "),";"," "),":"," "),"-"," "),"("," "),")"," "),"""", " "),"£"," "),"&amp;"," "),"/"," "),"%"," "))&amp;" "</f>
        <v> the payment still has not arrived in my account this is not acceptable </v>
      </c>
      <c r="E527" s="0" t="n">
        <f aca="false">SUMPRODUCT((Rules!$A$2:$A$60=E$1)*Rules!$C$2:$C$60*ISNUMBER(SEARCH(Rules!$D$2:$D$60,$D527)))</f>
        <v>0</v>
      </c>
      <c r="F527" s="0" t="n">
        <f aca="false">SUMPRODUCT((Rules!$A$2:$A$60=F$1)*Rules!$C$2:$C$60*ISNUMBER(SEARCH(Rules!$D$2:$D$60,$D527)))</f>
        <v>0</v>
      </c>
      <c r="G527" s="0" t="n">
        <f aca="false">SUMPRODUCT((Rules!$A$2:$A$60=G$1)*Rules!$C$2:$C$60*ISNUMBER(SEARCH(Rules!$D$2:$D$60,$D527)))</f>
        <v>0</v>
      </c>
      <c r="H527" s="0" t="n">
        <f aca="false">SUMPRODUCT((Rules!$A$2:$A$60=H$1)*Rules!$C$2:$C$60*ISNUMBER(SEARCH(Rules!$D$2:$D$60,$D527)))</f>
        <v>0</v>
      </c>
      <c r="I527" s="0" t="n">
        <f aca="false">SUMPRODUCT((Rules!$A$2:$A$60=I$1)*Rules!$C$2:$C$60*ISNUMBER(SEARCH(Rules!$D$2:$D$60,$D527)))</f>
        <v>2</v>
      </c>
      <c r="J527" s="0" t="n">
        <f aca="false">SUMPRODUCT((Rules!$A$2:$A$60=J$1)*Rules!$C$2:$C$60*ISNUMBER(SEARCH(Rules!$D$2:$D$60,$D527)))</f>
        <v>0</v>
      </c>
      <c r="K527" s="0" t="str">
        <f aca="false">IF(OR(MAX(E527:J527)&lt;Rules!$H$1,MAX(E527:J527)-LARGE(E527:J527,2)&lt;Rules!$H$2),"No label",INDEX($E$1:$J$1,MATCH(MAX(E527:J527),E527:J527,0)))</f>
        <v>No label</v>
      </c>
      <c r="L527" s="0" t="n">
        <f aca="false">SUMPRODUCT((Rules!$A$2:$A$60=L$1)*Rules!$C$2:$C$60*ISNUMBER(SEARCH(Rules!$E$2:$E$60,$D527)))</f>
        <v>0</v>
      </c>
      <c r="M527" s="0" t="n">
        <f aca="false">SUMPRODUCT((Rules!$A$2:$A$60=M$1)*Rules!$C$2:$C$60*ISNUMBER(SEARCH(Rules!$E$2:$E$60,$D527)))</f>
        <v>0</v>
      </c>
      <c r="N527" s="0" t="n">
        <f aca="false">SUMPRODUCT((Rules!$A$2:$A$60=N$1)*Rules!$C$2:$C$60*ISNUMBER(SEARCH(Rules!$E$2:$E$60,$D527)))</f>
        <v>1</v>
      </c>
      <c r="O527" s="0" t="n">
        <f aca="false">SUMPRODUCT((Rules!$A$2:$A$60=O$1)*Rules!$C$2:$C$60*ISNUMBER(SEARCH(Rules!$E$2:$E$60,$D527)))</f>
        <v>0</v>
      </c>
      <c r="P527" s="0" t="n">
        <f aca="false">SUMPRODUCT((Rules!$A$2:$A$60=P$1)*Rules!$C$2:$C$60*ISNUMBER(SEARCH(Rules!$E$2:$E$60,$D527)))</f>
        <v>2</v>
      </c>
      <c r="Q527" s="0" t="n">
        <f aca="false">SUMPRODUCT((Rules!$A$2:$A$60=Q$1)*Rules!$C$2:$C$60*ISNUMBER(SEARCH(Rules!$E$2:$E$60,$D527)))</f>
        <v>0</v>
      </c>
      <c r="R527" s="0" t="str">
        <f aca="false">IF(OR(MAX(L527:Q527)&lt;Rules!$H$1,MAX(L527:Q527)-LARGE(L527:Q527,2)&lt;Rules!$H$2),"No label",INDEX($L$1:$Q$1,MATCH(MAX(L527:Q527),L527:Q527,0)))</f>
        <v>No label</v>
      </c>
      <c r="S527" s="0" t="n">
        <f aca="false">SUMPRODUCT(ISNUMBER(SEARCH(" "&amp;Terms!$A$3:$A$821&amp;" ",$D527))*Terms!B$3:B$821)+Terms!B$2</f>
        <v>1.51667378352793</v>
      </c>
      <c r="T527" s="0" t="n">
        <f aca="false">SUMPRODUCT(ISNUMBER(SEARCH(" "&amp;Terms!$A$3:$A$821&amp;" ",$D527))*Terms!C$3:C$821)+Terms!C$2</f>
        <v>-4.2151340206145</v>
      </c>
      <c r="U527" s="0" t="n">
        <f aca="false">SUMPRODUCT(ISNUMBER(SEARCH(" "&amp;Terms!$A$3:$A$821&amp;" ",$D527))*Terms!D$3:D$821)+Terms!D$2</f>
        <v>6.95059331588682</v>
      </c>
      <c r="V527" s="0" t="n">
        <f aca="false">SUMPRODUCT(ISNUMBER(SEARCH(" "&amp;Terms!$A$3:$A$821&amp;" ",$D527))*Terms!E$3:E$821)+Terms!E$2</f>
        <v>-1.39286874552663</v>
      </c>
      <c r="W527" s="0" t="n">
        <f aca="false">SUMPRODUCT(ISNUMBER(SEARCH(" "&amp;Terms!$A$3:$A$821&amp;" ",$D527))*Terms!F$3:F$821)+Terms!F$2</f>
        <v>0.276561851438372</v>
      </c>
      <c r="X527" s="0" t="n">
        <f aca="false">SUMPRODUCT(ISNUMBER(SEARCH(" "&amp;Terms!$A$3:$A$821&amp;" ",$D527))*Terms!G$3:G$821)+Terms!G$2</f>
        <v>-3.13582618471191</v>
      </c>
      <c r="Y527" s="0" t="str">
        <f aca="false">INDEX($S$1:$X$1,MATCH(MAX(S527:X527),S527:X527,0))</f>
        <v>Delays &amp; Processing</v>
      </c>
      <c r="Z527" s="0" t="s">
        <v>2607</v>
      </c>
    </row>
    <row r="528" customFormat="false" ht="15" hidden="false" customHeight="false" outlineLevel="0" collapsed="false">
      <c r="A528" s="0" t="str">
        <f aca="false">Complaints!A528</f>
        <v>C0527</v>
      </c>
      <c r="B528" s="0" t="str">
        <f aca="false">Complaints!B528</f>
        <v>The payment still has not arrived in my account. This is not acceptable.</v>
      </c>
      <c r="C528" s="0" t="str">
        <f aca="false">Complaints!C528</f>
        <v>Delays &amp; Processing</v>
      </c>
      <c r="D528" s="0" t="str">
        <f aca="false">" "&amp;TRIM(SUBSTITUTE(SUBSTITUTE(SUBSTITUTE(SUBSTITUTE(SUBSTITUTE(SUBSTITUTE(SUBSTITUTE(SUBSTITUTE(SUBSTITUTE(SUBSTITUTE(SUBSTITUTE(SUBSTITUTE(SUBSTITUTE(SUBSTITUTE(SUBSTITUTE(SUBSTITUTE(LOWER(B528),"."," "),","," "),"'"," "),"’"," "),"!"," "),"?"," "),";"," "),":"," "),"-"," "),"("," "),")"," "),"""", " "),"£"," "),"&amp;"," "),"/"," "),"%"," "))&amp;" "</f>
        <v> the payment still has not arrived in my account this is not acceptable </v>
      </c>
      <c r="E528" s="0" t="n">
        <f aca="false">SUMPRODUCT((Rules!$A$2:$A$60=E$1)*Rules!$C$2:$C$60*ISNUMBER(SEARCH(Rules!$D$2:$D$60,$D528)))</f>
        <v>0</v>
      </c>
      <c r="F528" s="0" t="n">
        <f aca="false">SUMPRODUCT((Rules!$A$2:$A$60=F$1)*Rules!$C$2:$C$60*ISNUMBER(SEARCH(Rules!$D$2:$D$60,$D528)))</f>
        <v>0</v>
      </c>
      <c r="G528" s="0" t="n">
        <f aca="false">SUMPRODUCT((Rules!$A$2:$A$60=G$1)*Rules!$C$2:$C$60*ISNUMBER(SEARCH(Rules!$D$2:$D$60,$D528)))</f>
        <v>0</v>
      </c>
      <c r="H528" s="0" t="n">
        <f aca="false">SUMPRODUCT((Rules!$A$2:$A$60=H$1)*Rules!$C$2:$C$60*ISNUMBER(SEARCH(Rules!$D$2:$D$60,$D528)))</f>
        <v>0</v>
      </c>
      <c r="I528" s="0" t="n">
        <f aca="false">SUMPRODUCT((Rules!$A$2:$A$60=I$1)*Rules!$C$2:$C$60*ISNUMBER(SEARCH(Rules!$D$2:$D$60,$D528)))</f>
        <v>2</v>
      </c>
      <c r="J528" s="0" t="n">
        <f aca="false">SUMPRODUCT((Rules!$A$2:$A$60=J$1)*Rules!$C$2:$C$60*ISNUMBER(SEARCH(Rules!$D$2:$D$60,$D528)))</f>
        <v>0</v>
      </c>
      <c r="K528" s="0" t="str">
        <f aca="false">IF(OR(MAX(E528:J528)&lt;Rules!$H$1,MAX(E528:J528)-LARGE(E528:J528,2)&lt;Rules!$H$2),"No label",INDEX($E$1:$J$1,MATCH(MAX(E528:J528),E528:J528,0)))</f>
        <v>No label</v>
      </c>
      <c r="L528" s="0" t="n">
        <f aca="false">SUMPRODUCT((Rules!$A$2:$A$60=L$1)*Rules!$C$2:$C$60*ISNUMBER(SEARCH(Rules!$E$2:$E$60,$D528)))</f>
        <v>0</v>
      </c>
      <c r="M528" s="0" t="n">
        <f aca="false">SUMPRODUCT((Rules!$A$2:$A$60=M$1)*Rules!$C$2:$C$60*ISNUMBER(SEARCH(Rules!$E$2:$E$60,$D528)))</f>
        <v>0</v>
      </c>
      <c r="N528" s="0" t="n">
        <f aca="false">SUMPRODUCT((Rules!$A$2:$A$60=N$1)*Rules!$C$2:$C$60*ISNUMBER(SEARCH(Rules!$E$2:$E$60,$D528)))</f>
        <v>1</v>
      </c>
      <c r="O528" s="0" t="n">
        <f aca="false">SUMPRODUCT((Rules!$A$2:$A$60=O$1)*Rules!$C$2:$C$60*ISNUMBER(SEARCH(Rules!$E$2:$E$60,$D528)))</f>
        <v>0</v>
      </c>
      <c r="P528" s="0" t="n">
        <f aca="false">SUMPRODUCT((Rules!$A$2:$A$60=P$1)*Rules!$C$2:$C$60*ISNUMBER(SEARCH(Rules!$E$2:$E$60,$D528)))</f>
        <v>2</v>
      </c>
      <c r="Q528" s="0" t="n">
        <f aca="false">SUMPRODUCT((Rules!$A$2:$A$60=Q$1)*Rules!$C$2:$C$60*ISNUMBER(SEARCH(Rules!$E$2:$E$60,$D528)))</f>
        <v>0</v>
      </c>
      <c r="R528" s="0" t="str">
        <f aca="false">IF(OR(MAX(L528:Q528)&lt;Rules!$H$1,MAX(L528:Q528)-LARGE(L528:Q528,2)&lt;Rules!$H$2),"No label",INDEX($L$1:$Q$1,MATCH(MAX(L528:Q528),L528:Q528,0)))</f>
        <v>No label</v>
      </c>
      <c r="S528" s="0" t="n">
        <f aca="false">SUMPRODUCT(ISNUMBER(SEARCH(" "&amp;Terms!$A$3:$A$821&amp;" ",$D528))*Terms!B$3:B$821)+Terms!B$2</f>
        <v>1.51667378352793</v>
      </c>
      <c r="T528" s="0" t="n">
        <f aca="false">SUMPRODUCT(ISNUMBER(SEARCH(" "&amp;Terms!$A$3:$A$821&amp;" ",$D528))*Terms!C$3:C$821)+Terms!C$2</f>
        <v>-4.2151340206145</v>
      </c>
      <c r="U528" s="0" t="n">
        <f aca="false">SUMPRODUCT(ISNUMBER(SEARCH(" "&amp;Terms!$A$3:$A$821&amp;" ",$D528))*Terms!D$3:D$821)+Terms!D$2</f>
        <v>6.95059331588682</v>
      </c>
      <c r="V528" s="0" t="n">
        <f aca="false">SUMPRODUCT(ISNUMBER(SEARCH(" "&amp;Terms!$A$3:$A$821&amp;" ",$D528))*Terms!E$3:E$821)+Terms!E$2</f>
        <v>-1.39286874552663</v>
      </c>
      <c r="W528" s="0" t="n">
        <f aca="false">SUMPRODUCT(ISNUMBER(SEARCH(" "&amp;Terms!$A$3:$A$821&amp;" ",$D528))*Terms!F$3:F$821)+Terms!F$2</f>
        <v>0.276561851438372</v>
      </c>
      <c r="X528" s="0" t="n">
        <f aca="false">SUMPRODUCT(ISNUMBER(SEARCH(" "&amp;Terms!$A$3:$A$821&amp;" ",$D528))*Terms!G$3:G$821)+Terms!G$2</f>
        <v>-3.13582618471191</v>
      </c>
      <c r="Y528" s="0" t="str">
        <f aca="false">INDEX($S$1:$X$1,MATCH(MAX(S528:X528),S528:X528,0))</f>
        <v>Delays &amp; Processing</v>
      </c>
      <c r="Z528" s="0" t="s">
        <v>2607</v>
      </c>
    </row>
    <row r="529" customFormat="false" ht="15" hidden="false" customHeight="false" outlineLevel="0" collapsed="false">
      <c r="A529" s="0" t="str">
        <f aca="false">Complaints!A529</f>
        <v>C0528</v>
      </c>
      <c r="B529" s="0" t="str">
        <f aca="false">Complaints!B529</f>
        <v>I have been a customer for years. My card reader stopped working and I cannot approve payments.</v>
      </c>
      <c r="C529" s="0" t="str">
        <f aca="false">Complaints!C529</f>
        <v>Account Access</v>
      </c>
      <c r="D529" s="0" t="str">
        <f aca="false">" "&amp;TRIM(SUBSTITUTE(SUBSTITUTE(SUBSTITUTE(SUBSTITUTE(SUBSTITUTE(SUBSTITUTE(SUBSTITUTE(SUBSTITUTE(SUBSTITUTE(SUBSTITUTE(SUBSTITUTE(SUBSTITUTE(SUBSTITUTE(SUBSTITUTE(SUBSTITUTE(SUBSTITUTE(LOWER(B529),"."," "),","," "),"'"," "),"’"," "),"!"," "),"?"," "),";"," "),":"," "),"-"," "),"("," "),")"," "),"""", " "),"£"," "),"&amp;"," "),"/"," "),"%"," "))&amp;" "</f>
        <v> i have been a customer for years my card reader stopped working and i cannot approve payments </v>
      </c>
      <c r="E529" s="0" t="n">
        <f aca="false">SUMPRODUCT((Rules!$A$2:$A$60=E$1)*Rules!$C$2:$C$60*ISNUMBER(SEARCH(Rules!$D$2:$D$60,$D529)))</f>
        <v>0</v>
      </c>
      <c r="F529" s="0" t="n">
        <f aca="false">SUMPRODUCT((Rules!$A$2:$A$60=F$1)*Rules!$C$2:$C$60*ISNUMBER(SEARCH(Rules!$D$2:$D$60,$D529)))</f>
        <v>0</v>
      </c>
      <c r="G529" s="0" t="n">
        <f aca="false">SUMPRODUCT((Rules!$A$2:$A$60=G$1)*Rules!$C$2:$C$60*ISNUMBER(SEARCH(Rules!$D$2:$D$60,$D529)))</f>
        <v>0</v>
      </c>
      <c r="H529" s="0" t="n">
        <f aca="false">SUMPRODUCT((Rules!$A$2:$A$60=H$1)*Rules!$C$2:$C$60*ISNUMBER(SEARCH(Rules!$D$2:$D$60,$D529)))</f>
        <v>0</v>
      </c>
      <c r="I529" s="0" t="n">
        <f aca="false">SUMPRODUCT((Rules!$A$2:$A$60=I$1)*Rules!$C$2:$C$60*ISNUMBER(SEARCH(Rules!$D$2:$D$60,$D529)))</f>
        <v>0</v>
      </c>
      <c r="J529" s="0" t="n">
        <f aca="false">SUMPRODUCT((Rules!$A$2:$A$60=J$1)*Rules!$C$2:$C$60*ISNUMBER(SEARCH(Rules!$D$2:$D$60,$D529)))</f>
        <v>0</v>
      </c>
      <c r="K529" s="0" t="str">
        <f aca="false">IF(OR(MAX(E529:J529)&lt;Rules!$H$1,MAX(E529:J529)-LARGE(E529:J529,2)&lt;Rules!$H$2),"No label",INDEX($E$1:$J$1,MATCH(MAX(E529:J529),E529:J529,0)))</f>
        <v>No label</v>
      </c>
      <c r="L529" s="0" t="n">
        <f aca="false">SUMPRODUCT((Rules!$A$2:$A$60=L$1)*Rules!$C$2:$C$60*ISNUMBER(SEARCH(Rules!$E$2:$E$60,$D529)))</f>
        <v>0</v>
      </c>
      <c r="M529" s="0" t="n">
        <f aca="false">SUMPRODUCT((Rules!$A$2:$A$60=M$1)*Rules!$C$2:$C$60*ISNUMBER(SEARCH(Rules!$E$2:$E$60,$D529)))</f>
        <v>0</v>
      </c>
      <c r="N529" s="0" t="n">
        <f aca="false">SUMPRODUCT((Rules!$A$2:$A$60=N$1)*Rules!$C$2:$C$60*ISNUMBER(SEARCH(Rules!$E$2:$E$60,$D529)))</f>
        <v>0</v>
      </c>
      <c r="O529" s="0" t="n">
        <f aca="false">SUMPRODUCT((Rules!$A$2:$A$60=O$1)*Rules!$C$2:$C$60*ISNUMBER(SEARCH(Rules!$E$2:$E$60,$D529)))</f>
        <v>0</v>
      </c>
      <c r="P529" s="0" t="n">
        <f aca="false">SUMPRODUCT((Rules!$A$2:$A$60=P$1)*Rules!$C$2:$C$60*ISNUMBER(SEARCH(Rules!$E$2:$E$60,$D529)))</f>
        <v>0</v>
      </c>
      <c r="Q529" s="0" t="n">
        <f aca="false">SUMPRODUCT((Rules!$A$2:$A$60=Q$1)*Rules!$C$2:$C$60*ISNUMBER(SEARCH(Rules!$E$2:$E$60,$D529)))</f>
        <v>0</v>
      </c>
      <c r="R529" s="0" t="str">
        <f aca="false">IF(OR(MAX(L529:Q529)&lt;Rules!$H$1,MAX(L529:Q529)-LARGE(L529:Q529,2)&lt;Rules!$H$2),"No label",INDEX($L$1:$Q$1,MATCH(MAX(L529:Q529),L529:Q529,0)))</f>
        <v>No label</v>
      </c>
      <c r="S529" s="0" t="n">
        <f aca="false">SUMPRODUCT(ISNUMBER(SEARCH(" "&amp;Terms!$A$3:$A$821&amp;" ",$D529))*Terms!B$3:B$821)+Terms!B$2</f>
        <v>16.5333930286217</v>
      </c>
      <c r="T529" s="0" t="n">
        <f aca="false">SUMPRODUCT(ISNUMBER(SEARCH(" "&amp;Terms!$A$3:$A$821&amp;" ",$D529))*Terms!C$3:C$821)+Terms!C$2</f>
        <v>0.878753034092376</v>
      </c>
      <c r="U529" s="0" t="n">
        <f aca="false">SUMPRODUCT(ISNUMBER(SEARCH(" "&amp;Terms!$A$3:$A$821&amp;" ",$D529))*Terms!D$3:D$821)+Terms!D$2</f>
        <v>-2.10541869952215</v>
      </c>
      <c r="V529" s="0" t="n">
        <f aca="false">SUMPRODUCT(ISNUMBER(SEARCH(" "&amp;Terms!$A$3:$A$821&amp;" ",$D529))*Terms!E$3:E$821)+Terms!E$2</f>
        <v>-5.71784101972284</v>
      </c>
      <c r="W529" s="0" t="n">
        <f aca="false">SUMPRODUCT(ISNUMBER(SEARCH(" "&amp;Terms!$A$3:$A$821&amp;" ",$D529))*Terms!F$3:F$821)+Terms!F$2</f>
        <v>-0.9107002452774</v>
      </c>
      <c r="X529" s="0" t="n">
        <f aca="false">SUMPRODUCT(ISNUMBER(SEARCH(" "&amp;Terms!$A$3:$A$821&amp;" ",$D529))*Terms!G$3:G$821)+Terms!G$2</f>
        <v>-8.67818609819161</v>
      </c>
      <c r="Y529" s="0" t="str">
        <f aca="false">INDEX($S$1:$X$1,MATCH(MAX(S529:X529),S529:X529,0))</f>
        <v>Account Access</v>
      </c>
      <c r="Z529" s="0" t="s">
        <v>2607</v>
      </c>
    </row>
    <row r="530" customFormat="false" ht="15" hidden="false" customHeight="false" outlineLevel="0" collapsed="false">
      <c r="A530" s="0" t="str">
        <f aca="false">Complaints!A530</f>
        <v>C0529</v>
      </c>
      <c r="B530" s="0" t="str">
        <f aca="false">Complaints!B530</f>
        <v>To whom it may concern, I was sold a product that was not suitable for my circumstances. This is not acceptable.</v>
      </c>
      <c r="C530" s="0" t="str">
        <f aca="false">Complaints!C530</f>
        <v>Mis-selling</v>
      </c>
      <c r="D530" s="0" t="str">
        <f aca="false">" "&amp;TRIM(SUBSTITUTE(SUBSTITUTE(SUBSTITUTE(SUBSTITUTE(SUBSTITUTE(SUBSTITUTE(SUBSTITUTE(SUBSTITUTE(SUBSTITUTE(SUBSTITUTE(SUBSTITUTE(SUBSTITUTE(SUBSTITUTE(SUBSTITUTE(SUBSTITUTE(SUBSTITUTE(LOWER(B530),"."," "),","," "),"'"," "),"’"," "),"!"," "),"?"," "),";"," "),":"," "),"-"," "),"("," "),")"," "),"""", " "),"£"," "),"&amp;"," "),"/"," "),"%"," "))&amp;" "</f>
        <v> to whom it may concern i was sold a product that was not suitable for my circumstances this is not acceptable </v>
      </c>
      <c r="E530" s="0" t="n">
        <f aca="false">SUMPRODUCT((Rules!$A$2:$A$60=E$1)*Rules!$C$2:$C$60*ISNUMBER(SEARCH(Rules!$D$2:$D$60,$D530)))</f>
        <v>0</v>
      </c>
      <c r="F530" s="0" t="n">
        <f aca="false">SUMPRODUCT((Rules!$A$2:$A$60=F$1)*Rules!$C$2:$C$60*ISNUMBER(SEARCH(Rules!$D$2:$D$60,$D530)))</f>
        <v>5</v>
      </c>
      <c r="G530" s="0" t="n">
        <f aca="false">SUMPRODUCT((Rules!$A$2:$A$60=G$1)*Rules!$C$2:$C$60*ISNUMBER(SEARCH(Rules!$D$2:$D$60,$D530)))</f>
        <v>0</v>
      </c>
      <c r="H530" s="0" t="n">
        <f aca="false">SUMPRODUCT((Rules!$A$2:$A$60=H$1)*Rules!$C$2:$C$60*ISNUMBER(SEARCH(Rules!$D$2:$D$60,$D530)))</f>
        <v>0</v>
      </c>
      <c r="I530" s="0" t="n">
        <f aca="false">SUMPRODUCT((Rules!$A$2:$A$60=I$1)*Rules!$C$2:$C$60*ISNUMBER(SEARCH(Rules!$D$2:$D$60,$D530)))</f>
        <v>0</v>
      </c>
      <c r="J530" s="0" t="n">
        <f aca="false">SUMPRODUCT((Rules!$A$2:$A$60=J$1)*Rules!$C$2:$C$60*ISNUMBER(SEARCH(Rules!$D$2:$D$60,$D530)))</f>
        <v>0</v>
      </c>
      <c r="K530" s="0" t="str">
        <f aca="false">IF(OR(MAX(E530:J530)&lt;Rules!$H$1,MAX(E530:J530)-LARGE(E530:J530,2)&lt;Rules!$H$2),"No label",INDEX($E$1:$J$1,MATCH(MAX(E530:J530),E530:J530,0)))</f>
        <v>Mis-selling</v>
      </c>
      <c r="L530" s="0" t="n">
        <f aca="false">SUMPRODUCT((Rules!$A$2:$A$60=L$1)*Rules!$C$2:$C$60*ISNUMBER(SEARCH(Rules!$E$2:$E$60,$D530)))</f>
        <v>0</v>
      </c>
      <c r="M530" s="0" t="n">
        <f aca="false">SUMPRODUCT((Rules!$A$2:$A$60=M$1)*Rules!$C$2:$C$60*ISNUMBER(SEARCH(Rules!$E$2:$E$60,$D530)))</f>
        <v>5</v>
      </c>
      <c r="N530" s="0" t="n">
        <f aca="false">SUMPRODUCT((Rules!$A$2:$A$60=N$1)*Rules!$C$2:$C$60*ISNUMBER(SEARCH(Rules!$E$2:$E$60,$D530)))</f>
        <v>1</v>
      </c>
      <c r="O530" s="0" t="n">
        <f aca="false">SUMPRODUCT((Rules!$A$2:$A$60=O$1)*Rules!$C$2:$C$60*ISNUMBER(SEARCH(Rules!$E$2:$E$60,$D530)))</f>
        <v>0</v>
      </c>
      <c r="P530" s="0" t="n">
        <f aca="false">SUMPRODUCT((Rules!$A$2:$A$60=P$1)*Rules!$C$2:$C$60*ISNUMBER(SEARCH(Rules!$E$2:$E$60,$D530)))</f>
        <v>0</v>
      </c>
      <c r="Q530" s="0" t="n">
        <f aca="false">SUMPRODUCT((Rules!$A$2:$A$60=Q$1)*Rules!$C$2:$C$60*ISNUMBER(SEARCH(Rules!$E$2:$E$60,$D530)))</f>
        <v>0</v>
      </c>
      <c r="R530" s="0" t="str">
        <f aca="false">IF(OR(MAX(L530:Q530)&lt;Rules!$H$1,MAX(L530:Q530)-LARGE(L530:Q530,2)&lt;Rules!$H$2),"No label",INDEX($L$1:$Q$1,MATCH(MAX(L530:Q530),L530:Q530,0)))</f>
        <v>Mis-selling</v>
      </c>
      <c r="S530" s="0" t="n">
        <f aca="false">SUMPRODUCT(ISNUMBER(SEARCH(" "&amp;Terms!$A$3:$A$821&amp;" ",$D530))*Terms!B$3:B$821)+Terms!B$2</f>
        <v>-0.44408605003549</v>
      </c>
      <c r="T530" s="0" t="n">
        <f aca="false">SUMPRODUCT(ISNUMBER(SEARCH(" "&amp;Terms!$A$3:$A$821&amp;" ",$D530))*Terms!C$3:C$821)+Terms!C$2</f>
        <v>-2.52171813810069</v>
      </c>
      <c r="U530" s="0" t="n">
        <f aca="false">SUMPRODUCT(ISNUMBER(SEARCH(" "&amp;Terms!$A$3:$A$821&amp;" ",$D530))*Terms!D$3:D$821)+Terms!D$2</f>
        <v>-0.0527937538534317</v>
      </c>
      <c r="V530" s="0" t="n">
        <f aca="false">SUMPRODUCT(ISNUMBER(SEARCH(" "&amp;Terms!$A$3:$A$821&amp;" ",$D530))*Terms!E$3:E$821)+Terms!E$2</f>
        <v>-1.3508825078071</v>
      </c>
      <c r="W530" s="0" t="n">
        <f aca="false">SUMPRODUCT(ISNUMBER(SEARCH(" "&amp;Terms!$A$3:$A$821&amp;" ",$D530))*Terms!F$3:F$821)+Terms!F$2</f>
        <v>-2.05065235932517</v>
      </c>
      <c r="X530" s="0" t="n">
        <f aca="false">SUMPRODUCT(ISNUMBER(SEARCH(" "&amp;Terms!$A$3:$A$821&amp;" ",$D530))*Terms!G$3:G$821)+Terms!G$2</f>
        <v>6.42013280912198</v>
      </c>
      <c r="Y530" s="0" t="str">
        <f aca="false">INDEX($S$1:$X$1,MATCH(MAX(S530:X530),S530:X530,0))</f>
        <v>Mis-selling</v>
      </c>
      <c r="Z530" s="0" t="s">
        <v>2607</v>
      </c>
    </row>
    <row r="531" customFormat="false" ht="15" hidden="false" customHeight="false" outlineLevel="0" collapsed="false">
      <c r="A531" s="0" t="str">
        <f aca="false">Complaints!A531</f>
        <v>C0530</v>
      </c>
      <c r="B531" s="0" t="str">
        <f aca="false">Complaints!B531</f>
        <v>To whom it may concern, The website will not let me register for online access. I am worried it might be fraud. This is not acceptable.</v>
      </c>
      <c r="C531" s="0" t="str">
        <f aca="false">Complaints!C531</f>
        <v>Account Access</v>
      </c>
      <c r="D531" s="0" t="str">
        <f aca="false">" "&amp;TRIM(SUBSTITUTE(SUBSTITUTE(SUBSTITUTE(SUBSTITUTE(SUBSTITUTE(SUBSTITUTE(SUBSTITUTE(SUBSTITUTE(SUBSTITUTE(SUBSTITUTE(SUBSTITUTE(SUBSTITUTE(SUBSTITUTE(SUBSTITUTE(SUBSTITUTE(SUBSTITUTE(LOWER(B531),"."," "),","," "),"'"," "),"’"," "),"!"," "),"?"," "),";"," "),":"," "),"-"," "),"("," "),")"," "),"""", " "),"£"," "),"&amp;"," "),"/"," "),"%"," "))&amp;" "</f>
        <v> to whom it may concern the website will not let me register for online access i am worried it might be fraud this is not acceptable </v>
      </c>
      <c r="E531" s="0" t="n">
        <f aca="false">SUMPRODUCT((Rules!$A$2:$A$60=E$1)*Rules!$C$2:$C$60*ISNUMBER(SEARCH(Rules!$D$2:$D$60,$D531)))</f>
        <v>3</v>
      </c>
      <c r="F531" s="0" t="n">
        <f aca="false">SUMPRODUCT((Rules!$A$2:$A$60=F$1)*Rules!$C$2:$C$60*ISNUMBER(SEARCH(Rules!$D$2:$D$60,$D531)))</f>
        <v>0</v>
      </c>
      <c r="G531" s="0" t="n">
        <f aca="false">SUMPRODUCT((Rules!$A$2:$A$60=G$1)*Rules!$C$2:$C$60*ISNUMBER(SEARCH(Rules!$D$2:$D$60,$D531)))</f>
        <v>1</v>
      </c>
      <c r="H531" s="0" t="n">
        <f aca="false">SUMPRODUCT((Rules!$A$2:$A$60=H$1)*Rules!$C$2:$C$60*ISNUMBER(SEARCH(Rules!$D$2:$D$60,$D531)))</f>
        <v>0</v>
      </c>
      <c r="I531" s="0" t="n">
        <f aca="false">SUMPRODUCT((Rules!$A$2:$A$60=I$1)*Rules!$C$2:$C$60*ISNUMBER(SEARCH(Rules!$D$2:$D$60,$D531)))</f>
        <v>0</v>
      </c>
      <c r="J531" s="0" t="n">
        <f aca="false">SUMPRODUCT((Rules!$A$2:$A$60=J$1)*Rules!$C$2:$C$60*ISNUMBER(SEARCH(Rules!$D$2:$D$60,$D531)))</f>
        <v>0</v>
      </c>
      <c r="K531" s="0" t="str">
        <f aca="false">IF(OR(MAX(E531:J531)&lt;Rules!$H$1,MAX(E531:J531)-LARGE(E531:J531,2)&lt;Rules!$H$2),"No label",INDEX($E$1:$J$1,MATCH(MAX(E531:J531),E531:J531,0)))</f>
        <v>Fraud &amp; Scams</v>
      </c>
      <c r="L531" s="0" t="n">
        <f aca="false">SUMPRODUCT((Rules!$A$2:$A$60=L$1)*Rules!$C$2:$C$60*ISNUMBER(SEARCH(Rules!$E$2:$E$60,$D531)))</f>
        <v>3</v>
      </c>
      <c r="M531" s="0" t="n">
        <f aca="false">SUMPRODUCT((Rules!$A$2:$A$60=M$1)*Rules!$C$2:$C$60*ISNUMBER(SEARCH(Rules!$E$2:$E$60,$D531)))</f>
        <v>0</v>
      </c>
      <c r="N531" s="0" t="n">
        <f aca="false">SUMPRODUCT((Rules!$A$2:$A$60=N$1)*Rules!$C$2:$C$60*ISNUMBER(SEARCH(Rules!$E$2:$E$60,$D531)))</f>
        <v>1</v>
      </c>
      <c r="O531" s="0" t="n">
        <f aca="false">SUMPRODUCT((Rules!$A$2:$A$60=O$1)*Rules!$C$2:$C$60*ISNUMBER(SEARCH(Rules!$E$2:$E$60,$D531)))</f>
        <v>0</v>
      </c>
      <c r="P531" s="0" t="n">
        <f aca="false">SUMPRODUCT((Rules!$A$2:$A$60=P$1)*Rules!$C$2:$C$60*ISNUMBER(SEARCH(Rules!$E$2:$E$60,$D531)))</f>
        <v>0</v>
      </c>
      <c r="Q531" s="0" t="n">
        <f aca="false">SUMPRODUCT((Rules!$A$2:$A$60=Q$1)*Rules!$C$2:$C$60*ISNUMBER(SEARCH(Rules!$E$2:$E$60,$D531)))</f>
        <v>0</v>
      </c>
      <c r="R531" s="0" t="str">
        <f aca="false">IF(OR(MAX(L531:Q531)&lt;Rules!$H$1,MAX(L531:Q531)-LARGE(L531:Q531,2)&lt;Rules!$H$2),"No label",INDEX($L$1:$Q$1,MATCH(MAX(L531:Q531),L531:Q531,0)))</f>
        <v>Fraud &amp; Scams</v>
      </c>
      <c r="S531" s="0" t="n">
        <f aca="false">SUMPRODUCT(ISNUMBER(SEARCH(" "&amp;Terms!$A$3:$A$821&amp;" ",$D531))*Terms!B$3:B$821)+Terms!B$2</f>
        <v>10.8981076826797</v>
      </c>
      <c r="T531" s="0" t="n">
        <f aca="false">SUMPRODUCT(ISNUMBER(SEARCH(" "&amp;Terms!$A$3:$A$821&amp;" ",$D531))*Terms!C$3:C$821)+Terms!C$2</f>
        <v>-5.2702132977986</v>
      </c>
      <c r="U531" s="0" t="n">
        <f aca="false">SUMPRODUCT(ISNUMBER(SEARCH(" "&amp;Terms!$A$3:$A$821&amp;" ",$D531))*Terms!D$3:D$821)+Terms!D$2</f>
        <v>-1.35953612525291</v>
      </c>
      <c r="V531" s="0" t="n">
        <f aca="false">SUMPRODUCT(ISNUMBER(SEARCH(" "&amp;Terms!$A$3:$A$821&amp;" ",$D531))*Terms!E$3:E$821)+Terms!E$2</f>
        <v>-2.22789948849422</v>
      </c>
      <c r="W531" s="0" t="n">
        <f aca="false">SUMPRODUCT(ISNUMBER(SEARCH(" "&amp;Terms!$A$3:$A$821&amp;" ",$D531))*Terms!F$3:F$821)+Terms!F$2</f>
        <v>-1.76430919977251</v>
      </c>
      <c r="X531" s="0" t="n">
        <f aca="false">SUMPRODUCT(ISNUMBER(SEARCH(" "&amp;Terms!$A$3:$A$821&amp;" ",$D531))*Terms!G$3:G$821)+Terms!G$2</f>
        <v>-0.276149571361334</v>
      </c>
      <c r="Y531" s="0" t="str">
        <f aca="false">INDEX($S$1:$X$1,MATCH(MAX(S531:X531),S531:X531,0))</f>
        <v>Account Access</v>
      </c>
      <c r="Z531" s="0" t="s">
        <v>2608</v>
      </c>
    </row>
    <row r="532" customFormat="false" ht="15" hidden="false" customHeight="false" outlineLevel="0" collapsed="false">
      <c r="A532" s="0" t="str">
        <f aca="false">Complaints!A532</f>
        <v>C0531</v>
      </c>
      <c r="B532" s="0" t="str">
        <f aca="false">Complaints!B532</f>
        <v>I have been a customer for years. My card reader stopped working and I cannot approve payments. It has also been taking far too long. I expect compensation.</v>
      </c>
      <c r="C532" s="0" t="str">
        <f aca="false">Complaints!C532</f>
        <v>Account Access</v>
      </c>
      <c r="D532" s="0" t="str">
        <f aca="false">" "&amp;TRIM(SUBSTITUTE(SUBSTITUTE(SUBSTITUTE(SUBSTITUTE(SUBSTITUTE(SUBSTITUTE(SUBSTITUTE(SUBSTITUTE(SUBSTITUTE(SUBSTITUTE(SUBSTITUTE(SUBSTITUTE(SUBSTITUTE(SUBSTITUTE(SUBSTITUTE(SUBSTITUTE(LOWER(B532),"."," "),","," "),"'"," "),"’"," "),"!"," "),"?"," "),";"," "),":"," "),"-"," "),"("," "),")"," "),"""", " "),"£"," "),"&amp;"," "),"/"," "),"%"," "))&amp;" "</f>
        <v> i have been a customer for years my card reader stopped working and i cannot approve payments it has also been taking far too long i expect compensation </v>
      </c>
      <c r="E532" s="0" t="n">
        <f aca="false">SUMPRODUCT((Rules!$A$2:$A$60=E$1)*Rules!$C$2:$C$60*ISNUMBER(SEARCH(Rules!$D$2:$D$60,$D532)))</f>
        <v>0</v>
      </c>
      <c r="F532" s="0" t="n">
        <f aca="false">SUMPRODUCT((Rules!$A$2:$A$60=F$1)*Rules!$C$2:$C$60*ISNUMBER(SEARCH(Rules!$D$2:$D$60,$D532)))</f>
        <v>0</v>
      </c>
      <c r="G532" s="0" t="n">
        <f aca="false">SUMPRODUCT((Rules!$A$2:$A$60=G$1)*Rules!$C$2:$C$60*ISNUMBER(SEARCH(Rules!$D$2:$D$60,$D532)))</f>
        <v>0</v>
      </c>
      <c r="H532" s="0" t="n">
        <f aca="false">SUMPRODUCT((Rules!$A$2:$A$60=H$1)*Rules!$C$2:$C$60*ISNUMBER(SEARCH(Rules!$D$2:$D$60,$D532)))</f>
        <v>0</v>
      </c>
      <c r="I532" s="0" t="n">
        <f aca="false">SUMPRODUCT((Rules!$A$2:$A$60=I$1)*Rules!$C$2:$C$60*ISNUMBER(SEARCH(Rules!$D$2:$D$60,$D532)))</f>
        <v>0</v>
      </c>
      <c r="J532" s="0" t="n">
        <f aca="false">SUMPRODUCT((Rules!$A$2:$A$60=J$1)*Rules!$C$2:$C$60*ISNUMBER(SEARCH(Rules!$D$2:$D$60,$D532)))</f>
        <v>0</v>
      </c>
      <c r="K532" s="0" t="str">
        <f aca="false">IF(OR(MAX(E532:J532)&lt;Rules!$H$1,MAX(E532:J532)-LARGE(E532:J532,2)&lt;Rules!$H$2),"No label",INDEX($E$1:$J$1,MATCH(MAX(E532:J532),E532:J532,0)))</f>
        <v>No label</v>
      </c>
      <c r="L532" s="0" t="n">
        <f aca="false">SUMPRODUCT((Rules!$A$2:$A$60=L$1)*Rules!$C$2:$C$60*ISNUMBER(SEARCH(Rules!$E$2:$E$60,$D532)))</f>
        <v>0</v>
      </c>
      <c r="M532" s="0" t="n">
        <f aca="false">SUMPRODUCT((Rules!$A$2:$A$60=M$1)*Rules!$C$2:$C$60*ISNUMBER(SEARCH(Rules!$E$2:$E$60,$D532)))</f>
        <v>0</v>
      </c>
      <c r="N532" s="0" t="n">
        <f aca="false">SUMPRODUCT((Rules!$A$2:$A$60=N$1)*Rules!$C$2:$C$60*ISNUMBER(SEARCH(Rules!$E$2:$E$60,$D532)))</f>
        <v>0</v>
      </c>
      <c r="O532" s="0" t="n">
        <f aca="false">SUMPRODUCT((Rules!$A$2:$A$60=O$1)*Rules!$C$2:$C$60*ISNUMBER(SEARCH(Rules!$E$2:$E$60,$D532)))</f>
        <v>0</v>
      </c>
      <c r="P532" s="0" t="n">
        <f aca="false">SUMPRODUCT((Rules!$A$2:$A$60=P$1)*Rules!$C$2:$C$60*ISNUMBER(SEARCH(Rules!$E$2:$E$60,$D532)))</f>
        <v>0</v>
      </c>
      <c r="Q532" s="0" t="n">
        <f aca="false">SUMPRODUCT((Rules!$A$2:$A$60=Q$1)*Rules!$C$2:$C$60*ISNUMBER(SEARCH(Rules!$E$2:$E$60,$D532)))</f>
        <v>0</v>
      </c>
      <c r="R532" s="0" t="str">
        <f aca="false">IF(OR(MAX(L532:Q532)&lt;Rules!$H$1,MAX(L532:Q532)-LARGE(L532:Q532,2)&lt;Rules!$H$2),"No label",INDEX($L$1:$Q$1,MATCH(MAX(L532:Q532),L532:Q532,0)))</f>
        <v>No label</v>
      </c>
      <c r="S532" s="0" t="n">
        <f aca="false">SUMPRODUCT(ISNUMBER(SEARCH(" "&amp;Terms!$A$3:$A$821&amp;" ",$D532))*Terms!B$3:B$821)+Terms!B$2</f>
        <v>18.2057353923704</v>
      </c>
      <c r="T532" s="0" t="n">
        <f aca="false">SUMPRODUCT(ISNUMBER(SEARCH(" "&amp;Terms!$A$3:$A$821&amp;" ",$D532))*Terms!C$3:C$821)+Terms!C$2</f>
        <v>0.246855410206322</v>
      </c>
      <c r="U532" s="0" t="n">
        <f aca="false">SUMPRODUCT(ISNUMBER(SEARCH(" "&amp;Terms!$A$3:$A$821&amp;" ",$D532))*Terms!D$3:D$821)+Terms!D$2</f>
        <v>-2.53598666442888</v>
      </c>
      <c r="V532" s="0" t="n">
        <f aca="false">SUMPRODUCT(ISNUMBER(SEARCH(" "&amp;Terms!$A$3:$A$821&amp;" ",$D532))*Terms!E$3:E$821)+Terms!E$2</f>
        <v>-5.6673525783173</v>
      </c>
      <c r="W532" s="0" t="n">
        <f aca="false">SUMPRODUCT(ISNUMBER(SEARCH(" "&amp;Terms!$A$3:$A$821&amp;" ",$D532))*Terms!F$3:F$821)+Terms!F$2</f>
        <v>0.42998580013894</v>
      </c>
      <c r="X532" s="0" t="n">
        <f aca="false">SUMPRODUCT(ISNUMBER(SEARCH(" "&amp;Terms!$A$3:$A$821&amp;" ",$D532))*Terms!G$3:G$821)+Terms!G$2</f>
        <v>-10.6792373599694</v>
      </c>
      <c r="Y532" s="0" t="str">
        <f aca="false">INDEX($S$1:$X$1,MATCH(MAX(S532:X532),S532:X532,0))</f>
        <v>Account Access</v>
      </c>
      <c r="Z532" s="0" t="s">
        <v>2608</v>
      </c>
    </row>
    <row r="533" customFormat="false" ht="15" hidden="false" customHeight="false" outlineLevel="0" collapsed="false">
      <c r="A533" s="0" t="str">
        <f aca="false">Complaints!A533</f>
        <v>C0532</v>
      </c>
      <c r="B533" s="0" t="str">
        <f aca="false">Complaints!B533</f>
        <v>Hello, I keep getting an error message when I sign in. Also, the adviser did not explain the risks of the investment. I expect compensation.</v>
      </c>
      <c r="C533" s="0" t="str">
        <f aca="false">Complaints!C533</f>
        <v>Account Access</v>
      </c>
      <c r="D533" s="0" t="str">
        <f aca="false">" "&amp;TRIM(SUBSTITUTE(SUBSTITUTE(SUBSTITUTE(SUBSTITUTE(SUBSTITUTE(SUBSTITUTE(SUBSTITUTE(SUBSTITUTE(SUBSTITUTE(SUBSTITUTE(SUBSTITUTE(SUBSTITUTE(SUBSTITUTE(SUBSTITUTE(SUBSTITUTE(SUBSTITUTE(LOWER(B533),"."," "),","," "),"'"," "),"’"," "),"!"," "),"?"," "),";"," "),":"," "),"-"," "),"("," "),")"," "),"""", " "),"£"," "),"&amp;"," "),"/"," "),"%"," "))&amp;" "</f>
        <v> hello i keep getting an error message when i sign in also the adviser did not explain the risks of the investment i expect compensation </v>
      </c>
      <c r="E533" s="0" t="n">
        <f aca="false">SUMPRODUCT((Rules!$A$2:$A$60=E$1)*Rules!$C$2:$C$60*ISNUMBER(SEARCH(Rules!$D$2:$D$60,$D533)))</f>
        <v>0</v>
      </c>
      <c r="F533" s="0" t="n">
        <f aca="false">SUMPRODUCT((Rules!$A$2:$A$60=F$1)*Rules!$C$2:$C$60*ISNUMBER(SEARCH(Rules!$D$2:$D$60,$D533)))</f>
        <v>4</v>
      </c>
      <c r="G533" s="0" t="n">
        <f aca="false">SUMPRODUCT((Rules!$A$2:$A$60=G$1)*Rules!$C$2:$C$60*ISNUMBER(SEARCH(Rules!$D$2:$D$60,$D533)))</f>
        <v>3</v>
      </c>
      <c r="H533" s="0" t="n">
        <f aca="false">SUMPRODUCT((Rules!$A$2:$A$60=H$1)*Rules!$C$2:$C$60*ISNUMBER(SEARCH(Rules!$D$2:$D$60,$D533)))</f>
        <v>0</v>
      </c>
      <c r="I533" s="0" t="n">
        <f aca="false">SUMPRODUCT((Rules!$A$2:$A$60=I$1)*Rules!$C$2:$C$60*ISNUMBER(SEARCH(Rules!$D$2:$D$60,$D533)))</f>
        <v>0</v>
      </c>
      <c r="J533" s="0" t="n">
        <f aca="false">SUMPRODUCT((Rules!$A$2:$A$60=J$1)*Rules!$C$2:$C$60*ISNUMBER(SEARCH(Rules!$D$2:$D$60,$D533)))</f>
        <v>0</v>
      </c>
      <c r="K533" s="0" t="str">
        <f aca="false">IF(OR(MAX(E533:J533)&lt;Rules!$H$1,MAX(E533:J533)-LARGE(E533:J533,2)&lt;Rules!$H$2),"No label",INDEX($E$1:$J$1,MATCH(MAX(E533:J533),E533:J533,0)))</f>
        <v>No label</v>
      </c>
      <c r="L533" s="0" t="n">
        <f aca="false">SUMPRODUCT((Rules!$A$2:$A$60=L$1)*Rules!$C$2:$C$60*ISNUMBER(SEARCH(Rules!$E$2:$E$60,$D533)))</f>
        <v>0</v>
      </c>
      <c r="M533" s="0" t="n">
        <f aca="false">SUMPRODUCT((Rules!$A$2:$A$60=M$1)*Rules!$C$2:$C$60*ISNUMBER(SEARCH(Rules!$E$2:$E$60,$D533)))</f>
        <v>6</v>
      </c>
      <c r="N533" s="0" t="n">
        <f aca="false">SUMPRODUCT((Rules!$A$2:$A$60=N$1)*Rules!$C$2:$C$60*ISNUMBER(SEARCH(Rules!$E$2:$E$60,$D533)))</f>
        <v>3</v>
      </c>
      <c r="O533" s="0" t="n">
        <f aca="false">SUMPRODUCT((Rules!$A$2:$A$60=O$1)*Rules!$C$2:$C$60*ISNUMBER(SEARCH(Rules!$E$2:$E$60,$D533)))</f>
        <v>0</v>
      </c>
      <c r="P533" s="0" t="n">
        <f aca="false">SUMPRODUCT((Rules!$A$2:$A$60=P$1)*Rules!$C$2:$C$60*ISNUMBER(SEARCH(Rules!$E$2:$E$60,$D533)))</f>
        <v>0</v>
      </c>
      <c r="Q533" s="0" t="n">
        <f aca="false">SUMPRODUCT((Rules!$A$2:$A$60=Q$1)*Rules!$C$2:$C$60*ISNUMBER(SEARCH(Rules!$E$2:$E$60,$D533)))</f>
        <v>1</v>
      </c>
      <c r="R533" s="0" t="str">
        <f aca="false">IF(OR(MAX(L533:Q533)&lt;Rules!$H$1,MAX(L533:Q533)-LARGE(L533:Q533,2)&lt;Rules!$H$2),"No label",INDEX($L$1:$Q$1,MATCH(MAX(L533:Q533),L533:Q533,0)))</f>
        <v>Mis-selling</v>
      </c>
      <c r="S533" s="0" t="n">
        <f aca="false">SUMPRODUCT(ISNUMBER(SEARCH(" "&amp;Terms!$A$3:$A$821&amp;" ",$D533))*Terms!B$3:B$821)+Terms!B$2</f>
        <v>9.7688432024857</v>
      </c>
      <c r="T533" s="0" t="n">
        <f aca="false">SUMPRODUCT(ISNUMBER(SEARCH(" "&amp;Terms!$A$3:$A$821&amp;" ",$D533))*Terms!C$3:C$821)+Terms!C$2</f>
        <v>0.0952135436341595</v>
      </c>
      <c r="U533" s="0" t="n">
        <f aca="false">SUMPRODUCT(ISNUMBER(SEARCH(" "&amp;Terms!$A$3:$A$821&amp;" ",$D533))*Terms!D$3:D$821)+Terms!D$2</f>
        <v>-8.55487401156618</v>
      </c>
      <c r="V533" s="0" t="n">
        <f aca="false">SUMPRODUCT(ISNUMBER(SEARCH(" "&amp;Terms!$A$3:$A$821&amp;" ",$D533))*Terms!E$3:E$821)+Terms!E$2</f>
        <v>-5.09191470188402</v>
      </c>
      <c r="W533" s="0" t="n">
        <f aca="false">SUMPRODUCT(ISNUMBER(SEARCH(" "&amp;Terms!$A$3:$A$821&amp;" ",$D533))*Terms!F$3:F$821)+Terms!F$2</f>
        <v>-0.278555195709162</v>
      </c>
      <c r="X533" s="0" t="n">
        <f aca="false">SUMPRODUCT(ISNUMBER(SEARCH(" "&amp;Terms!$A$3:$A$821&amp;" ",$D533))*Terms!G$3:G$821)+Terms!G$2</f>
        <v>4.06128716303959</v>
      </c>
      <c r="Y533" s="0" t="str">
        <f aca="false">INDEX($S$1:$X$1,MATCH(MAX(S533:X533),S533:X533,0))</f>
        <v>Account Access</v>
      </c>
      <c r="Z533" s="0" t="s">
        <v>2608</v>
      </c>
    </row>
    <row r="534" customFormat="false" ht="15" hidden="false" customHeight="false" outlineLevel="0" collapsed="false">
      <c r="A534" s="0" t="str">
        <f aca="false">Complaints!A534</f>
        <v>C0533</v>
      </c>
      <c r="B534" s="0" t="str">
        <f aca="false">Complaints!B534</f>
        <v>Frankly, A person pretending to be from your bank phoned me and I gave them details. I expect compensation.</v>
      </c>
      <c r="C534" s="0" t="str">
        <f aca="false">Complaints!C534</f>
        <v>Fraud &amp; Scams</v>
      </c>
      <c r="D534" s="0" t="str">
        <f aca="false">" "&amp;TRIM(SUBSTITUTE(SUBSTITUTE(SUBSTITUTE(SUBSTITUTE(SUBSTITUTE(SUBSTITUTE(SUBSTITUTE(SUBSTITUTE(SUBSTITUTE(SUBSTITUTE(SUBSTITUTE(SUBSTITUTE(SUBSTITUTE(SUBSTITUTE(SUBSTITUTE(SUBSTITUTE(LOWER(B534),"."," "),","," "),"'"," "),"’"," "),"!"," "),"?"," "),";"," "),":"," "),"-"," "),"("," "),")"," "),"""", " "),"£"," "),"&amp;"," "),"/"," "),"%"," "))&amp;" "</f>
        <v> frankly a person pretending to be from your bank phoned me and i gave them details i expect compensation </v>
      </c>
      <c r="E534" s="0" t="n">
        <f aca="false">SUMPRODUCT((Rules!$A$2:$A$60=E$1)*Rules!$C$2:$C$60*ISNUMBER(SEARCH(Rules!$D$2:$D$60,$D534)))</f>
        <v>0</v>
      </c>
      <c r="F534" s="0" t="n">
        <f aca="false">SUMPRODUCT((Rules!$A$2:$A$60=F$1)*Rules!$C$2:$C$60*ISNUMBER(SEARCH(Rules!$D$2:$D$60,$D534)))</f>
        <v>0</v>
      </c>
      <c r="G534" s="0" t="n">
        <f aca="false">SUMPRODUCT((Rules!$A$2:$A$60=G$1)*Rules!$C$2:$C$60*ISNUMBER(SEARCH(Rules!$D$2:$D$60,$D534)))</f>
        <v>0</v>
      </c>
      <c r="H534" s="0" t="n">
        <f aca="false">SUMPRODUCT((Rules!$A$2:$A$60=H$1)*Rules!$C$2:$C$60*ISNUMBER(SEARCH(Rules!$D$2:$D$60,$D534)))</f>
        <v>0</v>
      </c>
      <c r="I534" s="0" t="n">
        <f aca="false">SUMPRODUCT((Rules!$A$2:$A$60=I$1)*Rules!$C$2:$C$60*ISNUMBER(SEARCH(Rules!$D$2:$D$60,$D534)))</f>
        <v>0</v>
      </c>
      <c r="J534" s="0" t="n">
        <f aca="false">SUMPRODUCT((Rules!$A$2:$A$60=J$1)*Rules!$C$2:$C$60*ISNUMBER(SEARCH(Rules!$D$2:$D$60,$D534)))</f>
        <v>0</v>
      </c>
      <c r="K534" s="0" t="str">
        <f aca="false">IF(OR(MAX(E534:J534)&lt;Rules!$H$1,MAX(E534:J534)-LARGE(E534:J534,2)&lt;Rules!$H$2),"No label",INDEX($E$1:$J$1,MATCH(MAX(E534:J534),E534:J534,0)))</f>
        <v>No label</v>
      </c>
      <c r="L534" s="0" t="n">
        <f aca="false">SUMPRODUCT((Rules!$A$2:$A$60=L$1)*Rules!$C$2:$C$60*ISNUMBER(SEARCH(Rules!$E$2:$E$60,$D534)))</f>
        <v>0</v>
      </c>
      <c r="M534" s="0" t="n">
        <f aca="false">SUMPRODUCT((Rules!$A$2:$A$60=M$1)*Rules!$C$2:$C$60*ISNUMBER(SEARCH(Rules!$E$2:$E$60,$D534)))</f>
        <v>0</v>
      </c>
      <c r="N534" s="0" t="n">
        <f aca="false">SUMPRODUCT((Rules!$A$2:$A$60=N$1)*Rules!$C$2:$C$60*ISNUMBER(SEARCH(Rules!$E$2:$E$60,$D534)))</f>
        <v>0</v>
      </c>
      <c r="O534" s="0" t="n">
        <f aca="false">SUMPRODUCT((Rules!$A$2:$A$60=O$1)*Rules!$C$2:$C$60*ISNUMBER(SEARCH(Rules!$E$2:$E$60,$D534)))</f>
        <v>0</v>
      </c>
      <c r="P534" s="0" t="n">
        <f aca="false">SUMPRODUCT((Rules!$A$2:$A$60=P$1)*Rules!$C$2:$C$60*ISNUMBER(SEARCH(Rules!$E$2:$E$60,$D534)))</f>
        <v>0</v>
      </c>
      <c r="Q534" s="0" t="n">
        <f aca="false">SUMPRODUCT((Rules!$A$2:$A$60=Q$1)*Rules!$C$2:$C$60*ISNUMBER(SEARCH(Rules!$E$2:$E$60,$D534)))</f>
        <v>0</v>
      </c>
      <c r="R534" s="0" t="str">
        <f aca="false">IF(OR(MAX(L534:Q534)&lt;Rules!$H$1,MAX(L534:Q534)-LARGE(L534:Q534,2)&lt;Rules!$H$2),"No label",INDEX($L$1:$Q$1,MATCH(MAX(L534:Q534),L534:Q534,0)))</f>
        <v>No label</v>
      </c>
      <c r="S534" s="0" t="n">
        <f aca="false">SUMPRODUCT(ISNUMBER(SEARCH(" "&amp;Terms!$A$3:$A$821&amp;" ",$D534))*Terms!B$3:B$821)+Terms!B$2</f>
        <v>1.49948953629191</v>
      </c>
      <c r="T534" s="0" t="n">
        <f aca="false">SUMPRODUCT(ISNUMBER(SEARCH(" "&amp;Terms!$A$3:$A$821&amp;" ",$D534))*Terms!C$3:C$821)+Terms!C$2</f>
        <v>-3.47559203977763</v>
      </c>
      <c r="U534" s="0" t="n">
        <f aca="false">SUMPRODUCT(ISNUMBER(SEARCH(" "&amp;Terms!$A$3:$A$821&amp;" ",$D534))*Terms!D$3:D$821)+Terms!D$2</f>
        <v>-6.05010685161111</v>
      </c>
      <c r="V534" s="0" t="n">
        <f aca="false">SUMPRODUCT(ISNUMBER(SEARCH(" "&amp;Terms!$A$3:$A$821&amp;" ",$D534))*Terms!E$3:E$821)+Terms!E$2</f>
        <v>-2.50910244723655</v>
      </c>
      <c r="W534" s="0" t="n">
        <f aca="false">SUMPRODUCT(ISNUMBER(SEARCH(" "&amp;Terms!$A$3:$A$821&amp;" ",$D534))*Terms!F$3:F$821)+Terms!F$2</f>
        <v>11.9158605490638</v>
      </c>
      <c r="X534" s="0" t="n">
        <f aca="false">SUMPRODUCT(ISNUMBER(SEARCH(" "&amp;Terms!$A$3:$A$821&amp;" ",$D534))*Terms!G$3:G$821)+Terms!G$2</f>
        <v>-1.3805487467303</v>
      </c>
      <c r="Y534" s="0" t="str">
        <f aca="false">INDEX($S$1:$X$1,MATCH(MAX(S534:X534),S534:X534,0))</f>
        <v>Fraud &amp; Scams</v>
      </c>
      <c r="Z534" s="0" t="s">
        <v>2607</v>
      </c>
    </row>
    <row r="535" customFormat="false" ht="15" hidden="false" customHeight="false" outlineLevel="0" collapsed="false">
      <c r="A535" s="0" t="str">
        <f aca="false">Complaints!A535</f>
        <v>C0534</v>
      </c>
      <c r="B535" s="0" t="str">
        <f aca="false">Complaints!B535</f>
        <v>Frankly, Your advisor gave me different answers on two separate calls. Please escalate this.</v>
      </c>
      <c r="C535" s="0" t="str">
        <f aca="false">Complaints!C535</f>
        <v>Customer Service</v>
      </c>
      <c r="D535" s="0" t="str">
        <f aca="false">" "&amp;TRIM(SUBSTITUTE(SUBSTITUTE(SUBSTITUTE(SUBSTITUTE(SUBSTITUTE(SUBSTITUTE(SUBSTITUTE(SUBSTITUTE(SUBSTITUTE(SUBSTITUTE(SUBSTITUTE(SUBSTITUTE(SUBSTITUTE(SUBSTITUTE(SUBSTITUTE(SUBSTITUTE(LOWER(B535),"."," "),","," "),"'"," "),"’"," "),"!"," "),"?"," "),";"," "),":"," "),"-"," "),"("," "),")"," "),"""", " "),"£"," "),"&amp;"," "),"/"," "),"%"," "))&amp;" "</f>
        <v> frankly your advisor gave me different answers on two separate calls please escalate this </v>
      </c>
      <c r="E535" s="0" t="n">
        <f aca="false">SUMPRODUCT((Rules!$A$2:$A$60=E$1)*Rules!$C$2:$C$60*ISNUMBER(SEARCH(Rules!$D$2:$D$60,$D535)))</f>
        <v>0</v>
      </c>
      <c r="F535" s="0" t="n">
        <f aca="false">SUMPRODUCT((Rules!$A$2:$A$60=F$1)*Rules!$C$2:$C$60*ISNUMBER(SEARCH(Rules!$D$2:$D$60,$D535)))</f>
        <v>0</v>
      </c>
      <c r="G535" s="0" t="n">
        <f aca="false">SUMPRODUCT((Rules!$A$2:$A$60=G$1)*Rules!$C$2:$C$60*ISNUMBER(SEARCH(Rules!$D$2:$D$60,$D535)))</f>
        <v>0</v>
      </c>
      <c r="H535" s="0" t="n">
        <f aca="false">SUMPRODUCT((Rules!$A$2:$A$60=H$1)*Rules!$C$2:$C$60*ISNUMBER(SEARCH(Rules!$D$2:$D$60,$D535)))</f>
        <v>0</v>
      </c>
      <c r="I535" s="0" t="n">
        <f aca="false">SUMPRODUCT((Rules!$A$2:$A$60=I$1)*Rules!$C$2:$C$60*ISNUMBER(SEARCH(Rules!$D$2:$D$60,$D535)))</f>
        <v>0</v>
      </c>
      <c r="J535" s="0" t="n">
        <f aca="false">SUMPRODUCT((Rules!$A$2:$A$60=J$1)*Rules!$C$2:$C$60*ISNUMBER(SEARCH(Rules!$D$2:$D$60,$D535)))</f>
        <v>1</v>
      </c>
      <c r="K535" s="0" t="str">
        <f aca="false">IF(OR(MAX(E535:J535)&lt;Rules!$H$1,MAX(E535:J535)-LARGE(E535:J535,2)&lt;Rules!$H$2),"No label",INDEX($E$1:$J$1,MATCH(MAX(E535:J535),E535:J535,0)))</f>
        <v>No label</v>
      </c>
      <c r="L535" s="0" t="n">
        <f aca="false">SUMPRODUCT((Rules!$A$2:$A$60=L$1)*Rules!$C$2:$C$60*ISNUMBER(SEARCH(Rules!$E$2:$E$60,$D535)))</f>
        <v>0</v>
      </c>
      <c r="M535" s="0" t="n">
        <f aca="false">SUMPRODUCT((Rules!$A$2:$A$60=M$1)*Rules!$C$2:$C$60*ISNUMBER(SEARCH(Rules!$E$2:$E$60,$D535)))</f>
        <v>4</v>
      </c>
      <c r="N535" s="0" t="n">
        <f aca="false">SUMPRODUCT((Rules!$A$2:$A$60=N$1)*Rules!$C$2:$C$60*ISNUMBER(SEARCH(Rules!$E$2:$E$60,$D535)))</f>
        <v>0</v>
      </c>
      <c r="O535" s="0" t="n">
        <f aca="false">SUMPRODUCT((Rules!$A$2:$A$60=O$1)*Rules!$C$2:$C$60*ISNUMBER(SEARCH(Rules!$E$2:$E$60,$D535)))</f>
        <v>0</v>
      </c>
      <c r="P535" s="0" t="n">
        <f aca="false">SUMPRODUCT((Rules!$A$2:$A$60=P$1)*Rules!$C$2:$C$60*ISNUMBER(SEARCH(Rules!$E$2:$E$60,$D535)))</f>
        <v>0</v>
      </c>
      <c r="Q535" s="0" t="n">
        <f aca="false">SUMPRODUCT((Rules!$A$2:$A$60=Q$1)*Rules!$C$2:$C$60*ISNUMBER(SEARCH(Rules!$E$2:$E$60,$D535)))</f>
        <v>1</v>
      </c>
      <c r="R535" s="0" t="str">
        <f aca="false">IF(OR(MAX(L535:Q535)&lt;Rules!$H$1,MAX(L535:Q535)-LARGE(L535:Q535,2)&lt;Rules!$H$2),"No label",INDEX($L$1:$Q$1,MATCH(MAX(L535:Q535),L535:Q535,0)))</f>
        <v>Mis-selling</v>
      </c>
      <c r="S535" s="0" t="n">
        <f aca="false">SUMPRODUCT(ISNUMBER(SEARCH(" "&amp;Terms!$A$3:$A$821&amp;" ",$D535))*Terms!B$3:B$821)+Terms!B$2</f>
        <v>-0.356819405905623</v>
      </c>
      <c r="T535" s="0" t="n">
        <f aca="false">SUMPRODUCT(ISNUMBER(SEARCH(" "&amp;Terms!$A$3:$A$821&amp;" ",$D535))*Terms!C$3:C$821)+Terms!C$2</f>
        <v>12.2485613804314</v>
      </c>
      <c r="U535" s="0" t="n">
        <f aca="false">SUMPRODUCT(ISNUMBER(SEARCH(" "&amp;Terms!$A$3:$A$821&amp;" ",$D535))*Terms!D$3:D$821)+Terms!D$2</f>
        <v>-3.54484470038578</v>
      </c>
      <c r="V535" s="0" t="n">
        <f aca="false">SUMPRODUCT(ISNUMBER(SEARCH(" "&amp;Terms!$A$3:$A$821&amp;" ",$D535))*Terms!E$3:E$821)+Terms!E$2</f>
        <v>-4.20446403965554</v>
      </c>
      <c r="W535" s="0" t="n">
        <f aca="false">SUMPRODUCT(ISNUMBER(SEARCH(" "&amp;Terms!$A$3:$A$821&amp;" ",$D535))*Terms!F$3:F$821)+Terms!F$2</f>
        <v>-2.1374196340409</v>
      </c>
      <c r="X535" s="0" t="n">
        <f aca="false">SUMPRODUCT(ISNUMBER(SEARCH(" "&amp;Terms!$A$3:$A$821&amp;" ",$D535))*Terms!G$3:G$821)+Terms!G$2</f>
        <v>-2.0050136004435</v>
      </c>
      <c r="Y535" s="0" t="str">
        <f aca="false">INDEX($S$1:$X$1,MATCH(MAX(S535:X535),S535:X535,0))</f>
        <v>Customer Service</v>
      </c>
      <c r="Z535" s="0" t="s">
        <v>2607</v>
      </c>
    </row>
    <row r="536" customFormat="false" ht="15" hidden="false" customHeight="false" outlineLevel="0" collapsed="false">
      <c r="A536" s="0" t="str">
        <f aca="false">Complaints!A536</f>
        <v>C0535</v>
      </c>
      <c r="B536" s="0" t="str">
        <f aca="false">Complaints!B536</f>
        <v>I was charged a monthly fee that nobody told me about. I expect compensation.</v>
      </c>
      <c r="C536" s="0" t="str">
        <f aca="false">Complaints!C536</f>
        <v>Fees &amp; Charges</v>
      </c>
      <c r="D536" s="0" t="str">
        <f aca="false">" "&amp;TRIM(SUBSTITUTE(SUBSTITUTE(SUBSTITUTE(SUBSTITUTE(SUBSTITUTE(SUBSTITUTE(SUBSTITUTE(SUBSTITUTE(SUBSTITUTE(SUBSTITUTE(SUBSTITUTE(SUBSTITUTE(SUBSTITUTE(SUBSTITUTE(SUBSTITUTE(SUBSTITUTE(LOWER(B536),"."," "),","," "),"'"," "),"’"," "),"!"," "),"?"," "),";"," "),":"," "),"-"," "),"("," "),")"," "),"""", " "),"£"," "),"&amp;"," "),"/"," "),"%"," "))&amp;" "</f>
        <v> i was charged a monthly fee that nobody told me about i expect compensation </v>
      </c>
      <c r="E536" s="0" t="n">
        <f aca="false">SUMPRODUCT((Rules!$A$2:$A$60=E$1)*Rules!$C$2:$C$60*ISNUMBER(SEARCH(Rules!$D$2:$D$60,$D536)))</f>
        <v>0</v>
      </c>
      <c r="F536" s="0" t="n">
        <f aca="false">SUMPRODUCT((Rules!$A$2:$A$60=F$1)*Rules!$C$2:$C$60*ISNUMBER(SEARCH(Rules!$D$2:$D$60,$D536)))</f>
        <v>0</v>
      </c>
      <c r="G536" s="0" t="n">
        <f aca="false">SUMPRODUCT((Rules!$A$2:$A$60=G$1)*Rules!$C$2:$C$60*ISNUMBER(SEARCH(Rules!$D$2:$D$60,$D536)))</f>
        <v>0</v>
      </c>
      <c r="H536" s="0" t="n">
        <f aca="false">SUMPRODUCT((Rules!$A$2:$A$60=H$1)*Rules!$C$2:$C$60*ISNUMBER(SEARCH(Rules!$D$2:$D$60,$D536)))</f>
        <v>4</v>
      </c>
      <c r="I536" s="0" t="n">
        <f aca="false">SUMPRODUCT((Rules!$A$2:$A$60=I$1)*Rules!$C$2:$C$60*ISNUMBER(SEARCH(Rules!$D$2:$D$60,$D536)))</f>
        <v>0</v>
      </c>
      <c r="J536" s="0" t="n">
        <f aca="false">SUMPRODUCT((Rules!$A$2:$A$60=J$1)*Rules!$C$2:$C$60*ISNUMBER(SEARCH(Rules!$D$2:$D$60,$D536)))</f>
        <v>0</v>
      </c>
      <c r="K536" s="0" t="str">
        <f aca="false">IF(OR(MAX(E536:J536)&lt;Rules!$H$1,MAX(E536:J536)-LARGE(E536:J536,2)&lt;Rules!$H$2),"No label",INDEX($E$1:$J$1,MATCH(MAX(E536:J536),E536:J536,0)))</f>
        <v>Fees &amp; Charges</v>
      </c>
      <c r="L536" s="0" t="n">
        <f aca="false">SUMPRODUCT((Rules!$A$2:$A$60=L$1)*Rules!$C$2:$C$60*ISNUMBER(SEARCH(Rules!$E$2:$E$60,$D536)))</f>
        <v>0</v>
      </c>
      <c r="M536" s="0" t="n">
        <f aca="false">SUMPRODUCT((Rules!$A$2:$A$60=M$1)*Rules!$C$2:$C$60*ISNUMBER(SEARCH(Rules!$E$2:$E$60,$D536)))</f>
        <v>0</v>
      </c>
      <c r="N536" s="0" t="n">
        <f aca="false">SUMPRODUCT((Rules!$A$2:$A$60=N$1)*Rules!$C$2:$C$60*ISNUMBER(SEARCH(Rules!$E$2:$E$60,$D536)))</f>
        <v>0</v>
      </c>
      <c r="O536" s="0" t="n">
        <f aca="false">SUMPRODUCT((Rules!$A$2:$A$60=O$1)*Rules!$C$2:$C$60*ISNUMBER(SEARCH(Rules!$E$2:$E$60,$D536)))</f>
        <v>6</v>
      </c>
      <c r="P536" s="0" t="n">
        <f aca="false">SUMPRODUCT((Rules!$A$2:$A$60=P$1)*Rules!$C$2:$C$60*ISNUMBER(SEARCH(Rules!$E$2:$E$60,$D536)))</f>
        <v>0</v>
      </c>
      <c r="Q536" s="0" t="n">
        <f aca="false">SUMPRODUCT((Rules!$A$2:$A$60=Q$1)*Rules!$C$2:$C$60*ISNUMBER(SEARCH(Rules!$E$2:$E$60,$D536)))</f>
        <v>0</v>
      </c>
      <c r="R536" s="0" t="str">
        <f aca="false">IF(OR(MAX(L536:Q536)&lt;Rules!$H$1,MAX(L536:Q536)-LARGE(L536:Q536,2)&lt;Rules!$H$2),"No label",INDEX($L$1:$Q$1,MATCH(MAX(L536:Q536),L536:Q536,0)))</f>
        <v>Fees &amp; Charges</v>
      </c>
      <c r="S536" s="0" t="n">
        <f aca="false">SUMPRODUCT(ISNUMBER(SEARCH(" "&amp;Terms!$A$3:$A$821&amp;" ",$D536))*Terms!B$3:B$821)+Terms!B$2</f>
        <v>0.49991721184044</v>
      </c>
      <c r="T536" s="0" t="n">
        <f aca="false">SUMPRODUCT(ISNUMBER(SEARCH(" "&amp;Terms!$A$3:$A$821&amp;" ",$D536))*Terms!C$3:C$821)+Terms!C$2</f>
        <v>-5.21733156284106</v>
      </c>
      <c r="U536" s="0" t="n">
        <f aca="false">SUMPRODUCT(ISNUMBER(SEARCH(" "&amp;Terms!$A$3:$A$821&amp;" ",$D536))*Terms!D$3:D$821)+Terms!D$2</f>
        <v>-2.97870153981101</v>
      </c>
      <c r="V536" s="0" t="n">
        <f aca="false">SUMPRODUCT(ISNUMBER(SEARCH(" "&amp;Terms!$A$3:$A$821&amp;" ",$D536))*Terms!E$3:E$821)+Terms!E$2</f>
        <v>10.3871239638389</v>
      </c>
      <c r="W536" s="0" t="n">
        <f aca="false">SUMPRODUCT(ISNUMBER(SEARCH(" "&amp;Terms!$A$3:$A$821&amp;" ",$D536))*Terms!F$3:F$821)+Terms!F$2</f>
        <v>-0.971386063660379</v>
      </c>
      <c r="X536" s="0" t="n">
        <f aca="false">SUMPRODUCT(ISNUMBER(SEARCH(" "&amp;Terms!$A$3:$A$821&amp;" ",$D536))*Terms!G$3:G$821)+Terms!G$2</f>
        <v>-1.71962200936675</v>
      </c>
      <c r="Y536" s="0" t="str">
        <f aca="false">INDEX($S$1:$X$1,MATCH(MAX(S536:X536),S536:X536,0))</f>
        <v>Fees &amp; Charges</v>
      </c>
      <c r="Z536" s="0" t="s">
        <v>2608</v>
      </c>
    </row>
    <row r="537" customFormat="false" ht="15" hidden="false" customHeight="false" outlineLevel="0" collapsed="false">
      <c r="A537" s="0" t="str">
        <f aca="false">Complaints!A537</f>
        <v>C0536</v>
      </c>
      <c r="B537" s="0" t="str">
        <f aca="false">Complaints!B537</f>
        <v>I reported the unauthorised payment but you refused to reimburse me. I want this put right.</v>
      </c>
      <c r="C537" s="0" t="str">
        <f aca="false">Complaints!C537</f>
        <v>Fraud &amp; Scams</v>
      </c>
      <c r="D537" s="0" t="str">
        <f aca="false">" "&amp;TRIM(SUBSTITUTE(SUBSTITUTE(SUBSTITUTE(SUBSTITUTE(SUBSTITUTE(SUBSTITUTE(SUBSTITUTE(SUBSTITUTE(SUBSTITUTE(SUBSTITUTE(SUBSTITUTE(SUBSTITUTE(SUBSTITUTE(SUBSTITUTE(SUBSTITUTE(SUBSTITUTE(LOWER(B537),"."," "),","," "),"'"," "),"’"," "),"!"," "),"?"," "),";"," "),":"," "),"-"," "),"("," "),")"," "),"""", " "),"£"," "),"&amp;"," "),"/"," "),"%"," "))&amp;" "</f>
        <v> i reported the unauthorised payment but you refused to reimburse me i want this put right </v>
      </c>
      <c r="E537" s="0" t="n">
        <f aca="false">SUMPRODUCT((Rules!$A$2:$A$60=E$1)*Rules!$C$2:$C$60*ISNUMBER(SEARCH(Rules!$D$2:$D$60,$D537)))</f>
        <v>3</v>
      </c>
      <c r="F537" s="0" t="n">
        <f aca="false">SUMPRODUCT((Rules!$A$2:$A$60=F$1)*Rules!$C$2:$C$60*ISNUMBER(SEARCH(Rules!$D$2:$D$60,$D537)))</f>
        <v>0</v>
      </c>
      <c r="G537" s="0" t="n">
        <f aca="false">SUMPRODUCT((Rules!$A$2:$A$60=G$1)*Rules!$C$2:$C$60*ISNUMBER(SEARCH(Rules!$D$2:$D$60,$D537)))</f>
        <v>0</v>
      </c>
      <c r="H537" s="0" t="n">
        <f aca="false">SUMPRODUCT((Rules!$A$2:$A$60=H$1)*Rules!$C$2:$C$60*ISNUMBER(SEARCH(Rules!$D$2:$D$60,$D537)))</f>
        <v>0</v>
      </c>
      <c r="I537" s="0" t="n">
        <f aca="false">SUMPRODUCT((Rules!$A$2:$A$60=I$1)*Rules!$C$2:$C$60*ISNUMBER(SEARCH(Rules!$D$2:$D$60,$D537)))</f>
        <v>0</v>
      </c>
      <c r="J537" s="0" t="n">
        <f aca="false">SUMPRODUCT((Rules!$A$2:$A$60=J$1)*Rules!$C$2:$C$60*ISNUMBER(SEARCH(Rules!$D$2:$D$60,$D537)))</f>
        <v>0</v>
      </c>
      <c r="K537" s="0" t="str">
        <f aca="false">IF(OR(MAX(E537:J537)&lt;Rules!$H$1,MAX(E537:J537)-LARGE(E537:J537,2)&lt;Rules!$H$2),"No label",INDEX($E$1:$J$1,MATCH(MAX(E537:J537),E537:J537,0)))</f>
        <v>Fraud &amp; Scams</v>
      </c>
      <c r="L537" s="0" t="n">
        <f aca="false">SUMPRODUCT((Rules!$A$2:$A$60=L$1)*Rules!$C$2:$C$60*ISNUMBER(SEARCH(Rules!$E$2:$E$60,$D537)))</f>
        <v>3</v>
      </c>
      <c r="M537" s="0" t="n">
        <f aca="false">SUMPRODUCT((Rules!$A$2:$A$60=M$1)*Rules!$C$2:$C$60*ISNUMBER(SEARCH(Rules!$E$2:$E$60,$D537)))</f>
        <v>0</v>
      </c>
      <c r="N537" s="0" t="n">
        <f aca="false">SUMPRODUCT((Rules!$A$2:$A$60=N$1)*Rules!$C$2:$C$60*ISNUMBER(SEARCH(Rules!$E$2:$E$60,$D537)))</f>
        <v>0</v>
      </c>
      <c r="O537" s="0" t="n">
        <f aca="false">SUMPRODUCT((Rules!$A$2:$A$60=O$1)*Rules!$C$2:$C$60*ISNUMBER(SEARCH(Rules!$E$2:$E$60,$D537)))</f>
        <v>0</v>
      </c>
      <c r="P537" s="0" t="n">
        <f aca="false">SUMPRODUCT((Rules!$A$2:$A$60=P$1)*Rules!$C$2:$C$60*ISNUMBER(SEARCH(Rules!$E$2:$E$60,$D537)))</f>
        <v>0</v>
      </c>
      <c r="Q537" s="0" t="n">
        <f aca="false">SUMPRODUCT((Rules!$A$2:$A$60=Q$1)*Rules!$C$2:$C$60*ISNUMBER(SEARCH(Rules!$E$2:$E$60,$D537)))</f>
        <v>0</v>
      </c>
      <c r="R537" s="0" t="str">
        <f aca="false">IF(OR(MAX(L537:Q537)&lt;Rules!$H$1,MAX(L537:Q537)-LARGE(L537:Q537,2)&lt;Rules!$H$2),"No label",INDEX($L$1:$Q$1,MATCH(MAX(L537:Q537),L537:Q537,0)))</f>
        <v>Fraud &amp; Scams</v>
      </c>
      <c r="S537" s="0" t="n">
        <f aca="false">SUMPRODUCT(ISNUMBER(SEARCH(" "&amp;Terms!$A$3:$A$821&amp;" ",$D537))*Terms!B$3:B$821)+Terms!B$2</f>
        <v>-1.23204852388913</v>
      </c>
      <c r="T537" s="0" t="n">
        <f aca="false">SUMPRODUCT(ISNUMBER(SEARCH(" "&amp;Terms!$A$3:$A$821&amp;" ",$D537))*Terms!C$3:C$821)+Terms!C$2</f>
        <v>-5.76767581802574</v>
      </c>
      <c r="U537" s="0" t="n">
        <f aca="false">SUMPRODUCT(ISNUMBER(SEARCH(" "&amp;Terms!$A$3:$A$821&amp;" ",$D537))*Terms!D$3:D$821)+Terms!D$2</f>
        <v>-1.32850210569502</v>
      </c>
      <c r="V537" s="0" t="n">
        <f aca="false">SUMPRODUCT(ISNUMBER(SEARCH(" "&amp;Terms!$A$3:$A$821&amp;" ",$D537))*Terms!E$3:E$821)+Terms!E$2</f>
        <v>-0.550483416918092</v>
      </c>
      <c r="W537" s="0" t="n">
        <f aca="false">SUMPRODUCT(ISNUMBER(SEARCH(" "&amp;Terms!$A$3:$A$821&amp;" ",$D537))*Terms!F$3:F$821)+Terms!F$2</f>
        <v>11.2940342664914</v>
      </c>
      <c r="X537" s="0" t="n">
        <f aca="false">SUMPRODUCT(ISNUMBER(SEARCH(" "&amp;Terms!$A$3:$A$821&amp;" ",$D537))*Terms!G$3:G$821)+Terms!G$2</f>
        <v>-2.41532440196333</v>
      </c>
      <c r="Y537" s="0" t="str">
        <f aca="false">INDEX($S$1:$X$1,MATCH(MAX(S537:X537),S537:X537,0))</f>
        <v>Fraud &amp; Scams</v>
      </c>
      <c r="Z537" s="0" t="s">
        <v>2608</v>
      </c>
    </row>
    <row r="538" customFormat="false" ht="15" hidden="false" customHeight="false" outlineLevel="0" collapsed="false">
      <c r="A538" s="0" t="str">
        <f aca="false">Complaints!A538</f>
        <v>C0537</v>
      </c>
      <c r="B538" s="0" t="str">
        <f aca="false">Complaints!B538</f>
        <v>This is the second time I have raised this. My identity was stolen and a loan was taken out in my name. This is not acceptable.</v>
      </c>
      <c r="C538" s="0" t="str">
        <f aca="false">Complaints!C538</f>
        <v>Fraud &amp; Scams</v>
      </c>
      <c r="D538" s="0" t="str">
        <f aca="false">" "&amp;TRIM(SUBSTITUTE(SUBSTITUTE(SUBSTITUTE(SUBSTITUTE(SUBSTITUTE(SUBSTITUTE(SUBSTITUTE(SUBSTITUTE(SUBSTITUTE(SUBSTITUTE(SUBSTITUTE(SUBSTITUTE(SUBSTITUTE(SUBSTITUTE(SUBSTITUTE(SUBSTITUTE(LOWER(B538),"."," "),","," "),"'"," "),"’"," "),"!"," "),"?"," "),";"," "),":"," "),"-"," "),"("," "),")"," "),"""", " "),"£"," "),"&amp;"," "),"/"," "),"%"," "))&amp;" "</f>
        <v> this is the second time i have raised this my identity was stolen and a loan was taken out in my name this is not acceptable </v>
      </c>
      <c r="E538" s="0" t="n">
        <f aca="false">SUMPRODUCT((Rules!$A$2:$A$60=E$1)*Rules!$C$2:$C$60*ISNUMBER(SEARCH(Rules!$D$2:$D$60,$D538)))</f>
        <v>2</v>
      </c>
      <c r="F538" s="0" t="n">
        <f aca="false">SUMPRODUCT((Rules!$A$2:$A$60=F$1)*Rules!$C$2:$C$60*ISNUMBER(SEARCH(Rules!$D$2:$D$60,$D538)))</f>
        <v>0</v>
      </c>
      <c r="G538" s="0" t="n">
        <f aca="false">SUMPRODUCT((Rules!$A$2:$A$60=G$1)*Rules!$C$2:$C$60*ISNUMBER(SEARCH(Rules!$D$2:$D$60,$D538)))</f>
        <v>0</v>
      </c>
      <c r="H538" s="0" t="n">
        <f aca="false">SUMPRODUCT((Rules!$A$2:$A$60=H$1)*Rules!$C$2:$C$60*ISNUMBER(SEARCH(Rules!$D$2:$D$60,$D538)))</f>
        <v>0</v>
      </c>
      <c r="I538" s="0" t="n">
        <f aca="false">SUMPRODUCT((Rules!$A$2:$A$60=I$1)*Rules!$C$2:$C$60*ISNUMBER(SEARCH(Rules!$D$2:$D$60,$D538)))</f>
        <v>0</v>
      </c>
      <c r="J538" s="0" t="n">
        <f aca="false">SUMPRODUCT((Rules!$A$2:$A$60=J$1)*Rules!$C$2:$C$60*ISNUMBER(SEARCH(Rules!$D$2:$D$60,$D538)))</f>
        <v>0</v>
      </c>
      <c r="K538" s="0" t="str">
        <f aca="false">IF(OR(MAX(E538:J538)&lt;Rules!$H$1,MAX(E538:J538)-LARGE(E538:J538,2)&lt;Rules!$H$2),"No label",INDEX($E$1:$J$1,MATCH(MAX(E538:J538),E538:J538,0)))</f>
        <v>No label</v>
      </c>
      <c r="L538" s="0" t="n">
        <f aca="false">SUMPRODUCT((Rules!$A$2:$A$60=L$1)*Rules!$C$2:$C$60*ISNUMBER(SEARCH(Rules!$E$2:$E$60,$D538)))</f>
        <v>2</v>
      </c>
      <c r="M538" s="0" t="n">
        <f aca="false">SUMPRODUCT((Rules!$A$2:$A$60=M$1)*Rules!$C$2:$C$60*ISNUMBER(SEARCH(Rules!$E$2:$E$60,$D538)))</f>
        <v>0</v>
      </c>
      <c r="N538" s="0" t="n">
        <f aca="false">SUMPRODUCT((Rules!$A$2:$A$60=N$1)*Rules!$C$2:$C$60*ISNUMBER(SEARCH(Rules!$E$2:$E$60,$D538)))</f>
        <v>1</v>
      </c>
      <c r="O538" s="0" t="n">
        <f aca="false">SUMPRODUCT((Rules!$A$2:$A$60=O$1)*Rules!$C$2:$C$60*ISNUMBER(SEARCH(Rules!$E$2:$E$60,$D538)))</f>
        <v>0</v>
      </c>
      <c r="P538" s="0" t="n">
        <f aca="false">SUMPRODUCT((Rules!$A$2:$A$60=P$1)*Rules!$C$2:$C$60*ISNUMBER(SEARCH(Rules!$E$2:$E$60,$D538)))</f>
        <v>0</v>
      </c>
      <c r="Q538" s="0" t="n">
        <f aca="false">SUMPRODUCT((Rules!$A$2:$A$60=Q$1)*Rules!$C$2:$C$60*ISNUMBER(SEARCH(Rules!$E$2:$E$60,$D538)))</f>
        <v>0</v>
      </c>
      <c r="R538" s="0" t="str">
        <f aca="false">IF(OR(MAX(L538:Q538)&lt;Rules!$H$1,MAX(L538:Q538)-LARGE(L538:Q538,2)&lt;Rules!$H$2),"No label",INDEX($L$1:$Q$1,MATCH(MAX(L538:Q538),L538:Q538,0)))</f>
        <v>No label</v>
      </c>
      <c r="S538" s="0" t="n">
        <f aca="false">SUMPRODUCT(ISNUMBER(SEARCH(" "&amp;Terms!$A$3:$A$821&amp;" ",$D538))*Terms!B$3:B$821)+Terms!B$2</f>
        <v>-1.92969342811095</v>
      </c>
      <c r="T538" s="0" t="n">
        <f aca="false">SUMPRODUCT(ISNUMBER(SEARCH(" "&amp;Terms!$A$3:$A$821&amp;" ",$D538))*Terms!C$3:C$821)+Terms!C$2</f>
        <v>-0.0476470666699539</v>
      </c>
      <c r="U538" s="0" t="n">
        <f aca="false">SUMPRODUCT(ISNUMBER(SEARCH(" "&amp;Terms!$A$3:$A$821&amp;" ",$D538))*Terms!D$3:D$821)+Terms!D$2</f>
        <v>-2.41014856404109</v>
      </c>
      <c r="V538" s="0" t="n">
        <f aca="false">SUMPRODUCT(ISNUMBER(SEARCH(" "&amp;Terms!$A$3:$A$821&amp;" ",$D538))*Terms!E$3:E$821)+Terms!E$2</f>
        <v>-0.708060160141642</v>
      </c>
      <c r="W538" s="0" t="n">
        <f aca="false">SUMPRODUCT(ISNUMBER(SEARCH(" "&amp;Terms!$A$3:$A$821&amp;" ",$D538))*Terms!F$3:F$821)+Terms!F$2</f>
        <v>7.53875627456941</v>
      </c>
      <c r="X538" s="0" t="n">
        <f aca="false">SUMPRODUCT(ISNUMBER(SEARCH(" "&amp;Terms!$A$3:$A$821&amp;" ",$D538))*Terms!G$3:G$821)+Terms!G$2</f>
        <v>-2.44320705560568</v>
      </c>
      <c r="Y538" s="0" t="str">
        <f aca="false">INDEX($S$1:$X$1,MATCH(MAX(S538:X538),S538:X538,0))</f>
        <v>Fraud &amp; Scams</v>
      </c>
      <c r="Z538" s="0" t="s">
        <v>2608</v>
      </c>
    </row>
    <row r="539" customFormat="false" ht="15" hidden="false" customHeight="false" outlineLevel="0" collapsed="false">
      <c r="A539" s="0" t="str">
        <f aca="false">Complaints!A539</f>
        <v>C0538</v>
      </c>
      <c r="B539" s="0" t="str">
        <f aca="false">Complaints!B539</f>
        <v>I am writing to complain. The complaints handler was unhelpful and talked over me. Please sort this out.</v>
      </c>
      <c r="C539" s="0" t="str">
        <f aca="false">Complaints!C539</f>
        <v>Customer Service</v>
      </c>
      <c r="D539" s="0" t="str">
        <f aca="false">" "&amp;TRIM(SUBSTITUTE(SUBSTITUTE(SUBSTITUTE(SUBSTITUTE(SUBSTITUTE(SUBSTITUTE(SUBSTITUTE(SUBSTITUTE(SUBSTITUTE(SUBSTITUTE(SUBSTITUTE(SUBSTITUTE(SUBSTITUTE(SUBSTITUTE(SUBSTITUTE(SUBSTITUTE(LOWER(B539),"."," "),","," "),"'"," "),"’"," "),"!"," "),"?"," "),";"," "),":"," "),"-"," "),"("," "),")"," "),"""", " "),"£"," "),"&amp;"," "),"/"," "),"%"," "))&amp;" "</f>
        <v> i am writing to complain the complaints handler was unhelpful and talked over me please sort this out </v>
      </c>
      <c r="E539" s="0" t="n">
        <f aca="false">SUMPRODUCT((Rules!$A$2:$A$60=E$1)*Rules!$C$2:$C$60*ISNUMBER(SEARCH(Rules!$D$2:$D$60,$D539)))</f>
        <v>0</v>
      </c>
      <c r="F539" s="0" t="n">
        <f aca="false">SUMPRODUCT((Rules!$A$2:$A$60=F$1)*Rules!$C$2:$C$60*ISNUMBER(SEARCH(Rules!$D$2:$D$60,$D539)))</f>
        <v>0</v>
      </c>
      <c r="G539" s="0" t="n">
        <f aca="false">SUMPRODUCT((Rules!$A$2:$A$60=G$1)*Rules!$C$2:$C$60*ISNUMBER(SEARCH(Rules!$D$2:$D$60,$D539)))</f>
        <v>0</v>
      </c>
      <c r="H539" s="0" t="n">
        <f aca="false">SUMPRODUCT((Rules!$A$2:$A$60=H$1)*Rules!$C$2:$C$60*ISNUMBER(SEARCH(Rules!$D$2:$D$60,$D539)))</f>
        <v>0</v>
      </c>
      <c r="I539" s="0" t="n">
        <f aca="false">SUMPRODUCT((Rules!$A$2:$A$60=I$1)*Rules!$C$2:$C$60*ISNUMBER(SEARCH(Rules!$D$2:$D$60,$D539)))</f>
        <v>0</v>
      </c>
      <c r="J539" s="0" t="n">
        <f aca="false">SUMPRODUCT((Rules!$A$2:$A$60=J$1)*Rules!$C$2:$C$60*ISNUMBER(SEARCH(Rules!$D$2:$D$60,$D539)))</f>
        <v>2</v>
      </c>
      <c r="K539" s="0" t="str">
        <f aca="false">IF(OR(MAX(E539:J539)&lt;Rules!$H$1,MAX(E539:J539)-LARGE(E539:J539,2)&lt;Rules!$H$2),"No label",INDEX($E$1:$J$1,MATCH(MAX(E539:J539),E539:J539,0)))</f>
        <v>No label</v>
      </c>
      <c r="L539" s="0" t="n">
        <f aca="false">SUMPRODUCT((Rules!$A$2:$A$60=L$1)*Rules!$C$2:$C$60*ISNUMBER(SEARCH(Rules!$E$2:$E$60,$D539)))</f>
        <v>0</v>
      </c>
      <c r="M539" s="0" t="n">
        <f aca="false">SUMPRODUCT((Rules!$A$2:$A$60=M$1)*Rules!$C$2:$C$60*ISNUMBER(SEARCH(Rules!$E$2:$E$60,$D539)))</f>
        <v>0</v>
      </c>
      <c r="N539" s="0" t="n">
        <f aca="false">SUMPRODUCT((Rules!$A$2:$A$60=N$1)*Rules!$C$2:$C$60*ISNUMBER(SEARCH(Rules!$E$2:$E$60,$D539)))</f>
        <v>0</v>
      </c>
      <c r="O539" s="0" t="n">
        <f aca="false">SUMPRODUCT((Rules!$A$2:$A$60=O$1)*Rules!$C$2:$C$60*ISNUMBER(SEARCH(Rules!$E$2:$E$60,$D539)))</f>
        <v>0</v>
      </c>
      <c r="P539" s="0" t="n">
        <f aca="false">SUMPRODUCT((Rules!$A$2:$A$60=P$1)*Rules!$C$2:$C$60*ISNUMBER(SEARCH(Rules!$E$2:$E$60,$D539)))</f>
        <v>0</v>
      </c>
      <c r="Q539" s="0" t="n">
        <f aca="false">SUMPRODUCT((Rules!$A$2:$A$60=Q$1)*Rules!$C$2:$C$60*ISNUMBER(SEARCH(Rules!$E$2:$E$60,$D539)))</f>
        <v>2</v>
      </c>
      <c r="R539" s="0" t="str">
        <f aca="false">IF(OR(MAX(L539:Q539)&lt;Rules!$H$1,MAX(L539:Q539)-LARGE(L539:Q539,2)&lt;Rules!$H$2),"No label",INDEX($L$1:$Q$1,MATCH(MAX(L539:Q539),L539:Q539,0)))</f>
        <v>No label</v>
      </c>
      <c r="S539" s="0" t="n">
        <f aca="false">SUMPRODUCT(ISNUMBER(SEARCH(" "&amp;Terms!$A$3:$A$821&amp;" ",$D539))*Terms!B$3:B$821)+Terms!B$2</f>
        <v>-3.22753967773969</v>
      </c>
      <c r="T539" s="0" t="n">
        <f aca="false">SUMPRODUCT(ISNUMBER(SEARCH(" "&amp;Terms!$A$3:$A$821&amp;" ",$D539))*Terms!C$3:C$821)+Terms!C$2</f>
        <v>9.63557520697082</v>
      </c>
      <c r="U539" s="0" t="n">
        <f aca="false">SUMPRODUCT(ISNUMBER(SEARCH(" "&amp;Terms!$A$3:$A$821&amp;" ",$D539))*Terms!D$3:D$821)+Terms!D$2</f>
        <v>-1.58359987964665</v>
      </c>
      <c r="V539" s="0" t="n">
        <f aca="false">SUMPRODUCT(ISNUMBER(SEARCH(" "&amp;Terms!$A$3:$A$821&amp;" ",$D539))*Terms!E$3:E$821)+Terms!E$2</f>
        <v>-0.72837772242407</v>
      </c>
      <c r="W539" s="0" t="n">
        <f aca="false">SUMPRODUCT(ISNUMBER(SEARCH(" "&amp;Terms!$A$3:$A$821&amp;" ",$D539))*Terms!F$3:F$821)+Terms!F$2</f>
        <v>-2.92612392879273</v>
      </c>
      <c r="X539" s="0" t="n">
        <f aca="false">SUMPRODUCT(ISNUMBER(SEARCH(" "&amp;Terms!$A$3:$A$821&amp;" ",$D539))*Terms!G$3:G$821)+Terms!G$2</f>
        <v>-1.1699339983676</v>
      </c>
      <c r="Y539" s="0" t="str">
        <f aca="false">INDEX($S$1:$X$1,MATCH(MAX(S539:X539),S539:X539,0))</f>
        <v>Customer Service</v>
      </c>
      <c r="Z539" s="0" t="s">
        <v>2608</v>
      </c>
    </row>
    <row r="540" customFormat="false" ht="15" hidden="false" customHeight="false" outlineLevel="0" collapsed="false">
      <c r="A540" s="0" t="str">
        <f aca="false">Complaints!A540</f>
        <v>C0539</v>
      </c>
      <c r="B540" s="0" t="str">
        <f aca="false">Complaints!B540</f>
        <v>Frankly, A person pretending to be from your bank phoned me and I gave them details. I could not log in to check either. I want this put right.</v>
      </c>
      <c r="C540" s="0" t="str">
        <f aca="false">Complaints!C540</f>
        <v>Fraud &amp; Scams</v>
      </c>
      <c r="D540" s="0" t="str">
        <f aca="false">" "&amp;TRIM(SUBSTITUTE(SUBSTITUTE(SUBSTITUTE(SUBSTITUTE(SUBSTITUTE(SUBSTITUTE(SUBSTITUTE(SUBSTITUTE(SUBSTITUTE(SUBSTITUTE(SUBSTITUTE(SUBSTITUTE(SUBSTITUTE(SUBSTITUTE(SUBSTITUTE(SUBSTITUTE(LOWER(B540),"."," "),","," "),"'"," "),"’"," "),"!"," "),"?"," "),";"," "),":"," "),"-"," "),"("," "),")"," "),"""", " "),"£"," "),"&amp;"," "),"/"," "),"%"," "))&amp;" "</f>
        <v> frankly a person pretending to be from your bank phoned me and i gave them details i could not log in to check either i want this put right </v>
      </c>
      <c r="E540" s="0" t="n">
        <f aca="false">SUMPRODUCT((Rules!$A$2:$A$60=E$1)*Rules!$C$2:$C$60*ISNUMBER(SEARCH(Rules!$D$2:$D$60,$D540)))</f>
        <v>0</v>
      </c>
      <c r="F540" s="0" t="n">
        <f aca="false">SUMPRODUCT((Rules!$A$2:$A$60=F$1)*Rules!$C$2:$C$60*ISNUMBER(SEARCH(Rules!$D$2:$D$60,$D540)))</f>
        <v>0</v>
      </c>
      <c r="G540" s="0" t="n">
        <f aca="false">SUMPRODUCT((Rules!$A$2:$A$60=G$1)*Rules!$C$2:$C$60*ISNUMBER(SEARCH(Rules!$D$2:$D$60,$D540)))</f>
        <v>3</v>
      </c>
      <c r="H540" s="0" t="n">
        <f aca="false">SUMPRODUCT((Rules!$A$2:$A$60=H$1)*Rules!$C$2:$C$60*ISNUMBER(SEARCH(Rules!$D$2:$D$60,$D540)))</f>
        <v>0</v>
      </c>
      <c r="I540" s="0" t="n">
        <f aca="false">SUMPRODUCT((Rules!$A$2:$A$60=I$1)*Rules!$C$2:$C$60*ISNUMBER(SEARCH(Rules!$D$2:$D$60,$D540)))</f>
        <v>0</v>
      </c>
      <c r="J540" s="0" t="n">
        <f aca="false">SUMPRODUCT((Rules!$A$2:$A$60=J$1)*Rules!$C$2:$C$60*ISNUMBER(SEARCH(Rules!$D$2:$D$60,$D540)))</f>
        <v>0</v>
      </c>
      <c r="K540" s="0" t="str">
        <f aca="false">IF(OR(MAX(E540:J540)&lt;Rules!$H$1,MAX(E540:J540)-LARGE(E540:J540,2)&lt;Rules!$H$2),"No label",INDEX($E$1:$J$1,MATCH(MAX(E540:J540),E540:J540,0)))</f>
        <v>Account Access</v>
      </c>
      <c r="L540" s="0" t="n">
        <f aca="false">SUMPRODUCT((Rules!$A$2:$A$60=L$1)*Rules!$C$2:$C$60*ISNUMBER(SEARCH(Rules!$E$2:$E$60,$D540)))</f>
        <v>0</v>
      </c>
      <c r="M540" s="0" t="n">
        <f aca="false">SUMPRODUCT((Rules!$A$2:$A$60=M$1)*Rules!$C$2:$C$60*ISNUMBER(SEARCH(Rules!$E$2:$E$60,$D540)))</f>
        <v>0</v>
      </c>
      <c r="N540" s="0" t="n">
        <f aca="false">SUMPRODUCT((Rules!$A$2:$A$60=N$1)*Rules!$C$2:$C$60*ISNUMBER(SEARCH(Rules!$E$2:$E$60,$D540)))</f>
        <v>3</v>
      </c>
      <c r="O540" s="0" t="n">
        <f aca="false">SUMPRODUCT((Rules!$A$2:$A$60=O$1)*Rules!$C$2:$C$60*ISNUMBER(SEARCH(Rules!$E$2:$E$60,$D540)))</f>
        <v>0</v>
      </c>
      <c r="P540" s="0" t="n">
        <f aca="false">SUMPRODUCT((Rules!$A$2:$A$60=P$1)*Rules!$C$2:$C$60*ISNUMBER(SEARCH(Rules!$E$2:$E$60,$D540)))</f>
        <v>0</v>
      </c>
      <c r="Q540" s="0" t="n">
        <f aca="false">SUMPRODUCT((Rules!$A$2:$A$60=Q$1)*Rules!$C$2:$C$60*ISNUMBER(SEARCH(Rules!$E$2:$E$60,$D540)))</f>
        <v>0</v>
      </c>
      <c r="R540" s="0" t="str">
        <f aca="false">IF(OR(MAX(L540:Q540)&lt;Rules!$H$1,MAX(L540:Q540)-LARGE(L540:Q540,2)&lt;Rules!$H$2),"No label",INDEX($L$1:$Q$1,MATCH(MAX(L540:Q540),L540:Q540,0)))</f>
        <v>Account Access</v>
      </c>
      <c r="S540" s="0" t="n">
        <f aca="false">SUMPRODUCT(ISNUMBER(SEARCH(" "&amp;Terms!$A$3:$A$821&amp;" ",$D540))*Terms!B$3:B$821)+Terms!B$2</f>
        <v>-2.23146122423358</v>
      </c>
      <c r="T540" s="0" t="n">
        <f aca="false">SUMPRODUCT(ISNUMBER(SEARCH(" "&amp;Terms!$A$3:$A$821&amp;" ",$D540))*Terms!C$3:C$821)+Terms!C$2</f>
        <v>-4.59532417581545</v>
      </c>
      <c r="U540" s="0" t="n">
        <f aca="false">SUMPRODUCT(ISNUMBER(SEARCH(" "&amp;Terms!$A$3:$A$821&amp;" ",$D540))*Terms!D$3:D$821)+Terms!D$2</f>
        <v>-5.33101743655846</v>
      </c>
      <c r="V540" s="0" t="n">
        <f aca="false">SUMPRODUCT(ISNUMBER(SEARCH(" "&amp;Terms!$A$3:$A$821&amp;" ",$D540))*Terms!E$3:E$821)+Terms!E$2</f>
        <v>-0.266033193817683</v>
      </c>
      <c r="W540" s="0" t="n">
        <f aca="false">SUMPRODUCT(ISNUMBER(SEARCH(" "&amp;Terms!$A$3:$A$821&amp;" ",$D540))*Terms!F$3:F$821)+Terms!F$2</f>
        <v>12.2825048303795</v>
      </c>
      <c r="X540" s="0" t="n">
        <f aca="false">SUMPRODUCT(ISNUMBER(SEARCH(" "&amp;Terms!$A$3:$A$821&amp;" ",$D540))*Terms!G$3:G$821)+Terms!G$2</f>
        <v>0.141331200045704</v>
      </c>
      <c r="Y540" s="0" t="str">
        <f aca="false">INDEX($S$1:$X$1,MATCH(MAX(S540:X540),S540:X540,0))</f>
        <v>Fraud &amp; Scams</v>
      </c>
      <c r="Z540" s="0" t="s">
        <v>2608</v>
      </c>
    </row>
    <row r="541" customFormat="false" ht="15" hidden="false" customHeight="false" outlineLevel="0" collapsed="false">
      <c r="A541" s="0" t="str">
        <f aca="false">Complaints!A541</f>
        <v>C0540</v>
      </c>
      <c r="B541" s="0" t="str">
        <f aca="false">Complaints!B541</f>
        <v>I have been a customer for years. Nobody has responded to my emails despite three reminders.</v>
      </c>
      <c r="C541" s="0" t="str">
        <f aca="false">Complaints!C541</f>
        <v>Customer Service</v>
      </c>
      <c r="D541" s="0" t="str">
        <f aca="false">" "&amp;TRIM(SUBSTITUTE(SUBSTITUTE(SUBSTITUTE(SUBSTITUTE(SUBSTITUTE(SUBSTITUTE(SUBSTITUTE(SUBSTITUTE(SUBSTITUTE(SUBSTITUTE(SUBSTITUTE(SUBSTITUTE(SUBSTITUTE(SUBSTITUTE(SUBSTITUTE(SUBSTITUTE(LOWER(B541),"."," "),","," "),"'"," "),"’"," "),"!"," "),"?"," "),";"," "),":"," "),"-"," "),"("," "),")"," "),"""", " "),"£"," "),"&amp;"," "),"/"," "),"%"," "))&amp;" "</f>
        <v> i have been a customer for years nobody has responded to my emails despite three reminders </v>
      </c>
      <c r="E541" s="0" t="n">
        <f aca="false">SUMPRODUCT((Rules!$A$2:$A$60=E$1)*Rules!$C$2:$C$60*ISNUMBER(SEARCH(Rules!$D$2:$D$60,$D541)))</f>
        <v>0</v>
      </c>
      <c r="F541" s="0" t="n">
        <f aca="false">SUMPRODUCT((Rules!$A$2:$A$60=F$1)*Rules!$C$2:$C$60*ISNUMBER(SEARCH(Rules!$D$2:$D$60,$D541)))</f>
        <v>0</v>
      </c>
      <c r="G541" s="0" t="n">
        <f aca="false">SUMPRODUCT((Rules!$A$2:$A$60=G$1)*Rules!$C$2:$C$60*ISNUMBER(SEARCH(Rules!$D$2:$D$60,$D541)))</f>
        <v>0</v>
      </c>
      <c r="H541" s="0" t="n">
        <f aca="false">SUMPRODUCT((Rules!$A$2:$A$60=H$1)*Rules!$C$2:$C$60*ISNUMBER(SEARCH(Rules!$D$2:$D$60,$D541)))</f>
        <v>0</v>
      </c>
      <c r="I541" s="0" t="n">
        <f aca="false">SUMPRODUCT((Rules!$A$2:$A$60=I$1)*Rules!$C$2:$C$60*ISNUMBER(SEARCH(Rules!$D$2:$D$60,$D541)))</f>
        <v>0</v>
      </c>
      <c r="J541" s="0" t="n">
        <f aca="false">SUMPRODUCT((Rules!$A$2:$A$60=J$1)*Rules!$C$2:$C$60*ISNUMBER(SEARCH(Rules!$D$2:$D$60,$D541)))</f>
        <v>2</v>
      </c>
      <c r="K541" s="0" t="str">
        <f aca="false">IF(OR(MAX(E541:J541)&lt;Rules!$H$1,MAX(E541:J541)-LARGE(E541:J541,2)&lt;Rules!$H$2),"No label",INDEX($E$1:$J$1,MATCH(MAX(E541:J541),E541:J541,0)))</f>
        <v>No label</v>
      </c>
      <c r="L541" s="0" t="n">
        <f aca="false">SUMPRODUCT((Rules!$A$2:$A$60=L$1)*Rules!$C$2:$C$60*ISNUMBER(SEARCH(Rules!$E$2:$E$60,$D541)))</f>
        <v>0</v>
      </c>
      <c r="M541" s="0" t="n">
        <f aca="false">SUMPRODUCT((Rules!$A$2:$A$60=M$1)*Rules!$C$2:$C$60*ISNUMBER(SEARCH(Rules!$E$2:$E$60,$D541)))</f>
        <v>0</v>
      </c>
      <c r="N541" s="0" t="n">
        <f aca="false">SUMPRODUCT((Rules!$A$2:$A$60=N$1)*Rules!$C$2:$C$60*ISNUMBER(SEARCH(Rules!$E$2:$E$60,$D541)))</f>
        <v>0</v>
      </c>
      <c r="O541" s="0" t="n">
        <f aca="false">SUMPRODUCT((Rules!$A$2:$A$60=O$1)*Rules!$C$2:$C$60*ISNUMBER(SEARCH(Rules!$E$2:$E$60,$D541)))</f>
        <v>0</v>
      </c>
      <c r="P541" s="0" t="n">
        <f aca="false">SUMPRODUCT((Rules!$A$2:$A$60=P$1)*Rules!$C$2:$C$60*ISNUMBER(SEARCH(Rules!$E$2:$E$60,$D541)))</f>
        <v>0</v>
      </c>
      <c r="Q541" s="0" t="n">
        <f aca="false">SUMPRODUCT((Rules!$A$2:$A$60=Q$1)*Rules!$C$2:$C$60*ISNUMBER(SEARCH(Rules!$E$2:$E$60,$D541)))</f>
        <v>2</v>
      </c>
      <c r="R541" s="0" t="str">
        <f aca="false">IF(OR(MAX(L541:Q541)&lt;Rules!$H$1,MAX(L541:Q541)-LARGE(L541:Q541,2)&lt;Rules!$H$2),"No label",INDEX($L$1:$Q$1,MATCH(MAX(L541:Q541),L541:Q541,0)))</f>
        <v>No label</v>
      </c>
      <c r="S541" s="0" t="n">
        <f aca="false">SUMPRODUCT(ISNUMBER(SEARCH(" "&amp;Terms!$A$3:$A$821&amp;" ",$D541))*Terms!B$3:B$821)+Terms!B$2</f>
        <v>-2.51702052743608</v>
      </c>
      <c r="T541" s="0" t="n">
        <f aca="false">SUMPRODUCT(ISNUMBER(SEARCH(" "&amp;Terms!$A$3:$A$821&amp;" ",$D541))*Terms!C$3:C$821)+Terms!C$2</f>
        <v>10.2185449561407</v>
      </c>
      <c r="U541" s="0" t="n">
        <f aca="false">SUMPRODUCT(ISNUMBER(SEARCH(" "&amp;Terms!$A$3:$A$821&amp;" ",$D541))*Terms!D$3:D$821)+Terms!D$2</f>
        <v>-0.856199063065268</v>
      </c>
      <c r="V541" s="0" t="n">
        <f aca="false">SUMPRODUCT(ISNUMBER(SEARCH(" "&amp;Terms!$A$3:$A$821&amp;" ",$D541))*Terms!E$3:E$821)+Terms!E$2</f>
        <v>-2.12610613850008</v>
      </c>
      <c r="W541" s="0" t="n">
        <f aca="false">SUMPRODUCT(ISNUMBER(SEARCH(" "&amp;Terms!$A$3:$A$821&amp;" ",$D541))*Terms!F$3:F$821)+Terms!F$2</f>
        <v>-2.60027920851276</v>
      </c>
      <c r="X541" s="0" t="n">
        <f aca="false">SUMPRODUCT(ISNUMBER(SEARCH(" "&amp;Terms!$A$3:$A$821&amp;" ",$D541))*Terms!G$3:G$821)+Terms!G$2</f>
        <v>-2.11894001862642</v>
      </c>
      <c r="Y541" s="0" t="str">
        <f aca="false">INDEX($S$1:$X$1,MATCH(MAX(S541:X541),S541:X541,0))</f>
        <v>Customer Service</v>
      </c>
      <c r="Z541" s="0" t="s">
        <v>2607</v>
      </c>
    </row>
    <row r="542" customFormat="false" ht="15" hidden="false" customHeight="false" outlineLevel="0" collapsed="false">
      <c r="A542" s="0" t="str">
        <f aca="false">Complaints!A542</f>
        <v>C0541</v>
      </c>
      <c r="B542" s="0" t="str">
        <f aca="false">Complaints!B542</f>
        <v>I am unable to access my account to see my balance. Also, the staff member was rude and dismissive when I called. I want this put right.</v>
      </c>
      <c r="C542" s="0" t="str">
        <f aca="false">Complaints!C542</f>
        <v>Account Access</v>
      </c>
      <c r="D542" s="0" t="str">
        <f aca="false">" "&amp;TRIM(SUBSTITUTE(SUBSTITUTE(SUBSTITUTE(SUBSTITUTE(SUBSTITUTE(SUBSTITUTE(SUBSTITUTE(SUBSTITUTE(SUBSTITUTE(SUBSTITUTE(SUBSTITUTE(SUBSTITUTE(SUBSTITUTE(SUBSTITUTE(SUBSTITUTE(SUBSTITUTE(LOWER(B542),"."," "),","," "),"'"," "),"’"," "),"!"," "),"?"," "),";"," "),":"," "),"-"," "),"("," "),")"," "),"""", " "),"£"," "),"&amp;"," "),"/"," "),"%"," "))&amp;" "</f>
        <v> i am unable to access my account to see my balance also the staff member was rude and dismissive when i called i want this put right </v>
      </c>
      <c r="E542" s="0" t="n">
        <f aca="false">SUMPRODUCT((Rules!$A$2:$A$60=E$1)*Rules!$C$2:$C$60*ISNUMBER(SEARCH(Rules!$D$2:$D$60,$D542)))</f>
        <v>0</v>
      </c>
      <c r="F542" s="0" t="n">
        <f aca="false">SUMPRODUCT((Rules!$A$2:$A$60=F$1)*Rules!$C$2:$C$60*ISNUMBER(SEARCH(Rules!$D$2:$D$60,$D542)))</f>
        <v>0</v>
      </c>
      <c r="G542" s="0" t="n">
        <f aca="false">SUMPRODUCT((Rules!$A$2:$A$60=G$1)*Rules!$C$2:$C$60*ISNUMBER(SEARCH(Rules!$D$2:$D$60,$D542)))</f>
        <v>1</v>
      </c>
      <c r="H542" s="0" t="n">
        <f aca="false">SUMPRODUCT((Rules!$A$2:$A$60=H$1)*Rules!$C$2:$C$60*ISNUMBER(SEARCH(Rules!$D$2:$D$60,$D542)))</f>
        <v>0</v>
      </c>
      <c r="I542" s="0" t="n">
        <f aca="false">SUMPRODUCT((Rules!$A$2:$A$60=I$1)*Rules!$C$2:$C$60*ISNUMBER(SEARCH(Rules!$D$2:$D$60,$D542)))</f>
        <v>0</v>
      </c>
      <c r="J542" s="0" t="n">
        <f aca="false">SUMPRODUCT((Rules!$A$2:$A$60=J$1)*Rules!$C$2:$C$60*ISNUMBER(SEARCH(Rules!$D$2:$D$60,$D542)))</f>
        <v>4</v>
      </c>
      <c r="K542" s="0" t="str">
        <f aca="false">IF(OR(MAX(E542:J542)&lt;Rules!$H$1,MAX(E542:J542)-LARGE(E542:J542,2)&lt;Rules!$H$2),"No label",INDEX($E$1:$J$1,MATCH(MAX(E542:J542),E542:J542,0)))</f>
        <v>Customer Service</v>
      </c>
      <c r="L542" s="0" t="n">
        <f aca="false">SUMPRODUCT((Rules!$A$2:$A$60=L$1)*Rules!$C$2:$C$60*ISNUMBER(SEARCH(Rules!$E$2:$E$60,$D542)))</f>
        <v>0</v>
      </c>
      <c r="M542" s="0" t="n">
        <f aca="false">SUMPRODUCT((Rules!$A$2:$A$60=M$1)*Rules!$C$2:$C$60*ISNUMBER(SEARCH(Rules!$E$2:$E$60,$D542)))</f>
        <v>0</v>
      </c>
      <c r="N542" s="0" t="n">
        <f aca="false">SUMPRODUCT((Rules!$A$2:$A$60=N$1)*Rules!$C$2:$C$60*ISNUMBER(SEARCH(Rules!$E$2:$E$60,$D542)))</f>
        <v>1</v>
      </c>
      <c r="O542" s="0" t="n">
        <f aca="false">SUMPRODUCT((Rules!$A$2:$A$60=O$1)*Rules!$C$2:$C$60*ISNUMBER(SEARCH(Rules!$E$2:$E$60,$D542)))</f>
        <v>0</v>
      </c>
      <c r="P542" s="0" t="n">
        <f aca="false">SUMPRODUCT((Rules!$A$2:$A$60=P$1)*Rules!$C$2:$C$60*ISNUMBER(SEARCH(Rules!$E$2:$E$60,$D542)))</f>
        <v>0</v>
      </c>
      <c r="Q542" s="0" t="n">
        <f aca="false">SUMPRODUCT((Rules!$A$2:$A$60=Q$1)*Rules!$C$2:$C$60*ISNUMBER(SEARCH(Rules!$E$2:$E$60,$D542)))</f>
        <v>4</v>
      </c>
      <c r="R542" s="0" t="str">
        <f aca="false">IF(OR(MAX(L542:Q542)&lt;Rules!$H$1,MAX(L542:Q542)-LARGE(L542:Q542,2)&lt;Rules!$H$2),"No label",INDEX($L$1:$Q$1,MATCH(MAX(L542:Q542),L542:Q542,0)))</f>
        <v>Customer Service</v>
      </c>
      <c r="S542" s="0" t="n">
        <f aca="false">SUMPRODUCT(ISNUMBER(SEARCH(" "&amp;Terms!$A$3:$A$821&amp;" ",$D542))*Terms!B$3:B$821)+Terms!B$2</f>
        <v>2.21371052628381</v>
      </c>
      <c r="T542" s="0" t="n">
        <f aca="false">SUMPRODUCT(ISNUMBER(SEARCH(" "&amp;Terms!$A$3:$A$821&amp;" ",$D542))*Terms!C$3:C$821)+Terms!C$2</f>
        <v>3.78718235250784</v>
      </c>
      <c r="U542" s="0" t="n">
        <f aca="false">SUMPRODUCT(ISNUMBER(SEARCH(" "&amp;Terms!$A$3:$A$821&amp;" ",$D542))*Terms!D$3:D$821)+Terms!D$2</f>
        <v>0.131117912798121</v>
      </c>
      <c r="V542" s="0" t="n">
        <f aca="false">SUMPRODUCT(ISNUMBER(SEARCH(" "&amp;Terms!$A$3:$A$821&amp;" ",$D542))*Terms!E$3:E$821)+Terms!E$2</f>
        <v>0.598855954413996</v>
      </c>
      <c r="W542" s="0" t="n">
        <f aca="false">SUMPRODUCT(ISNUMBER(SEARCH(" "&amp;Terms!$A$3:$A$821&amp;" ",$D542))*Terms!F$3:F$821)+Terms!F$2</f>
        <v>-0.826450452235861</v>
      </c>
      <c r="X542" s="0" t="n">
        <f aca="false">SUMPRODUCT(ISNUMBER(SEARCH(" "&amp;Terms!$A$3:$A$821&amp;" ",$D542))*Terms!G$3:G$821)+Terms!G$2</f>
        <v>-5.90441629376782</v>
      </c>
      <c r="Y542" s="0" t="str">
        <f aca="false">INDEX($S$1:$X$1,MATCH(MAX(S542:X542),S542:X542,0))</f>
        <v>Customer Service</v>
      </c>
      <c r="Z542" s="0" t="s">
        <v>2607</v>
      </c>
    </row>
    <row r="543" customFormat="false" ht="15" hidden="false" customHeight="false" outlineLevel="0" collapsed="false">
      <c r="A543" s="0" t="str">
        <f aca="false">Complaints!A543</f>
        <v>C0542</v>
      </c>
      <c r="B543" s="0" t="str">
        <f aca="false">Complaints!B543</f>
        <v>I have been billed an annual fee I never agreed to. Please escalate this.</v>
      </c>
      <c r="C543" s="0" t="str">
        <f aca="false">Complaints!C543</f>
        <v>Fees &amp; Charges</v>
      </c>
      <c r="D543" s="0" t="str">
        <f aca="false">" "&amp;TRIM(SUBSTITUTE(SUBSTITUTE(SUBSTITUTE(SUBSTITUTE(SUBSTITUTE(SUBSTITUTE(SUBSTITUTE(SUBSTITUTE(SUBSTITUTE(SUBSTITUTE(SUBSTITUTE(SUBSTITUTE(SUBSTITUTE(SUBSTITUTE(SUBSTITUTE(SUBSTITUTE(LOWER(B543),"."," "),","," "),"'"," "),"’"," "),"!"," "),"?"," "),";"," "),":"," "),"-"," "),"("," "),")"," "),"""", " "),"£"," "),"&amp;"," "),"/"," "),"%"," "))&amp;" "</f>
        <v> i have been billed an annual fee i never agreed to please escalate this </v>
      </c>
      <c r="E543" s="0" t="n">
        <f aca="false">SUMPRODUCT((Rules!$A$2:$A$60=E$1)*Rules!$C$2:$C$60*ISNUMBER(SEARCH(Rules!$D$2:$D$60,$D543)))</f>
        <v>0</v>
      </c>
      <c r="F543" s="0" t="n">
        <f aca="false">SUMPRODUCT((Rules!$A$2:$A$60=F$1)*Rules!$C$2:$C$60*ISNUMBER(SEARCH(Rules!$D$2:$D$60,$D543)))</f>
        <v>0</v>
      </c>
      <c r="G543" s="0" t="n">
        <f aca="false">SUMPRODUCT((Rules!$A$2:$A$60=G$1)*Rules!$C$2:$C$60*ISNUMBER(SEARCH(Rules!$D$2:$D$60,$D543)))</f>
        <v>0</v>
      </c>
      <c r="H543" s="0" t="n">
        <f aca="false">SUMPRODUCT((Rules!$A$2:$A$60=H$1)*Rules!$C$2:$C$60*ISNUMBER(SEARCH(Rules!$D$2:$D$60,$D543)))</f>
        <v>4</v>
      </c>
      <c r="I543" s="0" t="n">
        <f aca="false">SUMPRODUCT((Rules!$A$2:$A$60=I$1)*Rules!$C$2:$C$60*ISNUMBER(SEARCH(Rules!$D$2:$D$60,$D543)))</f>
        <v>0</v>
      </c>
      <c r="J543" s="0" t="n">
        <f aca="false">SUMPRODUCT((Rules!$A$2:$A$60=J$1)*Rules!$C$2:$C$60*ISNUMBER(SEARCH(Rules!$D$2:$D$60,$D543)))</f>
        <v>0</v>
      </c>
      <c r="K543" s="0" t="str">
        <f aca="false">IF(OR(MAX(E543:J543)&lt;Rules!$H$1,MAX(E543:J543)-LARGE(E543:J543,2)&lt;Rules!$H$2),"No label",INDEX($E$1:$J$1,MATCH(MAX(E543:J543),E543:J543,0)))</f>
        <v>Fees &amp; Charges</v>
      </c>
      <c r="L543" s="0" t="n">
        <f aca="false">SUMPRODUCT((Rules!$A$2:$A$60=L$1)*Rules!$C$2:$C$60*ISNUMBER(SEARCH(Rules!$E$2:$E$60,$D543)))</f>
        <v>0</v>
      </c>
      <c r="M543" s="0" t="n">
        <f aca="false">SUMPRODUCT((Rules!$A$2:$A$60=M$1)*Rules!$C$2:$C$60*ISNUMBER(SEARCH(Rules!$E$2:$E$60,$D543)))</f>
        <v>0</v>
      </c>
      <c r="N543" s="0" t="n">
        <f aca="false">SUMPRODUCT((Rules!$A$2:$A$60=N$1)*Rules!$C$2:$C$60*ISNUMBER(SEARCH(Rules!$E$2:$E$60,$D543)))</f>
        <v>0</v>
      </c>
      <c r="O543" s="0" t="n">
        <f aca="false">SUMPRODUCT((Rules!$A$2:$A$60=O$1)*Rules!$C$2:$C$60*ISNUMBER(SEARCH(Rules!$E$2:$E$60,$D543)))</f>
        <v>4</v>
      </c>
      <c r="P543" s="0" t="n">
        <f aca="false">SUMPRODUCT((Rules!$A$2:$A$60=P$1)*Rules!$C$2:$C$60*ISNUMBER(SEARCH(Rules!$E$2:$E$60,$D543)))</f>
        <v>0</v>
      </c>
      <c r="Q543" s="0" t="n">
        <f aca="false">SUMPRODUCT((Rules!$A$2:$A$60=Q$1)*Rules!$C$2:$C$60*ISNUMBER(SEARCH(Rules!$E$2:$E$60,$D543)))</f>
        <v>0</v>
      </c>
      <c r="R543" s="0" t="str">
        <f aca="false">IF(OR(MAX(L543:Q543)&lt;Rules!$H$1,MAX(L543:Q543)-LARGE(L543:Q543,2)&lt;Rules!$H$2),"No label",INDEX($L$1:$Q$1,MATCH(MAX(L543:Q543),L543:Q543,0)))</f>
        <v>Fees &amp; Charges</v>
      </c>
      <c r="S543" s="0" t="n">
        <f aca="false">SUMPRODUCT(ISNUMBER(SEARCH(" "&amp;Terms!$A$3:$A$821&amp;" ",$D543))*Terms!B$3:B$821)+Terms!B$2</f>
        <v>-0.532208724063338</v>
      </c>
      <c r="T543" s="0" t="n">
        <f aca="false">SUMPRODUCT(ISNUMBER(SEARCH(" "&amp;Terms!$A$3:$A$821&amp;" ",$D543))*Terms!C$3:C$821)+Terms!C$2</f>
        <v>-1.47263653057368</v>
      </c>
      <c r="U543" s="0" t="n">
        <f aca="false">SUMPRODUCT(ISNUMBER(SEARCH(" "&amp;Terms!$A$3:$A$821&amp;" ",$D543))*Terms!D$3:D$821)+Terms!D$2</f>
        <v>-2.23946104661924</v>
      </c>
      <c r="V543" s="0" t="n">
        <f aca="false">SUMPRODUCT(ISNUMBER(SEARCH(" "&amp;Terms!$A$3:$A$821&amp;" ",$D543))*Terms!E$3:E$821)+Terms!E$2</f>
        <v>11.5374676304439</v>
      </c>
      <c r="W543" s="0" t="n">
        <f aca="false">SUMPRODUCT(ISNUMBER(SEARCH(" "&amp;Terms!$A$3:$A$821&amp;" ",$D543))*Terms!F$3:F$821)+Terms!F$2</f>
        <v>-5.65689283547182</v>
      </c>
      <c r="X543" s="0" t="n">
        <f aca="false">SUMPRODUCT(ISNUMBER(SEARCH(" "&amp;Terms!$A$3:$A$821&amp;" ",$D543))*Terms!G$3:G$821)+Terms!G$2</f>
        <v>-1.63626849371573</v>
      </c>
      <c r="Y543" s="0" t="str">
        <f aca="false">INDEX($S$1:$X$1,MATCH(MAX(S543:X543),S543:X543,0))</f>
        <v>Fees &amp; Charges</v>
      </c>
      <c r="Z543" s="0" t="s">
        <v>2608</v>
      </c>
    </row>
    <row r="544" customFormat="false" ht="15" hidden="false" customHeight="false" outlineLevel="0" collapsed="false">
      <c r="A544" s="0" t="str">
        <f aca="false">Complaints!A544</f>
        <v>C0543</v>
      </c>
      <c r="B544" s="0" t="str">
        <f aca="false">Complaints!B544</f>
        <v>A late payment fee appeared and I want it refunded. Also, the branch manager would not listen to my concerns. Please sort this out.</v>
      </c>
      <c r="C544" s="0" t="str">
        <f aca="false">Complaints!C544</f>
        <v>Fees &amp; Charges</v>
      </c>
      <c r="D544" s="0" t="str">
        <f aca="false">" "&amp;TRIM(SUBSTITUTE(SUBSTITUTE(SUBSTITUTE(SUBSTITUTE(SUBSTITUTE(SUBSTITUTE(SUBSTITUTE(SUBSTITUTE(SUBSTITUTE(SUBSTITUTE(SUBSTITUTE(SUBSTITUTE(SUBSTITUTE(SUBSTITUTE(SUBSTITUTE(SUBSTITUTE(LOWER(B544),"."," "),","," "),"'"," "),"’"," "),"!"," "),"?"," "),";"," "),":"," "),"-"," "),"("," "),")"," "),"""", " "),"£"," "),"&amp;"," "),"/"," "),"%"," "))&amp;" "</f>
        <v> a late payment fee appeared and i want it refunded also the branch manager would not listen to my concerns please sort this out </v>
      </c>
      <c r="E544" s="0" t="n">
        <f aca="false">SUMPRODUCT((Rules!$A$2:$A$60=E$1)*Rules!$C$2:$C$60*ISNUMBER(SEARCH(Rules!$D$2:$D$60,$D544)))</f>
        <v>0</v>
      </c>
      <c r="F544" s="0" t="n">
        <f aca="false">SUMPRODUCT((Rules!$A$2:$A$60=F$1)*Rules!$C$2:$C$60*ISNUMBER(SEARCH(Rules!$D$2:$D$60,$D544)))</f>
        <v>0</v>
      </c>
      <c r="G544" s="0" t="n">
        <f aca="false">SUMPRODUCT((Rules!$A$2:$A$60=G$1)*Rules!$C$2:$C$60*ISNUMBER(SEARCH(Rules!$D$2:$D$60,$D544)))</f>
        <v>0</v>
      </c>
      <c r="H544" s="0" t="n">
        <f aca="false">SUMPRODUCT((Rules!$A$2:$A$60=H$1)*Rules!$C$2:$C$60*ISNUMBER(SEARCH(Rules!$D$2:$D$60,$D544)))</f>
        <v>2</v>
      </c>
      <c r="I544" s="0" t="n">
        <f aca="false">SUMPRODUCT((Rules!$A$2:$A$60=I$1)*Rules!$C$2:$C$60*ISNUMBER(SEARCH(Rules!$D$2:$D$60,$D544)))</f>
        <v>0</v>
      </c>
      <c r="J544" s="0" t="n">
        <f aca="false">SUMPRODUCT((Rules!$A$2:$A$60=J$1)*Rules!$C$2:$C$60*ISNUMBER(SEARCH(Rules!$D$2:$D$60,$D544)))</f>
        <v>0</v>
      </c>
      <c r="K544" s="0" t="str">
        <f aca="false">IF(OR(MAX(E544:J544)&lt;Rules!$H$1,MAX(E544:J544)-LARGE(E544:J544,2)&lt;Rules!$H$2),"No label",INDEX($E$1:$J$1,MATCH(MAX(E544:J544),E544:J544,0)))</f>
        <v>No label</v>
      </c>
      <c r="L544" s="0" t="n">
        <f aca="false">SUMPRODUCT((Rules!$A$2:$A$60=L$1)*Rules!$C$2:$C$60*ISNUMBER(SEARCH(Rules!$E$2:$E$60,$D544)))</f>
        <v>0</v>
      </c>
      <c r="M544" s="0" t="n">
        <f aca="false">SUMPRODUCT((Rules!$A$2:$A$60=M$1)*Rules!$C$2:$C$60*ISNUMBER(SEARCH(Rules!$E$2:$E$60,$D544)))</f>
        <v>0</v>
      </c>
      <c r="N544" s="0" t="n">
        <f aca="false">SUMPRODUCT((Rules!$A$2:$A$60=N$1)*Rules!$C$2:$C$60*ISNUMBER(SEARCH(Rules!$E$2:$E$60,$D544)))</f>
        <v>0</v>
      </c>
      <c r="O544" s="0" t="n">
        <f aca="false">SUMPRODUCT((Rules!$A$2:$A$60=O$1)*Rules!$C$2:$C$60*ISNUMBER(SEARCH(Rules!$E$2:$E$60,$D544)))</f>
        <v>2</v>
      </c>
      <c r="P544" s="0" t="n">
        <f aca="false">SUMPRODUCT((Rules!$A$2:$A$60=P$1)*Rules!$C$2:$C$60*ISNUMBER(SEARCH(Rules!$E$2:$E$60,$D544)))</f>
        <v>0</v>
      </c>
      <c r="Q544" s="0" t="n">
        <f aca="false">SUMPRODUCT((Rules!$A$2:$A$60=Q$1)*Rules!$C$2:$C$60*ISNUMBER(SEARCH(Rules!$E$2:$E$60,$D544)))</f>
        <v>0</v>
      </c>
      <c r="R544" s="0" t="str">
        <f aca="false">IF(OR(MAX(L544:Q544)&lt;Rules!$H$1,MAX(L544:Q544)-LARGE(L544:Q544,2)&lt;Rules!$H$2),"No label",INDEX($L$1:$Q$1,MATCH(MAX(L544:Q544),L544:Q544,0)))</f>
        <v>No label</v>
      </c>
      <c r="S544" s="0" t="n">
        <f aca="false">SUMPRODUCT(ISNUMBER(SEARCH(" "&amp;Terms!$A$3:$A$821&amp;" ",$D544))*Terms!B$3:B$821)+Terms!B$2</f>
        <v>-7.21863045478373</v>
      </c>
      <c r="T544" s="0" t="n">
        <f aca="false">SUMPRODUCT(ISNUMBER(SEARCH(" "&amp;Terms!$A$3:$A$821&amp;" ",$D544))*Terms!C$3:C$821)+Terms!C$2</f>
        <v>4.2575424300616</v>
      </c>
      <c r="U544" s="0" t="n">
        <f aca="false">SUMPRODUCT(ISNUMBER(SEARCH(" "&amp;Terms!$A$3:$A$821&amp;" ",$D544))*Terms!D$3:D$821)+Terms!D$2</f>
        <v>-2.613551149109</v>
      </c>
      <c r="V544" s="0" t="n">
        <f aca="false">SUMPRODUCT(ISNUMBER(SEARCH(" "&amp;Terms!$A$3:$A$821&amp;" ",$D544))*Terms!E$3:E$821)+Terms!E$2</f>
        <v>15.2958362740162</v>
      </c>
      <c r="W544" s="0" t="n">
        <f aca="false">SUMPRODUCT(ISNUMBER(SEARCH(" "&amp;Terms!$A$3:$A$821&amp;" ",$D544))*Terms!F$3:F$821)+Terms!F$2</f>
        <v>-1.56010360307847</v>
      </c>
      <c r="X544" s="0" t="n">
        <f aca="false">SUMPRODUCT(ISNUMBER(SEARCH(" "&amp;Terms!$A$3:$A$821&amp;" ",$D544))*Terms!G$3:G$821)+Terms!G$2</f>
        <v>-8.16109349710645</v>
      </c>
      <c r="Y544" s="0" t="str">
        <f aca="false">INDEX($S$1:$X$1,MATCH(MAX(S544:X544),S544:X544,0))</f>
        <v>Fees &amp; Charges</v>
      </c>
      <c r="Z544" s="0" t="s">
        <v>2607</v>
      </c>
    </row>
    <row r="545" customFormat="false" ht="15" hidden="false" customHeight="false" outlineLevel="0" collapsed="false">
      <c r="A545" s="0" t="str">
        <f aca="false">Complaints!A545</f>
        <v>C0544</v>
      </c>
      <c r="B545" s="0" t="str">
        <f aca="false">Complaints!B545</f>
        <v>I am writing to complain. There is an unexpected charge on my statement of £25. Also, the app crashes every time I try to open my statements. Please sort this out.</v>
      </c>
      <c r="C545" s="0" t="str">
        <f aca="false">Complaints!C545</f>
        <v>Fees &amp; Charges</v>
      </c>
      <c r="D545" s="0" t="str">
        <f aca="false">" "&amp;TRIM(SUBSTITUTE(SUBSTITUTE(SUBSTITUTE(SUBSTITUTE(SUBSTITUTE(SUBSTITUTE(SUBSTITUTE(SUBSTITUTE(SUBSTITUTE(SUBSTITUTE(SUBSTITUTE(SUBSTITUTE(SUBSTITUTE(SUBSTITUTE(SUBSTITUTE(SUBSTITUTE(LOWER(B545),"."," "),","," "),"'"," "),"’"," "),"!"," "),"?"," "),";"," "),":"," "),"-"," "),"("," "),")"," "),"""", " "),"£"," "),"&amp;"," "),"/"," "),"%"," "))&amp;" "</f>
        <v> i am writing to complain there is an unexpected charge on my statement of 25 also the app crashes every time i try to open my statements please sort this out </v>
      </c>
      <c r="E545" s="0" t="n">
        <f aca="false">SUMPRODUCT((Rules!$A$2:$A$60=E$1)*Rules!$C$2:$C$60*ISNUMBER(SEARCH(Rules!$D$2:$D$60,$D545)))</f>
        <v>0</v>
      </c>
      <c r="F545" s="0" t="n">
        <f aca="false">SUMPRODUCT((Rules!$A$2:$A$60=F$1)*Rules!$C$2:$C$60*ISNUMBER(SEARCH(Rules!$D$2:$D$60,$D545)))</f>
        <v>0</v>
      </c>
      <c r="G545" s="0" t="n">
        <f aca="false">SUMPRODUCT((Rules!$A$2:$A$60=G$1)*Rules!$C$2:$C$60*ISNUMBER(SEARCH(Rules!$D$2:$D$60,$D545)))</f>
        <v>3</v>
      </c>
      <c r="H545" s="0" t="n">
        <f aca="false">SUMPRODUCT((Rules!$A$2:$A$60=H$1)*Rules!$C$2:$C$60*ISNUMBER(SEARCH(Rules!$D$2:$D$60,$D545)))</f>
        <v>3</v>
      </c>
      <c r="I545" s="0" t="n">
        <f aca="false">SUMPRODUCT((Rules!$A$2:$A$60=I$1)*Rules!$C$2:$C$60*ISNUMBER(SEARCH(Rules!$D$2:$D$60,$D545)))</f>
        <v>0</v>
      </c>
      <c r="J545" s="0" t="n">
        <f aca="false">SUMPRODUCT((Rules!$A$2:$A$60=J$1)*Rules!$C$2:$C$60*ISNUMBER(SEARCH(Rules!$D$2:$D$60,$D545)))</f>
        <v>0</v>
      </c>
      <c r="K545" s="0" t="str">
        <f aca="false">IF(OR(MAX(E545:J545)&lt;Rules!$H$1,MAX(E545:J545)-LARGE(E545:J545,2)&lt;Rules!$H$2),"No label",INDEX($E$1:$J$1,MATCH(MAX(E545:J545),E545:J545,0)))</f>
        <v>No label</v>
      </c>
      <c r="L545" s="0" t="n">
        <f aca="false">SUMPRODUCT((Rules!$A$2:$A$60=L$1)*Rules!$C$2:$C$60*ISNUMBER(SEARCH(Rules!$E$2:$E$60,$D545)))</f>
        <v>0</v>
      </c>
      <c r="M545" s="0" t="n">
        <f aca="false">SUMPRODUCT((Rules!$A$2:$A$60=M$1)*Rules!$C$2:$C$60*ISNUMBER(SEARCH(Rules!$E$2:$E$60,$D545)))</f>
        <v>0</v>
      </c>
      <c r="N545" s="0" t="n">
        <f aca="false">SUMPRODUCT((Rules!$A$2:$A$60=N$1)*Rules!$C$2:$C$60*ISNUMBER(SEARCH(Rules!$E$2:$E$60,$D545)))</f>
        <v>3</v>
      </c>
      <c r="O545" s="0" t="n">
        <f aca="false">SUMPRODUCT((Rules!$A$2:$A$60=O$1)*Rules!$C$2:$C$60*ISNUMBER(SEARCH(Rules!$E$2:$E$60,$D545)))</f>
        <v>5</v>
      </c>
      <c r="P545" s="0" t="n">
        <f aca="false">SUMPRODUCT((Rules!$A$2:$A$60=P$1)*Rules!$C$2:$C$60*ISNUMBER(SEARCH(Rules!$E$2:$E$60,$D545)))</f>
        <v>0</v>
      </c>
      <c r="Q545" s="0" t="n">
        <f aca="false">SUMPRODUCT((Rules!$A$2:$A$60=Q$1)*Rules!$C$2:$C$60*ISNUMBER(SEARCH(Rules!$E$2:$E$60,$D545)))</f>
        <v>0</v>
      </c>
      <c r="R545" s="0" t="str">
        <f aca="false">IF(OR(MAX(L545:Q545)&lt;Rules!$H$1,MAX(L545:Q545)-LARGE(L545:Q545,2)&lt;Rules!$H$2),"No label",INDEX($L$1:$Q$1,MATCH(MAX(L545:Q545),L545:Q545,0)))</f>
        <v>Fees &amp; Charges</v>
      </c>
      <c r="S545" s="0" t="n">
        <f aca="false">SUMPRODUCT(ISNUMBER(SEARCH(" "&amp;Terms!$A$3:$A$821&amp;" ",$D545))*Terms!B$3:B$821)+Terms!B$2</f>
        <v>3.12379007362961</v>
      </c>
      <c r="T545" s="0" t="n">
        <f aca="false">SUMPRODUCT(ISNUMBER(SEARCH(" "&amp;Terms!$A$3:$A$821&amp;" ",$D545))*Terms!C$3:C$821)+Terms!C$2</f>
        <v>-0.942230687700092</v>
      </c>
      <c r="U545" s="0" t="n">
        <f aca="false">SUMPRODUCT(ISNUMBER(SEARCH(" "&amp;Terms!$A$3:$A$821&amp;" ",$D545))*Terms!D$3:D$821)+Terms!D$2</f>
        <v>-2.96176235213546</v>
      </c>
      <c r="V545" s="0" t="n">
        <f aca="false">SUMPRODUCT(ISNUMBER(SEARCH(" "&amp;Terms!$A$3:$A$821&amp;" ",$D545))*Terms!E$3:E$821)+Terms!E$2</f>
        <v>9.34357456561495</v>
      </c>
      <c r="W545" s="0" t="n">
        <f aca="false">SUMPRODUCT(ISNUMBER(SEARCH(" "&amp;Terms!$A$3:$A$821&amp;" ",$D545))*Terms!F$3:F$821)+Terms!F$2</f>
        <v>-3.8709889655197</v>
      </c>
      <c r="X545" s="0" t="n">
        <f aca="false">SUMPRODUCT(ISNUMBER(SEARCH(" "&amp;Terms!$A$3:$A$821&amp;" ",$D545))*Terms!G$3:G$821)+Terms!G$2</f>
        <v>-4.6923826338892</v>
      </c>
      <c r="Y545" s="0" t="str">
        <f aca="false">INDEX($S$1:$X$1,MATCH(MAX(S545:X545),S545:X545,0))</f>
        <v>Fees &amp; Charges</v>
      </c>
      <c r="Z545" s="0" t="s">
        <v>2607</v>
      </c>
    </row>
    <row r="546" customFormat="false" ht="15" hidden="false" customHeight="false" outlineLevel="0" collapsed="false">
      <c r="A546" s="0" t="str">
        <f aca="false">Complaints!A546</f>
        <v>C0545</v>
      </c>
      <c r="B546" s="0" t="str">
        <f aca="false">Complaints!B546</f>
        <v>Hello, The fraud team closed my case without investigating properly. I want this put right.</v>
      </c>
      <c r="C546" s="0" t="str">
        <f aca="false">Complaints!C546</f>
        <v>Fraud &amp; Scams</v>
      </c>
      <c r="D546" s="0" t="str">
        <f aca="false">" "&amp;TRIM(SUBSTITUTE(SUBSTITUTE(SUBSTITUTE(SUBSTITUTE(SUBSTITUTE(SUBSTITUTE(SUBSTITUTE(SUBSTITUTE(SUBSTITUTE(SUBSTITUTE(SUBSTITUTE(SUBSTITUTE(SUBSTITUTE(SUBSTITUTE(SUBSTITUTE(SUBSTITUTE(LOWER(B546),"."," "),","," "),"'"," "),"’"," "),"!"," "),"?"," "),";"," "),":"," "),"-"," "),"("," "),")"," "),"""", " "),"£"," "),"&amp;"," "),"/"," "),"%"," "))&amp;" "</f>
        <v> hello the fraud team closed my case without investigating properly i want this put right </v>
      </c>
      <c r="E546" s="0" t="n">
        <f aca="false">SUMPRODUCT((Rules!$A$2:$A$60=E$1)*Rules!$C$2:$C$60*ISNUMBER(SEARCH(Rules!$D$2:$D$60,$D546)))</f>
        <v>3</v>
      </c>
      <c r="F546" s="0" t="n">
        <f aca="false">SUMPRODUCT((Rules!$A$2:$A$60=F$1)*Rules!$C$2:$C$60*ISNUMBER(SEARCH(Rules!$D$2:$D$60,$D546)))</f>
        <v>0</v>
      </c>
      <c r="G546" s="0" t="n">
        <f aca="false">SUMPRODUCT((Rules!$A$2:$A$60=G$1)*Rules!$C$2:$C$60*ISNUMBER(SEARCH(Rules!$D$2:$D$60,$D546)))</f>
        <v>0</v>
      </c>
      <c r="H546" s="0" t="n">
        <f aca="false">SUMPRODUCT((Rules!$A$2:$A$60=H$1)*Rules!$C$2:$C$60*ISNUMBER(SEARCH(Rules!$D$2:$D$60,$D546)))</f>
        <v>0</v>
      </c>
      <c r="I546" s="0" t="n">
        <f aca="false">SUMPRODUCT((Rules!$A$2:$A$60=I$1)*Rules!$C$2:$C$60*ISNUMBER(SEARCH(Rules!$D$2:$D$60,$D546)))</f>
        <v>0</v>
      </c>
      <c r="J546" s="0" t="n">
        <f aca="false">SUMPRODUCT((Rules!$A$2:$A$60=J$1)*Rules!$C$2:$C$60*ISNUMBER(SEARCH(Rules!$D$2:$D$60,$D546)))</f>
        <v>0</v>
      </c>
      <c r="K546" s="0" t="str">
        <f aca="false">IF(OR(MAX(E546:J546)&lt;Rules!$H$1,MAX(E546:J546)-LARGE(E546:J546,2)&lt;Rules!$H$2),"No label",INDEX($E$1:$J$1,MATCH(MAX(E546:J546),E546:J546,0)))</f>
        <v>Fraud &amp; Scams</v>
      </c>
      <c r="L546" s="0" t="n">
        <f aca="false">SUMPRODUCT((Rules!$A$2:$A$60=L$1)*Rules!$C$2:$C$60*ISNUMBER(SEARCH(Rules!$E$2:$E$60,$D546)))</f>
        <v>3</v>
      </c>
      <c r="M546" s="0" t="n">
        <f aca="false">SUMPRODUCT((Rules!$A$2:$A$60=M$1)*Rules!$C$2:$C$60*ISNUMBER(SEARCH(Rules!$E$2:$E$60,$D546)))</f>
        <v>0</v>
      </c>
      <c r="N546" s="0" t="n">
        <f aca="false">SUMPRODUCT((Rules!$A$2:$A$60=N$1)*Rules!$C$2:$C$60*ISNUMBER(SEARCH(Rules!$E$2:$E$60,$D546)))</f>
        <v>0</v>
      </c>
      <c r="O546" s="0" t="n">
        <f aca="false">SUMPRODUCT((Rules!$A$2:$A$60=O$1)*Rules!$C$2:$C$60*ISNUMBER(SEARCH(Rules!$E$2:$E$60,$D546)))</f>
        <v>0</v>
      </c>
      <c r="P546" s="0" t="n">
        <f aca="false">SUMPRODUCT((Rules!$A$2:$A$60=P$1)*Rules!$C$2:$C$60*ISNUMBER(SEARCH(Rules!$E$2:$E$60,$D546)))</f>
        <v>0</v>
      </c>
      <c r="Q546" s="0" t="n">
        <f aca="false">SUMPRODUCT((Rules!$A$2:$A$60=Q$1)*Rules!$C$2:$C$60*ISNUMBER(SEARCH(Rules!$E$2:$E$60,$D546)))</f>
        <v>0</v>
      </c>
      <c r="R546" s="0" t="str">
        <f aca="false">IF(OR(MAX(L546:Q546)&lt;Rules!$H$1,MAX(L546:Q546)-LARGE(L546:Q546,2)&lt;Rules!$H$2),"No label",INDEX($L$1:$Q$1,MATCH(MAX(L546:Q546),L546:Q546,0)))</f>
        <v>Fraud &amp; Scams</v>
      </c>
      <c r="S546" s="0" t="n">
        <f aca="false">SUMPRODUCT(ISNUMBER(SEARCH(" "&amp;Terms!$A$3:$A$821&amp;" ",$D546))*Terms!B$3:B$821)+Terms!B$2</f>
        <v>-4.08441539014078</v>
      </c>
      <c r="T546" s="0" t="n">
        <f aca="false">SUMPRODUCT(ISNUMBER(SEARCH(" "&amp;Terms!$A$3:$A$821&amp;" ",$D546))*Terms!C$3:C$821)+Terms!C$2</f>
        <v>-1.49200405886614</v>
      </c>
      <c r="U546" s="0" t="n">
        <f aca="false">SUMPRODUCT(ISNUMBER(SEARCH(" "&amp;Terms!$A$3:$A$821&amp;" ",$D546))*Terms!D$3:D$821)+Terms!D$2</f>
        <v>-4.41764306616384</v>
      </c>
      <c r="V546" s="0" t="n">
        <f aca="false">SUMPRODUCT(ISNUMBER(SEARCH(" "&amp;Terms!$A$3:$A$821&amp;" ",$D546))*Terms!E$3:E$821)+Terms!E$2</f>
        <v>-1.46200658951056</v>
      </c>
      <c r="W546" s="0" t="n">
        <f aca="false">SUMPRODUCT(ISNUMBER(SEARCH(" "&amp;Terms!$A$3:$A$821&amp;" ",$D546))*Terms!F$3:F$821)+Terms!F$2</f>
        <v>13.2896092828192</v>
      </c>
      <c r="X546" s="0" t="n">
        <f aca="false">SUMPRODUCT(ISNUMBER(SEARCH(" "&amp;Terms!$A$3:$A$821&amp;" ",$D546))*Terms!G$3:G$821)+Terms!G$2</f>
        <v>-1.83354017813782</v>
      </c>
      <c r="Y546" s="0" t="str">
        <f aca="false">INDEX($S$1:$X$1,MATCH(MAX(S546:X546),S546:X546,0))</f>
        <v>Fraud &amp; Scams</v>
      </c>
      <c r="Z546" s="0" t="s">
        <v>2607</v>
      </c>
    </row>
    <row r="547" customFormat="false" ht="15" hidden="false" customHeight="false" outlineLevel="0" collapsed="false">
      <c r="A547" s="0" t="str">
        <f aca="false">Complaints!A547</f>
        <v>C0546</v>
      </c>
      <c r="B547" s="0" t="str">
        <f aca="false">Complaints!B547</f>
        <v>Hello, The closure of my old account has dragged on for months. I do not think it was explained properly when I bought it.</v>
      </c>
      <c r="C547" s="0" t="str">
        <f aca="false">Complaints!C547</f>
        <v>Delays &amp; Processing</v>
      </c>
      <c r="D547" s="0" t="str">
        <f aca="false">" "&amp;TRIM(SUBSTITUTE(SUBSTITUTE(SUBSTITUTE(SUBSTITUTE(SUBSTITUTE(SUBSTITUTE(SUBSTITUTE(SUBSTITUTE(SUBSTITUTE(SUBSTITUTE(SUBSTITUTE(SUBSTITUTE(SUBSTITUTE(SUBSTITUTE(SUBSTITUTE(SUBSTITUTE(LOWER(B547),"."," "),","," "),"'"," "),"’"," "),"!"," "),"?"," "),";"," "),":"," "),"-"," "),"("," "),")"," "),"""", " "),"£"," "),"&amp;"," "),"/"," "),"%"," "))&amp;" "</f>
        <v> hello the closure of my old account has dragged on for months i do not think it was explained properly when i bought it </v>
      </c>
      <c r="E547" s="0" t="n">
        <f aca="false">SUMPRODUCT((Rules!$A$2:$A$60=E$1)*Rules!$C$2:$C$60*ISNUMBER(SEARCH(Rules!$D$2:$D$60,$D547)))</f>
        <v>0</v>
      </c>
      <c r="F547" s="0" t="n">
        <f aca="false">SUMPRODUCT((Rules!$A$2:$A$60=F$1)*Rules!$C$2:$C$60*ISNUMBER(SEARCH(Rules!$D$2:$D$60,$D547)))</f>
        <v>0</v>
      </c>
      <c r="G547" s="0" t="n">
        <f aca="false">SUMPRODUCT((Rules!$A$2:$A$60=G$1)*Rules!$C$2:$C$60*ISNUMBER(SEARCH(Rules!$D$2:$D$60,$D547)))</f>
        <v>0</v>
      </c>
      <c r="H547" s="0" t="n">
        <f aca="false">SUMPRODUCT((Rules!$A$2:$A$60=H$1)*Rules!$C$2:$C$60*ISNUMBER(SEARCH(Rules!$D$2:$D$60,$D547)))</f>
        <v>0</v>
      </c>
      <c r="I547" s="0" t="n">
        <f aca="false">SUMPRODUCT((Rules!$A$2:$A$60=I$1)*Rules!$C$2:$C$60*ISNUMBER(SEARCH(Rules!$D$2:$D$60,$D547)))</f>
        <v>2</v>
      </c>
      <c r="J547" s="0" t="n">
        <f aca="false">SUMPRODUCT((Rules!$A$2:$A$60=J$1)*Rules!$C$2:$C$60*ISNUMBER(SEARCH(Rules!$D$2:$D$60,$D547)))</f>
        <v>0</v>
      </c>
      <c r="K547" s="0" t="str">
        <f aca="false">IF(OR(MAX(E547:J547)&lt;Rules!$H$1,MAX(E547:J547)-LARGE(E547:J547,2)&lt;Rules!$H$2),"No label",INDEX($E$1:$J$1,MATCH(MAX(E547:J547),E547:J547,0)))</f>
        <v>No label</v>
      </c>
      <c r="L547" s="0" t="n">
        <f aca="false">SUMPRODUCT((Rules!$A$2:$A$60=L$1)*Rules!$C$2:$C$60*ISNUMBER(SEARCH(Rules!$E$2:$E$60,$D547)))</f>
        <v>0</v>
      </c>
      <c r="M547" s="0" t="n">
        <f aca="false">SUMPRODUCT((Rules!$A$2:$A$60=M$1)*Rules!$C$2:$C$60*ISNUMBER(SEARCH(Rules!$E$2:$E$60,$D547)))</f>
        <v>0</v>
      </c>
      <c r="N547" s="0" t="n">
        <f aca="false">SUMPRODUCT((Rules!$A$2:$A$60=N$1)*Rules!$C$2:$C$60*ISNUMBER(SEARCH(Rules!$E$2:$E$60,$D547)))</f>
        <v>0</v>
      </c>
      <c r="O547" s="0" t="n">
        <f aca="false">SUMPRODUCT((Rules!$A$2:$A$60=O$1)*Rules!$C$2:$C$60*ISNUMBER(SEARCH(Rules!$E$2:$E$60,$D547)))</f>
        <v>0</v>
      </c>
      <c r="P547" s="0" t="n">
        <f aca="false">SUMPRODUCT((Rules!$A$2:$A$60=P$1)*Rules!$C$2:$C$60*ISNUMBER(SEARCH(Rules!$E$2:$E$60,$D547)))</f>
        <v>2</v>
      </c>
      <c r="Q547" s="0" t="n">
        <f aca="false">SUMPRODUCT((Rules!$A$2:$A$60=Q$1)*Rules!$C$2:$C$60*ISNUMBER(SEARCH(Rules!$E$2:$E$60,$D547)))</f>
        <v>0</v>
      </c>
      <c r="R547" s="0" t="str">
        <f aca="false">IF(OR(MAX(L547:Q547)&lt;Rules!$H$1,MAX(L547:Q547)-LARGE(L547:Q547,2)&lt;Rules!$H$2),"No label",INDEX($L$1:$Q$1,MATCH(MAX(L547:Q547),L547:Q547,0)))</f>
        <v>No label</v>
      </c>
      <c r="S547" s="0" t="n">
        <f aca="false">SUMPRODUCT(ISNUMBER(SEARCH(" "&amp;Terms!$A$3:$A$821&amp;" ",$D547))*Terms!B$3:B$821)+Terms!B$2</f>
        <v>-0.494363521290612</v>
      </c>
      <c r="T547" s="0" t="n">
        <f aca="false">SUMPRODUCT(ISNUMBER(SEARCH(" "&amp;Terms!$A$3:$A$821&amp;" ",$D547))*Terms!C$3:C$821)+Terms!C$2</f>
        <v>-1.76090132573135</v>
      </c>
      <c r="U547" s="0" t="n">
        <f aca="false">SUMPRODUCT(ISNUMBER(SEARCH(" "&amp;Terms!$A$3:$A$821&amp;" ",$D547))*Terms!D$3:D$821)+Terms!D$2</f>
        <v>7.13118551442663</v>
      </c>
      <c r="V547" s="0" t="n">
        <f aca="false">SUMPRODUCT(ISNUMBER(SEARCH(" "&amp;Terms!$A$3:$A$821&amp;" ",$D547))*Terms!E$3:E$821)+Terms!E$2</f>
        <v>-0.110559161154579</v>
      </c>
      <c r="W547" s="0" t="n">
        <f aca="false">SUMPRODUCT(ISNUMBER(SEARCH(" "&amp;Terms!$A$3:$A$821&amp;" ",$D547))*Terms!F$3:F$821)+Terms!F$2</f>
        <v>1.09420049617469</v>
      </c>
      <c r="X547" s="0" t="n">
        <f aca="false">SUMPRODUCT(ISNUMBER(SEARCH(" "&amp;Terms!$A$3:$A$821&amp;" ",$D547))*Terms!G$3:G$821)+Terms!G$2</f>
        <v>-5.85956200242468</v>
      </c>
      <c r="Y547" s="0" t="str">
        <f aca="false">INDEX($S$1:$X$1,MATCH(MAX(S547:X547),S547:X547,0))</f>
        <v>Delays &amp; Processing</v>
      </c>
      <c r="Z547" s="0" t="s">
        <v>2607</v>
      </c>
    </row>
    <row r="548" customFormat="false" ht="15" hidden="false" customHeight="false" outlineLevel="0" collapsed="false">
      <c r="A548" s="0" t="str">
        <f aca="false">Complaints!A548</f>
        <v>C0547</v>
      </c>
      <c r="B548" s="0" t="str">
        <f aca="false">Complaints!B548</f>
        <v>I have been a customer for years. I think I was the victim of a scam and sent money to a fraudster. I expect compensation.</v>
      </c>
      <c r="C548" s="0" t="str">
        <f aca="false">Complaints!C548</f>
        <v>Fraud &amp; Scams</v>
      </c>
      <c r="D548" s="0" t="str">
        <f aca="false">" "&amp;TRIM(SUBSTITUTE(SUBSTITUTE(SUBSTITUTE(SUBSTITUTE(SUBSTITUTE(SUBSTITUTE(SUBSTITUTE(SUBSTITUTE(SUBSTITUTE(SUBSTITUTE(SUBSTITUTE(SUBSTITUTE(SUBSTITUTE(SUBSTITUTE(SUBSTITUTE(SUBSTITUTE(LOWER(B548),"."," "),","," "),"'"," "),"’"," "),"!"," "),"?"," "),";"," "),":"," "),"-"," "),"("," "),")"," "),"""", " "),"£"," "),"&amp;"," "),"/"," "),"%"," "))&amp;" "</f>
        <v> i have been a customer for years i think i was the victim of a scam and sent money to a fraudster i expect compensation </v>
      </c>
      <c r="E548" s="0" t="n">
        <f aca="false">SUMPRODUCT((Rules!$A$2:$A$60=E$1)*Rules!$C$2:$C$60*ISNUMBER(SEARCH(Rules!$D$2:$D$60,$D548)))</f>
        <v>6</v>
      </c>
      <c r="F548" s="0" t="n">
        <f aca="false">SUMPRODUCT((Rules!$A$2:$A$60=F$1)*Rules!$C$2:$C$60*ISNUMBER(SEARCH(Rules!$D$2:$D$60,$D548)))</f>
        <v>0</v>
      </c>
      <c r="G548" s="0" t="n">
        <f aca="false">SUMPRODUCT((Rules!$A$2:$A$60=G$1)*Rules!$C$2:$C$60*ISNUMBER(SEARCH(Rules!$D$2:$D$60,$D548)))</f>
        <v>0</v>
      </c>
      <c r="H548" s="0" t="n">
        <f aca="false">SUMPRODUCT((Rules!$A$2:$A$60=H$1)*Rules!$C$2:$C$60*ISNUMBER(SEARCH(Rules!$D$2:$D$60,$D548)))</f>
        <v>0</v>
      </c>
      <c r="I548" s="0" t="n">
        <f aca="false">SUMPRODUCT((Rules!$A$2:$A$60=I$1)*Rules!$C$2:$C$60*ISNUMBER(SEARCH(Rules!$D$2:$D$60,$D548)))</f>
        <v>0</v>
      </c>
      <c r="J548" s="0" t="n">
        <f aca="false">SUMPRODUCT((Rules!$A$2:$A$60=J$1)*Rules!$C$2:$C$60*ISNUMBER(SEARCH(Rules!$D$2:$D$60,$D548)))</f>
        <v>0</v>
      </c>
      <c r="K548" s="0" t="str">
        <f aca="false">IF(OR(MAX(E548:J548)&lt;Rules!$H$1,MAX(E548:J548)-LARGE(E548:J548,2)&lt;Rules!$H$2),"No label",INDEX($E$1:$J$1,MATCH(MAX(E548:J548),E548:J548,0)))</f>
        <v>Fraud &amp; Scams</v>
      </c>
      <c r="L548" s="0" t="n">
        <f aca="false">SUMPRODUCT((Rules!$A$2:$A$60=L$1)*Rules!$C$2:$C$60*ISNUMBER(SEARCH(Rules!$E$2:$E$60,$D548)))</f>
        <v>6</v>
      </c>
      <c r="M548" s="0" t="n">
        <f aca="false">SUMPRODUCT((Rules!$A$2:$A$60=M$1)*Rules!$C$2:$C$60*ISNUMBER(SEARCH(Rules!$E$2:$E$60,$D548)))</f>
        <v>0</v>
      </c>
      <c r="N548" s="0" t="n">
        <f aca="false">SUMPRODUCT((Rules!$A$2:$A$60=N$1)*Rules!$C$2:$C$60*ISNUMBER(SEARCH(Rules!$E$2:$E$60,$D548)))</f>
        <v>0</v>
      </c>
      <c r="O548" s="0" t="n">
        <f aca="false">SUMPRODUCT((Rules!$A$2:$A$60=O$1)*Rules!$C$2:$C$60*ISNUMBER(SEARCH(Rules!$E$2:$E$60,$D548)))</f>
        <v>0</v>
      </c>
      <c r="P548" s="0" t="n">
        <f aca="false">SUMPRODUCT((Rules!$A$2:$A$60=P$1)*Rules!$C$2:$C$60*ISNUMBER(SEARCH(Rules!$E$2:$E$60,$D548)))</f>
        <v>0</v>
      </c>
      <c r="Q548" s="0" t="n">
        <f aca="false">SUMPRODUCT((Rules!$A$2:$A$60=Q$1)*Rules!$C$2:$C$60*ISNUMBER(SEARCH(Rules!$E$2:$E$60,$D548)))</f>
        <v>0</v>
      </c>
      <c r="R548" s="0" t="str">
        <f aca="false">IF(OR(MAX(L548:Q548)&lt;Rules!$H$1,MAX(L548:Q548)-LARGE(L548:Q548,2)&lt;Rules!$H$2),"No label",INDEX($L$1:$Q$1,MATCH(MAX(L548:Q548),L548:Q548,0)))</f>
        <v>Fraud &amp; Scams</v>
      </c>
      <c r="S548" s="0" t="n">
        <f aca="false">SUMPRODUCT(ISNUMBER(SEARCH(" "&amp;Terms!$A$3:$A$821&amp;" ",$D548))*Terms!B$3:B$821)+Terms!B$2</f>
        <v>3.11695925613673</v>
      </c>
      <c r="T548" s="0" t="n">
        <f aca="false">SUMPRODUCT(ISNUMBER(SEARCH(" "&amp;Terms!$A$3:$A$821&amp;" ",$D548))*Terms!C$3:C$821)+Terms!C$2</f>
        <v>-3.996461853819</v>
      </c>
      <c r="U548" s="0" t="n">
        <f aca="false">SUMPRODUCT(ISNUMBER(SEARCH(" "&amp;Terms!$A$3:$A$821&amp;" ",$D548))*Terms!D$3:D$821)+Terms!D$2</f>
        <v>-0.656398532225889</v>
      </c>
      <c r="V548" s="0" t="n">
        <f aca="false">SUMPRODUCT(ISNUMBER(SEARCH(" "&amp;Terms!$A$3:$A$821&amp;" ",$D548))*Terms!E$3:E$821)+Terms!E$2</f>
        <v>-3.88339495590217</v>
      </c>
      <c r="W548" s="0" t="n">
        <f aca="false">SUMPRODUCT(ISNUMBER(SEARCH(" "&amp;Terms!$A$3:$A$821&amp;" ",$D548))*Terms!F$3:F$821)+Terms!F$2</f>
        <v>9.80429852028166</v>
      </c>
      <c r="X548" s="0" t="n">
        <f aca="false">SUMPRODUCT(ISNUMBER(SEARCH(" "&amp;Terms!$A$3:$A$821&amp;" ",$D548))*Terms!G$3:G$821)+Terms!G$2</f>
        <v>-4.38500243447123</v>
      </c>
      <c r="Y548" s="0" t="str">
        <f aca="false">INDEX($S$1:$X$1,MATCH(MAX(S548:X548),S548:X548,0))</f>
        <v>Fraud &amp; Scams</v>
      </c>
      <c r="Z548" s="0" t="s">
        <v>2607</v>
      </c>
    </row>
    <row r="549" customFormat="false" ht="15" hidden="false" customHeight="false" outlineLevel="0" collapsed="false">
      <c r="A549" s="0" t="str">
        <f aca="false">Complaints!A549</f>
        <v>C0548</v>
      </c>
      <c r="B549" s="0" t="str">
        <f aca="false">Complaints!B549</f>
        <v>To whom it may concern, I think I was the victim of a scam and sent money to a fraudster.</v>
      </c>
      <c r="C549" s="0" t="str">
        <f aca="false">Complaints!C549</f>
        <v>Fraud &amp; Scams</v>
      </c>
      <c r="D549" s="0" t="str">
        <f aca="false">" "&amp;TRIM(SUBSTITUTE(SUBSTITUTE(SUBSTITUTE(SUBSTITUTE(SUBSTITUTE(SUBSTITUTE(SUBSTITUTE(SUBSTITUTE(SUBSTITUTE(SUBSTITUTE(SUBSTITUTE(SUBSTITUTE(SUBSTITUTE(SUBSTITUTE(SUBSTITUTE(SUBSTITUTE(LOWER(B549),"."," "),","," "),"'"," "),"’"," "),"!"," "),"?"," "),";"," "),":"," "),"-"," "),"("," "),")"," "),"""", " "),"£"," "),"&amp;"," "),"/"," "),"%"," "))&amp;" "</f>
        <v> to whom it may concern i think i was the victim of a scam and sent money to a fraudster </v>
      </c>
      <c r="E549" s="0" t="n">
        <f aca="false">SUMPRODUCT((Rules!$A$2:$A$60=E$1)*Rules!$C$2:$C$60*ISNUMBER(SEARCH(Rules!$D$2:$D$60,$D549)))</f>
        <v>6</v>
      </c>
      <c r="F549" s="0" t="n">
        <f aca="false">SUMPRODUCT((Rules!$A$2:$A$60=F$1)*Rules!$C$2:$C$60*ISNUMBER(SEARCH(Rules!$D$2:$D$60,$D549)))</f>
        <v>0</v>
      </c>
      <c r="G549" s="0" t="n">
        <f aca="false">SUMPRODUCT((Rules!$A$2:$A$60=G$1)*Rules!$C$2:$C$60*ISNUMBER(SEARCH(Rules!$D$2:$D$60,$D549)))</f>
        <v>0</v>
      </c>
      <c r="H549" s="0" t="n">
        <f aca="false">SUMPRODUCT((Rules!$A$2:$A$60=H$1)*Rules!$C$2:$C$60*ISNUMBER(SEARCH(Rules!$D$2:$D$60,$D549)))</f>
        <v>0</v>
      </c>
      <c r="I549" s="0" t="n">
        <f aca="false">SUMPRODUCT((Rules!$A$2:$A$60=I$1)*Rules!$C$2:$C$60*ISNUMBER(SEARCH(Rules!$D$2:$D$60,$D549)))</f>
        <v>0</v>
      </c>
      <c r="J549" s="0" t="n">
        <f aca="false">SUMPRODUCT((Rules!$A$2:$A$60=J$1)*Rules!$C$2:$C$60*ISNUMBER(SEARCH(Rules!$D$2:$D$60,$D549)))</f>
        <v>0</v>
      </c>
      <c r="K549" s="0" t="str">
        <f aca="false">IF(OR(MAX(E549:J549)&lt;Rules!$H$1,MAX(E549:J549)-LARGE(E549:J549,2)&lt;Rules!$H$2),"No label",INDEX($E$1:$J$1,MATCH(MAX(E549:J549),E549:J549,0)))</f>
        <v>Fraud &amp; Scams</v>
      </c>
      <c r="L549" s="0" t="n">
        <f aca="false">SUMPRODUCT((Rules!$A$2:$A$60=L$1)*Rules!$C$2:$C$60*ISNUMBER(SEARCH(Rules!$E$2:$E$60,$D549)))</f>
        <v>6</v>
      </c>
      <c r="M549" s="0" t="n">
        <f aca="false">SUMPRODUCT((Rules!$A$2:$A$60=M$1)*Rules!$C$2:$C$60*ISNUMBER(SEARCH(Rules!$E$2:$E$60,$D549)))</f>
        <v>0</v>
      </c>
      <c r="N549" s="0" t="n">
        <f aca="false">SUMPRODUCT((Rules!$A$2:$A$60=N$1)*Rules!$C$2:$C$60*ISNUMBER(SEARCH(Rules!$E$2:$E$60,$D549)))</f>
        <v>0</v>
      </c>
      <c r="O549" s="0" t="n">
        <f aca="false">SUMPRODUCT((Rules!$A$2:$A$60=O$1)*Rules!$C$2:$C$60*ISNUMBER(SEARCH(Rules!$E$2:$E$60,$D549)))</f>
        <v>0</v>
      </c>
      <c r="P549" s="0" t="n">
        <f aca="false">SUMPRODUCT((Rules!$A$2:$A$60=P$1)*Rules!$C$2:$C$60*ISNUMBER(SEARCH(Rules!$E$2:$E$60,$D549)))</f>
        <v>0</v>
      </c>
      <c r="Q549" s="0" t="n">
        <f aca="false">SUMPRODUCT((Rules!$A$2:$A$60=Q$1)*Rules!$C$2:$C$60*ISNUMBER(SEARCH(Rules!$E$2:$E$60,$D549)))</f>
        <v>0</v>
      </c>
      <c r="R549" s="0" t="str">
        <f aca="false">IF(OR(MAX(L549:Q549)&lt;Rules!$H$1,MAX(L549:Q549)-LARGE(L549:Q549,2)&lt;Rules!$H$2),"No label",INDEX($L$1:$Q$1,MATCH(MAX(L549:Q549),L549:Q549,0)))</f>
        <v>Fraud &amp; Scams</v>
      </c>
      <c r="S549" s="0" t="n">
        <f aca="false">SUMPRODUCT(ISNUMBER(SEARCH(" "&amp;Terms!$A$3:$A$821&amp;" ",$D549))*Terms!B$3:B$821)+Terms!B$2</f>
        <v>-0.14473269871606</v>
      </c>
      <c r="T549" s="0" t="n">
        <f aca="false">SUMPRODUCT(ISNUMBER(SEARCH(" "&amp;Terms!$A$3:$A$821&amp;" ",$D549))*Terms!C$3:C$821)+Terms!C$2</f>
        <v>-3.85961566532945</v>
      </c>
      <c r="U549" s="0" t="n">
        <f aca="false">SUMPRODUCT(ISNUMBER(SEARCH(" "&amp;Terms!$A$3:$A$821&amp;" ",$D549))*Terms!D$3:D$821)+Terms!D$2</f>
        <v>-0.819245927779741</v>
      </c>
      <c r="V549" s="0" t="n">
        <f aca="false">SUMPRODUCT(ISNUMBER(SEARCH(" "&amp;Terms!$A$3:$A$821&amp;" ",$D549))*Terms!E$3:E$821)+Terms!E$2</f>
        <v>-1.31597561753045</v>
      </c>
      <c r="W549" s="0" t="n">
        <f aca="false">SUMPRODUCT(ISNUMBER(SEARCH(" "&amp;Terms!$A$3:$A$821&amp;" ",$D549))*Terms!F$3:F$821)+Terms!F$2</f>
        <v>8.76132069391981</v>
      </c>
      <c r="X549" s="0" t="n">
        <f aca="false">SUMPRODUCT(ISNUMBER(SEARCH(" "&amp;Terms!$A$3:$A$821&amp;" ",$D549))*Terms!G$3:G$821)+Terms!G$2</f>
        <v>-2.621750784564</v>
      </c>
      <c r="Y549" s="0" t="str">
        <f aca="false">INDEX($S$1:$X$1,MATCH(MAX(S549:X549),S549:X549,0))</f>
        <v>Fraud &amp; Scams</v>
      </c>
      <c r="Z549" s="0" t="s">
        <v>2607</v>
      </c>
    </row>
    <row r="550" customFormat="false" ht="15" hidden="false" customHeight="false" outlineLevel="0" collapsed="false">
      <c r="A550" s="0" t="str">
        <f aca="false">Complaints!A550</f>
        <v>C0549</v>
      </c>
      <c r="B550" s="0" t="str">
        <f aca="false">Complaints!B550</f>
        <v>I was misled about what the insurance actually included. Please sort this out.</v>
      </c>
      <c r="C550" s="0" t="str">
        <f aca="false">Complaints!C550</f>
        <v>Mis-selling</v>
      </c>
      <c r="D550" s="0" t="str">
        <f aca="false">" "&amp;TRIM(SUBSTITUTE(SUBSTITUTE(SUBSTITUTE(SUBSTITUTE(SUBSTITUTE(SUBSTITUTE(SUBSTITUTE(SUBSTITUTE(SUBSTITUTE(SUBSTITUTE(SUBSTITUTE(SUBSTITUTE(SUBSTITUTE(SUBSTITUTE(SUBSTITUTE(SUBSTITUTE(LOWER(B550),"."," "),","," "),"'"," "),"’"," "),"!"," "),"?"," "),";"," "),":"," "),"-"," "),"("," "),")"," "),"""", " "),"£"," "),"&amp;"," "),"/"," "),"%"," "))&amp;" "</f>
        <v> i was misled about what the insurance actually included please sort this out </v>
      </c>
      <c r="E550" s="0" t="n">
        <f aca="false">SUMPRODUCT((Rules!$A$2:$A$60=E$1)*Rules!$C$2:$C$60*ISNUMBER(SEARCH(Rules!$D$2:$D$60,$D550)))</f>
        <v>0</v>
      </c>
      <c r="F550" s="0" t="n">
        <f aca="false">SUMPRODUCT((Rules!$A$2:$A$60=F$1)*Rules!$C$2:$C$60*ISNUMBER(SEARCH(Rules!$D$2:$D$60,$D550)))</f>
        <v>4</v>
      </c>
      <c r="G550" s="0" t="n">
        <f aca="false">SUMPRODUCT((Rules!$A$2:$A$60=G$1)*Rules!$C$2:$C$60*ISNUMBER(SEARCH(Rules!$D$2:$D$60,$D550)))</f>
        <v>0</v>
      </c>
      <c r="H550" s="0" t="n">
        <f aca="false">SUMPRODUCT((Rules!$A$2:$A$60=H$1)*Rules!$C$2:$C$60*ISNUMBER(SEARCH(Rules!$D$2:$D$60,$D550)))</f>
        <v>0</v>
      </c>
      <c r="I550" s="0" t="n">
        <f aca="false">SUMPRODUCT((Rules!$A$2:$A$60=I$1)*Rules!$C$2:$C$60*ISNUMBER(SEARCH(Rules!$D$2:$D$60,$D550)))</f>
        <v>0</v>
      </c>
      <c r="J550" s="0" t="n">
        <f aca="false">SUMPRODUCT((Rules!$A$2:$A$60=J$1)*Rules!$C$2:$C$60*ISNUMBER(SEARCH(Rules!$D$2:$D$60,$D550)))</f>
        <v>0</v>
      </c>
      <c r="K550" s="0" t="str">
        <f aca="false">IF(OR(MAX(E550:J550)&lt;Rules!$H$1,MAX(E550:J550)-LARGE(E550:J550,2)&lt;Rules!$H$2),"No label",INDEX($E$1:$J$1,MATCH(MAX(E550:J550),E550:J550,0)))</f>
        <v>Mis-selling</v>
      </c>
      <c r="L550" s="0" t="n">
        <f aca="false">SUMPRODUCT((Rules!$A$2:$A$60=L$1)*Rules!$C$2:$C$60*ISNUMBER(SEARCH(Rules!$E$2:$E$60,$D550)))</f>
        <v>0</v>
      </c>
      <c r="M550" s="0" t="n">
        <f aca="false">SUMPRODUCT((Rules!$A$2:$A$60=M$1)*Rules!$C$2:$C$60*ISNUMBER(SEARCH(Rules!$E$2:$E$60,$D550)))</f>
        <v>4</v>
      </c>
      <c r="N550" s="0" t="n">
        <f aca="false">SUMPRODUCT((Rules!$A$2:$A$60=N$1)*Rules!$C$2:$C$60*ISNUMBER(SEARCH(Rules!$E$2:$E$60,$D550)))</f>
        <v>0</v>
      </c>
      <c r="O550" s="0" t="n">
        <f aca="false">SUMPRODUCT((Rules!$A$2:$A$60=O$1)*Rules!$C$2:$C$60*ISNUMBER(SEARCH(Rules!$E$2:$E$60,$D550)))</f>
        <v>0</v>
      </c>
      <c r="P550" s="0" t="n">
        <f aca="false">SUMPRODUCT((Rules!$A$2:$A$60=P$1)*Rules!$C$2:$C$60*ISNUMBER(SEARCH(Rules!$E$2:$E$60,$D550)))</f>
        <v>0</v>
      </c>
      <c r="Q550" s="0" t="n">
        <f aca="false">SUMPRODUCT((Rules!$A$2:$A$60=Q$1)*Rules!$C$2:$C$60*ISNUMBER(SEARCH(Rules!$E$2:$E$60,$D550)))</f>
        <v>0</v>
      </c>
      <c r="R550" s="0" t="str">
        <f aca="false">IF(OR(MAX(L550:Q550)&lt;Rules!$H$1,MAX(L550:Q550)-LARGE(L550:Q550,2)&lt;Rules!$H$2),"No label",INDEX($L$1:$Q$1,MATCH(MAX(L550:Q550),L550:Q550,0)))</f>
        <v>Mis-selling</v>
      </c>
      <c r="S550" s="0" t="n">
        <f aca="false">SUMPRODUCT(ISNUMBER(SEARCH(" "&amp;Terms!$A$3:$A$821&amp;" ",$D550))*Terms!B$3:B$821)+Terms!B$2</f>
        <v>-4.24373157889263</v>
      </c>
      <c r="T550" s="0" t="n">
        <f aca="false">SUMPRODUCT(ISNUMBER(SEARCH(" "&amp;Terms!$A$3:$A$821&amp;" ",$D550))*Terms!C$3:C$821)+Terms!C$2</f>
        <v>-2.98078899660113</v>
      </c>
      <c r="U550" s="0" t="n">
        <f aca="false">SUMPRODUCT(ISNUMBER(SEARCH(" "&amp;Terms!$A$3:$A$821&amp;" ",$D550))*Terms!D$3:D$821)+Terms!D$2</f>
        <v>-0.766744801057413</v>
      </c>
      <c r="V550" s="0" t="n">
        <f aca="false">SUMPRODUCT(ISNUMBER(SEARCH(" "&amp;Terms!$A$3:$A$821&amp;" ",$D550))*Terms!E$3:E$821)+Terms!E$2</f>
        <v>0.923629492314701</v>
      </c>
      <c r="W550" s="0" t="n">
        <f aca="false">SUMPRODUCT(ISNUMBER(SEARCH(" "&amp;Terms!$A$3:$A$821&amp;" ",$D550))*Terms!F$3:F$821)+Terms!F$2</f>
        <v>-4.37850605780305</v>
      </c>
      <c r="X550" s="0" t="n">
        <f aca="false">SUMPRODUCT(ISNUMBER(SEARCH(" "&amp;Terms!$A$3:$A$821&amp;" ",$D550))*Terms!G$3:G$821)+Terms!G$2</f>
        <v>11.4461419420396</v>
      </c>
      <c r="Y550" s="0" t="str">
        <f aca="false">INDEX($S$1:$X$1,MATCH(MAX(S550:X550),S550:X550,0))</f>
        <v>Mis-selling</v>
      </c>
      <c r="Z550" s="0" t="s">
        <v>2607</v>
      </c>
    </row>
    <row r="551" customFormat="false" ht="15" hidden="false" customHeight="false" outlineLevel="0" collapsed="false">
      <c r="A551" s="0" t="str">
        <f aca="false">Complaints!A551</f>
        <v>C0550</v>
      </c>
      <c r="B551" s="0" t="str">
        <f aca="false">Complaints!B551</f>
        <v>To whom it may concern, I sent the form twice and it seems to have been lost in the system. There was also a fee involved. Please sort this out.</v>
      </c>
      <c r="C551" s="0" t="str">
        <f aca="false">Complaints!C551</f>
        <v>Delays &amp; Processing</v>
      </c>
      <c r="D551" s="0" t="str">
        <f aca="false">" "&amp;TRIM(SUBSTITUTE(SUBSTITUTE(SUBSTITUTE(SUBSTITUTE(SUBSTITUTE(SUBSTITUTE(SUBSTITUTE(SUBSTITUTE(SUBSTITUTE(SUBSTITUTE(SUBSTITUTE(SUBSTITUTE(SUBSTITUTE(SUBSTITUTE(SUBSTITUTE(SUBSTITUTE(LOWER(B551),"."," "),","," "),"'"," "),"’"," "),"!"," "),"?"," "),";"," "),":"," "),"-"," "),"("," "),")"," "),"""", " "),"£"," "),"&amp;"," "),"/"," "),"%"," "))&amp;" "</f>
        <v> to whom it may concern i sent the form twice and it seems to have been lost in the system there was also a fee involved please sort this out </v>
      </c>
      <c r="E551" s="0" t="n">
        <f aca="false">SUMPRODUCT((Rules!$A$2:$A$60=E$1)*Rules!$C$2:$C$60*ISNUMBER(SEARCH(Rules!$D$2:$D$60,$D551)))</f>
        <v>0</v>
      </c>
      <c r="F551" s="0" t="n">
        <f aca="false">SUMPRODUCT((Rules!$A$2:$A$60=F$1)*Rules!$C$2:$C$60*ISNUMBER(SEARCH(Rules!$D$2:$D$60,$D551)))</f>
        <v>0</v>
      </c>
      <c r="G551" s="0" t="n">
        <f aca="false">SUMPRODUCT((Rules!$A$2:$A$60=G$1)*Rules!$C$2:$C$60*ISNUMBER(SEARCH(Rules!$D$2:$D$60,$D551)))</f>
        <v>0</v>
      </c>
      <c r="H551" s="0" t="n">
        <f aca="false">SUMPRODUCT((Rules!$A$2:$A$60=H$1)*Rules!$C$2:$C$60*ISNUMBER(SEARCH(Rules!$D$2:$D$60,$D551)))</f>
        <v>2</v>
      </c>
      <c r="I551" s="0" t="n">
        <f aca="false">SUMPRODUCT((Rules!$A$2:$A$60=I$1)*Rules!$C$2:$C$60*ISNUMBER(SEARCH(Rules!$D$2:$D$60,$D551)))</f>
        <v>0</v>
      </c>
      <c r="J551" s="0" t="n">
        <f aca="false">SUMPRODUCT((Rules!$A$2:$A$60=J$1)*Rules!$C$2:$C$60*ISNUMBER(SEARCH(Rules!$D$2:$D$60,$D551)))</f>
        <v>0</v>
      </c>
      <c r="K551" s="0" t="str">
        <f aca="false">IF(OR(MAX(E551:J551)&lt;Rules!$H$1,MAX(E551:J551)-LARGE(E551:J551,2)&lt;Rules!$H$2),"No label",INDEX($E$1:$J$1,MATCH(MAX(E551:J551),E551:J551,0)))</f>
        <v>No label</v>
      </c>
      <c r="L551" s="0" t="n">
        <f aca="false">SUMPRODUCT((Rules!$A$2:$A$60=L$1)*Rules!$C$2:$C$60*ISNUMBER(SEARCH(Rules!$E$2:$E$60,$D551)))</f>
        <v>0</v>
      </c>
      <c r="M551" s="0" t="n">
        <f aca="false">SUMPRODUCT((Rules!$A$2:$A$60=M$1)*Rules!$C$2:$C$60*ISNUMBER(SEARCH(Rules!$E$2:$E$60,$D551)))</f>
        <v>0</v>
      </c>
      <c r="N551" s="0" t="n">
        <f aca="false">SUMPRODUCT((Rules!$A$2:$A$60=N$1)*Rules!$C$2:$C$60*ISNUMBER(SEARCH(Rules!$E$2:$E$60,$D551)))</f>
        <v>0</v>
      </c>
      <c r="O551" s="0" t="n">
        <f aca="false">SUMPRODUCT((Rules!$A$2:$A$60=O$1)*Rules!$C$2:$C$60*ISNUMBER(SEARCH(Rules!$E$2:$E$60,$D551)))</f>
        <v>2</v>
      </c>
      <c r="P551" s="0" t="n">
        <f aca="false">SUMPRODUCT((Rules!$A$2:$A$60=P$1)*Rules!$C$2:$C$60*ISNUMBER(SEARCH(Rules!$E$2:$E$60,$D551)))</f>
        <v>0</v>
      </c>
      <c r="Q551" s="0" t="n">
        <f aca="false">SUMPRODUCT((Rules!$A$2:$A$60=Q$1)*Rules!$C$2:$C$60*ISNUMBER(SEARCH(Rules!$E$2:$E$60,$D551)))</f>
        <v>0</v>
      </c>
      <c r="R551" s="0" t="str">
        <f aca="false">IF(OR(MAX(L551:Q551)&lt;Rules!$H$1,MAX(L551:Q551)-LARGE(L551:Q551,2)&lt;Rules!$H$2),"No label",INDEX($L$1:$Q$1,MATCH(MAX(L551:Q551),L551:Q551,0)))</f>
        <v>No label</v>
      </c>
      <c r="S551" s="0" t="n">
        <f aca="false">SUMPRODUCT(ISNUMBER(SEARCH(" "&amp;Terms!$A$3:$A$821&amp;" ",$D551))*Terms!B$3:B$821)+Terms!B$2</f>
        <v>-4.78476280167029</v>
      </c>
      <c r="T551" s="0" t="n">
        <f aca="false">SUMPRODUCT(ISNUMBER(SEARCH(" "&amp;Terms!$A$3:$A$821&amp;" ",$D551))*Terms!C$3:C$821)+Terms!C$2</f>
        <v>-1.50549167247463</v>
      </c>
      <c r="U551" s="0" t="n">
        <f aca="false">SUMPRODUCT(ISNUMBER(SEARCH(" "&amp;Terms!$A$3:$A$821&amp;" ",$D551))*Terms!D$3:D$821)+Terms!D$2</f>
        <v>8.73450492864009</v>
      </c>
      <c r="V551" s="0" t="n">
        <f aca="false">SUMPRODUCT(ISNUMBER(SEARCH(" "&amp;Terms!$A$3:$A$821&amp;" ",$D551))*Terms!E$3:E$821)+Terms!E$2</f>
        <v>4.59684772435148</v>
      </c>
      <c r="W551" s="0" t="n">
        <f aca="false">SUMPRODUCT(ISNUMBER(SEARCH(" "&amp;Terms!$A$3:$A$821&amp;" ",$D551))*Terms!F$3:F$821)+Terms!F$2</f>
        <v>-4.01653035097378</v>
      </c>
      <c r="X551" s="0" t="n">
        <f aca="false">SUMPRODUCT(ISNUMBER(SEARCH(" "&amp;Terms!$A$3:$A$821&amp;" ",$D551))*Terms!G$3:G$821)+Terms!G$2</f>
        <v>-3.02456782787278</v>
      </c>
      <c r="Y551" s="0" t="str">
        <f aca="false">INDEX($S$1:$X$1,MATCH(MAX(S551:X551),S551:X551,0))</f>
        <v>Delays &amp; Processing</v>
      </c>
      <c r="Z551" s="0" t="s">
        <v>2607</v>
      </c>
    </row>
    <row r="552" customFormat="false" ht="15" hidden="false" customHeight="false" outlineLevel="0" collapsed="false">
      <c r="A552" s="0" t="str">
        <f aca="false">Complaints!A552</f>
        <v>C0551</v>
      </c>
      <c r="B552" s="0" t="str">
        <f aca="false">Complaints!B552</f>
        <v>This is the second time I have raised this. My identity was stolen and a loan was taken out in my name. Please escalate this.</v>
      </c>
      <c r="C552" s="0" t="str">
        <f aca="false">Complaints!C552</f>
        <v>Fraud &amp; Scams</v>
      </c>
      <c r="D552" s="0" t="str">
        <f aca="false">" "&amp;TRIM(SUBSTITUTE(SUBSTITUTE(SUBSTITUTE(SUBSTITUTE(SUBSTITUTE(SUBSTITUTE(SUBSTITUTE(SUBSTITUTE(SUBSTITUTE(SUBSTITUTE(SUBSTITUTE(SUBSTITUTE(SUBSTITUTE(SUBSTITUTE(SUBSTITUTE(SUBSTITUTE(LOWER(B552),"."," "),","," "),"'"," "),"’"," "),"!"," "),"?"," "),";"," "),":"," "),"-"," "),"("," "),")"," "),"""", " "),"£"," "),"&amp;"," "),"/"," "),"%"," "))&amp;" "</f>
        <v> this is the second time i have raised this my identity was stolen and a loan was taken out in my name please escalate this </v>
      </c>
      <c r="E552" s="0" t="n">
        <f aca="false">SUMPRODUCT((Rules!$A$2:$A$60=E$1)*Rules!$C$2:$C$60*ISNUMBER(SEARCH(Rules!$D$2:$D$60,$D552)))</f>
        <v>2</v>
      </c>
      <c r="F552" s="0" t="n">
        <f aca="false">SUMPRODUCT((Rules!$A$2:$A$60=F$1)*Rules!$C$2:$C$60*ISNUMBER(SEARCH(Rules!$D$2:$D$60,$D552)))</f>
        <v>0</v>
      </c>
      <c r="G552" s="0" t="n">
        <f aca="false">SUMPRODUCT((Rules!$A$2:$A$60=G$1)*Rules!$C$2:$C$60*ISNUMBER(SEARCH(Rules!$D$2:$D$60,$D552)))</f>
        <v>0</v>
      </c>
      <c r="H552" s="0" t="n">
        <f aca="false">SUMPRODUCT((Rules!$A$2:$A$60=H$1)*Rules!$C$2:$C$60*ISNUMBER(SEARCH(Rules!$D$2:$D$60,$D552)))</f>
        <v>0</v>
      </c>
      <c r="I552" s="0" t="n">
        <f aca="false">SUMPRODUCT((Rules!$A$2:$A$60=I$1)*Rules!$C$2:$C$60*ISNUMBER(SEARCH(Rules!$D$2:$D$60,$D552)))</f>
        <v>0</v>
      </c>
      <c r="J552" s="0" t="n">
        <f aca="false">SUMPRODUCT((Rules!$A$2:$A$60=J$1)*Rules!$C$2:$C$60*ISNUMBER(SEARCH(Rules!$D$2:$D$60,$D552)))</f>
        <v>0</v>
      </c>
      <c r="K552" s="0" t="str">
        <f aca="false">IF(OR(MAX(E552:J552)&lt;Rules!$H$1,MAX(E552:J552)-LARGE(E552:J552,2)&lt;Rules!$H$2),"No label",INDEX($E$1:$J$1,MATCH(MAX(E552:J552),E552:J552,0)))</f>
        <v>No label</v>
      </c>
      <c r="L552" s="0" t="n">
        <f aca="false">SUMPRODUCT((Rules!$A$2:$A$60=L$1)*Rules!$C$2:$C$60*ISNUMBER(SEARCH(Rules!$E$2:$E$60,$D552)))</f>
        <v>2</v>
      </c>
      <c r="M552" s="0" t="n">
        <f aca="false">SUMPRODUCT((Rules!$A$2:$A$60=M$1)*Rules!$C$2:$C$60*ISNUMBER(SEARCH(Rules!$E$2:$E$60,$D552)))</f>
        <v>0</v>
      </c>
      <c r="N552" s="0" t="n">
        <f aca="false">SUMPRODUCT((Rules!$A$2:$A$60=N$1)*Rules!$C$2:$C$60*ISNUMBER(SEARCH(Rules!$E$2:$E$60,$D552)))</f>
        <v>0</v>
      </c>
      <c r="O552" s="0" t="n">
        <f aca="false">SUMPRODUCT((Rules!$A$2:$A$60=O$1)*Rules!$C$2:$C$60*ISNUMBER(SEARCH(Rules!$E$2:$E$60,$D552)))</f>
        <v>0</v>
      </c>
      <c r="P552" s="0" t="n">
        <f aca="false">SUMPRODUCT((Rules!$A$2:$A$60=P$1)*Rules!$C$2:$C$60*ISNUMBER(SEARCH(Rules!$E$2:$E$60,$D552)))</f>
        <v>0</v>
      </c>
      <c r="Q552" s="0" t="n">
        <f aca="false">SUMPRODUCT((Rules!$A$2:$A$60=Q$1)*Rules!$C$2:$C$60*ISNUMBER(SEARCH(Rules!$E$2:$E$60,$D552)))</f>
        <v>0</v>
      </c>
      <c r="R552" s="0" t="str">
        <f aca="false">IF(OR(MAX(L552:Q552)&lt;Rules!$H$1,MAX(L552:Q552)-LARGE(L552:Q552,2)&lt;Rules!$H$2),"No label",INDEX($L$1:$Q$1,MATCH(MAX(L552:Q552),L552:Q552,0)))</f>
        <v>No label</v>
      </c>
      <c r="S552" s="0" t="n">
        <f aca="false">SUMPRODUCT(ISNUMBER(SEARCH(" "&amp;Terms!$A$3:$A$821&amp;" ",$D552))*Terms!B$3:B$821)+Terms!B$2</f>
        <v>-2.82799631744394</v>
      </c>
      <c r="T552" s="0" t="n">
        <f aca="false">SUMPRODUCT(ISNUMBER(SEARCH(" "&amp;Terms!$A$3:$A$821&amp;" ",$D552))*Terms!C$3:C$821)+Terms!C$2</f>
        <v>1.20782881481764</v>
      </c>
      <c r="U552" s="0" t="n">
        <f aca="false">SUMPRODUCT(ISNUMBER(SEARCH(" "&amp;Terms!$A$3:$A$821&amp;" ",$D552))*Terms!D$3:D$821)+Terms!D$2</f>
        <v>-3.1827250421678</v>
      </c>
      <c r="V552" s="0" t="n">
        <f aca="false">SUMPRODUCT(ISNUMBER(SEARCH(" "&amp;Terms!$A$3:$A$821&amp;" ",$D552))*Terms!E$3:E$821)+Terms!E$2</f>
        <v>0.451021324070325</v>
      </c>
      <c r="W552" s="0" t="n">
        <f aca="false">SUMPRODUCT(ISNUMBER(SEARCH(" "&amp;Terms!$A$3:$A$821&amp;" ",$D552))*Terms!F$3:F$821)+Terms!F$2</f>
        <v>6.82656938410531</v>
      </c>
      <c r="X552" s="0" t="n">
        <f aca="false">SUMPRODUCT(ISNUMBER(SEARCH(" "&amp;Terms!$A$3:$A$821&amp;" ",$D552))*Terms!G$3:G$821)+Terms!G$2</f>
        <v>-2.47469816338144</v>
      </c>
      <c r="Y552" s="0" t="str">
        <f aca="false">INDEX($S$1:$X$1,MATCH(MAX(S552:X552),S552:X552,0))</f>
        <v>Fraud &amp; Scams</v>
      </c>
      <c r="Z552" s="0" t="s">
        <v>2607</v>
      </c>
    </row>
    <row r="553" customFormat="false" ht="15" hidden="false" customHeight="false" outlineLevel="0" collapsed="false">
      <c r="A553" s="0" t="str">
        <f aca="false">Complaints!A553</f>
        <v>C0552</v>
      </c>
      <c r="B553" s="0" t="str">
        <f aca="false">Complaints!B553</f>
        <v>Hello, Why has my interest rate gone up without notice, it is costing me more every month. I do not think it was explained properly when I bought it. This is not acceptable.</v>
      </c>
      <c r="C553" s="0" t="str">
        <f aca="false">Complaints!C553</f>
        <v>Fees &amp; Charges</v>
      </c>
      <c r="D553" s="0" t="str">
        <f aca="false">" "&amp;TRIM(SUBSTITUTE(SUBSTITUTE(SUBSTITUTE(SUBSTITUTE(SUBSTITUTE(SUBSTITUTE(SUBSTITUTE(SUBSTITUTE(SUBSTITUTE(SUBSTITUTE(SUBSTITUTE(SUBSTITUTE(SUBSTITUTE(SUBSTITUTE(SUBSTITUTE(SUBSTITUTE(LOWER(B553),"."," "),","," "),"'"," "),"’"," "),"!"," "),"?"," "),";"," "),":"," "),"-"," "),"("," "),")"," "),"""", " "),"£"," "),"&amp;"," "),"/"," "),"%"," "))&amp;" "</f>
        <v> hello why has my interest rate gone up without notice it is costing me more every month i do not think it was explained properly when i bought it this is not acceptable </v>
      </c>
      <c r="E553" s="0" t="n">
        <f aca="false">SUMPRODUCT((Rules!$A$2:$A$60=E$1)*Rules!$C$2:$C$60*ISNUMBER(SEARCH(Rules!$D$2:$D$60,$D553)))</f>
        <v>0</v>
      </c>
      <c r="F553" s="0" t="n">
        <f aca="false">SUMPRODUCT((Rules!$A$2:$A$60=F$1)*Rules!$C$2:$C$60*ISNUMBER(SEARCH(Rules!$D$2:$D$60,$D553)))</f>
        <v>0</v>
      </c>
      <c r="G553" s="0" t="n">
        <f aca="false">SUMPRODUCT((Rules!$A$2:$A$60=G$1)*Rules!$C$2:$C$60*ISNUMBER(SEARCH(Rules!$D$2:$D$60,$D553)))</f>
        <v>0</v>
      </c>
      <c r="H553" s="0" t="n">
        <f aca="false">SUMPRODUCT((Rules!$A$2:$A$60=H$1)*Rules!$C$2:$C$60*ISNUMBER(SEARCH(Rules!$D$2:$D$60,$D553)))</f>
        <v>2</v>
      </c>
      <c r="I553" s="0" t="n">
        <f aca="false">SUMPRODUCT((Rules!$A$2:$A$60=I$1)*Rules!$C$2:$C$60*ISNUMBER(SEARCH(Rules!$D$2:$D$60,$D553)))</f>
        <v>0</v>
      </c>
      <c r="J553" s="0" t="n">
        <f aca="false">SUMPRODUCT((Rules!$A$2:$A$60=J$1)*Rules!$C$2:$C$60*ISNUMBER(SEARCH(Rules!$D$2:$D$60,$D553)))</f>
        <v>0</v>
      </c>
      <c r="K553" s="0" t="str">
        <f aca="false">IF(OR(MAX(E553:J553)&lt;Rules!$H$1,MAX(E553:J553)-LARGE(E553:J553,2)&lt;Rules!$H$2),"No label",INDEX($E$1:$J$1,MATCH(MAX(E553:J553),E553:J553,0)))</f>
        <v>No label</v>
      </c>
      <c r="L553" s="0" t="n">
        <f aca="false">SUMPRODUCT((Rules!$A$2:$A$60=L$1)*Rules!$C$2:$C$60*ISNUMBER(SEARCH(Rules!$E$2:$E$60,$D553)))</f>
        <v>0</v>
      </c>
      <c r="M553" s="0" t="n">
        <f aca="false">SUMPRODUCT((Rules!$A$2:$A$60=M$1)*Rules!$C$2:$C$60*ISNUMBER(SEARCH(Rules!$E$2:$E$60,$D553)))</f>
        <v>0</v>
      </c>
      <c r="N553" s="0" t="n">
        <f aca="false">SUMPRODUCT((Rules!$A$2:$A$60=N$1)*Rules!$C$2:$C$60*ISNUMBER(SEARCH(Rules!$E$2:$E$60,$D553)))</f>
        <v>1</v>
      </c>
      <c r="O553" s="0" t="n">
        <f aca="false">SUMPRODUCT((Rules!$A$2:$A$60=O$1)*Rules!$C$2:$C$60*ISNUMBER(SEARCH(Rules!$E$2:$E$60,$D553)))</f>
        <v>2</v>
      </c>
      <c r="P553" s="0" t="n">
        <f aca="false">SUMPRODUCT((Rules!$A$2:$A$60=P$1)*Rules!$C$2:$C$60*ISNUMBER(SEARCH(Rules!$E$2:$E$60,$D553)))</f>
        <v>0</v>
      </c>
      <c r="Q553" s="0" t="n">
        <f aca="false">SUMPRODUCT((Rules!$A$2:$A$60=Q$1)*Rules!$C$2:$C$60*ISNUMBER(SEARCH(Rules!$E$2:$E$60,$D553)))</f>
        <v>0</v>
      </c>
      <c r="R553" s="0" t="str">
        <f aca="false">IF(OR(MAX(L553:Q553)&lt;Rules!$H$1,MAX(L553:Q553)-LARGE(L553:Q553,2)&lt;Rules!$H$2),"No label",INDEX($L$1:$Q$1,MATCH(MAX(L553:Q553),L553:Q553,0)))</f>
        <v>No label</v>
      </c>
      <c r="S553" s="0" t="n">
        <f aca="false">SUMPRODUCT(ISNUMBER(SEARCH(" "&amp;Terms!$A$3:$A$821&amp;" ",$D553))*Terms!B$3:B$821)+Terms!B$2</f>
        <v>0.215096788999533</v>
      </c>
      <c r="T553" s="0" t="n">
        <f aca="false">SUMPRODUCT(ISNUMBER(SEARCH(" "&amp;Terms!$A$3:$A$821&amp;" ",$D553))*Terms!C$3:C$821)+Terms!C$2</f>
        <v>-2.96192090243289</v>
      </c>
      <c r="U553" s="0" t="n">
        <f aca="false">SUMPRODUCT(ISNUMBER(SEARCH(" "&amp;Terms!$A$3:$A$821&amp;" ",$D553))*Terms!D$3:D$821)+Terms!D$2</f>
        <v>-1.59405420529231</v>
      </c>
      <c r="V553" s="0" t="n">
        <f aca="false">SUMPRODUCT(ISNUMBER(SEARCH(" "&amp;Terms!$A$3:$A$821&amp;" ",$D553))*Terms!E$3:E$821)+Terms!E$2</f>
        <v>8.55757044402099</v>
      </c>
      <c r="W553" s="0" t="n">
        <f aca="false">SUMPRODUCT(ISNUMBER(SEARCH(" "&amp;Terms!$A$3:$A$821&amp;" ",$D553))*Terms!F$3:F$821)+Terms!F$2</f>
        <v>0.322063544451753</v>
      </c>
      <c r="X553" s="0" t="n">
        <f aca="false">SUMPRODUCT(ISNUMBER(SEARCH(" "&amp;Terms!$A$3:$A$821&amp;" ",$D553))*Terms!G$3:G$821)+Terms!G$2</f>
        <v>-4.53875566974698</v>
      </c>
      <c r="Y553" s="0" t="str">
        <f aca="false">INDEX($S$1:$X$1,MATCH(MAX(S553:X553),S553:X553,0))</f>
        <v>Fees &amp; Charges</v>
      </c>
      <c r="Z553" s="0" t="s">
        <v>2607</v>
      </c>
    </row>
    <row r="554" customFormat="false" ht="15" hidden="false" customHeight="false" outlineLevel="0" collapsed="false">
      <c r="A554" s="0" t="str">
        <f aca="false">Complaints!A554</f>
        <v>C0553</v>
      </c>
      <c r="B554" s="0" t="str">
        <f aca="false">Complaints!B554</f>
        <v>I am writing to complain. Nobody checked whether I could afford the credit agreement. There was also a fee involved.</v>
      </c>
      <c r="C554" s="0" t="str">
        <f aca="false">Complaints!C554</f>
        <v>Mis-selling</v>
      </c>
      <c r="D554" s="0" t="str">
        <f aca="false">" "&amp;TRIM(SUBSTITUTE(SUBSTITUTE(SUBSTITUTE(SUBSTITUTE(SUBSTITUTE(SUBSTITUTE(SUBSTITUTE(SUBSTITUTE(SUBSTITUTE(SUBSTITUTE(SUBSTITUTE(SUBSTITUTE(SUBSTITUTE(SUBSTITUTE(SUBSTITUTE(SUBSTITUTE(LOWER(B554),"."," "),","," "),"'"," "),"’"," "),"!"," "),"?"," "),";"," "),":"," "),"-"," "),"("," "),")"," "),"""", " "),"£"," "),"&amp;"," "),"/"," "),"%"," "))&amp;" "</f>
        <v> i am writing to complain nobody checked whether i could afford the credit agreement there was also a fee involved </v>
      </c>
      <c r="E554" s="0" t="n">
        <f aca="false">SUMPRODUCT((Rules!$A$2:$A$60=E$1)*Rules!$C$2:$C$60*ISNUMBER(SEARCH(Rules!$D$2:$D$60,$D554)))</f>
        <v>0</v>
      </c>
      <c r="F554" s="0" t="n">
        <f aca="false">SUMPRODUCT((Rules!$A$2:$A$60=F$1)*Rules!$C$2:$C$60*ISNUMBER(SEARCH(Rules!$D$2:$D$60,$D554)))</f>
        <v>0</v>
      </c>
      <c r="G554" s="0" t="n">
        <f aca="false">SUMPRODUCT((Rules!$A$2:$A$60=G$1)*Rules!$C$2:$C$60*ISNUMBER(SEARCH(Rules!$D$2:$D$60,$D554)))</f>
        <v>0</v>
      </c>
      <c r="H554" s="0" t="n">
        <f aca="false">SUMPRODUCT((Rules!$A$2:$A$60=H$1)*Rules!$C$2:$C$60*ISNUMBER(SEARCH(Rules!$D$2:$D$60,$D554)))</f>
        <v>2</v>
      </c>
      <c r="I554" s="0" t="n">
        <f aca="false">SUMPRODUCT((Rules!$A$2:$A$60=I$1)*Rules!$C$2:$C$60*ISNUMBER(SEARCH(Rules!$D$2:$D$60,$D554)))</f>
        <v>0</v>
      </c>
      <c r="J554" s="0" t="n">
        <f aca="false">SUMPRODUCT((Rules!$A$2:$A$60=J$1)*Rules!$C$2:$C$60*ISNUMBER(SEARCH(Rules!$D$2:$D$60,$D554)))</f>
        <v>0</v>
      </c>
      <c r="K554" s="0" t="str">
        <f aca="false">IF(OR(MAX(E554:J554)&lt;Rules!$H$1,MAX(E554:J554)-LARGE(E554:J554,2)&lt;Rules!$H$2),"No label",INDEX($E$1:$J$1,MATCH(MAX(E554:J554),E554:J554,0)))</f>
        <v>No label</v>
      </c>
      <c r="L554" s="0" t="n">
        <f aca="false">SUMPRODUCT((Rules!$A$2:$A$60=L$1)*Rules!$C$2:$C$60*ISNUMBER(SEARCH(Rules!$E$2:$E$60,$D554)))</f>
        <v>0</v>
      </c>
      <c r="M554" s="0" t="n">
        <f aca="false">SUMPRODUCT((Rules!$A$2:$A$60=M$1)*Rules!$C$2:$C$60*ISNUMBER(SEARCH(Rules!$E$2:$E$60,$D554)))</f>
        <v>0</v>
      </c>
      <c r="N554" s="0" t="n">
        <f aca="false">SUMPRODUCT((Rules!$A$2:$A$60=N$1)*Rules!$C$2:$C$60*ISNUMBER(SEARCH(Rules!$E$2:$E$60,$D554)))</f>
        <v>0</v>
      </c>
      <c r="O554" s="0" t="n">
        <f aca="false">SUMPRODUCT((Rules!$A$2:$A$60=O$1)*Rules!$C$2:$C$60*ISNUMBER(SEARCH(Rules!$E$2:$E$60,$D554)))</f>
        <v>2</v>
      </c>
      <c r="P554" s="0" t="n">
        <f aca="false">SUMPRODUCT((Rules!$A$2:$A$60=P$1)*Rules!$C$2:$C$60*ISNUMBER(SEARCH(Rules!$E$2:$E$60,$D554)))</f>
        <v>0</v>
      </c>
      <c r="Q554" s="0" t="n">
        <f aca="false">SUMPRODUCT((Rules!$A$2:$A$60=Q$1)*Rules!$C$2:$C$60*ISNUMBER(SEARCH(Rules!$E$2:$E$60,$D554)))</f>
        <v>0</v>
      </c>
      <c r="R554" s="0" t="str">
        <f aca="false">IF(OR(MAX(L554:Q554)&lt;Rules!$H$1,MAX(L554:Q554)-LARGE(L554:Q554,2)&lt;Rules!$H$2),"No label",INDEX($L$1:$Q$1,MATCH(MAX(L554:Q554),L554:Q554,0)))</f>
        <v>No label</v>
      </c>
      <c r="S554" s="0" t="n">
        <f aca="false">SUMPRODUCT(ISNUMBER(SEARCH(" "&amp;Terms!$A$3:$A$821&amp;" ",$D554))*Terms!B$3:B$821)+Terms!B$2</f>
        <v>-1.6894813924889</v>
      </c>
      <c r="T554" s="0" t="n">
        <f aca="false">SUMPRODUCT(ISNUMBER(SEARCH(" "&amp;Terms!$A$3:$A$821&amp;" ",$D554))*Terms!C$3:C$821)+Terms!C$2</f>
        <v>-3.42678260236553</v>
      </c>
      <c r="U554" s="0" t="n">
        <f aca="false">SUMPRODUCT(ISNUMBER(SEARCH(" "&amp;Terms!$A$3:$A$821&amp;" ",$D554))*Terms!D$3:D$821)+Terms!D$2</f>
        <v>0.124055733009271</v>
      </c>
      <c r="V554" s="0" t="n">
        <f aca="false">SUMPRODUCT(ISNUMBER(SEARCH(" "&amp;Terms!$A$3:$A$821&amp;" ",$D554))*Terms!E$3:E$821)+Terms!E$2</f>
        <v>1.14170821450069</v>
      </c>
      <c r="W554" s="0" t="n">
        <f aca="false">SUMPRODUCT(ISNUMBER(SEARCH(" "&amp;Terms!$A$3:$A$821&amp;" ",$D554))*Terms!F$3:F$821)+Terms!F$2</f>
        <v>-4.38389506251856</v>
      </c>
      <c r="X554" s="0" t="n">
        <f aca="false">SUMPRODUCT(ISNUMBER(SEARCH(" "&amp;Terms!$A$3:$A$821&amp;" ",$D554))*Terms!G$3:G$821)+Terms!G$2</f>
        <v>8.23439510986315</v>
      </c>
      <c r="Y554" s="0" t="str">
        <f aca="false">INDEX($S$1:$X$1,MATCH(MAX(S554:X554),S554:X554,0))</f>
        <v>Mis-selling</v>
      </c>
      <c r="Z554" s="0" t="s">
        <v>2608</v>
      </c>
    </row>
    <row r="555" customFormat="false" ht="15" hidden="false" customHeight="false" outlineLevel="0" collapsed="false">
      <c r="A555" s="0" t="str">
        <f aca="false">Complaints!A555</f>
        <v>C0554</v>
      </c>
      <c r="B555" s="0" t="str">
        <f aca="false">Complaints!B555</f>
        <v>Frankly, My application has been stuck for weeks with no progress. Please sort this out.</v>
      </c>
      <c r="C555" s="0" t="str">
        <f aca="false">Complaints!C555</f>
        <v>Delays &amp; Processing</v>
      </c>
      <c r="D555" s="0" t="str">
        <f aca="false">" "&amp;TRIM(SUBSTITUTE(SUBSTITUTE(SUBSTITUTE(SUBSTITUTE(SUBSTITUTE(SUBSTITUTE(SUBSTITUTE(SUBSTITUTE(SUBSTITUTE(SUBSTITUTE(SUBSTITUTE(SUBSTITUTE(SUBSTITUTE(SUBSTITUTE(SUBSTITUTE(SUBSTITUTE(LOWER(B555),"."," "),","," "),"'"," "),"’"," "),"!"," "),"?"," "),";"," "),":"," "),"-"," "),"("," "),")"," "),"""", " "),"£"," "),"&amp;"," "),"/"," "),"%"," "))&amp;" "</f>
        <v> frankly my application has been stuck for weeks with no progress please sort this out </v>
      </c>
      <c r="E555" s="0" t="n">
        <f aca="false">SUMPRODUCT((Rules!$A$2:$A$60=E$1)*Rules!$C$2:$C$60*ISNUMBER(SEARCH(Rules!$D$2:$D$60,$D555)))</f>
        <v>0</v>
      </c>
      <c r="F555" s="0" t="n">
        <f aca="false">SUMPRODUCT((Rules!$A$2:$A$60=F$1)*Rules!$C$2:$C$60*ISNUMBER(SEARCH(Rules!$D$2:$D$60,$D555)))</f>
        <v>0</v>
      </c>
      <c r="G555" s="0" t="n">
        <f aca="false">SUMPRODUCT((Rules!$A$2:$A$60=G$1)*Rules!$C$2:$C$60*ISNUMBER(SEARCH(Rules!$D$2:$D$60,$D555)))</f>
        <v>0</v>
      </c>
      <c r="H555" s="0" t="n">
        <f aca="false">SUMPRODUCT((Rules!$A$2:$A$60=H$1)*Rules!$C$2:$C$60*ISNUMBER(SEARCH(Rules!$D$2:$D$60,$D555)))</f>
        <v>0</v>
      </c>
      <c r="I555" s="0" t="n">
        <f aca="false">SUMPRODUCT((Rules!$A$2:$A$60=I$1)*Rules!$C$2:$C$60*ISNUMBER(SEARCH(Rules!$D$2:$D$60,$D555)))</f>
        <v>3</v>
      </c>
      <c r="J555" s="0" t="n">
        <f aca="false">SUMPRODUCT((Rules!$A$2:$A$60=J$1)*Rules!$C$2:$C$60*ISNUMBER(SEARCH(Rules!$D$2:$D$60,$D555)))</f>
        <v>0</v>
      </c>
      <c r="K555" s="0" t="str">
        <f aca="false">IF(OR(MAX(E555:J555)&lt;Rules!$H$1,MAX(E555:J555)-LARGE(E555:J555,2)&lt;Rules!$H$2),"No label",INDEX($E$1:$J$1,MATCH(MAX(E555:J555),E555:J555,0)))</f>
        <v>Delays &amp; Processing</v>
      </c>
      <c r="L555" s="0" t="n">
        <f aca="false">SUMPRODUCT((Rules!$A$2:$A$60=L$1)*Rules!$C$2:$C$60*ISNUMBER(SEARCH(Rules!$E$2:$E$60,$D555)))</f>
        <v>0</v>
      </c>
      <c r="M555" s="0" t="n">
        <f aca="false">SUMPRODUCT((Rules!$A$2:$A$60=M$1)*Rules!$C$2:$C$60*ISNUMBER(SEARCH(Rules!$E$2:$E$60,$D555)))</f>
        <v>0</v>
      </c>
      <c r="N555" s="0" t="n">
        <f aca="false">SUMPRODUCT((Rules!$A$2:$A$60=N$1)*Rules!$C$2:$C$60*ISNUMBER(SEARCH(Rules!$E$2:$E$60,$D555)))</f>
        <v>0</v>
      </c>
      <c r="O555" s="0" t="n">
        <f aca="false">SUMPRODUCT((Rules!$A$2:$A$60=O$1)*Rules!$C$2:$C$60*ISNUMBER(SEARCH(Rules!$E$2:$E$60,$D555)))</f>
        <v>0</v>
      </c>
      <c r="P555" s="0" t="n">
        <f aca="false">SUMPRODUCT((Rules!$A$2:$A$60=P$1)*Rules!$C$2:$C$60*ISNUMBER(SEARCH(Rules!$E$2:$E$60,$D555)))</f>
        <v>3</v>
      </c>
      <c r="Q555" s="0" t="n">
        <f aca="false">SUMPRODUCT((Rules!$A$2:$A$60=Q$1)*Rules!$C$2:$C$60*ISNUMBER(SEARCH(Rules!$E$2:$E$60,$D555)))</f>
        <v>0</v>
      </c>
      <c r="R555" s="0" t="str">
        <f aca="false">IF(OR(MAX(L555:Q555)&lt;Rules!$H$1,MAX(L555:Q555)-LARGE(L555:Q555,2)&lt;Rules!$H$2),"No label",INDEX($L$1:$Q$1,MATCH(MAX(L555:Q555),L555:Q555,0)))</f>
        <v>Delays &amp; Processing</v>
      </c>
      <c r="S555" s="0" t="n">
        <f aca="false">SUMPRODUCT(ISNUMBER(SEARCH(" "&amp;Terms!$A$3:$A$821&amp;" ",$D555))*Terms!B$3:B$821)+Terms!B$2</f>
        <v>-5.19320547728027</v>
      </c>
      <c r="T555" s="0" t="n">
        <f aca="false">SUMPRODUCT(ISNUMBER(SEARCH(" "&amp;Terms!$A$3:$A$821&amp;" ",$D555))*Terms!C$3:C$821)+Terms!C$2</f>
        <v>0.741764097846179</v>
      </c>
      <c r="U555" s="0" t="n">
        <f aca="false">SUMPRODUCT(ISNUMBER(SEARCH(" "&amp;Terms!$A$3:$A$821&amp;" ",$D555))*Terms!D$3:D$821)+Terms!D$2</f>
        <v>8.07796138549057</v>
      </c>
      <c r="V555" s="0" t="n">
        <f aca="false">SUMPRODUCT(ISNUMBER(SEARCH(" "&amp;Terms!$A$3:$A$821&amp;" ",$D555))*Terms!E$3:E$821)+Terms!E$2</f>
        <v>0.507453091885593</v>
      </c>
      <c r="W555" s="0" t="n">
        <f aca="false">SUMPRODUCT(ISNUMBER(SEARCH(" "&amp;Terms!$A$3:$A$821&amp;" ",$D555))*Terms!F$3:F$821)+Terms!F$2</f>
        <v>-2.2210841343747</v>
      </c>
      <c r="X555" s="0" t="n">
        <f aca="false">SUMPRODUCT(ISNUMBER(SEARCH(" "&amp;Terms!$A$3:$A$821&amp;" ",$D555))*Terms!G$3:G$821)+Terms!G$2</f>
        <v>-1.91288896356728</v>
      </c>
      <c r="Y555" s="0" t="str">
        <f aca="false">INDEX($S$1:$X$1,MATCH(MAX(S555:X555),S555:X555,0))</f>
        <v>Delays &amp; Processing</v>
      </c>
      <c r="Z555" s="0" t="s">
        <v>2607</v>
      </c>
    </row>
    <row r="556" customFormat="false" ht="15" hidden="false" customHeight="false" outlineLevel="0" collapsed="false">
      <c r="A556" s="0" t="str">
        <f aca="false">Complaints!A556</f>
        <v>C0555</v>
      </c>
      <c r="B556" s="0" t="str">
        <f aca="false">Complaints!B556</f>
        <v>Frankly, The webchat agent ended the conversation without solving anything. I would like a response in writing.</v>
      </c>
      <c r="C556" s="0" t="str">
        <f aca="false">Complaints!C556</f>
        <v>Customer Service</v>
      </c>
      <c r="D556" s="0" t="str">
        <f aca="false">" "&amp;TRIM(SUBSTITUTE(SUBSTITUTE(SUBSTITUTE(SUBSTITUTE(SUBSTITUTE(SUBSTITUTE(SUBSTITUTE(SUBSTITUTE(SUBSTITUTE(SUBSTITUTE(SUBSTITUTE(SUBSTITUTE(SUBSTITUTE(SUBSTITUTE(SUBSTITUTE(SUBSTITUTE(LOWER(B556),"."," "),","," "),"'"," "),"’"," "),"!"," "),"?"," "),";"," "),":"," "),"-"," "),"("," "),")"," "),"""", " "),"£"," "),"&amp;"," "),"/"," "),"%"," "))&amp;" "</f>
        <v> frankly the webchat agent ended the conversation without solving anything i would like a response in writing </v>
      </c>
      <c r="E556" s="0" t="n">
        <f aca="false">SUMPRODUCT((Rules!$A$2:$A$60=E$1)*Rules!$C$2:$C$60*ISNUMBER(SEARCH(Rules!$D$2:$D$60,$D556)))</f>
        <v>0</v>
      </c>
      <c r="F556" s="0" t="n">
        <f aca="false">SUMPRODUCT((Rules!$A$2:$A$60=F$1)*Rules!$C$2:$C$60*ISNUMBER(SEARCH(Rules!$D$2:$D$60,$D556)))</f>
        <v>0</v>
      </c>
      <c r="G556" s="0" t="n">
        <f aca="false">SUMPRODUCT((Rules!$A$2:$A$60=G$1)*Rules!$C$2:$C$60*ISNUMBER(SEARCH(Rules!$D$2:$D$60,$D556)))</f>
        <v>0</v>
      </c>
      <c r="H556" s="0" t="n">
        <f aca="false">SUMPRODUCT((Rules!$A$2:$A$60=H$1)*Rules!$C$2:$C$60*ISNUMBER(SEARCH(Rules!$D$2:$D$60,$D556)))</f>
        <v>0</v>
      </c>
      <c r="I556" s="0" t="n">
        <f aca="false">SUMPRODUCT((Rules!$A$2:$A$60=I$1)*Rules!$C$2:$C$60*ISNUMBER(SEARCH(Rules!$D$2:$D$60,$D556)))</f>
        <v>0</v>
      </c>
      <c r="J556" s="0" t="n">
        <f aca="false">SUMPRODUCT((Rules!$A$2:$A$60=J$1)*Rules!$C$2:$C$60*ISNUMBER(SEARCH(Rules!$D$2:$D$60,$D556)))</f>
        <v>2</v>
      </c>
      <c r="K556" s="0" t="str">
        <f aca="false">IF(OR(MAX(E556:J556)&lt;Rules!$H$1,MAX(E556:J556)-LARGE(E556:J556,2)&lt;Rules!$H$2),"No label",INDEX($E$1:$J$1,MATCH(MAX(E556:J556),E556:J556,0)))</f>
        <v>No label</v>
      </c>
      <c r="L556" s="0" t="n">
        <f aca="false">SUMPRODUCT((Rules!$A$2:$A$60=L$1)*Rules!$C$2:$C$60*ISNUMBER(SEARCH(Rules!$E$2:$E$60,$D556)))</f>
        <v>0</v>
      </c>
      <c r="M556" s="0" t="n">
        <f aca="false">SUMPRODUCT((Rules!$A$2:$A$60=M$1)*Rules!$C$2:$C$60*ISNUMBER(SEARCH(Rules!$E$2:$E$60,$D556)))</f>
        <v>0</v>
      </c>
      <c r="N556" s="0" t="n">
        <f aca="false">SUMPRODUCT((Rules!$A$2:$A$60=N$1)*Rules!$C$2:$C$60*ISNUMBER(SEARCH(Rules!$E$2:$E$60,$D556)))</f>
        <v>0</v>
      </c>
      <c r="O556" s="0" t="n">
        <f aca="false">SUMPRODUCT((Rules!$A$2:$A$60=O$1)*Rules!$C$2:$C$60*ISNUMBER(SEARCH(Rules!$E$2:$E$60,$D556)))</f>
        <v>0</v>
      </c>
      <c r="P556" s="0" t="n">
        <f aca="false">SUMPRODUCT((Rules!$A$2:$A$60=P$1)*Rules!$C$2:$C$60*ISNUMBER(SEARCH(Rules!$E$2:$E$60,$D556)))</f>
        <v>0</v>
      </c>
      <c r="Q556" s="0" t="n">
        <f aca="false">SUMPRODUCT((Rules!$A$2:$A$60=Q$1)*Rules!$C$2:$C$60*ISNUMBER(SEARCH(Rules!$E$2:$E$60,$D556)))</f>
        <v>2</v>
      </c>
      <c r="R556" s="0" t="str">
        <f aca="false">IF(OR(MAX(L556:Q556)&lt;Rules!$H$1,MAX(L556:Q556)-LARGE(L556:Q556,2)&lt;Rules!$H$2),"No label",INDEX($L$1:$Q$1,MATCH(MAX(L556:Q556),L556:Q556,0)))</f>
        <v>No label</v>
      </c>
      <c r="S556" s="0" t="n">
        <f aca="false">SUMPRODUCT(ISNUMBER(SEARCH(" "&amp;Terms!$A$3:$A$821&amp;" ",$D556))*Terms!B$3:B$821)+Terms!B$2</f>
        <v>-1.57297964438895</v>
      </c>
      <c r="T556" s="0" t="n">
        <f aca="false">SUMPRODUCT(ISNUMBER(SEARCH(" "&amp;Terms!$A$3:$A$821&amp;" ",$D556))*Terms!C$3:C$821)+Terms!C$2</f>
        <v>9.44673946548469</v>
      </c>
      <c r="U556" s="0" t="n">
        <f aca="false">SUMPRODUCT(ISNUMBER(SEARCH(" "&amp;Terms!$A$3:$A$821&amp;" ",$D556))*Terms!D$3:D$821)+Terms!D$2</f>
        <v>-2.947475080296</v>
      </c>
      <c r="V556" s="0" t="n">
        <f aca="false">SUMPRODUCT(ISNUMBER(SEARCH(" "&amp;Terms!$A$3:$A$821&amp;" ",$D556))*Terms!E$3:E$821)+Terms!E$2</f>
        <v>-2.42759271965454</v>
      </c>
      <c r="W556" s="0" t="n">
        <f aca="false">SUMPRODUCT(ISNUMBER(SEARCH(" "&amp;Terms!$A$3:$A$821&amp;" ",$D556))*Terms!F$3:F$821)+Terms!F$2</f>
        <v>-2.9644782692215</v>
      </c>
      <c r="X556" s="0" t="n">
        <f aca="false">SUMPRODUCT(ISNUMBER(SEARCH(" "&amp;Terms!$A$3:$A$821&amp;" ",$D556))*Terms!G$3:G$821)+Terms!G$2</f>
        <v>0.465786248076395</v>
      </c>
      <c r="Y556" s="0" t="str">
        <f aca="false">INDEX($S$1:$X$1,MATCH(MAX(S556:X556),S556:X556,0))</f>
        <v>Customer Service</v>
      </c>
      <c r="Z556" s="0" t="s">
        <v>2607</v>
      </c>
    </row>
    <row r="557" customFormat="false" ht="15" hidden="false" customHeight="false" outlineLevel="0" collapsed="false">
      <c r="A557" s="0" t="str">
        <f aca="false">Complaints!A557</f>
        <v>C0556</v>
      </c>
      <c r="B557" s="0" t="str">
        <f aca="false">Complaints!B557</f>
        <v>Frankly, Nobody checked whether I could afford the credit agreement. Also, i spent an hour on hold and then the call was cut off.</v>
      </c>
      <c r="C557" s="0" t="str">
        <f aca="false">Complaints!C557</f>
        <v>Mis-selling</v>
      </c>
      <c r="D557" s="0" t="str">
        <f aca="false">" "&amp;TRIM(SUBSTITUTE(SUBSTITUTE(SUBSTITUTE(SUBSTITUTE(SUBSTITUTE(SUBSTITUTE(SUBSTITUTE(SUBSTITUTE(SUBSTITUTE(SUBSTITUTE(SUBSTITUTE(SUBSTITUTE(SUBSTITUTE(SUBSTITUTE(SUBSTITUTE(SUBSTITUTE(LOWER(B557),"."," "),","," "),"'"," "),"’"," "),"!"," "),"?"," "),";"," "),":"," "),"-"," "),"("," "),")"," "),"""", " "),"£"," "),"&amp;"," "),"/"," "),"%"," "))&amp;" "</f>
        <v> frankly nobody checked whether i could afford the credit agreement also i spent an hour on hold and then the call was cut off </v>
      </c>
      <c r="E557" s="0" t="n">
        <f aca="false">SUMPRODUCT((Rules!$A$2:$A$60=E$1)*Rules!$C$2:$C$60*ISNUMBER(SEARCH(Rules!$D$2:$D$60,$D557)))</f>
        <v>0</v>
      </c>
      <c r="F557" s="0" t="n">
        <f aca="false">SUMPRODUCT((Rules!$A$2:$A$60=F$1)*Rules!$C$2:$C$60*ISNUMBER(SEARCH(Rules!$D$2:$D$60,$D557)))</f>
        <v>0</v>
      </c>
      <c r="G557" s="0" t="n">
        <f aca="false">SUMPRODUCT((Rules!$A$2:$A$60=G$1)*Rules!$C$2:$C$60*ISNUMBER(SEARCH(Rules!$D$2:$D$60,$D557)))</f>
        <v>0</v>
      </c>
      <c r="H557" s="0" t="n">
        <f aca="false">SUMPRODUCT((Rules!$A$2:$A$60=H$1)*Rules!$C$2:$C$60*ISNUMBER(SEARCH(Rules!$D$2:$D$60,$D557)))</f>
        <v>0</v>
      </c>
      <c r="I557" s="0" t="n">
        <f aca="false">SUMPRODUCT((Rules!$A$2:$A$60=I$1)*Rules!$C$2:$C$60*ISNUMBER(SEARCH(Rules!$D$2:$D$60,$D557)))</f>
        <v>0</v>
      </c>
      <c r="J557" s="0" t="n">
        <f aca="false">SUMPRODUCT((Rules!$A$2:$A$60=J$1)*Rules!$C$2:$C$60*ISNUMBER(SEARCH(Rules!$D$2:$D$60,$D557)))</f>
        <v>3</v>
      </c>
      <c r="K557" s="0" t="str">
        <f aca="false">IF(OR(MAX(E557:J557)&lt;Rules!$H$1,MAX(E557:J557)-LARGE(E557:J557,2)&lt;Rules!$H$2),"No label",INDEX($E$1:$J$1,MATCH(MAX(E557:J557),E557:J557,0)))</f>
        <v>Customer Service</v>
      </c>
      <c r="L557" s="0" t="n">
        <f aca="false">SUMPRODUCT((Rules!$A$2:$A$60=L$1)*Rules!$C$2:$C$60*ISNUMBER(SEARCH(Rules!$E$2:$E$60,$D557)))</f>
        <v>0</v>
      </c>
      <c r="M557" s="0" t="n">
        <f aca="false">SUMPRODUCT((Rules!$A$2:$A$60=M$1)*Rules!$C$2:$C$60*ISNUMBER(SEARCH(Rules!$E$2:$E$60,$D557)))</f>
        <v>0</v>
      </c>
      <c r="N557" s="0" t="n">
        <f aca="false">SUMPRODUCT((Rules!$A$2:$A$60=N$1)*Rules!$C$2:$C$60*ISNUMBER(SEARCH(Rules!$E$2:$E$60,$D557)))</f>
        <v>0</v>
      </c>
      <c r="O557" s="0" t="n">
        <f aca="false">SUMPRODUCT((Rules!$A$2:$A$60=O$1)*Rules!$C$2:$C$60*ISNUMBER(SEARCH(Rules!$E$2:$E$60,$D557)))</f>
        <v>0</v>
      </c>
      <c r="P557" s="0" t="n">
        <f aca="false">SUMPRODUCT((Rules!$A$2:$A$60=P$1)*Rules!$C$2:$C$60*ISNUMBER(SEARCH(Rules!$E$2:$E$60,$D557)))</f>
        <v>0</v>
      </c>
      <c r="Q557" s="0" t="n">
        <f aca="false">SUMPRODUCT((Rules!$A$2:$A$60=Q$1)*Rules!$C$2:$C$60*ISNUMBER(SEARCH(Rules!$E$2:$E$60,$D557)))</f>
        <v>3</v>
      </c>
      <c r="R557" s="0" t="str">
        <f aca="false">IF(OR(MAX(L557:Q557)&lt;Rules!$H$1,MAX(L557:Q557)-LARGE(L557:Q557,2)&lt;Rules!$H$2),"No label",INDEX($L$1:$Q$1,MATCH(MAX(L557:Q557),L557:Q557,0)))</f>
        <v>Customer Service</v>
      </c>
      <c r="S557" s="0" t="n">
        <f aca="false">SUMPRODUCT(ISNUMBER(SEARCH(" "&amp;Terms!$A$3:$A$821&amp;" ",$D557))*Terms!B$3:B$821)+Terms!B$2</f>
        <v>-3.65833512788507</v>
      </c>
      <c r="T557" s="0" t="n">
        <f aca="false">SUMPRODUCT(ISNUMBER(SEARCH(" "&amp;Terms!$A$3:$A$821&amp;" ",$D557))*Terms!C$3:C$821)+Terms!C$2</f>
        <v>4.00227714363785</v>
      </c>
      <c r="U557" s="0" t="n">
        <f aca="false">SUMPRODUCT(ISNUMBER(SEARCH(" "&amp;Terms!$A$3:$A$821&amp;" ",$D557))*Terms!D$3:D$821)+Terms!D$2</f>
        <v>-3.22993173380191</v>
      </c>
      <c r="V557" s="0" t="n">
        <f aca="false">SUMPRODUCT(ISNUMBER(SEARCH(" "&amp;Terms!$A$3:$A$821&amp;" ",$D557))*Terms!E$3:E$821)+Terms!E$2</f>
        <v>-2.20267139386825</v>
      </c>
      <c r="W557" s="0" t="n">
        <f aca="false">SUMPRODUCT(ISNUMBER(SEARCH(" "&amp;Terms!$A$3:$A$821&amp;" ",$D557))*Terms!F$3:F$821)+Terms!F$2</f>
        <v>-3.55202052527527</v>
      </c>
      <c r="X557" s="0" t="n">
        <f aca="false">SUMPRODUCT(ISNUMBER(SEARCH(" "&amp;Terms!$A$3:$A$821&amp;" ",$D557))*Terms!G$3:G$821)+Terms!G$2</f>
        <v>8.64068163719277</v>
      </c>
      <c r="Y557" s="0" t="str">
        <f aca="false">INDEX($S$1:$X$1,MATCH(MAX(S557:X557),S557:X557,0))</f>
        <v>Mis-selling</v>
      </c>
      <c r="Z557" s="0" t="s">
        <v>2607</v>
      </c>
    </row>
    <row r="558" customFormat="false" ht="15" hidden="false" customHeight="false" outlineLevel="0" collapsed="false">
      <c r="A558" s="0" t="str">
        <f aca="false">Complaints!A558</f>
        <v>C0557</v>
      </c>
      <c r="B558" s="0" t="str">
        <f aca="false">Complaints!B558</f>
        <v>Nothing has been done and I am losing patience. I would like a response in writing.</v>
      </c>
      <c r="C558" s="0" t="str">
        <f aca="false">Complaints!C558</f>
        <v>Mis-selling</v>
      </c>
      <c r="D558" s="0" t="str">
        <f aca="false">" "&amp;TRIM(SUBSTITUTE(SUBSTITUTE(SUBSTITUTE(SUBSTITUTE(SUBSTITUTE(SUBSTITUTE(SUBSTITUTE(SUBSTITUTE(SUBSTITUTE(SUBSTITUTE(SUBSTITUTE(SUBSTITUTE(SUBSTITUTE(SUBSTITUTE(SUBSTITUTE(SUBSTITUTE(LOWER(B558),"."," "),","," "),"'"," "),"’"," "),"!"," "),"?"," "),";"," "),":"," "),"-"," "),"("," "),")"," "),"""", " "),"£"," "),"&amp;"," "),"/"," "),"%"," "))&amp;" "</f>
        <v> nothing has been done and i am losing patience i would like a response in writing </v>
      </c>
      <c r="E558" s="0" t="n">
        <f aca="false">SUMPRODUCT((Rules!$A$2:$A$60=E$1)*Rules!$C$2:$C$60*ISNUMBER(SEARCH(Rules!$D$2:$D$60,$D558)))</f>
        <v>0</v>
      </c>
      <c r="F558" s="0" t="n">
        <f aca="false">SUMPRODUCT((Rules!$A$2:$A$60=F$1)*Rules!$C$2:$C$60*ISNUMBER(SEARCH(Rules!$D$2:$D$60,$D558)))</f>
        <v>0</v>
      </c>
      <c r="G558" s="0" t="n">
        <f aca="false">SUMPRODUCT((Rules!$A$2:$A$60=G$1)*Rules!$C$2:$C$60*ISNUMBER(SEARCH(Rules!$D$2:$D$60,$D558)))</f>
        <v>0</v>
      </c>
      <c r="H558" s="0" t="n">
        <f aca="false">SUMPRODUCT((Rules!$A$2:$A$60=H$1)*Rules!$C$2:$C$60*ISNUMBER(SEARCH(Rules!$D$2:$D$60,$D558)))</f>
        <v>0</v>
      </c>
      <c r="I558" s="0" t="n">
        <f aca="false">SUMPRODUCT((Rules!$A$2:$A$60=I$1)*Rules!$C$2:$C$60*ISNUMBER(SEARCH(Rules!$D$2:$D$60,$D558)))</f>
        <v>0</v>
      </c>
      <c r="J558" s="0" t="n">
        <f aca="false">SUMPRODUCT((Rules!$A$2:$A$60=J$1)*Rules!$C$2:$C$60*ISNUMBER(SEARCH(Rules!$D$2:$D$60,$D558)))</f>
        <v>0</v>
      </c>
      <c r="K558" s="0" t="str">
        <f aca="false">IF(OR(MAX(E558:J558)&lt;Rules!$H$1,MAX(E558:J558)-LARGE(E558:J558,2)&lt;Rules!$H$2),"No label",INDEX($E$1:$J$1,MATCH(MAX(E558:J558),E558:J558,0)))</f>
        <v>No label</v>
      </c>
      <c r="L558" s="0" t="n">
        <f aca="false">SUMPRODUCT((Rules!$A$2:$A$60=L$1)*Rules!$C$2:$C$60*ISNUMBER(SEARCH(Rules!$E$2:$E$60,$D558)))</f>
        <v>0</v>
      </c>
      <c r="M558" s="0" t="n">
        <f aca="false">SUMPRODUCT((Rules!$A$2:$A$60=M$1)*Rules!$C$2:$C$60*ISNUMBER(SEARCH(Rules!$E$2:$E$60,$D558)))</f>
        <v>0</v>
      </c>
      <c r="N558" s="0" t="n">
        <f aca="false">SUMPRODUCT((Rules!$A$2:$A$60=N$1)*Rules!$C$2:$C$60*ISNUMBER(SEARCH(Rules!$E$2:$E$60,$D558)))</f>
        <v>0</v>
      </c>
      <c r="O558" s="0" t="n">
        <f aca="false">SUMPRODUCT((Rules!$A$2:$A$60=O$1)*Rules!$C$2:$C$60*ISNUMBER(SEARCH(Rules!$E$2:$E$60,$D558)))</f>
        <v>0</v>
      </c>
      <c r="P558" s="0" t="n">
        <f aca="false">SUMPRODUCT((Rules!$A$2:$A$60=P$1)*Rules!$C$2:$C$60*ISNUMBER(SEARCH(Rules!$E$2:$E$60,$D558)))</f>
        <v>0</v>
      </c>
      <c r="Q558" s="0" t="n">
        <f aca="false">SUMPRODUCT((Rules!$A$2:$A$60=Q$1)*Rules!$C$2:$C$60*ISNUMBER(SEARCH(Rules!$E$2:$E$60,$D558)))</f>
        <v>0</v>
      </c>
      <c r="R558" s="0" t="str">
        <f aca="false">IF(OR(MAX(L558:Q558)&lt;Rules!$H$1,MAX(L558:Q558)-LARGE(L558:Q558,2)&lt;Rules!$H$2),"No label",INDEX($L$1:$Q$1,MATCH(MAX(L558:Q558),L558:Q558,0)))</f>
        <v>No label</v>
      </c>
      <c r="S558" s="0" t="n">
        <f aca="false">SUMPRODUCT(ISNUMBER(SEARCH(" "&amp;Terms!$A$3:$A$821&amp;" ",$D558))*Terms!B$3:B$821)+Terms!B$2</f>
        <v>1.59430381325186</v>
      </c>
      <c r="T558" s="0" t="n">
        <f aca="false">SUMPRODUCT(ISNUMBER(SEARCH(" "&amp;Terms!$A$3:$A$821&amp;" ",$D558))*Terms!C$3:C$821)+Terms!C$2</f>
        <v>1.41385986028336</v>
      </c>
      <c r="U558" s="0" t="n">
        <f aca="false">SUMPRODUCT(ISNUMBER(SEARCH(" "&amp;Terms!$A$3:$A$821&amp;" ",$D558))*Terms!D$3:D$821)+Terms!D$2</f>
        <v>-2.02525323599665</v>
      </c>
      <c r="V558" s="0" t="n">
        <f aca="false">SUMPRODUCT(ISNUMBER(SEARCH(" "&amp;Terms!$A$3:$A$821&amp;" ",$D558))*Terms!E$3:E$821)+Terms!E$2</f>
        <v>-2.71439735846835</v>
      </c>
      <c r="W558" s="0" t="n">
        <f aca="false">SUMPRODUCT(ISNUMBER(SEARCH(" "&amp;Terms!$A$3:$A$821&amp;" ",$D558))*Terms!F$3:F$821)+Terms!F$2</f>
        <v>-3.1904894534189</v>
      </c>
      <c r="X558" s="0" t="n">
        <f aca="false">SUMPRODUCT(ISNUMBER(SEARCH(" "&amp;Terms!$A$3:$A$821&amp;" ",$D558))*Terms!G$3:G$821)+Terms!G$2</f>
        <v>4.92197637434878</v>
      </c>
      <c r="Y558" s="0" t="str">
        <f aca="false">INDEX($S$1:$X$1,MATCH(MAX(S558:X558),S558:X558,0))</f>
        <v>Mis-selling</v>
      </c>
      <c r="Z558" s="0" t="s">
        <v>2607</v>
      </c>
    </row>
    <row r="559" customFormat="false" ht="15" hidden="false" customHeight="false" outlineLevel="0" collapsed="false">
      <c r="A559" s="0" t="str">
        <f aca="false">Complaints!A559</f>
        <v>C0558</v>
      </c>
      <c r="B559" s="0" t="str">
        <f aca="false">Complaints!B559</f>
        <v>Hello, The terms were very different from what I was promised at the time of sale. I could not log in to check either.</v>
      </c>
      <c r="C559" s="0" t="str">
        <f aca="false">Complaints!C559</f>
        <v>Mis-selling</v>
      </c>
      <c r="D559" s="0" t="str">
        <f aca="false">" "&amp;TRIM(SUBSTITUTE(SUBSTITUTE(SUBSTITUTE(SUBSTITUTE(SUBSTITUTE(SUBSTITUTE(SUBSTITUTE(SUBSTITUTE(SUBSTITUTE(SUBSTITUTE(SUBSTITUTE(SUBSTITUTE(SUBSTITUTE(SUBSTITUTE(SUBSTITUTE(SUBSTITUTE(LOWER(B559),"."," "),","," "),"'"," "),"’"," "),"!"," "),"?"," "),";"," "),":"," "),"-"," "),"("," "),")"," "),"""", " "),"£"," "),"&amp;"," "),"/"," "),"%"," "))&amp;" "</f>
        <v> hello the terms were very different from what i was promised at the time of sale i could not log in to check either </v>
      </c>
      <c r="E559" s="0" t="n">
        <f aca="false">SUMPRODUCT((Rules!$A$2:$A$60=E$1)*Rules!$C$2:$C$60*ISNUMBER(SEARCH(Rules!$D$2:$D$60,$D559)))</f>
        <v>0</v>
      </c>
      <c r="F559" s="0" t="n">
        <f aca="false">SUMPRODUCT((Rules!$A$2:$A$60=F$1)*Rules!$C$2:$C$60*ISNUMBER(SEARCH(Rules!$D$2:$D$60,$D559)))</f>
        <v>1</v>
      </c>
      <c r="G559" s="0" t="n">
        <f aca="false">SUMPRODUCT((Rules!$A$2:$A$60=G$1)*Rules!$C$2:$C$60*ISNUMBER(SEARCH(Rules!$D$2:$D$60,$D559)))</f>
        <v>3</v>
      </c>
      <c r="H559" s="0" t="n">
        <f aca="false">SUMPRODUCT((Rules!$A$2:$A$60=H$1)*Rules!$C$2:$C$60*ISNUMBER(SEARCH(Rules!$D$2:$D$60,$D559)))</f>
        <v>0</v>
      </c>
      <c r="I559" s="0" t="n">
        <f aca="false">SUMPRODUCT((Rules!$A$2:$A$60=I$1)*Rules!$C$2:$C$60*ISNUMBER(SEARCH(Rules!$D$2:$D$60,$D559)))</f>
        <v>0</v>
      </c>
      <c r="J559" s="0" t="n">
        <f aca="false">SUMPRODUCT((Rules!$A$2:$A$60=J$1)*Rules!$C$2:$C$60*ISNUMBER(SEARCH(Rules!$D$2:$D$60,$D559)))</f>
        <v>0</v>
      </c>
      <c r="K559" s="0" t="str">
        <f aca="false">IF(OR(MAX(E559:J559)&lt;Rules!$H$1,MAX(E559:J559)-LARGE(E559:J559,2)&lt;Rules!$H$2),"No label",INDEX($E$1:$J$1,MATCH(MAX(E559:J559),E559:J559,0)))</f>
        <v>Account Access</v>
      </c>
      <c r="L559" s="0" t="n">
        <f aca="false">SUMPRODUCT((Rules!$A$2:$A$60=L$1)*Rules!$C$2:$C$60*ISNUMBER(SEARCH(Rules!$E$2:$E$60,$D559)))</f>
        <v>0</v>
      </c>
      <c r="M559" s="0" t="n">
        <f aca="false">SUMPRODUCT((Rules!$A$2:$A$60=M$1)*Rules!$C$2:$C$60*ISNUMBER(SEARCH(Rules!$E$2:$E$60,$D559)))</f>
        <v>1</v>
      </c>
      <c r="N559" s="0" t="n">
        <f aca="false">SUMPRODUCT((Rules!$A$2:$A$60=N$1)*Rules!$C$2:$C$60*ISNUMBER(SEARCH(Rules!$E$2:$E$60,$D559)))</f>
        <v>3</v>
      </c>
      <c r="O559" s="0" t="n">
        <f aca="false">SUMPRODUCT((Rules!$A$2:$A$60=O$1)*Rules!$C$2:$C$60*ISNUMBER(SEARCH(Rules!$E$2:$E$60,$D559)))</f>
        <v>0</v>
      </c>
      <c r="P559" s="0" t="n">
        <f aca="false">SUMPRODUCT((Rules!$A$2:$A$60=P$1)*Rules!$C$2:$C$60*ISNUMBER(SEARCH(Rules!$E$2:$E$60,$D559)))</f>
        <v>0</v>
      </c>
      <c r="Q559" s="0" t="n">
        <f aca="false">SUMPRODUCT((Rules!$A$2:$A$60=Q$1)*Rules!$C$2:$C$60*ISNUMBER(SEARCH(Rules!$E$2:$E$60,$D559)))</f>
        <v>0</v>
      </c>
      <c r="R559" s="0" t="str">
        <f aca="false">IF(OR(MAX(L559:Q559)&lt;Rules!$H$1,MAX(L559:Q559)-LARGE(L559:Q559,2)&lt;Rules!$H$2),"No label",INDEX($L$1:$Q$1,MATCH(MAX(L559:Q559),L559:Q559,0)))</f>
        <v>Account Access</v>
      </c>
      <c r="S559" s="0" t="n">
        <f aca="false">SUMPRODUCT(ISNUMBER(SEARCH(" "&amp;Terms!$A$3:$A$821&amp;" ",$D559))*Terms!B$3:B$821)+Terms!B$2</f>
        <v>-1.28047378924374</v>
      </c>
      <c r="T559" s="0" t="n">
        <f aca="false">SUMPRODUCT(ISNUMBER(SEARCH(" "&amp;Terms!$A$3:$A$821&amp;" ",$D559))*Terms!C$3:C$821)+Terms!C$2</f>
        <v>-1.7114309869924</v>
      </c>
      <c r="U559" s="0" t="n">
        <f aca="false">SUMPRODUCT(ISNUMBER(SEARCH(" "&amp;Terms!$A$3:$A$821&amp;" ",$D559))*Terms!D$3:D$821)+Terms!D$2</f>
        <v>1.44191123460796</v>
      </c>
      <c r="V559" s="0" t="n">
        <f aca="false">SUMPRODUCT(ISNUMBER(SEARCH(" "&amp;Terms!$A$3:$A$821&amp;" ",$D559))*Terms!E$3:E$821)+Terms!E$2</f>
        <v>-1.44605218916009</v>
      </c>
      <c r="W559" s="0" t="n">
        <f aca="false">SUMPRODUCT(ISNUMBER(SEARCH(" "&amp;Terms!$A$3:$A$821&amp;" ",$D559))*Terms!F$3:F$821)+Terms!F$2</f>
        <v>-4.21418888289517</v>
      </c>
      <c r="X559" s="0" t="n">
        <f aca="false">SUMPRODUCT(ISNUMBER(SEARCH(" "&amp;Terms!$A$3:$A$821&amp;" ",$D559))*Terms!G$3:G$821)+Terms!G$2</f>
        <v>7.21023461368352</v>
      </c>
      <c r="Y559" s="0" t="str">
        <f aca="false">INDEX($S$1:$X$1,MATCH(MAX(S559:X559),S559:X559,0))</f>
        <v>Mis-selling</v>
      </c>
      <c r="Z559" s="0" t="s">
        <v>2608</v>
      </c>
    </row>
    <row r="560" customFormat="false" ht="15" hidden="false" customHeight="false" outlineLevel="0" collapsed="false">
      <c r="A560" s="0" t="str">
        <f aca="false">Complaints!A560</f>
        <v>C0559</v>
      </c>
      <c r="B560" s="0" t="str">
        <f aca="false">Complaints!B560</f>
        <v>This is the second time I have raised this. I was passed between four departments and no one took ownership. Please escalate this.</v>
      </c>
      <c r="C560" s="0" t="str">
        <f aca="false">Complaints!C560</f>
        <v>Customer Service</v>
      </c>
      <c r="D560" s="0" t="str">
        <f aca="false">" "&amp;TRIM(SUBSTITUTE(SUBSTITUTE(SUBSTITUTE(SUBSTITUTE(SUBSTITUTE(SUBSTITUTE(SUBSTITUTE(SUBSTITUTE(SUBSTITUTE(SUBSTITUTE(SUBSTITUTE(SUBSTITUTE(SUBSTITUTE(SUBSTITUTE(SUBSTITUTE(SUBSTITUTE(LOWER(B560),"."," "),","," "),"'"," "),"’"," "),"!"," "),"?"," "),";"," "),":"," "),"-"," "),"("," "),")"," "),"""", " "),"£"," "),"&amp;"," "),"/"," "),"%"," "))&amp;" "</f>
        <v> this is the second time i have raised this i was passed between four departments and no one took ownership please escalate this </v>
      </c>
      <c r="E560" s="0" t="n">
        <f aca="false">SUMPRODUCT((Rules!$A$2:$A$60=E$1)*Rules!$C$2:$C$60*ISNUMBER(SEARCH(Rules!$D$2:$D$60,$D560)))</f>
        <v>0</v>
      </c>
      <c r="F560" s="0" t="n">
        <f aca="false">SUMPRODUCT((Rules!$A$2:$A$60=F$1)*Rules!$C$2:$C$60*ISNUMBER(SEARCH(Rules!$D$2:$D$60,$D560)))</f>
        <v>0</v>
      </c>
      <c r="G560" s="0" t="n">
        <f aca="false">SUMPRODUCT((Rules!$A$2:$A$60=G$1)*Rules!$C$2:$C$60*ISNUMBER(SEARCH(Rules!$D$2:$D$60,$D560)))</f>
        <v>0</v>
      </c>
      <c r="H560" s="0" t="n">
        <f aca="false">SUMPRODUCT((Rules!$A$2:$A$60=H$1)*Rules!$C$2:$C$60*ISNUMBER(SEARCH(Rules!$D$2:$D$60,$D560)))</f>
        <v>0</v>
      </c>
      <c r="I560" s="0" t="n">
        <f aca="false">SUMPRODUCT((Rules!$A$2:$A$60=I$1)*Rules!$C$2:$C$60*ISNUMBER(SEARCH(Rules!$D$2:$D$60,$D560)))</f>
        <v>0</v>
      </c>
      <c r="J560" s="0" t="n">
        <f aca="false">SUMPRODUCT((Rules!$A$2:$A$60=J$1)*Rules!$C$2:$C$60*ISNUMBER(SEARCH(Rules!$D$2:$D$60,$D560)))</f>
        <v>2</v>
      </c>
      <c r="K560" s="0" t="str">
        <f aca="false">IF(OR(MAX(E560:J560)&lt;Rules!$H$1,MAX(E560:J560)-LARGE(E560:J560,2)&lt;Rules!$H$2),"No label",INDEX($E$1:$J$1,MATCH(MAX(E560:J560),E560:J560,0)))</f>
        <v>No label</v>
      </c>
      <c r="L560" s="0" t="n">
        <f aca="false">SUMPRODUCT((Rules!$A$2:$A$60=L$1)*Rules!$C$2:$C$60*ISNUMBER(SEARCH(Rules!$E$2:$E$60,$D560)))</f>
        <v>0</v>
      </c>
      <c r="M560" s="0" t="n">
        <f aca="false">SUMPRODUCT((Rules!$A$2:$A$60=M$1)*Rules!$C$2:$C$60*ISNUMBER(SEARCH(Rules!$E$2:$E$60,$D560)))</f>
        <v>0</v>
      </c>
      <c r="N560" s="0" t="n">
        <f aca="false">SUMPRODUCT((Rules!$A$2:$A$60=N$1)*Rules!$C$2:$C$60*ISNUMBER(SEARCH(Rules!$E$2:$E$60,$D560)))</f>
        <v>0</v>
      </c>
      <c r="O560" s="0" t="n">
        <f aca="false">SUMPRODUCT((Rules!$A$2:$A$60=O$1)*Rules!$C$2:$C$60*ISNUMBER(SEARCH(Rules!$E$2:$E$60,$D560)))</f>
        <v>0</v>
      </c>
      <c r="P560" s="0" t="n">
        <f aca="false">SUMPRODUCT((Rules!$A$2:$A$60=P$1)*Rules!$C$2:$C$60*ISNUMBER(SEARCH(Rules!$E$2:$E$60,$D560)))</f>
        <v>0</v>
      </c>
      <c r="Q560" s="0" t="n">
        <f aca="false">SUMPRODUCT((Rules!$A$2:$A$60=Q$1)*Rules!$C$2:$C$60*ISNUMBER(SEARCH(Rules!$E$2:$E$60,$D560)))</f>
        <v>2</v>
      </c>
      <c r="R560" s="0" t="str">
        <f aca="false">IF(OR(MAX(L560:Q560)&lt;Rules!$H$1,MAX(L560:Q560)-LARGE(L560:Q560,2)&lt;Rules!$H$2),"No label",INDEX($L$1:$Q$1,MATCH(MAX(L560:Q560),L560:Q560,0)))</f>
        <v>No label</v>
      </c>
      <c r="S560" s="0" t="n">
        <f aca="false">SUMPRODUCT(ISNUMBER(SEARCH(" "&amp;Terms!$A$3:$A$821&amp;" ",$D560))*Terms!B$3:B$821)+Terms!B$2</f>
        <v>-3.36024844340506</v>
      </c>
      <c r="T560" s="0" t="n">
        <f aca="false">SUMPRODUCT(ISNUMBER(SEARCH(" "&amp;Terms!$A$3:$A$821&amp;" ",$D560))*Terms!C$3:C$821)+Terms!C$2</f>
        <v>10.3977908191019</v>
      </c>
      <c r="U560" s="0" t="n">
        <f aca="false">SUMPRODUCT(ISNUMBER(SEARCH(" "&amp;Terms!$A$3:$A$821&amp;" ",$D560))*Terms!D$3:D$821)+Terms!D$2</f>
        <v>-2.5254931310866</v>
      </c>
      <c r="V560" s="0" t="n">
        <f aca="false">SUMPRODUCT(ISNUMBER(SEARCH(" "&amp;Terms!$A$3:$A$821&amp;" ",$D560))*Terms!E$3:E$821)+Terms!E$2</f>
        <v>0.534652525106577</v>
      </c>
      <c r="W560" s="0" t="n">
        <f aca="false">SUMPRODUCT(ISNUMBER(SEARCH(" "&amp;Terms!$A$3:$A$821&amp;" ",$D560))*Terms!F$3:F$821)+Terms!F$2</f>
        <v>-2.15202331959819</v>
      </c>
      <c r="X560" s="0" t="n">
        <f aca="false">SUMPRODUCT(ISNUMBER(SEARCH(" "&amp;Terms!$A$3:$A$821&amp;" ",$D560))*Terms!G$3:G$821)+Terms!G$2</f>
        <v>-2.89467845011849</v>
      </c>
      <c r="Y560" s="0" t="str">
        <f aca="false">INDEX($S$1:$X$1,MATCH(MAX(S560:X560),S560:X560,0))</f>
        <v>Customer Service</v>
      </c>
      <c r="Z560" s="0" t="s">
        <v>2607</v>
      </c>
    </row>
    <row r="561" customFormat="false" ht="15" hidden="false" customHeight="false" outlineLevel="0" collapsed="false">
      <c r="A561" s="0" t="str">
        <f aca="false">Complaints!A561</f>
        <v>C0560</v>
      </c>
      <c r="B561" s="0" t="str">
        <f aca="false">Complaints!B561</f>
        <v>The adviser did not explain the risks of the investment.</v>
      </c>
      <c r="C561" s="0" t="str">
        <f aca="false">Complaints!C561</f>
        <v>Mis-selling</v>
      </c>
      <c r="D561" s="0" t="str">
        <f aca="false">" "&amp;TRIM(SUBSTITUTE(SUBSTITUTE(SUBSTITUTE(SUBSTITUTE(SUBSTITUTE(SUBSTITUTE(SUBSTITUTE(SUBSTITUTE(SUBSTITUTE(SUBSTITUTE(SUBSTITUTE(SUBSTITUTE(SUBSTITUTE(SUBSTITUTE(SUBSTITUTE(SUBSTITUTE(LOWER(B561),"."," "),","," "),"'"," "),"’"," "),"!"," "),"?"," "),";"," "),":"," "),"-"," "),"("," "),")"," "),"""", " "),"£"," "),"&amp;"," "),"/"," "),"%"," "))&amp;" "</f>
        <v> the adviser did not explain the risks of the investment </v>
      </c>
      <c r="E561" s="0" t="n">
        <f aca="false">SUMPRODUCT((Rules!$A$2:$A$60=E$1)*Rules!$C$2:$C$60*ISNUMBER(SEARCH(Rules!$D$2:$D$60,$D561)))</f>
        <v>0</v>
      </c>
      <c r="F561" s="0" t="n">
        <f aca="false">SUMPRODUCT((Rules!$A$2:$A$60=F$1)*Rules!$C$2:$C$60*ISNUMBER(SEARCH(Rules!$D$2:$D$60,$D561)))</f>
        <v>4</v>
      </c>
      <c r="G561" s="0" t="n">
        <f aca="false">SUMPRODUCT((Rules!$A$2:$A$60=G$1)*Rules!$C$2:$C$60*ISNUMBER(SEARCH(Rules!$D$2:$D$60,$D561)))</f>
        <v>0</v>
      </c>
      <c r="H561" s="0" t="n">
        <f aca="false">SUMPRODUCT((Rules!$A$2:$A$60=H$1)*Rules!$C$2:$C$60*ISNUMBER(SEARCH(Rules!$D$2:$D$60,$D561)))</f>
        <v>0</v>
      </c>
      <c r="I561" s="0" t="n">
        <f aca="false">SUMPRODUCT((Rules!$A$2:$A$60=I$1)*Rules!$C$2:$C$60*ISNUMBER(SEARCH(Rules!$D$2:$D$60,$D561)))</f>
        <v>0</v>
      </c>
      <c r="J561" s="0" t="n">
        <f aca="false">SUMPRODUCT((Rules!$A$2:$A$60=J$1)*Rules!$C$2:$C$60*ISNUMBER(SEARCH(Rules!$D$2:$D$60,$D561)))</f>
        <v>0</v>
      </c>
      <c r="K561" s="0" t="str">
        <f aca="false">IF(OR(MAX(E561:J561)&lt;Rules!$H$1,MAX(E561:J561)-LARGE(E561:J561,2)&lt;Rules!$H$2),"No label",INDEX($E$1:$J$1,MATCH(MAX(E561:J561),E561:J561,0)))</f>
        <v>Mis-selling</v>
      </c>
      <c r="L561" s="0" t="n">
        <f aca="false">SUMPRODUCT((Rules!$A$2:$A$60=L$1)*Rules!$C$2:$C$60*ISNUMBER(SEARCH(Rules!$E$2:$E$60,$D561)))</f>
        <v>0</v>
      </c>
      <c r="M561" s="0" t="n">
        <f aca="false">SUMPRODUCT((Rules!$A$2:$A$60=M$1)*Rules!$C$2:$C$60*ISNUMBER(SEARCH(Rules!$E$2:$E$60,$D561)))</f>
        <v>6</v>
      </c>
      <c r="N561" s="0" t="n">
        <f aca="false">SUMPRODUCT((Rules!$A$2:$A$60=N$1)*Rules!$C$2:$C$60*ISNUMBER(SEARCH(Rules!$E$2:$E$60,$D561)))</f>
        <v>0</v>
      </c>
      <c r="O561" s="0" t="n">
        <f aca="false">SUMPRODUCT((Rules!$A$2:$A$60=O$1)*Rules!$C$2:$C$60*ISNUMBER(SEARCH(Rules!$E$2:$E$60,$D561)))</f>
        <v>0</v>
      </c>
      <c r="P561" s="0" t="n">
        <f aca="false">SUMPRODUCT((Rules!$A$2:$A$60=P$1)*Rules!$C$2:$C$60*ISNUMBER(SEARCH(Rules!$E$2:$E$60,$D561)))</f>
        <v>0</v>
      </c>
      <c r="Q561" s="0" t="n">
        <f aca="false">SUMPRODUCT((Rules!$A$2:$A$60=Q$1)*Rules!$C$2:$C$60*ISNUMBER(SEARCH(Rules!$E$2:$E$60,$D561)))</f>
        <v>1</v>
      </c>
      <c r="R561" s="0" t="str">
        <f aca="false">IF(OR(MAX(L561:Q561)&lt;Rules!$H$1,MAX(L561:Q561)-LARGE(L561:Q561,2)&lt;Rules!$H$2),"No label",INDEX($L$1:$Q$1,MATCH(MAX(L561:Q561),L561:Q561,0)))</f>
        <v>Mis-selling</v>
      </c>
      <c r="S561" s="0" t="n">
        <f aca="false">SUMPRODUCT(ISNUMBER(SEARCH(" "&amp;Terms!$A$3:$A$821&amp;" ",$D561))*Terms!B$3:B$821)+Terms!B$2</f>
        <v>-3.13168580963262</v>
      </c>
      <c r="T561" s="0" t="n">
        <f aca="false">SUMPRODUCT(ISNUMBER(SEARCH(" "&amp;Terms!$A$3:$A$821&amp;" ",$D561))*Terms!C$3:C$821)+Terms!C$2</f>
        <v>-0.518821062480782</v>
      </c>
      <c r="U561" s="0" t="n">
        <f aca="false">SUMPRODUCT(ISNUMBER(SEARCH(" "&amp;Terms!$A$3:$A$821&amp;" ",$D561))*Terms!D$3:D$821)+Terms!D$2</f>
        <v>-4.10113960753229</v>
      </c>
      <c r="V561" s="0" t="n">
        <f aca="false">SUMPRODUCT(ISNUMBER(SEARCH(" "&amp;Terms!$A$3:$A$821&amp;" ",$D561))*Terms!E$3:E$821)+Terms!E$2</f>
        <v>0.00569011914666956</v>
      </c>
      <c r="W561" s="0" t="n">
        <f aca="false">SUMPRODUCT(ISNUMBER(SEARCH(" "&amp;Terms!$A$3:$A$821&amp;" ",$D561))*Terms!F$3:F$821)+Terms!F$2</f>
        <v>-1.12568617135009</v>
      </c>
      <c r="X561" s="0" t="n">
        <f aca="false">SUMPRODUCT(ISNUMBER(SEARCH(" "&amp;Terms!$A$3:$A$821&amp;" ",$D561))*Terms!G$3:G$821)+Terms!G$2</f>
        <v>8.87164253184919</v>
      </c>
      <c r="Y561" s="0" t="str">
        <f aca="false">INDEX($S$1:$X$1,MATCH(MAX(S561:X561),S561:X561,0))</f>
        <v>Mis-selling</v>
      </c>
      <c r="Z561" s="0" t="s">
        <v>2607</v>
      </c>
    </row>
    <row r="562" customFormat="false" ht="15" hidden="false" customHeight="false" outlineLevel="0" collapsed="false">
      <c r="A562" s="0" t="str">
        <f aca="false">Complaints!A562</f>
        <v>C0561</v>
      </c>
      <c r="B562" s="0" t="str">
        <f aca="false">Complaints!B562</f>
        <v>This is the second time I have raised this. I reported the unauthorised payment but you refused to reimburse me. I expect compensation.</v>
      </c>
      <c r="C562" s="0" t="str">
        <f aca="false">Complaints!C562</f>
        <v>Fraud &amp; Scams</v>
      </c>
      <c r="D562" s="0" t="str">
        <f aca="false">" "&amp;TRIM(SUBSTITUTE(SUBSTITUTE(SUBSTITUTE(SUBSTITUTE(SUBSTITUTE(SUBSTITUTE(SUBSTITUTE(SUBSTITUTE(SUBSTITUTE(SUBSTITUTE(SUBSTITUTE(SUBSTITUTE(SUBSTITUTE(SUBSTITUTE(SUBSTITUTE(SUBSTITUTE(LOWER(B562),"."," "),","," "),"'"," "),"’"," "),"!"," "),"?"," "),";"," "),":"," "),"-"," "),"("," "),")"," "),"""", " "),"£"," "),"&amp;"," "),"/"," "),"%"," "))&amp;" "</f>
        <v> this is the second time i have raised this i reported the unauthorised payment but you refused to reimburse me i expect compensation </v>
      </c>
      <c r="E562" s="0" t="n">
        <f aca="false">SUMPRODUCT((Rules!$A$2:$A$60=E$1)*Rules!$C$2:$C$60*ISNUMBER(SEARCH(Rules!$D$2:$D$60,$D562)))</f>
        <v>3</v>
      </c>
      <c r="F562" s="0" t="n">
        <f aca="false">SUMPRODUCT((Rules!$A$2:$A$60=F$1)*Rules!$C$2:$C$60*ISNUMBER(SEARCH(Rules!$D$2:$D$60,$D562)))</f>
        <v>0</v>
      </c>
      <c r="G562" s="0" t="n">
        <f aca="false">SUMPRODUCT((Rules!$A$2:$A$60=G$1)*Rules!$C$2:$C$60*ISNUMBER(SEARCH(Rules!$D$2:$D$60,$D562)))</f>
        <v>0</v>
      </c>
      <c r="H562" s="0" t="n">
        <f aca="false">SUMPRODUCT((Rules!$A$2:$A$60=H$1)*Rules!$C$2:$C$60*ISNUMBER(SEARCH(Rules!$D$2:$D$60,$D562)))</f>
        <v>0</v>
      </c>
      <c r="I562" s="0" t="n">
        <f aca="false">SUMPRODUCT((Rules!$A$2:$A$60=I$1)*Rules!$C$2:$C$60*ISNUMBER(SEARCH(Rules!$D$2:$D$60,$D562)))</f>
        <v>0</v>
      </c>
      <c r="J562" s="0" t="n">
        <f aca="false">SUMPRODUCT((Rules!$A$2:$A$60=J$1)*Rules!$C$2:$C$60*ISNUMBER(SEARCH(Rules!$D$2:$D$60,$D562)))</f>
        <v>0</v>
      </c>
      <c r="K562" s="0" t="str">
        <f aca="false">IF(OR(MAX(E562:J562)&lt;Rules!$H$1,MAX(E562:J562)-LARGE(E562:J562,2)&lt;Rules!$H$2),"No label",INDEX($E$1:$J$1,MATCH(MAX(E562:J562),E562:J562,0)))</f>
        <v>Fraud &amp; Scams</v>
      </c>
      <c r="L562" s="0" t="n">
        <f aca="false">SUMPRODUCT((Rules!$A$2:$A$60=L$1)*Rules!$C$2:$C$60*ISNUMBER(SEARCH(Rules!$E$2:$E$60,$D562)))</f>
        <v>3</v>
      </c>
      <c r="M562" s="0" t="n">
        <f aca="false">SUMPRODUCT((Rules!$A$2:$A$60=M$1)*Rules!$C$2:$C$60*ISNUMBER(SEARCH(Rules!$E$2:$E$60,$D562)))</f>
        <v>0</v>
      </c>
      <c r="N562" s="0" t="n">
        <f aca="false">SUMPRODUCT((Rules!$A$2:$A$60=N$1)*Rules!$C$2:$C$60*ISNUMBER(SEARCH(Rules!$E$2:$E$60,$D562)))</f>
        <v>0</v>
      </c>
      <c r="O562" s="0" t="n">
        <f aca="false">SUMPRODUCT((Rules!$A$2:$A$60=O$1)*Rules!$C$2:$C$60*ISNUMBER(SEARCH(Rules!$E$2:$E$60,$D562)))</f>
        <v>0</v>
      </c>
      <c r="P562" s="0" t="n">
        <f aca="false">SUMPRODUCT((Rules!$A$2:$A$60=P$1)*Rules!$C$2:$C$60*ISNUMBER(SEARCH(Rules!$E$2:$E$60,$D562)))</f>
        <v>0</v>
      </c>
      <c r="Q562" s="0" t="n">
        <f aca="false">SUMPRODUCT((Rules!$A$2:$A$60=Q$1)*Rules!$C$2:$C$60*ISNUMBER(SEARCH(Rules!$E$2:$E$60,$D562)))</f>
        <v>0</v>
      </c>
      <c r="R562" s="0" t="str">
        <f aca="false">IF(OR(MAX(L562:Q562)&lt;Rules!$H$1,MAX(L562:Q562)-LARGE(L562:Q562,2)&lt;Rules!$H$2),"No label",INDEX($L$1:$Q$1,MATCH(MAX(L562:Q562),L562:Q562,0)))</f>
        <v>Fraud &amp; Scams</v>
      </c>
      <c r="S562" s="0" t="n">
        <f aca="false">SUMPRODUCT(ISNUMBER(SEARCH(" "&amp;Terms!$A$3:$A$821&amp;" ",$D562))*Terms!B$3:B$821)+Terms!B$2</f>
        <v>0.382461932166665</v>
      </c>
      <c r="T562" s="0" t="n">
        <f aca="false">SUMPRODUCT(ISNUMBER(SEARCH(" "&amp;Terms!$A$3:$A$821&amp;" ",$D562))*Terms!C$3:C$821)+Terms!C$2</f>
        <v>-2.9474901729863</v>
      </c>
      <c r="U562" s="0" t="n">
        <f aca="false">SUMPRODUCT(ISNUMBER(SEARCH(" "&amp;Terms!$A$3:$A$821&amp;" ",$D562))*Terms!D$3:D$821)+Terms!D$2</f>
        <v>-2.18963262303834</v>
      </c>
      <c r="V562" s="0" t="n">
        <f aca="false">SUMPRODUCT(ISNUMBER(SEARCH(" "&amp;Terms!$A$3:$A$821&amp;" ",$D562))*Terms!E$3:E$821)+Terms!E$2</f>
        <v>-1.97257961440724</v>
      </c>
      <c r="W562" s="0" t="n">
        <f aca="false">SUMPRODUCT(ISNUMBER(SEARCH(" "&amp;Terms!$A$3:$A$821&amp;" ",$D562))*Terms!F$3:F$821)+Terms!F$2</f>
        <v>11.3439489869115</v>
      </c>
      <c r="X562" s="0" t="n">
        <f aca="false">SUMPRODUCT(ISNUMBER(SEARCH(" "&amp;Terms!$A$3:$A$821&amp;" ",$D562))*Terms!G$3:G$821)+Terms!G$2</f>
        <v>-4.61670850864616</v>
      </c>
      <c r="Y562" s="0" t="str">
        <f aca="false">INDEX($S$1:$X$1,MATCH(MAX(S562:X562),S562:X562,0))</f>
        <v>Fraud &amp; Scams</v>
      </c>
      <c r="Z562" s="0" t="s">
        <v>2607</v>
      </c>
    </row>
    <row r="563" customFormat="false" ht="15" hidden="false" customHeight="false" outlineLevel="0" collapsed="false">
      <c r="A563" s="0" t="str">
        <f aca="false">Complaints!A563</f>
        <v>C0562</v>
      </c>
      <c r="B563" s="0" t="str">
        <f aca="false">Complaints!B563</f>
        <v>I am writing to complain. I asked for a callback and it never happened. I expect compensation.</v>
      </c>
      <c r="C563" s="0" t="str">
        <f aca="false">Complaints!C563</f>
        <v>Customer Service</v>
      </c>
      <c r="D563" s="0" t="str">
        <f aca="false">" "&amp;TRIM(SUBSTITUTE(SUBSTITUTE(SUBSTITUTE(SUBSTITUTE(SUBSTITUTE(SUBSTITUTE(SUBSTITUTE(SUBSTITUTE(SUBSTITUTE(SUBSTITUTE(SUBSTITUTE(SUBSTITUTE(SUBSTITUTE(SUBSTITUTE(SUBSTITUTE(SUBSTITUTE(LOWER(B563),"."," "),","," "),"'"," "),"’"," "),"!"," "),"?"," "),";"," "),":"," "),"-"," "),"("," "),")"," "),"""", " "),"£"," "),"&amp;"," "),"/"," "),"%"," "))&amp;" "</f>
        <v> i am writing to complain i asked for a callback and it never happened i expect compensation </v>
      </c>
      <c r="E563" s="0" t="n">
        <f aca="false">SUMPRODUCT((Rules!$A$2:$A$60=E$1)*Rules!$C$2:$C$60*ISNUMBER(SEARCH(Rules!$D$2:$D$60,$D563)))</f>
        <v>0</v>
      </c>
      <c r="F563" s="0" t="n">
        <f aca="false">SUMPRODUCT((Rules!$A$2:$A$60=F$1)*Rules!$C$2:$C$60*ISNUMBER(SEARCH(Rules!$D$2:$D$60,$D563)))</f>
        <v>0</v>
      </c>
      <c r="G563" s="0" t="n">
        <f aca="false">SUMPRODUCT((Rules!$A$2:$A$60=G$1)*Rules!$C$2:$C$60*ISNUMBER(SEARCH(Rules!$D$2:$D$60,$D563)))</f>
        <v>0</v>
      </c>
      <c r="H563" s="0" t="n">
        <f aca="false">SUMPRODUCT((Rules!$A$2:$A$60=H$1)*Rules!$C$2:$C$60*ISNUMBER(SEARCH(Rules!$D$2:$D$60,$D563)))</f>
        <v>0</v>
      </c>
      <c r="I563" s="0" t="n">
        <f aca="false">SUMPRODUCT((Rules!$A$2:$A$60=I$1)*Rules!$C$2:$C$60*ISNUMBER(SEARCH(Rules!$D$2:$D$60,$D563)))</f>
        <v>0</v>
      </c>
      <c r="J563" s="0" t="n">
        <f aca="false">SUMPRODUCT((Rules!$A$2:$A$60=J$1)*Rules!$C$2:$C$60*ISNUMBER(SEARCH(Rules!$D$2:$D$60,$D563)))</f>
        <v>2</v>
      </c>
      <c r="K563" s="0" t="str">
        <f aca="false">IF(OR(MAX(E563:J563)&lt;Rules!$H$1,MAX(E563:J563)-LARGE(E563:J563,2)&lt;Rules!$H$2),"No label",INDEX($E$1:$J$1,MATCH(MAX(E563:J563),E563:J563,0)))</f>
        <v>No label</v>
      </c>
      <c r="L563" s="0" t="n">
        <f aca="false">SUMPRODUCT((Rules!$A$2:$A$60=L$1)*Rules!$C$2:$C$60*ISNUMBER(SEARCH(Rules!$E$2:$E$60,$D563)))</f>
        <v>0</v>
      </c>
      <c r="M563" s="0" t="n">
        <f aca="false">SUMPRODUCT((Rules!$A$2:$A$60=M$1)*Rules!$C$2:$C$60*ISNUMBER(SEARCH(Rules!$E$2:$E$60,$D563)))</f>
        <v>0</v>
      </c>
      <c r="N563" s="0" t="n">
        <f aca="false">SUMPRODUCT((Rules!$A$2:$A$60=N$1)*Rules!$C$2:$C$60*ISNUMBER(SEARCH(Rules!$E$2:$E$60,$D563)))</f>
        <v>0</v>
      </c>
      <c r="O563" s="0" t="n">
        <f aca="false">SUMPRODUCT((Rules!$A$2:$A$60=O$1)*Rules!$C$2:$C$60*ISNUMBER(SEARCH(Rules!$E$2:$E$60,$D563)))</f>
        <v>0</v>
      </c>
      <c r="P563" s="0" t="n">
        <f aca="false">SUMPRODUCT((Rules!$A$2:$A$60=P$1)*Rules!$C$2:$C$60*ISNUMBER(SEARCH(Rules!$E$2:$E$60,$D563)))</f>
        <v>0</v>
      </c>
      <c r="Q563" s="0" t="n">
        <f aca="false">SUMPRODUCT((Rules!$A$2:$A$60=Q$1)*Rules!$C$2:$C$60*ISNUMBER(SEARCH(Rules!$E$2:$E$60,$D563)))</f>
        <v>2</v>
      </c>
      <c r="R563" s="0" t="str">
        <f aca="false">IF(OR(MAX(L563:Q563)&lt;Rules!$H$1,MAX(L563:Q563)-LARGE(L563:Q563,2)&lt;Rules!$H$2),"No label",INDEX($L$1:$Q$1,MATCH(MAX(L563:Q563),L563:Q563,0)))</f>
        <v>No label</v>
      </c>
      <c r="S563" s="0" t="n">
        <f aca="false">SUMPRODUCT(ISNUMBER(SEARCH(" "&amp;Terms!$A$3:$A$821&amp;" ",$D563))*Terms!B$3:B$821)+Terms!B$2</f>
        <v>0.919271946736834</v>
      </c>
      <c r="T563" s="0" t="n">
        <f aca="false">SUMPRODUCT(ISNUMBER(SEARCH(" "&amp;Terms!$A$3:$A$821&amp;" ",$D563))*Terms!C$3:C$821)+Terms!C$2</f>
        <v>5.15310248042654</v>
      </c>
      <c r="U563" s="0" t="n">
        <f aca="false">SUMPRODUCT(ISNUMBER(SEARCH(" "&amp;Terms!$A$3:$A$821&amp;" ",$D563))*Terms!D$3:D$821)+Terms!D$2</f>
        <v>-1.71411702496426</v>
      </c>
      <c r="V563" s="0" t="n">
        <f aca="false">SUMPRODUCT(ISNUMBER(SEARCH(" "&amp;Terms!$A$3:$A$821&amp;" ",$D563))*Terms!E$3:E$821)+Terms!E$2</f>
        <v>-2.43487609849223</v>
      </c>
      <c r="W563" s="0" t="n">
        <f aca="false">SUMPRODUCT(ISNUMBER(SEARCH(" "&amp;Terms!$A$3:$A$821&amp;" ",$D563))*Terms!F$3:F$821)+Terms!F$2</f>
        <v>0.0183306624835237</v>
      </c>
      <c r="X563" s="0" t="n">
        <f aca="false">SUMPRODUCT(ISNUMBER(SEARCH(" "&amp;Terms!$A$3:$A$821&amp;" ",$D563))*Terms!G$3:G$821)+Terms!G$2</f>
        <v>-1.94171196619033</v>
      </c>
      <c r="Y563" s="0" t="str">
        <f aca="false">INDEX($S$1:$X$1,MATCH(MAX(S563:X563),S563:X563,0))</f>
        <v>Customer Service</v>
      </c>
      <c r="Z563" s="0" t="s">
        <v>2607</v>
      </c>
    </row>
    <row r="564" customFormat="false" ht="15" hidden="false" customHeight="false" outlineLevel="0" collapsed="false">
      <c r="A564" s="0" t="str">
        <f aca="false">Complaints!A564</f>
        <v>C0563</v>
      </c>
      <c r="B564" s="0" t="str">
        <f aca="false">Complaints!B564</f>
        <v>The branch manager would not listen to my concerns. Also, i sent the form twice and it seems to have been lost in the system. I would like a response in writing.</v>
      </c>
      <c r="C564" s="0" t="str">
        <f aca="false">Complaints!C564</f>
        <v>Customer Service</v>
      </c>
      <c r="D564" s="0" t="str">
        <f aca="false">" "&amp;TRIM(SUBSTITUTE(SUBSTITUTE(SUBSTITUTE(SUBSTITUTE(SUBSTITUTE(SUBSTITUTE(SUBSTITUTE(SUBSTITUTE(SUBSTITUTE(SUBSTITUTE(SUBSTITUTE(SUBSTITUTE(SUBSTITUTE(SUBSTITUTE(SUBSTITUTE(SUBSTITUTE(LOWER(B564),"."," "),","," "),"'"," "),"’"," "),"!"," "),"?"," "),";"," "),":"," "),"-"," "),"("," "),")"," "),"""", " "),"£"," "),"&amp;"," "),"/"," "),"%"," "))&amp;" "</f>
        <v> the branch manager would not listen to my concerns also i sent the form twice and it seems to have been lost in the system i would like a response in writing </v>
      </c>
      <c r="E564" s="0" t="n">
        <f aca="false">SUMPRODUCT((Rules!$A$2:$A$60=E$1)*Rules!$C$2:$C$60*ISNUMBER(SEARCH(Rules!$D$2:$D$60,$D564)))</f>
        <v>0</v>
      </c>
      <c r="F564" s="0" t="n">
        <f aca="false">SUMPRODUCT((Rules!$A$2:$A$60=F$1)*Rules!$C$2:$C$60*ISNUMBER(SEARCH(Rules!$D$2:$D$60,$D564)))</f>
        <v>0</v>
      </c>
      <c r="G564" s="0" t="n">
        <f aca="false">SUMPRODUCT((Rules!$A$2:$A$60=G$1)*Rules!$C$2:$C$60*ISNUMBER(SEARCH(Rules!$D$2:$D$60,$D564)))</f>
        <v>0</v>
      </c>
      <c r="H564" s="0" t="n">
        <f aca="false">SUMPRODUCT((Rules!$A$2:$A$60=H$1)*Rules!$C$2:$C$60*ISNUMBER(SEARCH(Rules!$D$2:$D$60,$D564)))</f>
        <v>0</v>
      </c>
      <c r="I564" s="0" t="n">
        <f aca="false">SUMPRODUCT((Rules!$A$2:$A$60=I$1)*Rules!$C$2:$C$60*ISNUMBER(SEARCH(Rules!$D$2:$D$60,$D564)))</f>
        <v>0</v>
      </c>
      <c r="J564" s="0" t="n">
        <f aca="false">SUMPRODUCT((Rules!$A$2:$A$60=J$1)*Rules!$C$2:$C$60*ISNUMBER(SEARCH(Rules!$D$2:$D$60,$D564)))</f>
        <v>0</v>
      </c>
      <c r="K564" s="0" t="str">
        <f aca="false">IF(OR(MAX(E564:J564)&lt;Rules!$H$1,MAX(E564:J564)-LARGE(E564:J564,2)&lt;Rules!$H$2),"No label",INDEX($E$1:$J$1,MATCH(MAX(E564:J564),E564:J564,0)))</f>
        <v>No label</v>
      </c>
      <c r="L564" s="0" t="n">
        <f aca="false">SUMPRODUCT((Rules!$A$2:$A$60=L$1)*Rules!$C$2:$C$60*ISNUMBER(SEARCH(Rules!$E$2:$E$60,$D564)))</f>
        <v>0</v>
      </c>
      <c r="M564" s="0" t="n">
        <f aca="false">SUMPRODUCT((Rules!$A$2:$A$60=M$1)*Rules!$C$2:$C$60*ISNUMBER(SEARCH(Rules!$E$2:$E$60,$D564)))</f>
        <v>0</v>
      </c>
      <c r="N564" s="0" t="n">
        <f aca="false">SUMPRODUCT((Rules!$A$2:$A$60=N$1)*Rules!$C$2:$C$60*ISNUMBER(SEARCH(Rules!$E$2:$E$60,$D564)))</f>
        <v>0</v>
      </c>
      <c r="O564" s="0" t="n">
        <f aca="false">SUMPRODUCT((Rules!$A$2:$A$60=O$1)*Rules!$C$2:$C$60*ISNUMBER(SEARCH(Rules!$E$2:$E$60,$D564)))</f>
        <v>0</v>
      </c>
      <c r="P564" s="0" t="n">
        <f aca="false">SUMPRODUCT((Rules!$A$2:$A$60=P$1)*Rules!$C$2:$C$60*ISNUMBER(SEARCH(Rules!$E$2:$E$60,$D564)))</f>
        <v>0</v>
      </c>
      <c r="Q564" s="0" t="n">
        <f aca="false">SUMPRODUCT((Rules!$A$2:$A$60=Q$1)*Rules!$C$2:$C$60*ISNUMBER(SEARCH(Rules!$E$2:$E$60,$D564)))</f>
        <v>0</v>
      </c>
      <c r="R564" s="0" t="str">
        <f aca="false">IF(OR(MAX(L564:Q564)&lt;Rules!$H$1,MAX(L564:Q564)-LARGE(L564:Q564,2)&lt;Rules!$H$2),"No label",INDEX($L$1:$Q$1,MATCH(MAX(L564:Q564),L564:Q564,0)))</f>
        <v>No label</v>
      </c>
      <c r="S564" s="0" t="n">
        <f aca="false">SUMPRODUCT(ISNUMBER(SEARCH(" "&amp;Terms!$A$3:$A$821&amp;" ",$D564))*Terms!B$3:B$821)+Terms!B$2</f>
        <v>-4.5437148365221</v>
      </c>
      <c r="T564" s="0" t="n">
        <f aca="false">SUMPRODUCT(ISNUMBER(SEARCH(" "&amp;Terms!$A$3:$A$821&amp;" ",$D564))*Terms!C$3:C$821)+Terms!C$2</f>
        <v>8.50670580288857</v>
      </c>
      <c r="U564" s="0" t="n">
        <f aca="false">SUMPRODUCT(ISNUMBER(SEARCH(" "&amp;Terms!$A$3:$A$821&amp;" ",$D564))*Terms!D$3:D$821)+Terms!D$2</f>
        <v>5.97951858143724</v>
      </c>
      <c r="V564" s="0" t="n">
        <f aca="false">SUMPRODUCT(ISNUMBER(SEARCH(" "&amp;Terms!$A$3:$A$821&amp;" ",$D564))*Terms!E$3:E$821)+Terms!E$2</f>
        <v>-1.26857113016701</v>
      </c>
      <c r="W564" s="0" t="n">
        <f aca="false">SUMPRODUCT(ISNUMBER(SEARCH(" "&amp;Terms!$A$3:$A$821&amp;" ",$D564))*Terms!F$3:F$821)+Terms!F$2</f>
        <v>-6.6397015138103</v>
      </c>
      <c r="X564" s="0" t="n">
        <f aca="false">SUMPRODUCT(ISNUMBER(SEARCH(" "&amp;Terms!$A$3:$A$821&amp;" ",$D564))*Terms!G$3:G$821)+Terms!G$2</f>
        <v>-2.0342369038263</v>
      </c>
      <c r="Y564" s="0" t="str">
        <f aca="false">INDEX($S$1:$X$1,MATCH(MAX(S564:X564),S564:X564,0))</f>
        <v>Customer Service</v>
      </c>
      <c r="Z564" s="0" t="s">
        <v>2607</v>
      </c>
    </row>
    <row r="565" customFormat="false" ht="15" hidden="false" customHeight="false" outlineLevel="0" collapsed="false">
      <c r="A565" s="0" t="str">
        <f aca="false">Complaints!A565</f>
        <v>C0564</v>
      </c>
      <c r="B565" s="0" t="str">
        <f aca="false">Complaints!B565</f>
        <v>To whom it may concern, My account was frozen and I cannot get in to move money. This is not acceptable.</v>
      </c>
      <c r="C565" s="0" t="str">
        <f aca="false">Complaints!C565</f>
        <v>Account Access</v>
      </c>
      <c r="D565" s="0" t="str">
        <f aca="false">" "&amp;TRIM(SUBSTITUTE(SUBSTITUTE(SUBSTITUTE(SUBSTITUTE(SUBSTITUTE(SUBSTITUTE(SUBSTITUTE(SUBSTITUTE(SUBSTITUTE(SUBSTITUTE(SUBSTITUTE(SUBSTITUTE(SUBSTITUTE(SUBSTITUTE(SUBSTITUTE(SUBSTITUTE(LOWER(B565),"."," "),","," "),"'"," "),"’"," "),"!"," "),"?"," "),";"," "),":"," "),"-"," "),"("," "),")"," "),"""", " "),"£"," "),"&amp;"," "),"/"," "),"%"," "))&amp;" "</f>
        <v> to whom it may concern my account was frozen and i cannot get in to move money this is not acceptable </v>
      </c>
      <c r="E565" s="0" t="n">
        <f aca="false">SUMPRODUCT((Rules!$A$2:$A$60=E$1)*Rules!$C$2:$C$60*ISNUMBER(SEARCH(Rules!$D$2:$D$60,$D565)))</f>
        <v>0</v>
      </c>
      <c r="F565" s="0" t="n">
        <f aca="false">SUMPRODUCT((Rules!$A$2:$A$60=F$1)*Rules!$C$2:$C$60*ISNUMBER(SEARCH(Rules!$D$2:$D$60,$D565)))</f>
        <v>0</v>
      </c>
      <c r="G565" s="0" t="n">
        <f aca="false">SUMPRODUCT((Rules!$A$2:$A$60=G$1)*Rules!$C$2:$C$60*ISNUMBER(SEARCH(Rules!$D$2:$D$60,$D565)))</f>
        <v>0</v>
      </c>
      <c r="H565" s="0" t="n">
        <f aca="false">SUMPRODUCT((Rules!$A$2:$A$60=H$1)*Rules!$C$2:$C$60*ISNUMBER(SEARCH(Rules!$D$2:$D$60,$D565)))</f>
        <v>0</v>
      </c>
      <c r="I565" s="0" t="n">
        <f aca="false">SUMPRODUCT((Rules!$A$2:$A$60=I$1)*Rules!$C$2:$C$60*ISNUMBER(SEARCH(Rules!$D$2:$D$60,$D565)))</f>
        <v>0</v>
      </c>
      <c r="J565" s="0" t="n">
        <f aca="false">SUMPRODUCT((Rules!$A$2:$A$60=J$1)*Rules!$C$2:$C$60*ISNUMBER(SEARCH(Rules!$D$2:$D$60,$D565)))</f>
        <v>0</v>
      </c>
      <c r="K565" s="0" t="str">
        <f aca="false">IF(OR(MAX(E565:J565)&lt;Rules!$H$1,MAX(E565:J565)-LARGE(E565:J565,2)&lt;Rules!$H$2),"No label",INDEX($E$1:$J$1,MATCH(MAX(E565:J565),E565:J565,0)))</f>
        <v>No label</v>
      </c>
      <c r="L565" s="0" t="n">
        <f aca="false">SUMPRODUCT((Rules!$A$2:$A$60=L$1)*Rules!$C$2:$C$60*ISNUMBER(SEARCH(Rules!$E$2:$E$60,$D565)))</f>
        <v>0</v>
      </c>
      <c r="M565" s="0" t="n">
        <f aca="false">SUMPRODUCT((Rules!$A$2:$A$60=M$1)*Rules!$C$2:$C$60*ISNUMBER(SEARCH(Rules!$E$2:$E$60,$D565)))</f>
        <v>0</v>
      </c>
      <c r="N565" s="0" t="n">
        <f aca="false">SUMPRODUCT((Rules!$A$2:$A$60=N$1)*Rules!$C$2:$C$60*ISNUMBER(SEARCH(Rules!$E$2:$E$60,$D565)))</f>
        <v>1</v>
      </c>
      <c r="O565" s="0" t="n">
        <f aca="false">SUMPRODUCT((Rules!$A$2:$A$60=O$1)*Rules!$C$2:$C$60*ISNUMBER(SEARCH(Rules!$E$2:$E$60,$D565)))</f>
        <v>0</v>
      </c>
      <c r="P565" s="0" t="n">
        <f aca="false">SUMPRODUCT((Rules!$A$2:$A$60=P$1)*Rules!$C$2:$C$60*ISNUMBER(SEARCH(Rules!$E$2:$E$60,$D565)))</f>
        <v>0</v>
      </c>
      <c r="Q565" s="0" t="n">
        <f aca="false">SUMPRODUCT((Rules!$A$2:$A$60=Q$1)*Rules!$C$2:$C$60*ISNUMBER(SEARCH(Rules!$E$2:$E$60,$D565)))</f>
        <v>0</v>
      </c>
      <c r="R565" s="0" t="str">
        <f aca="false">IF(OR(MAX(L565:Q565)&lt;Rules!$H$1,MAX(L565:Q565)-LARGE(L565:Q565,2)&lt;Rules!$H$2),"No label",INDEX($L$1:$Q$1,MATCH(MAX(L565:Q565),L565:Q565,0)))</f>
        <v>No label</v>
      </c>
      <c r="S565" s="0" t="n">
        <f aca="false">SUMPRODUCT(ISNUMBER(SEARCH(" "&amp;Terms!$A$3:$A$821&amp;" ",$D565))*Terms!B$3:B$821)+Terms!B$2</f>
        <v>5.68238782101354</v>
      </c>
      <c r="T565" s="0" t="n">
        <f aca="false">SUMPRODUCT(ISNUMBER(SEARCH(" "&amp;Terms!$A$3:$A$821&amp;" ",$D565))*Terms!C$3:C$821)+Terms!C$2</f>
        <v>-4.38006673046949</v>
      </c>
      <c r="U565" s="0" t="n">
        <f aca="false">SUMPRODUCT(ISNUMBER(SEARCH(" "&amp;Terms!$A$3:$A$821&amp;" ",$D565))*Terms!D$3:D$821)+Terms!D$2</f>
        <v>0.747094376657542</v>
      </c>
      <c r="V565" s="0" t="n">
        <f aca="false">SUMPRODUCT(ISNUMBER(SEARCH(" "&amp;Terms!$A$3:$A$821&amp;" ",$D565))*Terms!E$3:E$821)+Terms!E$2</f>
        <v>-1.39428978252967</v>
      </c>
      <c r="W565" s="0" t="n">
        <f aca="false">SUMPRODUCT(ISNUMBER(SEARCH(" "&amp;Terms!$A$3:$A$821&amp;" ",$D565))*Terms!F$3:F$821)+Terms!F$2</f>
        <v>0.622440929950415</v>
      </c>
      <c r="X565" s="0" t="n">
        <f aca="false">SUMPRODUCT(ISNUMBER(SEARCH(" "&amp;Terms!$A$3:$A$821&amp;" ",$D565))*Terms!G$3:G$821)+Terms!G$2</f>
        <v>-1.27756661462226</v>
      </c>
      <c r="Y565" s="0" t="str">
        <f aca="false">INDEX($S$1:$X$1,MATCH(MAX(S565:X565),S565:X565,0))</f>
        <v>Account Access</v>
      </c>
      <c r="Z565" s="0" t="s">
        <v>2607</v>
      </c>
    </row>
    <row r="566" customFormat="false" ht="15" hidden="false" customHeight="false" outlineLevel="0" collapsed="false">
      <c r="A566" s="0" t="str">
        <f aca="false">Complaints!A566</f>
        <v>C0565</v>
      </c>
      <c r="B566" s="0" t="str">
        <f aca="false">Complaints!B566</f>
        <v>I asked for a callback and it never happened. I am worried it might be fraud. I expect compensation.</v>
      </c>
      <c r="C566" s="0" t="str">
        <f aca="false">Complaints!C566</f>
        <v>Customer Service</v>
      </c>
      <c r="D566" s="0" t="str">
        <f aca="false">" "&amp;TRIM(SUBSTITUTE(SUBSTITUTE(SUBSTITUTE(SUBSTITUTE(SUBSTITUTE(SUBSTITUTE(SUBSTITUTE(SUBSTITUTE(SUBSTITUTE(SUBSTITUTE(SUBSTITUTE(SUBSTITUTE(SUBSTITUTE(SUBSTITUTE(SUBSTITUTE(SUBSTITUTE(LOWER(B566),"."," "),","," "),"'"," "),"’"," "),"!"," "),"?"," "),";"," "),":"," "),"-"," "),"("," "),")"," "),"""", " "),"£"," "),"&amp;"," "),"/"," "),"%"," "))&amp;" "</f>
        <v> i asked for a callback and it never happened i am worried it might be fraud i expect compensation </v>
      </c>
      <c r="E566" s="0" t="n">
        <f aca="false">SUMPRODUCT((Rules!$A$2:$A$60=E$1)*Rules!$C$2:$C$60*ISNUMBER(SEARCH(Rules!$D$2:$D$60,$D566)))</f>
        <v>3</v>
      </c>
      <c r="F566" s="0" t="n">
        <f aca="false">SUMPRODUCT((Rules!$A$2:$A$60=F$1)*Rules!$C$2:$C$60*ISNUMBER(SEARCH(Rules!$D$2:$D$60,$D566)))</f>
        <v>0</v>
      </c>
      <c r="G566" s="0" t="n">
        <f aca="false">SUMPRODUCT((Rules!$A$2:$A$60=G$1)*Rules!$C$2:$C$60*ISNUMBER(SEARCH(Rules!$D$2:$D$60,$D566)))</f>
        <v>0</v>
      </c>
      <c r="H566" s="0" t="n">
        <f aca="false">SUMPRODUCT((Rules!$A$2:$A$60=H$1)*Rules!$C$2:$C$60*ISNUMBER(SEARCH(Rules!$D$2:$D$60,$D566)))</f>
        <v>0</v>
      </c>
      <c r="I566" s="0" t="n">
        <f aca="false">SUMPRODUCT((Rules!$A$2:$A$60=I$1)*Rules!$C$2:$C$60*ISNUMBER(SEARCH(Rules!$D$2:$D$60,$D566)))</f>
        <v>0</v>
      </c>
      <c r="J566" s="0" t="n">
        <f aca="false">SUMPRODUCT((Rules!$A$2:$A$60=J$1)*Rules!$C$2:$C$60*ISNUMBER(SEARCH(Rules!$D$2:$D$60,$D566)))</f>
        <v>2</v>
      </c>
      <c r="K566" s="0" t="str">
        <f aca="false">IF(OR(MAX(E566:J566)&lt;Rules!$H$1,MAX(E566:J566)-LARGE(E566:J566,2)&lt;Rules!$H$2),"No label",INDEX($E$1:$J$1,MATCH(MAX(E566:J566),E566:J566,0)))</f>
        <v>No label</v>
      </c>
      <c r="L566" s="0" t="n">
        <f aca="false">SUMPRODUCT((Rules!$A$2:$A$60=L$1)*Rules!$C$2:$C$60*ISNUMBER(SEARCH(Rules!$E$2:$E$60,$D566)))</f>
        <v>3</v>
      </c>
      <c r="M566" s="0" t="n">
        <f aca="false">SUMPRODUCT((Rules!$A$2:$A$60=M$1)*Rules!$C$2:$C$60*ISNUMBER(SEARCH(Rules!$E$2:$E$60,$D566)))</f>
        <v>0</v>
      </c>
      <c r="N566" s="0" t="n">
        <f aca="false">SUMPRODUCT((Rules!$A$2:$A$60=N$1)*Rules!$C$2:$C$60*ISNUMBER(SEARCH(Rules!$E$2:$E$60,$D566)))</f>
        <v>0</v>
      </c>
      <c r="O566" s="0" t="n">
        <f aca="false">SUMPRODUCT((Rules!$A$2:$A$60=O$1)*Rules!$C$2:$C$60*ISNUMBER(SEARCH(Rules!$E$2:$E$60,$D566)))</f>
        <v>0</v>
      </c>
      <c r="P566" s="0" t="n">
        <f aca="false">SUMPRODUCT((Rules!$A$2:$A$60=P$1)*Rules!$C$2:$C$60*ISNUMBER(SEARCH(Rules!$E$2:$E$60,$D566)))</f>
        <v>0</v>
      </c>
      <c r="Q566" s="0" t="n">
        <f aca="false">SUMPRODUCT((Rules!$A$2:$A$60=Q$1)*Rules!$C$2:$C$60*ISNUMBER(SEARCH(Rules!$E$2:$E$60,$D566)))</f>
        <v>2</v>
      </c>
      <c r="R566" s="0" t="str">
        <f aca="false">IF(OR(MAX(L566:Q566)&lt;Rules!$H$1,MAX(L566:Q566)-LARGE(L566:Q566,2)&lt;Rules!$H$2),"No label",INDEX($L$1:$Q$1,MATCH(MAX(L566:Q566),L566:Q566,0)))</f>
        <v>No label</v>
      </c>
      <c r="S566" s="0" t="n">
        <f aca="false">SUMPRODUCT(ISNUMBER(SEARCH(" "&amp;Terms!$A$3:$A$821&amp;" ",$D566))*Terms!B$3:B$821)+Terms!B$2</f>
        <v>1.61001622686047</v>
      </c>
      <c r="T566" s="0" t="n">
        <f aca="false">SUMPRODUCT(ISNUMBER(SEARCH(" "&amp;Terms!$A$3:$A$821&amp;" ",$D566))*Terms!C$3:C$821)+Terms!C$2</f>
        <v>4.23924608663281</v>
      </c>
      <c r="U566" s="0" t="n">
        <f aca="false">SUMPRODUCT(ISNUMBER(SEARCH(" "&amp;Terms!$A$3:$A$821&amp;" ",$D566))*Terms!D$3:D$821)+Terms!D$2</f>
        <v>-3.21339102284781</v>
      </c>
      <c r="V566" s="0" t="n">
        <f aca="false">SUMPRODUCT(ISNUMBER(SEARCH(" "&amp;Terms!$A$3:$A$821&amp;" ",$D566))*Terms!E$3:E$821)+Terms!E$2</f>
        <v>-1.23478710583767</v>
      </c>
      <c r="W566" s="0" t="n">
        <f aca="false">SUMPRODUCT(ISNUMBER(SEARCH(" "&amp;Terms!$A$3:$A$821&amp;" ",$D566))*Terms!F$3:F$821)+Terms!F$2</f>
        <v>0.706789728362817</v>
      </c>
      <c r="X566" s="0" t="n">
        <f aca="false">SUMPRODUCT(ISNUMBER(SEARCH(" "&amp;Terms!$A$3:$A$821&amp;" ",$D566))*Terms!G$3:G$821)+Terms!G$2</f>
        <v>-2.10787391317053</v>
      </c>
      <c r="Y566" s="0" t="str">
        <f aca="false">INDEX($S$1:$X$1,MATCH(MAX(S566:X566),S566:X566,0))</f>
        <v>Customer Service</v>
      </c>
      <c r="Z566" s="0" t="s">
        <v>2607</v>
      </c>
    </row>
    <row r="567" customFormat="false" ht="15" hidden="false" customHeight="false" outlineLevel="0" collapsed="false">
      <c r="A567" s="0" t="str">
        <f aca="false">Complaints!A567</f>
        <v>C0566</v>
      </c>
      <c r="B567" s="0" t="str">
        <f aca="false">Complaints!B567</f>
        <v>To whom it my concern, The paperwork was submitted a month ago and I am still waiting. I am worried it might be fraud. I want this put right.</v>
      </c>
      <c r="C567" s="0" t="str">
        <f aca="false">Complaints!C567</f>
        <v>Delays &amp; Processing</v>
      </c>
      <c r="D567" s="0" t="str">
        <f aca="false">" "&amp;TRIM(SUBSTITUTE(SUBSTITUTE(SUBSTITUTE(SUBSTITUTE(SUBSTITUTE(SUBSTITUTE(SUBSTITUTE(SUBSTITUTE(SUBSTITUTE(SUBSTITUTE(SUBSTITUTE(SUBSTITUTE(SUBSTITUTE(SUBSTITUTE(SUBSTITUTE(SUBSTITUTE(LOWER(B567),"."," "),","," "),"'"," "),"’"," "),"!"," "),"?"," "),";"," "),":"," "),"-"," "),"("," "),")"," "),"""", " "),"£"," "),"&amp;"," "),"/"," "),"%"," "))&amp;" "</f>
        <v> to whom it my concern the paperwork was submitted a month ago and i am still waiting i am worried it might be fraud i want this put right </v>
      </c>
      <c r="E567" s="0" t="n">
        <f aca="false">SUMPRODUCT((Rules!$A$2:$A$60=E$1)*Rules!$C$2:$C$60*ISNUMBER(SEARCH(Rules!$D$2:$D$60,$D567)))</f>
        <v>3</v>
      </c>
      <c r="F567" s="0" t="n">
        <f aca="false">SUMPRODUCT((Rules!$A$2:$A$60=F$1)*Rules!$C$2:$C$60*ISNUMBER(SEARCH(Rules!$D$2:$D$60,$D567)))</f>
        <v>0</v>
      </c>
      <c r="G567" s="0" t="n">
        <f aca="false">SUMPRODUCT((Rules!$A$2:$A$60=G$1)*Rules!$C$2:$C$60*ISNUMBER(SEARCH(Rules!$D$2:$D$60,$D567)))</f>
        <v>0</v>
      </c>
      <c r="H567" s="0" t="n">
        <f aca="false">SUMPRODUCT((Rules!$A$2:$A$60=H$1)*Rules!$C$2:$C$60*ISNUMBER(SEARCH(Rules!$D$2:$D$60,$D567)))</f>
        <v>0</v>
      </c>
      <c r="I567" s="0" t="n">
        <f aca="false">SUMPRODUCT((Rules!$A$2:$A$60=I$1)*Rules!$C$2:$C$60*ISNUMBER(SEARCH(Rules!$D$2:$D$60,$D567)))</f>
        <v>2</v>
      </c>
      <c r="J567" s="0" t="n">
        <f aca="false">SUMPRODUCT((Rules!$A$2:$A$60=J$1)*Rules!$C$2:$C$60*ISNUMBER(SEARCH(Rules!$D$2:$D$60,$D567)))</f>
        <v>0</v>
      </c>
      <c r="K567" s="0" t="str">
        <f aca="false">IF(OR(MAX(E567:J567)&lt;Rules!$H$1,MAX(E567:J567)-LARGE(E567:J567,2)&lt;Rules!$H$2),"No label",INDEX($E$1:$J$1,MATCH(MAX(E567:J567),E567:J567,0)))</f>
        <v>No label</v>
      </c>
      <c r="L567" s="0" t="n">
        <f aca="false">SUMPRODUCT((Rules!$A$2:$A$60=L$1)*Rules!$C$2:$C$60*ISNUMBER(SEARCH(Rules!$E$2:$E$60,$D567)))</f>
        <v>3</v>
      </c>
      <c r="M567" s="0" t="n">
        <f aca="false">SUMPRODUCT((Rules!$A$2:$A$60=M$1)*Rules!$C$2:$C$60*ISNUMBER(SEARCH(Rules!$E$2:$E$60,$D567)))</f>
        <v>0</v>
      </c>
      <c r="N567" s="0" t="n">
        <f aca="false">SUMPRODUCT((Rules!$A$2:$A$60=N$1)*Rules!$C$2:$C$60*ISNUMBER(SEARCH(Rules!$E$2:$E$60,$D567)))</f>
        <v>0</v>
      </c>
      <c r="O567" s="0" t="n">
        <f aca="false">SUMPRODUCT((Rules!$A$2:$A$60=O$1)*Rules!$C$2:$C$60*ISNUMBER(SEARCH(Rules!$E$2:$E$60,$D567)))</f>
        <v>0</v>
      </c>
      <c r="P567" s="0" t="n">
        <f aca="false">SUMPRODUCT((Rules!$A$2:$A$60=P$1)*Rules!$C$2:$C$60*ISNUMBER(SEARCH(Rules!$E$2:$E$60,$D567)))</f>
        <v>2</v>
      </c>
      <c r="Q567" s="0" t="n">
        <f aca="false">SUMPRODUCT((Rules!$A$2:$A$60=Q$1)*Rules!$C$2:$C$60*ISNUMBER(SEARCH(Rules!$E$2:$E$60,$D567)))</f>
        <v>0</v>
      </c>
      <c r="R567" s="0" t="str">
        <f aca="false">IF(OR(MAX(L567:Q567)&lt;Rules!$H$1,MAX(L567:Q567)-LARGE(L567:Q567,2)&lt;Rules!$H$2),"No label",INDEX($L$1:$Q$1,MATCH(MAX(L567:Q567),L567:Q567,0)))</f>
        <v>No label</v>
      </c>
      <c r="S567" s="0" t="n">
        <f aca="false">SUMPRODUCT(ISNUMBER(SEARCH(" "&amp;Terms!$A$3:$A$821&amp;" ",$D567))*Terms!B$3:B$821)+Terms!B$2</f>
        <v>-0.925080528756548</v>
      </c>
      <c r="T567" s="0" t="n">
        <f aca="false">SUMPRODUCT(ISNUMBER(SEARCH(" "&amp;Terms!$A$3:$A$821&amp;" ",$D567))*Terms!C$3:C$821)+Terms!C$2</f>
        <v>-2.73155338907833</v>
      </c>
      <c r="U567" s="0" t="n">
        <f aca="false">SUMPRODUCT(ISNUMBER(SEARCH(" "&amp;Terms!$A$3:$A$821&amp;" ",$D567))*Terms!D$3:D$821)+Terms!D$2</f>
        <v>5.70878739569516</v>
      </c>
      <c r="V567" s="0" t="n">
        <f aca="false">SUMPRODUCT(ISNUMBER(SEARCH(" "&amp;Terms!$A$3:$A$821&amp;" ",$D567))*Terms!E$3:E$821)+Terms!E$2</f>
        <v>1.88667998470754</v>
      </c>
      <c r="W567" s="0" t="n">
        <f aca="false">SUMPRODUCT(ISNUMBER(SEARCH(" "&amp;Terms!$A$3:$A$821&amp;" ",$D567))*Terms!F$3:F$821)+Terms!F$2</f>
        <v>-1.59681423146011</v>
      </c>
      <c r="X567" s="0" t="n">
        <f aca="false">SUMPRODUCT(ISNUMBER(SEARCH(" "&amp;Terms!$A$3:$A$821&amp;" ",$D567))*Terms!G$3:G$821)+Terms!G$2</f>
        <v>-2.34201923110762</v>
      </c>
      <c r="Y567" s="0" t="str">
        <f aca="false">INDEX($S$1:$X$1,MATCH(MAX(S567:X567),S567:X567,0))</f>
        <v>Delays &amp; Processing</v>
      </c>
      <c r="Z567" s="0" t="s">
        <v>2607</v>
      </c>
    </row>
    <row r="568" customFormat="false" ht="15" hidden="false" customHeight="false" outlineLevel="0" collapsed="false">
      <c r="A568" s="0" t="str">
        <f aca="false">Complaints!A568</f>
        <v>C0567</v>
      </c>
      <c r="B568" s="0" t="str">
        <f aca="false">Complaints!B568</f>
        <v>Hello, Your advisor gave me different answers on two separate calls. Als, the paperwork was submitted a month ago and I am still waiting. Please escalate this.</v>
      </c>
      <c r="C568" s="0" t="str">
        <f aca="false">Complaints!C568</f>
        <v>Customer Service</v>
      </c>
      <c r="D568" s="0" t="str">
        <f aca="false">" "&amp;TRIM(SUBSTITUTE(SUBSTITUTE(SUBSTITUTE(SUBSTITUTE(SUBSTITUTE(SUBSTITUTE(SUBSTITUTE(SUBSTITUTE(SUBSTITUTE(SUBSTITUTE(SUBSTITUTE(SUBSTITUTE(SUBSTITUTE(SUBSTITUTE(SUBSTITUTE(SUBSTITUTE(LOWER(B568),"."," "),","," "),"'"," "),"’"," "),"!"," "),"?"," "),";"," "),":"," "),"-"," "),"("," "),")"," "),"""", " "),"£"," "),"&amp;"," "),"/"," "),"%"," "))&amp;" "</f>
        <v> hello your advisor gave me different answers on two separate calls als the paperwork was submitted a month ago and i am still waiting please escalate this </v>
      </c>
      <c r="E568" s="0" t="n">
        <f aca="false">SUMPRODUCT((Rules!$A$2:$A$60=E$1)*Rules!$C$2:$C$60*ISNUMBER(SEARCH(Rules!$D$2:$D$60,$D568)))</f>
        <v>0</v>
      </c>
      <c r="F568" s="0" t="n">
        <f aca="false">SUMPRODUCT((Rules!$A$2:$A$60=F$1)*Rules!$C$2:$C$60*ISNUMBER(SEARCH(Rules!$D$2:$D$60,$D568)))</f>
        <v>0</v>
      </c>
      <c r="G568" s="0" t="n">
        <f aca="false">SUMPRODUCT((Rules!$A$2:$A$60=G$1)*Rules!$C$2:$C$60*ISNUMBER(SEARCH(Rules!$D$2:$D$60,$D568)))</f>
        <v>0</v>
      </c>
      <c r="H568" s="0" t="n">
        <f aca="false">SUMPRODUCT((Rules!$A$2:$A$60=H$1)*Rules!$C$2:$C$60*ISNUMBER(SEARCH(Rules!$D$2:$D$60,$D568)))</f>
        <v>0</v>
      </c>
      <c r="I568" s="0" t="n">
        <f aca="false">SUMPRODUCT((Rules!$A$2:$A$60=I$1)*Rules!$C$2:$C$60*ISNUMBER(SEARCH(Rules!$D$2:$D$60,$D568)))</f>
        <v>2</v>
      </c>
      <c r="J568" s="0" t="n">
        <f aca="false">SUMPRODUCT((Rules!$A$2:$A$60=J$1)*Rules!$C$2:$C$60*ISNUMBER(SEARCH(Rules!$D$2:$D$60,$D568)))</f>
        <v>1</v>
      </c>
      <c r="K568" s="0" t="str">
        <f aca="false">IF(OR(MAX(E568:J568)&lt;Rules!$H$1,MAX(E568:J568)-LARGE(E568:J568,2)&lt;Rules!$H$2),"No label",INDEX($E$1:$J$1,MATCH(MAX(E568:J568),E568:J568,0)))</f>
        <v>No label</v>
      </c>
      <c r="L568" s="0" t="n">
        <f aca="false">SUMPRODUCT((Rules!$A$2:$A$60=L$1)*Rules!$C$2:$C$60*ISNUMBER(SEARCH(Rules!$E$2:$E$60,$D568)))</f>
        <v>0</v>
      </c>
      <c r="M568" s="0" t="n">
        <f aca="false">SUMPRODUCT((Rules!$A$2:$A$60=M$1)*Rules!$C$2:$C$60*ISNUMBER(SEARCH(Rules!$E$2:$E$60,$D568)))</f>
        <v>4</v>
      </c>
      <c r="N568" s="0" t="n">
        <f aca="false">SUMPRODUCT((Rules!$A$2:$A$60=N$1)*Rules!$C$2:$C$60*ISNUMBER(SEARCH(Rules!$E$2:$E$60,$D568)))</f>
        <v>0</v>
      </c>
      <c r="O568" s="0" t="n">
        <f aca="false">SUMPRODUCT((Rules!$A$2:$A$60=O$1)*Rules!$C$2:$C$60*ISNUMBER(SEARCH(Rules!$E$2:$E$60,$D568)))</f>
        <v>0</v>
      </c>
      <c r="P568" s="0" t="n">
        <f aca="false">SUMPRODUCT((Rules!$A$2:$A$60=P$1)*Rules!$C$2:$C$60*ISNUMBER(SEARCH(Rules!$E$2:$E$60,$D568)))</f>
        <v>2</v>
      </c>
      <c r="Q568" s="0" t="n">
        <f aca="false">SUMPRODUCT((Rules!$A$2:$A$60=Q$1)*Rules!$C$2:$C$60*ISNUMBER(SEARCH(Rules!$E$2:$E$60,$D568)))</f>
        <v>1</v>
      </c>
      <c r="R568" s="0" t="str">
        <f aca="false">IF(OR(MAX(L568:Q568)&lt;Rules!$H$1,MAX(L568:Q568)-LARGE(L568:Q568,2)&lt;Rules!$H$2),"No label",INDEX($L$1:$Q$1,MATCH(MAX(L568:Q568),L568:Q568,0)))</f>
        <v>Mis-selling</v>
      </c>
      <c r="S568" s="0" t="n">
        <f aca="false">SUMPRODUCT(ISNUMBER(SEARCH(" "&amp;Terms!$A$3:$A$821&amp;" ",$D568))*Terms!B$3:B$821)+Terms!B$2</f>
        <v>-0.00797675468761391</v>
      </c>
      <c r="T568" s="0" t="n">
        <f aca="false">SUMPRODUCT(ISNUMBER(SEARCH(" "&amp;Terms!$A$3:$A$821&amp;" ",$D568))*Terms!C$3:C$821)+Terms!C$2</f>
        <v>11.6579710923848</v>
      </c>
      <c r="U568" s="0" t="n">
        <f aca="false">SUMPRODUCT(ISNUMBER(SEARCH(" "&amp;Terms!$A$3:$A$821&amp;" ",$D568))*Terms!D$3:D$821)+Terms!D$2</f>
        <v>2.22380704885325</v>
      </c>
      <c r="V568" s="0" t="n">
        <f aca="false">SUMPRODUCT(ISNUMBER(SEARCH(" "&amp;Terms!$A$3:$A$821&amp;" ",$D568))*Terms!E$3:E$821)+Terms!E$2</f>
        <v>-4.79681114421221</v>
      </c>
      <c r="W568" s="0" t="n">
        <f aca="false">SUMPRODUCT(ISNUMBER(SEARCH(" "&amp;Terms!$A$3:$A$821&amp;" ",$D568))*Terms!F$3:F$821)+Terms!F$2</f>
        <v>-5.71129947524407</v>
      </c>
      <c r="X568" s="0" t="n">
        <f aca="false">SUMPRODUCT(ISNUMBER(SEARCH(" "&amp;Terms!$A$3:$A$821&amp;" ",$D568))*Terms!G$3:G$821)+Terms!G$2</f>
        <v>-3.36569076709409</v>
      </c>
      <c r="Y568" s="0" t="str">
        <f aca="false">INDEX($S$1:$X$1,MATCH(MAX(S568:X568),S568:X568,0))</f>
        <v>Customer Service</v>
      </c>
      <c r="Z568" s="0" t="s">
        <v>2607</v>
      </c>
    </row>
    <row r="569" customFormat="false" ht="15" hidden="false" customHeight="false" outlineLevel="0" collapsed="false">
      <c r="A569" s="0" t="str">
        <f aca="false">Complaints!A569</f>
        <v>C0568</v>
      </c>
      <c r="B569" s="0" t="str">
        <f aca="false">Complaints!B569</f>
        <v>I sent the form twice and it seems to have been lost in the system. Also, i am unable to access my account to see my balance. This is not acceptable.</v>
      </c>
      <c r="C569" s="0" t="str">
        <f aca="false">Complaints!C569</f>
        <v>Delays &amp; Processing</v>
      </c>
      <c r="D569" s="0" t="str">
        <f aca="false">" "&amp;TRIM(SUBSTITUTE(SUBSTITUTE(SUBSTITUTE(SUBSTITUTE(SUBSTITUTE(SUBSTITUTE(SUBSTITUTE(SUBSTITUTE(SUBSTITUTE(SUBSTITUTE(SUBSTITUTE(SUBSTITUTE(SUBSTITUTE(SUBSTITUTE(SUBSTITUTE(SUBSTITUTE(LOWER(B569),"."," "),","," "),"'"," "),"’"," "),"!"," "),"?"," "),";"," "),":"," "),"-"," "),"("," "),")"," "),"""", " "),"£"," "),"&amp;"," "),"/"," "),"%"," "))&amp;" "</f>
        <v> i sent the form twice and it seems to have been lost in the system also i am unable to access my account to see my balance this is not acceptable </v>
      </c>
      <c r="E569" s="0" t="n">
        <f aca="false">SUMPRODUCT((Rules!$A$2:$A$60=E$1)*Rules!$C$2:$C$60*ISNUMBER(SEARCH(Rules!$D$2:$D$60,$D569)))</f>
        <v>0</v>
      </c>
      <c r="F569" s="0" t="n">
        <f aca="false">SUMPRODUCT((Rules!$A$2:$A$60=F$1)*Rules!$C$2:$C$60*ISNUMBER(SEARCH(Rules!$D$2:$D$60,$D569)))</f>
        <v>0</v>
      </c>
      <c r="G569" s="0" t="n">
        <f aca="false">SUMPRODUCT((Rules!$A$2:$A$60=G$1)*Rules!$C$2:$C$60*ISNUMBER(SEARCH(Rules!$D$2:$D$60,$D569)))</f>
        <v>1</v>
      </c>
      <c r="H569" s="0" t="n">
        <f aca="false">SUMPRODUCT((Rules!$A$2:$A$60=H$1)*Rules!$C$2:$C$60*ISNUMBER(SEARCH(Rules!$D$2:$D$60,$D569)))</f>
        <v>0</v>
      </c>
      <c r="I569" s="0" t="n">
        <f aca="false">SUMPRODUCT((Rules!$A$2:$A$60=I$1)*Rules!$C$2:$C$60*ISNUMBER(SEARCH(Rules!$D$2:$D$60,$D569)))</f>
        <v>0</v>
      </c>
      <c r="J569" s="0" t="n">
        <f aca="false">SUMPRODUCT((Rules!$A$2:$A$60=J$1)*Rules!$C$2:$C$60*ISNUMBER(SEARCH(Rules!$D$2:$D$60,$D569)))</f>
        <v>0</v>
      </c>
      <c r="K569" s="0" t="str">
        <f aca="false">IF(OR(MAX(E569:J569)&lt;Rules!$H$1,MAX(E569:J569)-LARGE(E569:J569,2)&lt;Rules!$H$2),"No label",INDEX($E$1:$J$1,MATCH(MAX(E569:J569),E569:J569,0)))</f>
        <v>No label</v>
      </c>
      <c r="L569" s="0" t="n">
        <f aca="false">SUMPRODUCT((Rules!$A$2:$A$60=L$1)*Rules!$C$2:$C$60*ISNUMBER(SEARCH(Rules!$E$2:$E$60,$D569)))</f>
        <v>0</v>
      </c>
      <c r="M569" s="0" t="n">
        <f aca="false">SUMPRODUCT((Rules!$A$2:$A$60=M$1)*Rules!$C$2:$C$60*ISNUMBER(SEARCH(Rules!$E$2:$E$60,$D569)))</f>
        <v>0</v>
      </c>
      <c r="N569" s="0" t="n">
        <f aca="false">SUMPRODUCT((Rules!$A$2:$A$60=N$1)*Rules!$C$2:$C$60*ISNUMBER(SEARCH(Rules!$E$2:$E$60,$D569)))</f>
        <v>1</v>
      </c>
      <c r="O569" s="0" t="n">
        <f aca="false">SUMPRODUCT((Rules!$A$2:$A$60=O$1)*Rules!$C$2:$C$60*ISNUMBER(SEARCH(Rules!$E$2:$E$60,$D569)))</f>
        <v>0</v>
      </c>
      <c r="P569" s="0" t="n">
        <f aca="false">SUMPRODUCT((Rules!$A$2:$A$60=P$1)*Rules!$C$2:$C$60*ISNUMBER(SEARCH(Rules!$E$2:$E$60,$D569)))</f>
        <v>0</v>
      </c>
      <c r="Q569" s="0" t="n">
        <f aca="false">SUMPRODUCT((Rules!$A$2:$A$60=Q$1)*Rules!$C$2:$C$60*ISNUMBER(SEARCH(Rules!$E$2:$E$60,$D569)))</f>
        <v>0</v>
      </c>
      <c r="R569" s="0" t="str">
        <f aca="false">IF(OR(MAX(L569:Q569)&lt;Rules!$H$1,MAX(L569:Q569)-LARGE(L569:Q569,2)&lt;Rules!$H$2),"No label",INDEX($L$1:$Q$1,MATCH(MAX(L569:Q569),L569:Q569,0)))</f>
        <v>No label</v>
      </c>
      <c r="S569" s="0" t="n">
        <f aca="false">SUMPRODUCT(ISNUMBER(SEARCH(" "&amp;Terms!$A$3:$A$821&amp;" ",$D569))*Terms!B$3:B$821)+Terms!B$2</f>
        <v>4.62495554056788</v>
      </c>
      <c r="T569" s="0" t="n">
        <f aca="false">SUMPRODUCT(ISNUMBER(SEARCH(" "&amp;Terms!$A$3:$A$821&amp;" ",$D569))*Terms!C$3:C$821)+Terms!C$2</f>
        <v>-5.99858369124272</v>
      </c>
      <c r="U569" s="0" t="n">
        <f aca="false">SUMPRODUCT(ISNUMBER(SEARCH(" "&amp;Terms!$A$3:$A$821&amp;" ",$D569))*Terms!D$3:D$821)+Terms!D$2</f>
        <v>11.1042118129383</v>
      </c>
      <c r="V569" s="0" t="n">
        <f aca="false">SUMPRODUCT(ISNUMBER(SEARCH(" "&amp;Terms!$A$3:$A$821&amp;" ",$D569))*Terms!E$3:E$821)+Terms!E$2</f>
        <v>-1.69533881017926</v>
      </c>
      <c r="W569" s="0" t="n">
        <f aca="false">SUMPRODUCT(ISNUMBER(SEARCH(" "&amp;Terms!$A$3:$A$821&amp;" ",$D569))*Terms!F$3:F$821)+Terms!F$2</f>
        <v>-3.78698973245316</v>
      </c>
      <c r="X569" s="0" t="n">
        <f aca="false">SUMPRODUCT(ISNUMBER(SEARCH(" "&amp;Terms!$A$3:$A$821&amp;" ",$D569))*Terms!G$3:G$821)+Terms!G$2</f>
        <v>-4.248255119631</v>
      </c>
      <c r="Y569" s="0" t="str">
        <f aca="false">INDEX($S$1:$X$1,MATCH(MAX(S569:X569),S569:X569,0))</f>
        <v>Delays &amp; Processing</v>
      </c>
      <c r="Z569" s="0" t="s">
        <v>2607</v>
      </c>
    </row>
    <row r="570" customFormat="false" ht="15" hidden="false" customHeight="false" outlineLevel="0" collapsed="false">
      <c r="A570" s="0" t="str">
        <f aca="false">Complaints!A570</f>
        <v>C0569</v>
      </c>
      <c r="B570" s="0" t="str">
        <f aca="false">Complaints!B570</f>
        <v>I am writing to complain. The staff member was rude and dismissive when I called. This is not acceptable.</v>
      </c>
      <c r="C570" s="0" t="str">
        <f aca="false">Complaints!C570</f>
        <v>Customer Service</v>
      </c>
      <c r="D570" s="0" t="str">
        <f aca="false">" "&amp;TRIM(SUBSTITUTE(SUBSTITUTE(SUBSTITUTE(SUBSTITUTE(SUBSTITUTE(SUBSTITUTE(SUBSTITUTE(SUBSTITUTE(SUBSTITUTE(SUBSTITUTE(SUBSTITUTE(SUBSTITUTE(SUBSTITUTE(SUBSTITUTE(SUBSTITUTE(SUBSTITUTE(LOWER(B570),"."," "),","," "),"'"," "),"’"," "),"!"," "),"?"," "),";"," "),":"," "),"-"," "),"("," "),")"," "),"""", " "),"£"," "),"&amp;"," "),"/"," "),"%"," "))&amp;" "</f>
        <v> i am writing to complain the staff member was rude and dismissive when i called this is not acceptable </v>
      </c>
      <c r="E570" s="0" t="n">
        <f aca="false">SUMPRODUCT((Rules!$A$2:$A$60=E$1)*Rules!$C$2:$C$60*ISNUMBER(SEARCH(Rules!$D$2:$D$60,$D570)))</f>
        <v>0</v>
      </c>
      <c r="F570" s="0" t="n">
        <f aca="false">SUMPRODUCT((Rules!$A$2:$A$60=F$1)*Rules!$C$2:$C$60*ISNUMBER(SEARCH(Rules!$D$2:$D$60,$D570)))</f>
        <v>0</v>
      </c>
      <c r="G570" s="0" t="n">
        <f aca="false">SUMPRODUCT((Rules!$A$2:$A$60=G$1)*Rules!$C$2:$C$60*ISNUMBER(SEARCH(Rules!$D$2:$D$60,$D570)))</f>
        <v>0</v>
      </c>
      <c r="H570" s="0" t="n">
        <f aca="false">SUMPRODUCT((Rules!$A$2:$A$60=H$1)*Rules!$C$2:$C$60*ISNUMBER(SEARCH(Rules!$D$2:$D$60,$D570)))</f>
        <v>0</v>
      </c>
      <c r="I570" s="0" t="n">
        <f aca="false">SUMPRODUCT((Rules!$A$2:$A$60=I$1)*Rules!$C$2:$C$60*ISNUMBER(SEARCH(Rules!$D$2:$D$60,$D570)))</f>
        <v>0</v>
      </c>
      <c r="J570" s="0" t="n">
        <f aca="false">SUMPRODUCT((Rules!$A$2:$A$60=J$1)*Rules!$C$2:$C$60*ISNUMBER(SEARCH(Rules!$D$2:$D$60,$D570)))</f>
        <v>4</v>
      </c>
      <c r="K570" s="0" t="str">
        <f aca="false">IF(OR(MAX(E570:J570)&lt;Rules!$H$1,MAX(E570:J570)-LARGE(E570:J570,2)&lt;Rules!$H$2),"No label",INDEX($E$1:$J$1,MATCH(MAX(E570:J570),E570:J570,0)))</f>
        <v>Customer Service</v>
      </c>
      <c r="L570" s="0" t="n">
        <f aca="false">SUMPRODUCT((Rules!$A$2:$A$60=L$1)*Rules!$C$2:$C$60*ISNUMBER(SEARCH(Rules!$E$2:$E$60,$D570)))</f>
        <v>0</v>
      </c>
      <c r="M570" s="0" t="n">
        <f aca="false">SUMPRODUCT((Rules!$A$2:$A$60=M$1)*Rules!$C$2:$C$60*ISNUMBER(SEARCH(Rules!$E$2:$E$60,$D570)))</f>
        <v>0</v>
      </c>
      <c r="N570" s="0" t="n">
        <f aca="false">SUMPRODUCT((Rules!$A$2:$A$60=N$1)*Rules!$C$2:$C$60*ISNUMBER(SEARCH(Rules!$E$2:$E$60,$D570)))</f>
        <v>1</v>
      </c>
      <c r="O570" s="0" t="n">
        <f aca="false">SUMPRODUCT((Rules!$A$2:$A$60=O$1)*Rules!$C$2:$C$60*ISNUMBER(SEARCH(Rules!$E$2:$E$60,$D570)))</f>
        <v>0</v>
      </c>
      <c r="P570" s="0" t="n">
        <f aca="false">SUMPRODUCT((Rules!$A$2:$A$60=P$1)*Rules!$C$2:$C$60*ISNUMBER(SEARCH(Rules!$E$2:$E$60,$D570)))</f>
        <v>0</v>
      </c>
      <c r="Q570" s="0" t="n">
        <f aca="false">SUMPRODUCT((Rules!$A$2:$A$60=Q$1)*Rules!$C$2:$C$60*ISNUMBER(SEARCH(Rules!$E$2:$E$60,$D570)))</f>
        <v>4</v>
      </c>
      <c r="R570" s="0" t="str">
        <f aca="false">IF(OR(MAX(L570:Q570)&lt;Rules!$H$1,MAX(L570:Q570)-LARGE(L570:Q570,2)&lt;Rules!$H$2),"No label",INDEX($L$1:$Q$1,MATCH(MAX(L570:Q570),L570:Q570,0)))</f>
        <v>Customer Service</v>
      </c>
      <c r="S570" s="0" t="n">
        <f aca="false">SUMPRODUCT(ISNUMBER(SEARCH(" "&amp;Terms!$A$3:$A$821&amp;" ",$D570))*Terms!B$3:B$821)+Terms!B$2</f>
        <v>-2.92967301828887</v>
      </c>
      <c r="T570" s="0" t="n">
        <f aca="false">SUMPRODUCT(ISNUMBER(SEARCH(" "&amp;Terms!$A$3:$A$821&amp;" ",$D570))*Terms!C$3:C$821)+Terms!C$2</f>
        <v>8.95933880354175</v>
      </c>
      <c r="U570" s="0" t="n">
        <f aca="false">SUMPRODUCT(ISNUMBER(SEARCH(" "&amp;Terms!$A$3:$A$821&amp;" ",$D570))*Terms!D$3:D$821)+Terms!D$2</f>
        <v>1.48827286252223</v>
      </c>
      <c r="V570" s="0" t="n">
        <f aca="false">SUMPRODUCT(ISNUMBER(SEARCH(" "&amp;Terms!$A$3:$A$821&amp;" ",$D570))*Terms!E$3:E$821)+Terms!E$2</f>
        <v>-1.56696191537206</v>
      </c>
      <c r="W570" s="0" t="n">
        <f aca="false">SUMPRODUCT(ISNUMBER(SEARCH(" "&amp;Terms!$A$3:$A$821&amp;" ",$D570))*Terms!F$3:F$821)+Terms!F$2</f>
        <v>-2.75192231735865</v>
      </c>
      <c r="X570" s="0" t="n">
        <f aca="false">SUMPRODUCT(ISNUMBER(SEARCH(" "&amp;Terms!$A$3:$A$821&amp;" ",$D570))*Terms!G$3:G$821)+Terms!G$2</f>
        <v>-3.19905441504432</v>
      </c>
      <c r="Y570" s="0" t="str">
        <f aca="false">INDEX($S$1:$X$1,MATCH(MAX(S570:X570),S570:X570,0))</f>
        <v>Customer Service</v>
      </c>
      <c r="Z570" s="0" t="s">
        <v>2607</v>
      </c>
    </row>
    <row r="571" customFormat="false" ht="15" hidden="false" customHeight="false" outlineLevel="0" collapsed="false">
      <c r="A571" s="0" t="str">
        <f aca="false">Complaints!A571</f>
        <v>C0570</v>
      </c>
      <c r="B571" s="0" t="str">
        <f aca="false">Complaints!B571</f>
        <v>I am very unhappy with how this has been handled. I want this put right.</v>
      </c>
      <c r="C571" s="0" t="str">
        <f aca="false">Complaints!C571</f>
        <v>Fees &amp; Charges</v>
      </c>
      <c r="D571" s="0" t="str">
        <f aca="false">" "&amp;TRIM(SUBSTITUTE(SUBSTITUTE(SUBSTITUTE(SUBSTITUTE(SUBSTITUTE(SUBSTITUTE(SUBSTITUTE(SUBSTITUTE(SUBSTITUTE(SUBSTITUTE(SUBSTITUTE(SUBSTITUTE(SUBSTITUTE(SUBSTITUTE(SUBSTITUTE(SUBSTITUTE(LOWER(B571),"."," "),","," "),"'"," "),"’"," "),"!"," "),"?"," "),";"," "),":"," "),"-"," "),"("," "),")"," "),"""", " "),"£"," "),"&amp;"," "),"/"," "),"%"," "))&amp;" "</f>
        <v> i am very unhappy with how this has been handled i want this put right </v>
      </c>
      <c r="E571" s="0" t="n">
        <f aca="false">SUMPRODUCT((Rules!$A$2:$A$60=E$1)*Rules!$C$2:$C$60*ISNUMBER(SEARCH(Rules!$D$2:$D$60,$D571)))</f>
        <v>0</v>
      </c>
      <c r="F571" s="0" t="n">
        <f aca="false">SUMPRODUCT((Rules!$A$2:$A$60=F$1)*Rules!$C$2:$C$60*ISNUMBER(SEARCH(Rules!$D$2:$D$60,$D571)))</f>
        <v>0</v>
      </c>
      <c r="G571" s="0" t="n">
        <f aca="false">SUMPRODUCT((Rules!$A$2:$A$60=G$1)*Rules!$C$2:$C$60*ISNUMBER(SEARCH(Rules!$D$2:$D$60,$D571)))</f>
        <v>0</v>
      </c>
      <c r="H571" s="0" t="n">
        <f aca="false">SUMPRODUCT((Rules!$A$2:$A$60=H$1)*Rules!$C$2:$C$60*ISNUMBER(SEARCH(Rules!$D$2:$D$60,$D571)))</f>
        <v>0</v>
      </c>
      <c r="I571" s="0" t="n">
        <f aca="false">SUMPRODUCT((Rules!$A$2:$A$60=I$1)*Rules!$C$2:$C$60*ISNUMBER(SEARCH(Rules!$D$2:$D$60,$D571)))</f>
        <v>0</v>
      </c>
      <c r="J571" s="0" t="n">
        <f aca="false">SUMPRODUCT((Rules!$A$2:$A$60=J$1)*Rules!$C$2:$C$60*ISNUMBER(SEARCH(Rules!$D$2:$D$60,$D571)))</f>
        <v>0</v>
      </c>
      <c r="K571" s="0" t="str">
        <f aca="false">IF(OR(MAX(E571:J571)&lt;Rules!$H$1,MAX(E571:J571)-LARGE(E571:J571,2)&lt;Rules!$H$2),"No label",INDEX($E$1:$J$1,MATCH(MAX(E571:J571),E571:J571,0)))</f>
        <v>No label</v>
      </c>
      <c r="L571" s="0" t="n">
        <f aca="false">SUMPRODUCT((Rules!$A$2:$A$60=L$1)*Rules!$C$2:$C$60*ISNUMBER(SEARCH(Rules!$E$2:$E$60,$D571)))</f>
        <v>0</v>
      </c>
      <c r="M571" s="0" t="n">
        <f aca="false">SUMPRODUCT((Rules!$A$2:$A$60=M$1)*Rules!$C$2:$C$60*ISNUMBER(SEARCH(Rules!$E$2:$E$60,$D571)))</f>
        <v>0</v>
      </c>
      <c r="N571" s="0" t="n">
        <f aca="false">SUMPRODUCT((Rules!$A$2:$A$60=N$1)*Rules!$C$2:$C$60*ISNUMBER(SEARCH(Rules!$E$2:$E$60,$D571)))</f>
        <v>0</v>
      </c>
      <c r="O571" s="0" t="n">
        <f aca="false">SUMPRODUCT((Rules!$A$2:$A$60=O$1)*Rules!$C$2:$C$60*ISNUMBER(SEARCH(Rules!$E$2:$E$60,$D571)))</f>
        <v>0</v>
      </c>
      <c r="P571" s="0" t="n">
        <f aca="false">SUMPRODUCT((Rules!$A$2:$A$60=P$1)*Rules!$C$2:$C$60*ISNUMBER(SEARCH(Rules!$E$2:$E$60,$D571)))</f>
        <v>0</v>
      </c>
      <c r="Q571" s="0" t="n">
        <f aca="false">SUMPRODUCT((Rules!$A$2:$A$60=Q$1)*Rules!$C$2:$C$60*ISNUMBER(SEARCH(Rules!$E$2:$E$60,$D571)))</f>
        <v>0</v>
      </c>
      <c r="R571" s="0" t="str">
        <f aca="false">IF(OR(MAX(L571:Q571)&lt;Rules!$H$1,MAX(L571:Q571)-LARGE(L571:Q571,2)&lt;Rules!$H$2),"No label",INDEX($L$1:$Q$1,MATCH(MAX(L571:Q571),L571:Q571,0)))</f>
        <v>No label</v>
      </c>
      <c r="S571" s="0" t="n">
        <f aca="false">SUMPRODUCT(ISNUMBER(SEARCH(" "&amp;Terms!$A$3:$A$821&amp;" ",$D571))*Terms!B$3:B$821)+Terms!B$2</f>
        <v>1.99622833126243</v>
      </c>
      <c r="T571" s="0" t="n">
        <f aca="false">SUMPRODUCT(ISNUMBER(SEARCH(" "&amp;Terms!$A$3:$A$821&amp;" ",$D571))*Terms!C$3:C$821)+Terms!C$2</f>
        <v>-3.16903208689473</v>
      </c>
      <c r="U571" s="0" t="n">
        <f aca="false">SUMPRODUCT(ISNUMBER(SEARCH(" "&amp;Terms!$A$3:$A$821&amp;" ",$D571))*Terms!D$3:D$821)+Terms!D$2</f>
        <v>0.890547746702101</v>
      </c>
      <c r="V571" s="0" t="n">
        <f aca="false">SUMPRODUCT(ISNUMBER(SEARCH(" "&amp;Terms!$A$3:$A$821&amp;" ",$D571))*Terms!E$3:E$821)+Terms!E$2</f>
        <v>1.50622282781741</v>
      </c>
      <c r="W571" s="0" t="n">
        <f aca="false">SUMPRODUCT(ISNUMBER(SEARCH(" "&amp;Terms!$A$3:$A$821&amp;" ",$D571))*Terms!F$3:F$821)+Terms!F$2</f>
        <v>0.32038077121082</v>
      </c>
      <c r="X571" s="0" t="n">
        <f aca="false">SUMPRODUCT(ISNUMBER(SEARCH(" "&amp;Terms!$A$3:$A$821&amp;" ",$D571))*Terms!G$3:G$821)+Terms!G$2</f>
        <v>-1.54434759009794</v>
      </c>
      <c r="Y571" s="0" t="str">
        <f aca="false">INDEX($S$1:$X$1,MATCH(MAX(S571:X571),S571:X571,0))</f>
        <v>Account Access</v>
      </c>
      <c r="Z571" s="0" t="s">
        <v>2607</v>
      </c>
    </row>
    <row r="572" customFormat="false" ht="15" hidden="false" customHeight="false" outlineLevel="0" collapsed="false">
      <c r="A572" s="0" t="str">
        <f aca="false">Complaints!A572</f>
        <v>C0571</v>
      </c>
      <c r="B572" s="0" t="str">
        <f aca="false">Complaints!B572</f>
        <v>The terms were very different from what I was promised at the time of sale. Also, i feel I was treated badly because of my age.</v>
      </c>
      <c r="C572" s="0" t="str">
        <f aca="false">Complaints!C572</f>
        <v>Mis-selling</v>
      </c>
      <c r="D572" s="0" t="str">
        <f aca="false">" "&amp;TRIM(SUBSTITUTE(SUBSTITUTE(SUBSTITUTE(SUBSTITUTE(SUBSTITUTE(SUBSTITUTE(SUBSTITUTE(SUBSTITUTE(SUBSTITUTE(SUBSTITUTE(SUBSTITUTE(SUBSTITUTE(SUBSTITUTE(SUBSTITUTE(SUBSTITUTE(SUBSTITUTE(LOWER(B572),"."," "),","," "),"'"," "),"’"," "),"!"," "),"?"," "),";"," "),":"," "),"-"," "),"("," "),")"," "),"""", " "),"£"," "),"&amp;"," "),"/"," "),"%"," "))&amp;" "</f>
        <v> the terms were very different from what i was promised at the time of sale also i feel i was treated badly because of my age </v>
      </c>
      <c r="E572" s="0" t="n">
        <f aca="false">SUMPRODUCT((Rules!$A$2:$A$60=E$1)*Rules!$C$2:$C$60*ISNUMBER(SEARCH(Rules!$D$2:$D$60,$D572)))</f>
        <v>0</v>
      </c>
      <c r="F572" s="0" t="n">
        <f aca="false">SUMPRODUCT((Rules!$A$2:$A$60=F$1)*Rules!$C$2:$C$60*ISNUMBER(SEARCH(Rules!$D$2:$D$60,$D572)))</f>
        <v>1</v>
      </c>
      <c r="G572" s="0" t="n">
        <f aca="false">SUMPRODUCT((Rules!$A$2:$A$60=G$1)*Rules!$C$2:$C$60*ISNUMBER(SEARCH(Rules!$D$2:$D$60,$D572)))</f>
        <v>0</v>
      </c>
      <c r="H572" s="0" t="n">
        <f aca="false">SUMPRODUCT((Rules!$A$2:$A$60=H$1)*Rules!$C$2:$C$60*ISNUMBER(SEARCH(Rules!$D$2:$D$60,$D572)))</f>
        <v>0</v>
      </c>
      <c r="I572" s="0" t="n">
        <f aca="false">SUMPRODUCT((Rules!$A$2:$A$60=I$1)*Rules!$C$2:$C$60*ISNUMBER(SEARCH(Rules!$D$2:$D$60,$D572)))</f>
        <v>0</v>
      </c>
      <c r="J572" s="0" t="n">
        <f aca="false">SUMPRODUCT((Rules!$A$2:$A$60=J$1)*Rules!$C$2:$C$60*ISNUMBER(SEARCH(Rules!$D$2:$D$60,$D572)))</f>
        <v>3</v>
      </c>
      <c r="K572" s="0" t="str">
        <f aca="false">IF(OR(MAX(E572:J572)&lt;Rules!$H$1,MAX(E572:J572)-LARGE(E572:J572,2)&lt;Rules!$H$2),"No label",INDEX($E$1:$J$1,MATCH(MAX(E572:J572),E572:J572,0)))</f>
        <v>Customer Service</v>
      </c>
      <c r="L572" s="0" t="n">
        <f aca="false">SUMPRODUCT((Rules!$A$2:$A$60=L$1)*Rules!$C$2:$C$60*ISNUMBER(SEARCH(Rules!$E$2:$E$60,$D572)))</f>
        <v>0</v>
      </c>
      <c r="M572" s="0" t="n">
        <f aca="false">SUMPRODUCT((Rules!$A$2:$A$60=M$1)*Rules!$C$2:$C$60*ISNUMBER(SEARCH(Rules!$E$2:$E$60,$D572)))</f>
        <v>1</v>
      </c>
      <c r="N572" s="0" t="n">
        <f aca="false">SUMPRODUCT((Rules!$A$2:$A$60=N$1)*Rules!$C$2:$C$60*ISNUMBER(SEARCH(Rules!$E$2:$E$60,$D572)))</f>
        <v>0</v>
      </c>
      <c r="O572" s="0" t="n">
        <f aca="false">SUMPRODUCT((Rules!$A$2:$A$60=O$1)*Rules!$C$2:$C$60*ISNUMBER(SEARCH(Rules!$E$2:$E$60,$D572)))</f>
        <v>0</v>
      </c>
      <c r="P572" s="0" t="n">
        <f aca="false">SUMPRODUCT((Rules!$A$2:$A$60=P$1)*Rules!$C$2:$C$60*ISNUMBER(SEARCH(Rules!$E$2:$E$60,$D572)))</f>
        <v>0</v>
      </c>
      <c r="Q572" s="0" t="n">
        <f aca="false">SUMPRODUCT((Rules!$A$2:$A$60=Q$1)*Rules!$C$2:$C$60*ISNUMBER(SEARCH(Rules!$E$2:$E$60,$D572)))</f>
        <v>3</v>
      </c>
      <c r="R572" s="0" t="str">
        <f aca="false">IF(OR(MAX(L572:Q572)&lt;Rules!$H$1,MAX(L572:Q572)-LARGE(L572:Q572,2)&lt;Rules!$H$2),"No label",INDEX($L$1:$Q$1,MATCH(MAX(L572:Q572),L572:Q572,0)))</f>
        <v>Customer Service</v>
      </c>
      <c r="S572" s="0" t="n">
        <f aca="false">SUMPRODUCT(ISNUMBER(SEARCH(" "&amp;Terms!$A$3:$A$821&amp;" ",$D572))*Terms!B$3:B$821)+Terms!B$2</f>
        <v>-1.62686471234785</v>
      </c>
      <c r="T572" s="0" t="n">
        <f aca="false">SUMPRODUCT(ISNUMBER(SEARCH(" "&amp;Terms!$A$3:$A$821&amp;" ",$D572))*Terms!C$3:C$821)+Terms!C$2</f>
        <v>6.77086800066278</v>
      </c>
      <c r="U572" s="0" t="n">
        <f aca="false">SUMPRODUCT(ISNUMBER(SEARCH(" "&amp;Terms!$A$3:$A$821&amp;" ",$D572))*Terms!D$3:D$821)+Terms!D$2</f>
        <v>-1.09662949920217</v>
      </c>
      <c r="V572" s="0" t="n">
        <f aca="false">SUMPRODUCT(ISNUMBER(SEARCH(" "&amp;Terms!$A$3:$A$821&amp;" ",$D572))*Terms!E$3:E$821)+Terms!E$2</f>
        <v>-5.34150508336912</v>
      </c>
      <c r="W572" s="0" t="n">
        <f aca="false">SUMPRODUCT(ISNUMBER(SEARCH(" "&amp;Terms!$A$3:$A$821&amp;" ",$D572))*Terms!F$3:F$821)+Terms!F$2</f>
        <v>-5.29045986409088</v>
      </c>
      <c r="X572" s="0" t="n">
        <f aca="false">SUMPRODUCT(ISNUMBER(SEARCH(" "&amp;Terms!$A$3:$A$821&amp;" ",$D572))*Terms!G$3:G$821)+Terms!G$2</f>
        <v>6.58459115834735</v>
      </c>
      <c r="Y572" s="0" t="str">
        <f aca="false">INDEX($S$1:$X$1,MATCH(MAX(S572:X572),S572:X572,0))</f>
        <v>Customer Service</v>
      </c>
      <c r="Z572" s="0" t="s">
        <v>2607</v>
      </c>
    </row>
    <row r="573" customFormat="false" ht="15" hidden="false" customHeight="false" outlineLevel="0" collapsed="false">
      <c r="A573" s="0" t="str">
        <f aca="false">Complaints!A573</f>
        <v>C0572</v>
      </c>
      <c r="B573" s="0" t="str">
        <f aca="false">Complaints!B573</f>
        <v>I have been a customer for years. Nobody checked whether I could afford the credit agreement.</v>
      </c>
      <c r="C573" s="0" t="str">
        <f aca="false">Complaints!C573</f>
        <v>Mis-selling</v>
      </c>
      <c r="D573" s="0" t="str">
        <f aca="false">" "&amp;TRIM(SUBSTITUTE(SUBSTITUTE(SUBSTITUTE(SUBSTITUTE(SUBSTITUTE(SUBSTITUTE(SUBSTITUTE(SUBSTITUTE(SUBSTITUTE(SUBSTITUTE(SUBSTITUTE(SUBSTITUTE(SUBSTITUTE(SUBSTITUTE(SUBSTITUTE(SUBSTITUTE(LOWER(B573),"."," "),","," "),"'"," "),"’"," "),"!"," "),"?"," "),";"," "),":"," "),"-"," "),"("," "),")"," "),"""", " "),"£"," "),"&amp;"," "),"/"," "),"%"," "))&amp;" "</f>
        <v> i have been a customer for years nobody checked whether i could afford the credit agreement </v>
      </c>
      <c r="E573" s="0" t="n">
        <f aca="false">SUMPRODUCT((Rules!$A$2:$A$60=E$1)*Rules!$C$2:$C$60*ISNUMBER(SEARCH(Rules!$D$2:$D$60,$D573)))</f>
        <v>0</v>
      </c>
      <c r="F573" s="0" t="n">
        <f aca="false">SUMPRODUCT((Rules!$A$2:$A$60=F$1)*Rules!$C$2:$C$60*ISNUMBER(SEARCH(Rules!$D$2:$D$60,$D573)))</f>
        <v>0</v>
      </c>
      <c r="G573" s="0" t="n">
        <f aca="false">SUMPRODUCT((Rules!$A$2:$A$60=G$1)*Rules!$C$2:$C$60*ISNUMBER(SEARCH(Rules!$D$2:$D$60,$D573)))</f>
        <v>0</v>
      </c>
      <c r="H573" s="0" t="n">
        <f aca="false">SUMPRODUCT((Rules!$A$2:$A$60=H$1)*Rules!$C$2:$C$60*ISNUMBER(SEARCH(Rules!$D$2:$D$60,$D573)))</f>
        <v>0</v>
      </c>
      <c r="I573" s="0" t="n">
        <f aca="false">SUMPRODUCT((Rules!$A$2:$A$60=I$1)*Rules!$C$2:$C$60*ISNUMBER(SEARCH(Rules!$D$2:$D$60,$D573)))</f>
        <v>0</v>
      </c>
      <c r="J573" s="0" t="n">
        <f aca="false">SUMPRODUCT((Rules!$A$2:$A$60=J$1)*Rules!$C$2:$C$60*ISNUMBER(SEARCH(Rules!$D$2:$D$60,$D573)))</f>
        <v>0</v>
      </c>
      <c r="K573" s="0" t="str">
        <f aca="false">IF(OR(MAX(E573:J573)&lt;Rules!$H$1,MAX(E573:J573)-LARGE(E573:J573,2)&lt;Rules!$H$2),"No label",INDEX($E$1:$J$1,MATCH(MAX(E573:J573),E573:J573,0)))</f>
        <v>No label</v>
      </c>
      <c r="L573" s="0" t="n">
        <f aca="false">SUMPRODUCT((Rules!$A$2:$A$60=L$1)*Rules!$C$2:$C$60*ISNUMBER(SEARCH(Rules!$E$2:$E$60,$D573)))</f>
        <v>0</v>
      </c>
      <c r="M573" s="0" t="n">
        <f aca="false">SUMPRODUCT((Rules!$A$2:$A$60=M$1)*Rules!$C$2:$C$60*ISNUMBER(SEARCH(Rules!$E$2:$E$60,$D573)))</f>
        <v>0</v>
      </c>
      <c r="N573" s="0" t="n">
        <f aca="false">SUMPRODUCT((Rules!$A$2:$A$60=N$1)*Rules!$C$2:$C$60*ISNUMBER(SEARCH(Rules!$E$2:$E$60,$D573)))</f>
        <v>0</v>
      </c>
      <c r="O573" s="0" t="n">
        <f aca="false">SUMPRODUCT((Rules!$A$2:$A$60=O$1)*Rules!$C$2:$C$60*ISNUMBER(SEARCH(Rules!$E$2:$E$60,$D573)))</f>
        <v>0</v>
      </c>
      <c r="P573" s="0" t="n">
        <f aca="false">SUMPRODUCT((Rules!$A$2:$A$60=P$1)*Rules!$C$2:$C$60*ISNUMBER(SEARCH(Rules!$E$2:$E$60,$D573)))</f>
        <v>0</v>
      </c>
      <c r="Q573" s="0" t="n">
        <f aca="false">SUMPRODUCT((Rules!$A$2:$A$60=Q$1)*Rules!$C$2:$C$60*ISNUMBER(SEARCH(Rules!$E$2:$E$60,$D573)))</f>
        <v>0</v>
      </c>
      <c r="R573" s="0" t="str">
        <f aca="false">IF(OR(MAX(L573:Q573)&lt;Rules!$H$1,MAX(L573:Q573)-LARGE(L573:Q573,2)&lt;Rules!$H$2),"No label",INDEX($L$1:$Q$1,MATCH(MAX(L573:Q573),L573:Q573,0)))</f>
        <v>No label</v>
      </c>
      <c r="S573" s="0" t="n">
        <f aca="false">SUMPRODUCT(ISNUMBER(SEARCH(" "&amp;Terms!$A$3:$A$821&amp;" ",$D573))*Terms!B$3:B$821)+Terms!B$2</f>
        <v>-1.35027469266211</v>
      </c>
      <c r="T573" s="0" t="n">
        <f aca="false">SUMPRODUCT(ISNUMBER(SEARCH(" "&amp;Terms!$A$3:$A$821&amp;" ",$D573))*Terms!C$3:C$821)+Terms!C$2</f>
        <v>-1.77124052280126</v>
      </c>
      <c r="U573" s="0" t="n">
        <f aca="false">SUMPRODUCT(ISNUMBER(SEARCH(" "&amp;Terms!$A$3:$A$821&amp;" ",$D573))*Terms!D$3:D$821)+Terms!D$2</f>
        <v>-0.445518808898105</v>
      </c>
      <c r="V573" s="0" t="n">
        <f aca="false">SUMPRODUCT(ISNUMBER(SEARCH(" "&amp;Terms!$A$3:$A$821&amp;" ",$D573))*Terms!E$3:E$821)+Terms!E$2</f>
        <v>-0.351286197175728</v>
      </c>
      <c r="W573" s="0" t="n">
        <f aca="false">SUMPRODUCT(ISNUMBER(SEARCH(" "&amp;Terms!$A$3:$A$821&amp;" ",$D573))*Terms!F$3:F$821)+Terms!F$2</f>
        <v>-4.12302450377537</v>
      </c>
      <c r="X573" s="0" t="n">
        <f aca="false">SUMPRODUCT(ISNUMBER(SEARCH(" "&amp;Terms!$A$3:$A$821&amp;" ",$D573))*Terms!G$3:G$821)+Terms!G$2</f>
        <v>8.04134472531269</v>
      </c>
      <c r="Y573" s="0" t="str">
        <f aca="false">INDEX($S$1:$X$1,MATCH(MAX(S573:X573),S573:X573,0))</f>
        <v>Mis-selling</v>
      </c>
      <c r="Z573" s="0" t="s">
        <v>2607</v>
      </c>
    </row>
    <row r="574" customFormat="false" ht="15" hidden="false" customHeight="false" outlineLevel="0" collapsed="false">
      <c r="A574" s="0" t="str">
        <f aca="false">Complaints!A574</f>
        <v>C0573</v>
      </c>
      <c r="B574" s="0" t="str">
        <f aca="false">Complaints!B574</f>
        <v>A fake text message led me to a website and my money disappeared.</v>
      </c>
      <c r="C574" s="0" t="str">
        <f aca="false">Complaints!C574</f>
        <v>Fraud &amp; Scams</v>
      </c>
      <c r="D574" s="0" t="str">
        <f aca="false">" "&amp;TRIM(SUBSTITUTE(SUBSTITUTE(SUBSTITUTE(SUBSTITUTE(SUBSTITUTE(SUBSTITUTE(SUBSTITUTE(SUBSTITUTE(SUBSTITUTE(SUBSTITUTE(SUBSTITUTE(SUBSTITUTE(SUBSTITUTE(SUBSTITUTE(SUBSTITUTE(SUBSTITUTE(LOWER(B574),"."," "),","," "),"'"," "),"’"," "),"!"," "),"?"," "),";"," "),":"," "),"-"," "),"("," "),")"," "),"""", " "),"£"," "),"&amp;"," "),"/"," "),"%"," "))&amp;" "</f>
        <v> a fake text message led me to a website and my money disappeared </v>
      </c>
      <c r="E574" s="0" t="n">
        <f aca="false">SUMPRODUCT((Rules!$A$2:$A$60=E$1)*Rules!$C$2:$C$60*ISNUMBER(SEARCH(Rules!$D$2:$D$60,$D574)))</f>
        <v>2</v>
      </c>
      <c r="F574" s="0" t="n">
        <f aca="false">SUMPRODUCT((Rules!$A$2:$A$60=F$1)*Rules!$C$2:$C$60*ISNUMBER(SEARCH(Rules!$D$2:$D$60,$D574)))</f>
        <v>0</v>
      </c>
      <c r="G574" s="0" t="n">
        <f aca="false">SUMPRODUCT((Rules!$A$2:$A$60=G$1)*Rules!$C$2:$C$60*ISNUMBER(SEARCH(Rules!$D$2:$D$60,$D574)))</f>
        <v>0</v>
      </c>
      <c r="H574" s="0" t="n">
        <f aca="false">SUMPRODUCT((Rules!$A$2:$A$60=H$1)*Rules!$C$2:$C$60*ISNUMBER(SEARCH(Rules!$D$2:$D$60,$D574)))</f>
        <v>0</v>
      </c>
      <c r="I574" s="0" t="n">
        <f aca="false">SUMPRODUCT((Rules!$A$2:$A$60=I$1)*Rules!$C$2:$C$60*ISNUMBER(SEARCH(Rules!$D$2:$D$60,$D574)))</f>
        <v>0</v>
      </c>
      <c r="J574" s="0" t="n">
        <f aca="false">SUMPRODUCT((Rules!$A$2:$A$60=J$1)*Rules!$C$2:$C$60*ISNUMBER(SEARCH(Rules!$D$2:$D$60,$D574)))</f>
        <v>0</v>
      </c>
      <c r="K574" s="0" t="str">
        <f aca="false">IF(OR(MAX(E574:J574)&lt;Rules!$H$1,MAX(E574:J574)-LARGE(E574:J574,2)&lt;Rules!$H$2),"No label",INDEX($E$1:$J$1,MATCH(MAX(E574:J574),E574:J574,0)))</f>
        <v>No label</v>
      </c>
      <c r="L574" s="0" t="n">
        <f aca="false">SUMPRODUCT((Rules!$A$2:$A$60=L$1)*Rules!$C$2:$C$60*ISNUMBER(SEARCH(Rules!$E$2:$E$60,$D574)))</f>
        <v>2</v>
      </c>
      <c r="M574" s="0" t="n">
        <f aca="false">SUMPRODUCT((Rules!$A$2:$A$60=M$1)*Rules!$C$2:$C$60*ISNUMBER(SEARCH(Rules!$E$2:$E$60,$D574)))</f>
        <v>0</v>
      </c>
      <c r="N574" s="0" t="n">
        <f aca="false">SUMPRODUCT((Rules!$A$2:$A$60=N$1)*Rules!$C$2:$C$60*ISNUMBER(SEARCH(Rules!$E$2:$E$60,$D574)))</f>
        <v>0</v>
      </c>
      <c r="O574" s="0" t="n">
        <f aca="false">SUMPRODUCT((Rules!$A$2:$A$60=O$1)*Rules!$C$2:$C$60*ISNUMBER(SEARCH(Rules!$E$2:$E$60,$D574)))</f>
        <v>0</v>
      </c>
      <c r="P574" s="0" t="n">
        <f aca="false">SUMPRODUCT((Rules!$A$2:$A$60=P$1)*Rules!$C$2:$C$60*ISNUMBER(SEARCH(Rules!$E$2:$E$60,$D574)))</f>
        <v>0</v>
      </c>
      <c r="Q574" s="0" t="n">
        <f aca="false">SUMPRODUCT((Rules!$A$2:$A$60=Q$1)*Rules!$C$2:$C$60*ISNUMBER(SEARCH(Rules!$E$2:$E$60,$D574)))</f>
        <v>0</v>
      </c>
      <c r="R574" s="0" t="str">
        <f aca="false">IF(OR(MAX(L574:Q574)&lt;Rules!$H$1,MAX(L574:Q574)-LARGE(L574:Q574,2)&lt;Rules!$H$2),"No label",INDEX($L$1:$Q$1,MATCH(MAX(L574:Q574),L574:Q574,0)))</f>
        <v>No label</v>
      </c>
      <c r="S574" s="0" t="n">
        <f aca="false">SUMPRODUCT(ISNUMBER(SEARCH(" "&amp;Terms!$A$3:$A$821&amp;" ",$D574))*Terms!B$3:B$821)+Terms!B$2</f>
        <v>0.391026347652823</v>
      </c>
      <c r="T574" s="0" t="n">
        <f aca="false">SUMPRODUCT(ISNUMBER(SEARCH(" "&amp;Terms!$A$3:$A$821&amp;" ",$D574))*Terms!C$3:C$821)+Terms!C$2</f>
        <v>-2.8884474303103</v>
      </c>
      <c r="U574" s="0" t="n">
        <f aca="false">SUMPRODUCT(ISNUMBER(SEARCH(" "&amp;Terms!$A$3:$A$821&amp;" ",$D574))*Terms!D$3:D$821)+Terms!D$2</f>
        <v>-1.592512930958</v>
      </c>
      <c r="V574" s="0" t="n">
        <f aca="false">SUMPRODUCT(ISNUMBER(SEARCH(" "&amp;Terms!$A$3:$A$821&amp;" ",$D574))*Terms!E$3:E$821)+Terms!E$2</f>
        <v>-6.40556456827344</v>
      </c>
      <c r="W574" s="0" t="n">
        <f aca="false">SUMPRODUCT(ISNUMBER(SEARCH(" "&amp;Terms!$A$3:$A$821&amp;" ",$D574))*Terms!F$3:F$821)+Terms!F$2</f>
        <v>10.680819143675</v>
      </c>
      <c r="X574" s="0" t="n">
        <f aca="false">SUMPRODUCT(ISNUMBER(SEARCH(" "&amp;Terms!$A$3:$A$821&amp;" ",$D574))*Terms!G$3:G$821)+Terms!G$2</f>
        <v>-0.185320561786054</v>
      </c>
      <c r="Y574" s="0" t="str">
        <f aca="false">INDEX($S$1:$X$1,MATCH(MAX(S574:X574),S574:X574,0))</f>
        <v>Fraud &amp; Scams</v>
      </c>
      <c r="Z574" s="0" t="s">
        <v>2607</v>
      </c>
    </row>
    <row r="575" customFormat="false" ht="15" hidden="false" customHeight="false" outlineLevel="0" collapsed="false">
      <c r="A575" s="0" t="str">
        <f aca="false">Complaints!A575</f>
        <v>C0574</v>
      </c>
      <c r="B575" s="0" t="str">
        <f aca="false">Complaints!B575</f>
        <v>This is the second time I have raised this. I think I was the victim of a scam and sent money to a fraudster. I expect compensation.</v>
      </c>
      <c r="C575" s="0" t="str">
        <f aca="false">Complaints!C575</f>
        <v>Fraud &amp; Scams</v>
      </c>
      <c r="D575" s="0" t="str">
        <f aca="false">" "&amp;TRIM(SUBSTITUTE(SUBSTITUTE(SUBSTITUTE(SUBSTITUTE(SUBSTITUTE(SUBSTITUTE(SUBSTITUTE(SUBSTITUTE(SUBSTITUTE(SUBSTITUTE(SUBSTITUTE(SUBSTITUTE(SUBSTITUTE(SUBSTITUTE(SUBSTITUTE(SUBSTITUTE(LOWER(B575),"."," "),","," "),"'"," "),"’"," "),"!"," "),"?"," "),";"," "),":"," "),"-"," "),"("," "),")"," "),"""", " "),"£"," "),"&amp;"," "),"/"," "),"%"," "))&amp;" "</f>
        <v> this is the second time i have raised this i think i was the victim of a scam and sent money to a fraudster i expect compensation </v>
      </c>
      <c r="E575" s="0" t="n">
        <f aca="false">SUMPRODUCT((Rules!$A$2:$A$60=E$1)*Rules!$C$2:$C$60*ISNUMBER(SEARCH(Rules!$D$2:$D$60,$D575)))</f>
        <v>6</v>
      </c>
      <c r="F575" s="0" t="n">
        <f aca="false">SUMPRODUCT((Rules!$A$2:$A$60=F$1)*Rules!$C$2:$C$60*ISNUMBER(SEARCH(Rules!$D$2:$D$60,$D575)))</f>
        <v>0</v>
      </c>
      <c r="G575" s="0" t="n">
        <f aca="false">SUMPRODUCT((Rules!$A$2:$A$60=G$1)*Rules!$C$2:$C$60*ISNUMBER(SEARCH(Rules!$D$2:$D$60,$D575)))</f>
        <v>0</v>
      </c>
      <c r="H575" s="0" t="n">
        <f aca="false">SUMPRODUCT((Rules!$A$2:$A$60=H$1)*Rules!$C$2:$C$60*ISNUMBER(SEARCH(Rules!$D$2:$D$60,$D575)))</f>
        <v>0</v>
      </c>
      <c r="I575" s="0" t="n">
        <f aca="false">SUMPRODUCT((Rules!$A$2:$A$60=I$1)*Rules!$C$2:$C$60*ISNUMBER(SEARCH(Rules!$D$2:$D$60,$D575)))</f>
        <v>0</v>
      </c>
      <c r="J575" s="0" t="n">
        <f aca="false">SUMPRODUCT((Rules!$A$2:$A$60=J$1)*Rules!$C$2:$C$60*ISNUMBER(SEARCH(Rules!$D$2:$D$60,$D575)))</f>
        <v>0</v>
      </c>
      <c r="K575" s="0" t="str">
        <f aca="false">IF(OR(MAX(E575:J575)&lt;Rules!$H$1,MAX(E575:J575)-LARGE(E575:J575,2)&lt;Rules!$H$2),"No label",INDEX($E$1:$J$1,MATCH(MAX(E575:J575),E575:J575,0)))</f>
        <v>Fraud &amp; Scams</v>
      </c>
      <c r="L575" s="0" t="n">
        <f aca="false">SUMPRODUCT((Rules!$A$2:$A$60=L$1)*Rules!$C$2:$C$60*ISNUMBER(SEARCH(Rules!$E$2:$E$60,$D575)))</f>
        <v>6</v>
      </c>
      <c r="M575" s="0" t="n">
        <f aca="false">SUMPRODUCT((Rules!$A$2:$A$60=M$1)*Rules!$C$2:$C$60*ISNUMBER(SEARCH(Rules!$E$2:$E$60,$D575)))</f>
        <v>0</v>
      </c>
      <c r="N575" s="0" t="n">
        <f aca="false">SUMPRODUCT((Rules!$A$2:$A$60=N$1)*Rules!$C$2:$C$60*ISNUMBER(SEARCH(Rules!$E$2:$E$60,$D575)))</f>
        <v>0</v>
      </c>
      <c r="O575" s="0" t="n">
        <f aca="false">SUMPRODUCT((Rules!$A$2:$A$60=O$1)*Rules!$C$2:$C$60*ISNUMBER(SEARCH(Rules!$E$2:$E$60,$D575)))</f>
        <v>0</v>
      </c>
      <c r="P575" s="0" t="n">
        <f aca="false">SUMPRODUCT((Rules!$A$2:$A$60=P$1)*Rules!$C$2:$C$60*ISNUMBER(SEARCH(Rules!$E$2:$E$60,$D575)))</f>
        <v>0</v>
      </c>
      <c r="Q575" s="0" t="n">
        <f aca="false">SUMPRODUCT((Rules!$A$2:$A$60=Q$1)*Rules!$C$2:$C$60*ISNUMBER(SEARCH(Rules!$E$2:$E$60,$D575)))</f>
        <v>0</v>
      </c>
      <c r="R575" s="0" t="str">
        <f aca="false">IF(OR(MAX(L575:Q575)&lt;Rules!$H$1,MAX(L575:Q575)-LARGE(L575:Q575,2)&lt;Rules!$H$2),"No label",INDEX($L$1:$Q$1,MATCH(MAX(L575:Q575),L575:Q575,0)))</f>
        <v>Fraud &amp; Scams</v>
      </c>
      <c r="S575" s="0" t="n">
        <f aca="false">SUMPRODUCT(ISNUMBER(SEARCH(" "&amp;Terms!$A$3:$A$821&amp;" ",$D575))*Terms!B$3:B$821)+Terms!B$2</f>
        <v>0.538897443495328</v>
      </c>
      <c r="T575" s="0" t="n">
        <f aca="false">SUMPRODUCT(ISNUMBER(SEARCH(" "&amp;Terms!$A$3:$A$821&amp;" ",$D575))*Terms!C$3:C$821)+Terms!C$2</f>
        <v>-2.9565373605836</v>
      </c>
      <c r="U575" s="0" t="n">
        <f aca="false">SUMPRODUCT(ISNUMBER(SEARCH(" "&amp;Terms!$A$3:$A$821&amp;" ",$D575))*Terms!D$3:D$821)+Terms!D$2</f>
        <v>-2.09991972253831</v>
      </c>
      <c r="V575" s="0" t="n">
        <f aca="false">SUMPRODUCT(ISNUMBER(SEARCH(" "&amp;Terms!$A$3:$A$821&amp;" ",$D575))*Terms!E$3:E$821)+Terms!E$2</f>
        <v>-2.61073373313861</v>
      </c>
      <c r="W575" s="0" t="n">
        <f aca="false">SUMPRODUCT(ISNUMBER(SEARCH(" "&amp;Terms!$A$3:$A$821&amp;" ",$D575))*Terms!F$3:F$821)+Terms!F$2</f>
        <v>11.4569183373965</v>
      </c>
      <c r="X575" s="0" t="n">
        <f aca="false">SUMPRODUCT(ISNUMBER(SEARCH(" "&amp;Terms!$A$3:$A$821&amp;" ",$D575))*Terms!G$3:G$821)+Terms!G$2</f>
        <v>-4.32862496463117</v>
      </c>
      <c r="Y575" s="0" t="str">
        <f aca="false">INDEX($S$1:$X$1,MATCH(MAX(S575:X575),S575:X575,0))</f>
        <v>Fraud &amp; Scams</v>
      </c>
      <c r="Z575" s="0" t="s">
        <v>2607</v>
      </c>
    </row>
    <row r="576" customFormat="false" ht="15" hidden="false" customHeight="false" outlineLevel="0" collapsed="false">
      <c r="A576" s="0" t="str">
        <f aca="false">Complaints!A576</f>
        <v>C0575</v>
      </c>
      <c r="B576" s="0" t="str">
        <f aca="false">Complaints!B576</f>
        <v>I have been a customer for years. The salesperson pushed me into a plan I did not need. It has also been taking far too long. I would like a response in writing.</v>
      </c>
      <c r="C576" s="0" t="str">
        <f aca="false">Complaints!C576</f>
        <v>Mis-selling</v>
      </c>
      <c r="D576" s="0" t="str">
        <f aca="false">" "&amp;TRIM(SUBSTITUTE(SUBSTITUTE(SUBSTITUTE(SUBSTITUTE(SUBSTITUTE(SUBSTITUTE(SUBSTITUTE(SUBSTITUTE(SUBSTITUTE(SUBSTITUTE(SUBSTITUTE(SUBSTITUTE(SUBSTITUTE(SUBSTITUTE(SUBSTITUTE(SUBSTITUTE(LOWER(B576),"."," "),","," "),"'"," "),"’"," "),"!"," "),"?"," "),";"," "),":"," "),"-"," "),"("," "),")"," "),"""", " "),"£"," "),"&amp;"," "),"/"," "),"%"," "))&amp;" "</f>
        <v> i have been a customer for years the salesperson pushed me into a plan i did not need it has also been taking far too long i would like a response in writing </v>
      </c>
      <c r="E576" s="0" t="n">
        <f aca="false">SUMPRODUCT((Rules!$A$2:$A$60=E$1)*Rules!$C$2:$C$60*ISNUMBER(SEARCH(Rules!$D$2:$D$60,$D576)))</f>
        <v>0</v>
      </c>
      <c r="F576" s="0" t="n">
        <f aca="false">SUMPRODUCT((Rules!$A$2:$A$60=F$1)*Rules!$C$2:$C$60*ISNUMBER(SEARCH(Rules!$D$2:$D$60,$D576)))</f>
        <v>2</v>
      </c>
      <c r="G576" s="0" t="n">
        <f aca="false">SUMPRODUCT((Rules!$A$2:$A$60=G$1)*Rules!$C$2:$C$60*ISNUMBER(SEARCH(Rules!$D$2:$D$60,$D576)))</f>
        <v>0</v>
      </c>
      <c r="H576" s="0" t="n">
        <f aca="false">SUMPRODUCT((Rules!$A$2:$A$60=H$1)*Rules!$C$2:$C$60*ISNUMBER(SEARCH(Rules!$D$2:$D$60,$D576)))</f>
        <v>0</v>
      </c>
      <c r="I576" s="0" t="n">
        <f aca="false">SUMPRODUCT((Rules!$A$2:$A$60=I$1)*Rules!$C$2:$C$60*ISNUMBER(SEARCH(Rules!$D$2:$D$60,$D576)))</f>
        <v>0</v>
      </c>
      <c r="J576" s="0" t="n">
        <f aca="false">SUMPRODUCT((Rules!$A$2:$A$60=J$1)*Rules!$C$2:$C$60*ISNUMBER(SEARCH(Rules!$D$2:$D$60,$D576)))</f>
        <v>0</v>
      </c>
      <c r="K576" s="0" t="str">
        <f aca="false">IF(OR(MAX(E576:J576)&lt;Rules!$H$1,MAX(E576:J576)-LARGE(E576:J576,2)&lt;Rules!$H$2),"No label",INDEX($E$1:$J$1,MATCH(MAX(E576:J576),E576:J576,0)))</f>
        <v>No label</v>
      </c>
      <c r="L576" s="0" t="n">
        <f aca="false">SUMPRODUCT((Rules!$A$2:$A$60=L$1)*Rules!$C$2:$C$60*ISNUMBER(SEARCH(Rules!$E$2:$E$60,$D576)))</f>
        <v>0</v>
      </c>
      <c r="M576" s="0" t="n">
        <f aca="false">SUMPRODUCT((Rules!$A$2:$A$60=M$1)*Rules!$C$2:$C$60*ISNUMBER(SEARCH(Rules!$E$2:$E$60,$D576)))</f>
        <v>2</v>
      </c>
      <c r="N576" s="0" t="n">
        <f aca="false">SUMPRODUCT((Rules!$A$2:$A$60=N$1)*Rules!$C$2:$C$60*ISNUMBER(SEARCH(Rules!$E$2:$E$60,$D576)))</f>
        <v>0</v>
      </c>
      <c r="O576" s="0" t="n">
        <f aca="false">SUMPRODUCT((Rules!$A$2:$A$60=O$1)*Rules!$C$2:$C$60*ISNUMBER(SEARCH(Rules!$E$2:$E$60,$D576)))</f>
        <v>0</v>
      </c>
      <c r="P576" s="0" t="n">
        <f aca="false">SUMPRODUCT((Rules!$A$2:$A$60=P$1)*Rules!$C$2:$C$60*ISNUMBER(SEARCH(Rules!$E$2:$E$60,$D576)))</f>
        <v>0</v>
      </c>
      <c r="Q576" s="0" t="n">
        <f aca="false">SUMPRODUCT((Rules!$A$2:$A$60=Q$1)*Rules!$C$2:$C$60*ISNUMBER(SEARCH(Rules!$E$2:$E$60,$D576)))</f>
        <v>0</v>
      </c>
      <c r="R576" s="0" t="str">
        <f aca="false">IF(OR(MAX(L576:Q576)&lt;Rules!$H$1,MAX(L576:Q576)-LARGE(L576:Q576,2)&lt;Rules!$H$2),"No label",INDEX($L$1:$Q$1,MATCH(MAX(L576:Q576),L576:Q576,0)))</f>
        <v>No label</v>
      </c>
      <c r="S576" s="0" t="n">
        <f aca="false">SUMPRODUCT(ISNUMBER(SEARCH(" "&amp;Terms!$A$3:$A$821&amp;" ",$D576))*Terms!B$3:B$821)+Terms!B$2</f>
        <v>-2.88314190533841</v>
      </c>
      <c r="T576" s="0" t="n">
        <f aca="false">SUMPRODUCT(ISNUMBER(SEARCH(" "&amp;Terms!$A$3:$A$821&amp;" ",$D576))*Terms!C$3:C$821)+Terms!C$2</f>
        <v>1.13220310546697</v>
      </c>
      <c r="U576" s="0" t="n">
        <f aca="false">SUMPRODUCT(ISNUMBER(SEARCH(" "&amp;Terms!$A$3:$A$821&amp;" ",$D576))*Terms!D$3:D$821)+Terms!D$2</f>
        <v>-2.84570302708339</v>
      </c>
      <c r="V576" s="0" t="n">
        <f aca="false">SUMPRODUCT(ISNUMBER(SEARCH(" "&amp;Terms!$A$3:$A$821&amp;" ",$D576))*Terms!E$3:E$821)+Terms!E$2</f>
        <v>-3.06389973435686</v>
      </c>
      <c r="W576" s="0" t="n">
        <f aca="false">SUMPRODUCT(ISNUMBER(SEARCH(" "&amp;Terms!$A$3:$A$821&amp;" ",$D576))*Terms!F$3:F$821)+Terms!F$2</f>
        <v>-1.7217013635073</v>
      </c>
      <c r="X576" s="0" t="n">
        <f aca="false">SUMPRODUCT(ISNUMBER(SEARCH(" "&amp;Terms!$A$3:$A$821&amp;" ",$D576))*Terms!G$3:G$821)+Terms!G$2</f>
        <v>9.38224292481909</v>
      </c>
      <c r="Y576" s="0" t="str">
        <f aca="false">INDEX($S$1:$X$1,MATCH(MAX(S576:X576),S576:X576,0))</f>
        <v>Mis-selling</v>
      </c>
      <c r="Z576" s="0" t="s">
        <v>2607</v>
      </c>
    </row>
    <row r="577" customFormat="false" ht="15" hidden="false" customHeight="false" outlineLevel="0" collapsed="false">
      <c r="A577" s="0" t="str">
        <f aca="false">Complaints!A577</f>
        <v>C0576</v>
      </c>
      <c r="B577" s="0" t="str">
        <f aca="false">Complaints!B577</f>
        <v>My identity was stolen and a loan was taken out in my name. It has also been taking far too long. I expect compensation.</v>
      </c>
      <c r="C577" s="0" t="str">
        <f aca="false">Complaints!C577</f>
        <v>Fraud &amp; Scams</v>
      </c>
      <c r="D577" s="0" t="str">
        <f aca="false">" "&amp;TRIM(SUBSTITUTE(SUBSTITUTE(SUBSTITUTE(SUBSTITUTE(SUBSTITUTE(SUBSTITUTE(SUBSTITUTE(SUBSTITUTE(SUBSTITUTE(SUBSTITUTE(SUBSTITUTE(SUBSTITUTE(SUBSTITUTE(SUBSTITUTE(SUBSTITUTE(SUBSTITUTE(LOWER(B577),"."," "),","," "),"'"," "),"’"," "),"!"," "),"?"," "),";"," "),":"," "),"-"," "),"("," "),")"," "),"""", " "),"£"," "),"&amp;"," "),"/"," "),"%"," "))&amp;" "</f>
        <v> my identity was stolen and a loan was taken out in my name it has also been taking far too long i expect compensation </v>
      </c>
      <c r="E577" s="0" t="n">
        <f aca="false">SUMPRODUCT((Rules!$A$2:$A$60=E$1)*Rules!$C$2:$C$60*ISNUMBER(SEARCH(Rules!$D$2:$D$60,$D577)))</f>
        <v>2</v>
      </c>
      <c r="F577" s="0" t="n">
        <f aca="false">SUMPRODUCT((Rules!$A$2:$A$60=F$1)*Rules!$C$2:$C$60*ISNUMBER(SEARCH(Rules!$D$2:$D$60,$D577)))</f>
        <v>0</v>
      </c>
      <c r="G577" s="0" t="n">
        <f aca="false">SUMPRODUCT((Rules!$A$2:$A$60=G$1)*Rules!$C$2:$C$60*ISNUMBER(SEARCH(Rules!$D$2:$D$60,$D577)))</f>
        <v>0</v>
      </c>
      <c r="H577" s="0" t="n">
        <f aca="false">SUMPRODUCT((Rules!$A$2:$A$60=H$1)*Rules!$C$2:$C$60*ISNUMBER(SEARCH(Rules!$D$2:$D$60,$D577)))</f>
        <v>0</v>
      </c>
      <c r="I577" s="0" t="n">
        <f aca="false">SUMPRODUCT((Rules!$A$2:$A$60=I$1)*Rules!$C$2:$C$60*ISNUMBER(SEARCH(Rules!$D$2:$D$60,$D577)))</f>
        <v>0</v>
      </c>
      <c r="J577" s="0" t="n">
        <f aca="false">SUMPRODUCT((Rules!$A$2:$A$60=J$1)*Rules!$C$2:$C$60*ISNUMBER(SEARCH(Rules!$D$2:$D$60,$D577)))</f>
        <v>0</v>
      </c>
      <c r="K577" s="0" t="str">
        <f aca="false">IF(OR(MAX(E577:J577)&lt;Rules!$H$1,MAX(E577:J577)-LARGE(E577:J577,2)&lt;Rules!$H$2),"No label",INDEX($E$1:$J$1,MATCH(MAX(E577:J577),E577:J577,0)))</f>
        <v>No label</v>
      </c>
      <c r="L577" s="0" t="n">
        <f aca="false">SUMPRODUCT((Rules!$A$2:$A$60=L$1)*Rules!$C$2:$C$60*ISNUMBER(SEARCH(Rules!$E$2:$E$60,$D577)))</f>
        <v>2</v>
      </c>
      <c r="M577" s="0" t="n">
        <f aca="false">SUMPRODUCT((Rules!$A$2:$A$60=M$1)*Rules!$C$2:$C$60*ISNUMBER(SEARCH(Rules!$E$2:$E$60,$D577)))</f>
        <v>0</v>
      </c>
      <c r="N577" s="0" t="n">
        <f aca="false">SUMPRODUCT((Rules!$A$2:$A$60=N$1)*Rules!$C$2:$C$60*ISNUMBER(SEARCH(Rules!$E$2:$E$60,$D577)))</f>
        <v>0</v>
      </c>
      <c r="O577" s="0" t="n">
        <f aca="false">SUMPRODUCT((Rules!$A$2:$A$60=O$1)*Rules!$C$2:$C$60*ISNUMBER(SEARCH(Rules!$E$2:$E$60,$D577)))</f>
        <v>0</v>
      </c>
      <c r="P577" s="0" t="n">
        <f aca="false">SUMPRODUCT((Rules!$A$2:$A$60=P$1)*Rules!$C$2:$C$60*ISNUMBER(SEARCH(Rules!$E$2:$E$60,$D577)))</f>
        <v>0</v>
      </c>
      <c r="Q577" s="0" t="n">
        <f aca="false">SUMPRODUCT((Rules!$A$2:$A$60=Q$1)*Rules!$C$2:$C$60*ISNUMBER(SEARCH(Rules!$E$2:$E$60,$D577)))</f>
        <v>0</v>
      </c>
      <c r="R577" s="0" t="str">
        <f aca="false">IF(OR(MAX(L577:Q577)&lt;Rules!$H$1,MAX(L577:Q577)-LARGE(L577:Q577,2)&lt;Rules!$H$2),"No label",INDEX($L$1:$Q$1,MATCH(MAX(L577:Q577),L577:Q577,0)))</f>
        <v>No label</v>
      </c>
      <c r="S577" s="0" t="n">
        <f aca="false">SUMPRODUCT(ISNUMBER(SEARCH(" "&amp;Terms!$A$3:$A$821&amp;" ",$D577))*Terms!B$3:B$821)+Terms!B$2</f>
        <v>0.620913820498266</v>
      </c>
      <c r="T577" s="0" t="n">
        <f aca="false">SUMPRODUCT(ISNUMBER(SEARCH(" "&amp;Terms!$A$3:$A$821&amp;" ",$D577))*Terms!C$3:C$821)+Terms!C$2</f>
        <v>-1.41435154010955</v>
      </c>
      <c r="U577" s="0" t="n">
        <f aca="false">SUMPRODUCT(ISNUMBER(SEARCH(" "&amp;Terms!$A$3:$A$821&amp;" ",$D577))*Terms!D$3:D$821)+Terms!D$2</f>
        <v>-2.76555039862839</v>
      </c>
      <c r="V577" s="0" t="n">
        <f aca="false">SUMPRODUCT(ISNUMBER(SEARCH(" "&amp;Terms!$A$3:$A$821&amp;" ",$D577))*Terms!E$3:E$821)+Terms!E$2</f>
        <v>-0.360695785684865</v>
      </c>
      <c r="W577" s="0" t="n">
        <f aca="false">SUMPRODUCT(ISNUMBER(SEARCH(" "&amp;Terms!$A$3:$A$821&amp;" ",$D577))*Terms!F$3:F$821)+Terms!F$2</f>
        <v>7.8856261999247</v>
      </c>
      <c r="X577" s="0" t="n">
        <f aca="false">SUMPRODUCT(ISNUMBER(SEARCH(" "&amp;Terms!$A$3:$A$821&amp;" ",$D577))*Terms!G$3:G$821)+Terms!G$2</f>
        <v>-3.96594229600007</v>
      </c>
      <c r="Y577" s="0" t="str">
        <f aca="false">INDEX($S$1:$X$1,MATCH(MAX(S577:X577),S577:X577,0))</f>
        <v>Fraud &amp; Scams</v>
      </c>
      <c r="Z577" s="0" t="s">
        <v>2607</v>
      </c>
    </row>
    <row r="578" customFormat="false" ht="15" hidden="false" customHeight="false" outlineLevel="0" collapsed="false">
      <c r="A578" s="0" t="str">
        <f aca="false">Complaints!A578</f>
        <v>C0577</v>
      </c>
      <c r="B578" s="0" t="str">
        <f aca="false">Complaints!B578</f>
        <v>The webchat agent ended the conversation without solving anything. Also, my transfer has been pending for over a week. I expect compensation.</v>
      </c>
      <c r="C578" s="0" t="str">
        <f aca="false">Complaints!C578</f>
        <v>Customer Service</v>
      </c>
      <c r="D578" s="0" t="str">
        <f aca="false">" "&amp;TRIM(SUBSTITUTE(SUBSTITUTE(SUBSTITUTE(SUBSTITUTE(SUBSTITUTE(SUBSTITUTE(SUBSTITUTE(SUBSTITUTE(SUBSTITUTE(SUBSTITUTE(SUBSTITUTE(SUBSTITUTE(SUBSTITUTE(SUBSTITUTE(SUBSTITUTE(SUBSTITUTE(LOWER(B578),"."," "),","," "),"'"," "),"’"," "),"!"," "),"?"," "),";"," "),":"," "),"-"," "),"("," "),")"," "),"""", " "),"£"," "),"&amp;"," "),"/"," "),"%"," "))&amp;" "</f>
        <v> the webchat agent ended the conversation without solving anything also my transfer has been pending for over a week i expect compensation </v>
      </c>
      <c r="E578" s="0" t="n">
        <f aca="false">SUMPRODUCT((Rules!$A$2:$A$60=E$1)*Rules!$C$2:$C$60*ISNUMBER(SEARCH(Rules!$D$2:$D$60,$D578)))</f>
        <v>0</v>
      </c>
      <c r="F578" s="0" t="n">
        <f aca="false">SUMPRODUCT((Rules!$A$2:$A$60=F$1)*Rules!$C$2:$C$60*ISNUMBER(SEARCH(Rules!$D$2:$D$60,$D578)))</f>
        <v>0</v>
      </c>
      <c r="G578" s="0" t="n">
        <f aca="false">SUMPRODUCT((Rules!$A$2:$A$60=G$1)*Rules!$C$2:$C$60*ISNUMBER(SEARCH(Rules!$D$2:$D$60,$D578)))</f>
        <v>0</v>
      </c>
      <c r="H578" s="0" t="n">
        <f aca="false">SUMPRODUCT((Rules!$A$2:$A$60=H$1)*Rules!$C$2:$C$60*ISNUMBER(SEARCH(Rules!$D$2:$D$60,$D578)))</f>
        <v>0</v>
      </c>
      <c r="I578" s="0" t="n">
        <f aca="false">SUMPRODUCT((Rules!$A$2:$A$60=I$1)*Rules!$C$2:$C$60*ISNUMBER(SEARCH(Rules!$D$2:$D$60,$D578)))</f>
        <v>2</v>
      </c>
      <c r="J578" s="0" t="n">
        <f aca="false">SUMPRODUCT((Rules!$A$2:$A$60=J$1)*Rules!$C$2:$C$60*ISNUMBER(SEARCH(Rules!$D$2:$D$60,$D578)))</f>
        <v>2</v>
      </c>
      <c r="K578" s="0" t="str">
        <f aca="false">IF(OR(MAX(E578:J578)&lt;Rules!$H$1,MAX(E578:J578)-LARGE(E578:J578,2)&lt;Rules!$H$2),"No label",INDEX($E$1:$J$1,MATCH(MAX(E578:J578),E578:J578,0)))</f>
        <v>No label</v>
      </c>
      <c r="L578" s="0" t="n">
        <f aca="false">SUMPRODUCT((Rules!$A$2:$A$60=L$1)*Rules!$C$2:$C$60*ISNUMBER(SEARCH(Rules!$E$2:$E$60,$D578)))</f>
        <v>0</v>
      </c>
      <c r="M578" s="0" t="n">
        <f aca="false">SUMPRODUCT((Rules!$A$2:$A$60=M$1)*Rules!$C$2:$C$60*ISNUMBER(SEARCH(Rules!$E$2:$E$60,$D578)))</f>
        <v>0</v>
      </c>
      <c r="N578" s="0" t="n">
        <f aca="false">SUMPRODUCT((Rules!$A$2:$A$60=N$1)*Rules!$C$2:$C$60*ISNUMBER(SEARCH(Rules!$E$2:$E$60,$D578)))</f>
        <v>0</v>
      </c>
      <c r="O578" s="0" t="n">
        <f aca="false">SUMPRODUCT((Rules!$A$2:$A$60=O$1)*Rules!$C$2:$C$60*ISNUMBER(SEARCH(Rules!$E$2:$E$60,$D578)))</f>
        <v>0</v>
      </c>
      <c r="P578" s="0" t="n">
        <f aca="false">SUMPRODUCT((Rules!$A$2:$A$60=P$1)*Rules!$C$2:$C$60*ISNUMBER(SEARCH(Rules!$E$2:$E$60,$D578)))</f>
        <v>2</v>
      </c>
      <c r="Q578" s="0" t="n">
        <f aca="false">SUMPRODUCT((Rules!$A$2:$A$60=Q$1)*Rules!$C$2:$C$60*ISNUMBER(SEARCH(Rules!$E$2:$E$60,$D578)))</f>
        <v>2</v>
      </c>
      <c r="R578" s="0" t="str">
        <f aca="false">IF(OR(MAX(L578:Q578)&lt;Rules!$H$1,MAX(L578:Q578)-LARGE(L578:Q578,2)&lt;Rules!$H$2),"No label",INDEX($L$1:$Q$1,MATCH(MAX(L578:Q578),L578:Q578,0)))</f>
        <v>No label</v>
      </c>
      <c r="S578" s="0" t="n">
        <f aca="false">SUMPRODUCT(ISNUMBER(SEARCH(" "&amp;Terms!$A$3:$A$821&amp;" ",$D578))*Terms!B$3:B$821)+Terms!B$2</f>
        <v>-0.8870408407521</v>
      </c>
      <c r="T578" s="0" t="n">
        <f aca="false">SUMPRODUCT(ISNUMBER(SEARCH(" "&amp;Terms!$A$3:$A$821&amp;" ",$D578))*Terms!C$3:C$821)+Terms!C$2</f>
        <v>8.1100055534809</v>
      </c>
      <c r="U578" s="0" t="n">
        <f aca="false">SUMPRODUCT(ISNUMBER(SEARCH(" "&amp;Terms!$A$3:$A$821&amp;" ",$D578))*Terms!D$3:D$821)+Terms!D$2</f>
        <v>3.20191605763312</v>
      </c>
      <c r="V578" s="0" t="n">
        <f aca="false">SUMPRODUCT(ISNUMBER(SEARCH(" "&amp;Terms!$A$3:$A$821&amp;" ",$D578))*Terms!E$3:E$821)+Terms!E$2</f>
        <v>-5.51369814782307</v>
      </c>
      <c r="W578" s="0" t="n">
        <f aca="false">SUMPRODUCT(ISNUMBER(SEARCH(" "&amp;Terms!$A$3:$A$821&amp;" ",$D578))*Terms!F$3:F$821)+Terms!F$2</f>
        <v>-0.315967431702184</v>
      </c>
      <c r="X578" s="0" t="n">
        <f aca="false">SUMPRODUCT(ISNUMBER(SEARCH(" "&amp;Terms!$A$3:$A$821&amp;" ",$D578))*Terms!G$3:G$821)+Terms!G$2</f>
        <v>-4.59521519083657</v>
      </c>
      <c r="Y578" s="0" t="str">
        <f aca="false">INDEX($S$1:$X$1,MATCH(MAX(S578:X578),S578:X578,0))</f>
        <v>Customer Service</v>
      </c>
      <c r="Z578" s="0" t="s">
        <v>2607</v>
      </c>
    </row>
    <row r="579" customFormat="false" ht="15" hidden="false" customHeight="false" outlineLevel="0" collapsed="false">
      <c r="A579" s="0" t="str">
        <f aca="false">Complaints!A579</f>
        <v>C0578</v>
      </c>
      <c r="B579" s="0" t="str">
        <f aca="false">Complaints!B579</f>
        <v>A person pretending to be from your bank phoned me and I gave them details. This is not acceptable.</v>
      </c>
      <c r="C579" s="0" t="str">
        <f aca="false">Complaints!C579</f>
        <v>Fraud &amp; Scams</v>
      </c>
      <c r="D579" s="0" t="str">
        <f aca="false">" "&amp;TRIM(SUBSTITUTE(SUBSTITUTE(SUBSTITUTE(SUBSTITUTE(SUBSTITUTE(SUBSTITUTE(SUBSTITUTE(SUBSTITUTE(SUBSTITUTE(SUBSTITUTE(SUBSTITUTE(SUBSTITUTE(SUBSTITUTE(SUBSTITUTE(SUBSTITUTE(SUBSTITUTE(LOWER(B579),"."," "),","," "),"'"," "),"’"," "),"!"," "),"?"," "),";"," "),":"," "),"-"," "),"("," "),")"," "),"""", " "),"£"," "),"&amp;"," "),"/"," "),"%"," "))&amp;" "</f>
        <v> a person pretending to be from your bank phoned me and i gave them details this is not acceptable </v>
      </c>
      <c r="E579" s="0" t="n">
        <f aca="false">SUMPRODUCT((Rules!$A$2:$A$60=E$1)*Rules!$C$2:$C$60*ISNUMBER(SEARCH(Rules!$D$2:$D$60,$D579)))</f>
        <v>0</v>
      </c>
      <c r="F579" s="0" t="n">
        <f aca="false">SUMPRODUCT((Rules!$A$2:$A$60=F$1)*Rules!$C$2:$C$60*ISNUMBER(SEARCH(Rules!$D$2:$D$60,$D579)))</f>
        <v>0</v>
      </c>
      <c r="G579" s="0" t="n">
        <f aca="false">SUMPRODUCT((Rules!$A$2:$A$60=G$1)*Rules!$C$2:$C$60*ISNUMBER(SEARCH(Rules!$D$2:$D$60,$D579)))</f>
        <v>0</v>
      </c>
      <c r="H579" s="0" t="n">
        <f aca="false">SUMPRODUCT((Rules!$A$2:$A$60=H$1)*Rules!$C$2:$C$60*ISNUMBER(SEARCH(Rules!$D$2:$D$60,$D579)))</f>
        <v>0</v>
      </c>
      <c r="I579" s="0" t="n">
        <f aca="false">SUMPRODUCT((Rules!$A$2:$A$60=I$1)*Rules!$C$2:$C$60*ISNUMBER(SEARCH(Rules!$D$2:$D$60,$D579)))</f>
        <v>0</v>
      </c>
      <c r="J579" s="0" t="n">
        <f aca="false">SUMPRODUCT((Rules!$A$2:$A$60=J$1)*Rules!$C$2:$C$60*ISNUMBER(SEARCH(Rules!$D$2:$D$60,$D579)))</f>
        <v>0</v>
      </c>
      <c r="K579" s="0" t="str">
        <f aca="false">IF(OR(MAX(E579:J579)&lt;Rules!$H$1,MAX(E579:J579)-LARGE(E579:J579,2)&lt;Rules!$H$2),"No label",INDEX($E$1:$J$1,MATCH(MAX(E579:J579),E579:J579,0)))</f>
        <v>No label</v>
      </c>
      <c r="L579" s="0" t="n">
        <f aca="false">SUMPRODUCT((Rules!$A$2:$A$60=L$1)*Rules!$C$2:$C$60*ISNUMBER(SEARCH(Rules!$E$2:$E$60,$D579)))</f>
        <v>0</v>
      </c>
      <c r="M579" s="0" t="n">
        <f aca="false">SUMPRODUCT((Rules!$A$2:$A$60=M$1)*Rules!$C$2:$C$60*ISNUMBER(SEARCH(Rules!$E$2:$E$60,$D579)))</f>
        <v>0</v>
      </c>
      <c r="N579" s="0" t="n">
        <f aca="false">SUMPRODUCT((Rules!$A$2:$A$60=N$1)*Rules!$C$2:$C$60*ISNUMBER(SEARCH(Rules!$E$2:$E$60,$D579)))</f>
        <v>1</v>
      </c>
      <c r="O579" s="0" t="n">
        <f aca="false">SUMPRODUCT((Rules!$A$2:$A$60=O$1)*Rules!$C$2:$C$60*ISNUMBER(SEARCH(Rules!$E$2:$E$60,$D579)))</f>
        <v>0</v>
      </c>
      <c r="P579" s="0" t="n">
        <f aca="false">SUMPRODUCT((Rules!$A$2:$A$60=P$1)*Rules!$C$2:$C$60*ISNUMBER(SEARCH(Rules!$E$2:$E$60,$D579)))</f>
        <v>0</v>
      </c>
      <c r="Q579" s="0" t="n">
        <f aca="false">SUMPRODUCT((Rules!$A$2:$A$60=Q$1)*Rules!$C$2:$C$60*ISNUMBER(SEARCH(Rules!$E$2:$E$60,$D579)))</f>
        <v>0</v>
      </c>
      <c r="R579" s="0" t="str">
        <f aca="false">IF(OR(MAX(L579:Q579)&lt;Rules!$H$1,MAX(L579:Q579)-LARGE(L579:Q579,2)&lt;Rules!$H$2),"No label",INDEX($L$1:$Q$1,MATCH(MAX(L579:Q579),L579:Q579,0)))</f>
        <v>No label</v>
      </c>
      <c r="S579" s="0" t="n">
        <f aca="false">SUMPRODUCT(ISNUMBER(SEARCH(" "&amp;Terms!$A$3:$A$821&amp;" ",$D579))*Terms!B$3:B$821)+Terms!B$2</f>
        <v>0.412334304436302</v>
      </c>
      <c r="T579" s="0" t="n">
        <f aca="false">SUMPRODUCT(ISNUMBER(SEARCH(" "&amp;Terms!$A$3:$A$821&amp;" ",$D579))*Terms!C$3:C$821)+Terms!C$2</f>
        <v>-3.78449409086498</v>
      </c>
      <c r="U579" s="0" t="n">
        <f aca="false">SUMPRODUCT(ISNUMBER(SEARCH(" "&amp;Terms!$A$3:$A$821&amp;" ",$D579))*Terms!D$3:D$821)+Terms!D$2</f>
        <v>-4.11594938962364</v>
      </c>
      <c r="V579" s="0" t="n">
        <f aca="false">SUMPRODUCT(ISNUMBER(SEARCH(" "&amp;Terms!$A$3:$A$821&amp;" ",$D579))*Terms!E$3:E$821)+Terms!E$2</f>
        <v>-3.2617507149012</v>
      </c>
      <c r="W579" s="0" t="n">
        <f aca="false">SUMPRODUCT(ISNUMBER(SEARCH(" "&amp;Terms!$A$3:$A$821&amp;" ",$D579))*Terms!F$3:F$821)+Terms!F$2</f>
        <v>10.4339812022575</v>
      </c>
      <c r="X579" s="0" t="n">
        <f aca="false">SUMPRODUCT(ISNUMBER(SEARCH(" "&amp;Terms!$A$3:$A$821&amp;" ",$D579))*Terms!G$3:G$821)+Terms!G$2</f>
        <v>0.315878688696125</v>
      </c>
      <c r="Y579" s="0" t="str">
        <f aca="false">INDEX($S$1:$X$1,MATCH(MAX(S579:X579),S579:X579,0))</f>
        <v>Fraud &amp; Scams</v>
      </c>
      <c r="Z579" s="0" t="s">
        <v>2607</v>
      </c>
    </row>
    <row r="580" customFormat="false" ht="15" hidden="false" customHeight="false" outlineLevel="0" collapsed="false">
      <c r="A580" s="0" t="str">
        <f aca="false">Complaints!A580</f>
        <v>C0579</v>
      </c>
      <c r="B580" s="0" t="str">
        <f aca="false">Complaints!B580</f>
        <v>Hello, I was hit with a penalty charge for a ayment I made on time. Please escalate this.</v>
      </c>
      <c r="C580" s="0" t="str">
        <f aca="false">Complaints!C580</f>
        <v>Fees &amp; Charges</v>
      </c>
      <c r="D580" s="0" t="str">
        <f aca="false">" "&amp;TRIM(SUBSTITUTE(SUBSTITUTE(SUBSTITUTE(SUBSTITUTE(SUBSTITUTE(SUBSTITUTE(SUBSTITUTE(SUBSTITUTE(SUBSTITUTE(SUBSTITUTE(SUBSTITUTE(SUBSTITUTE(SUBSTITUTE(SUBSTITUTE(SUBSTITUTE(SUBSTITUTE(LOWER(B580),"."," "),","," "),"'"," "),"’"," "),"!"," "),"?"," "),";"," "),":"," "),"-"," "),"("," "),")"," "),"""", " "),"£"," "),"&amp;"," "),"/"," "),"%"," "))&amp;" "</f>
        <v> hello i was hit with a penalty charge for a ayment i made on time please escalate this </v>
      </c>
      <c r="E580" s="0" t="n">
        <f aca="false">SUMPRODUCT((Rules!$A$2:$A$60=E$1)*Rules!$C$2:$C$60*ISNUMBER(SEARCH(Rules!$D$2:$D$60,$D580)))</f>
        <v>0</v>
      </c>
      <c r="F580" s="0" t="n">
        <f aca="false">SUMPRODUCT((Rules!$A$2:$A$60=F$1)*Rules!$C$2:$C$60*ISNUMBER(SEARCH(Rules!$D$2:$D$60,$D580)))</f>
        <v>0</v>
      </c>
      <c r="G580" s="0" t="n">
        <f aca="false">SUMPRODUCT((Rules!$A$2:$A$60=G$1)*Rules!$C$2:$C$60*ISNUMBER(SEARCH(Rules!$D$2:$D$60,$D580)))</f>
        <v>0</v>
      </c>
      <c r="H580" s="0" t="n">
        <f aca="false">SUMPRODUCT((Rules!$A$2:$A$60=H$1)*Rules!$C$2:$C$60*ISNUMBER(SEARCH(Rules!$D$2:$D$60,$D580)))</f>
        <v>4</v>
      </c>
      <c r="I580" s="0" t="n">
        <f aca="false">SUMPRODUCT((Rules!$A$2:$A$60=I$1)*Rules!$C$2:$C$60*ISNUMBER(SEARCH(Rules!$D$2:$D$60,$D580)))</f>
        <v>0</v>
      </c>
      <c r="J580" s="0" t="n">
        <f aca="false">SUMPRODUCT((Rules!$A$2:$A$60=J$1)*Rules!$C$2:$C$60*ISNUMBER(SEARCH(Rules!$D$2:$D$60,$D580)))</f>
        <v>0</v>
      </c>
      <c r="K580" s="0" t="str">
        <f aca="false">IF(OR(MAX(E580:J580)&lt;Rules!$H$1,MAX(E580:J580)-LARGE(E580:J580,2)&lt;Rules!$H$2),"No label",INDEX($E$1:$J$1,MATCH(MAX(E580:J580),E580:J580,0)))</f>
        <v>Fees &amp; Charges</v>
      </c>
      <c r="L580" s="0" t="n">
        <f aca="false">SUMPRODUCT((Rules!$A$2:$A$60=L$1)*Rules!$C$2:$C$60*ISNUMBER(SEARCH(Rules!$E$2:$E$60,$D580)))</f>
        <v>0</v>
      </c>
      <c r="M580" s="0" t="n">
        <f aca="false">SUMPRODUCT((Rules!$A$2:$A$60=M$1)*Rules!$C$2:$C$60*ISNUMBER(SEARCH(Rules!$E$2:$E$60,$D580)))</f>
        <v>0</v>
      </c>
      <c r="N580" s="0" t="n">
        <f aca="false">SUMPRODUCT((Rules!$A$2:$A$60=N$1)*Rules!$C$2:$C$60*ISNUMBER(SEARCH(Rules!$E$2:$E$60,$D580)))</f>
        <v>0</v>
      </c>
      <c r="O580" s="0" t="n">
        <f aca="false">SUMPRODUCT((Rules!$A$2:$A$60=O$1)*Rules!$C$2:$C$60*ISNUMBER(SEARCH(Rules!$E$2:$E$60,$D580)))</f>
        <v>6</v>
      </c>
      <c r="P580" s="0" t="n">
        <f aca="false">SUMPRODUCT((Rules!$A$2:$A$60=P$1)*Rules!$C$2:$C$60*ISNUMBER(SEARCH(Rules!$E$2:$E$60,$D580)))</f>
        <v>0</v>
      </c>
      <c r="Q580" s="0" t="n">
        <f aca="false">SUMPRODUCT((Rules!$A$2:$A$60=Q$1)*Rules!$C$2:$C$60*ISNUMBER(SEARCH(Rules!$E$2:$E$60,$D580)))</f>
        <v>0</v>
      </c>
      <c r="R580" s="0" t="str">
        <f aca="false">IF(OR(MAX(L580:Q580)&lt;Rules!$H$1,MAX(L580:Q580)-LARGE(L580:Q580,2)&lt;Rules!$H$2),"No label",INDEX($L$1:$Q$1,MATCH(MAX(L580:Q580),L580:Q580,0)))</f>
        <v>Fees &amp; Charges</v>
      </c>
      <c r="S580" s="0" t="n">
        <f aca="false">SUMPRODUCT(ISNUMBER(SEARCH(" "&amp;Terms!$A$3:$A$821&amp;" ",$D580))*Terms!B$3:B$821)+Terms!B$2</f>
        <v>-2.80304345410723</v>
      </c>
      <c r="T580" s="0" t="n">
        <f aca="false">SUMPRODUCT(ISNUMBER(SEARCH(" "&amp;Terms!$A$3:$A$821&amp;" ",$D580))*Terms!C$3:C$821)+Terms!C$2</f>
        <v>1.45291022127432</v>
      </c>
      <c r="U580" s="0" t="n">
        <f aca="false">SUMPRODUCT(ISNUMBER(SEARCH(" "&amp;Terms!$A$3:$A$821&amp;" ",$D580))*Terms!D$3:D$821)+Terms!D$2</f>
        <v>-3.88449469300288</v>
      </c>
      <c r="V580" s="0" t="n">
        <f aca="false">SUMPRODUCT(ISNUMBER(SEARCH(" "&amp;Terms!$A$3:$A$821&amp;" ",$D580))*Terms!E$3:E$821)+Terms!E$2</f>
        <v>8.8378813983264</v>
      </c>
      <c r="W580" s="0" t="n">
        <f aca="false">SUMPRODUCT(ISNUMBER(SEARCH(" "&amp;Terms!$A$3:$A$821&amp;" ",$D580))*Terms!F$3:F$821)+Terms!F$2</f>
        <v>-2.87341944540879</v>
      </c>
      <c r="X580" s="0" t="n">
        <f aca="false">SUMPRODUCT(ISNUMBER(SEARCH(" "&amp;Terms!$A$3:$A$821&amp;" ",$D580))*Terms!G$3:G$821)+Terms!G$2</f>
        <v>-0.729834027081746</v>
      </c>
      <c r="Y580" s="0" t="str">
        <f aca="false">INDEX($S$1:$X$1,MATCH(MAX(S580:X580),S580:X580,0))</f>
        <v>Fees &amp; Charges</v>
      </c>
      <c r="Z580" s="0" t="s">
        <v>2608</v>
      </c>
    </row>
    <row r="581" customFormat="false" ht="15" hidden="false" customHeight="false" outlineLevel="0" collapsed="false">
      <c r="A581" s="0" t="str">
        <f aca="false">Complaints!A581</f>
        <v>C0580</v>
      </c>
      <c r="B581" s="0" t="str">
        <f aca="false">Complaints!B581</f>
        <v>Frankly, I have been billed an annual fee I never areed to. I expect compensation.</v>
      </c>
      <c r="C581" s="0" t="str">
        <f aca="false">Complaints!C581</f>
        <v>Fees &amp; Charges</v>
      </c>
      <c r="D581" s="0" t="str">
        <f aca="false">" "&amp;TRIM(SUBSTITUTE(SUBSTITUTE(SUBSTITUTE(SUBSTITUTE(SUBSTITUTE(SUBSTITUTE(SUBSTITUTE(SUBSTITUTE(SUBSTITUTE(SUBSTITUTE(SUBSTITUTE(SUBSTITUTE(SUBSTITUTE(SUBSTITUTE(SUBSTITUTE(SUBSTITUTE(LOWER(B581),"."," "),","," "),"'"," "),"’"," "),"!"," "),"?"," "),";"," "),":"," "),"-"," "),"("," "),")"," "),"""", " "),"£"," "),"&amp;"," "),"/"," "),"%"," "))&amp;" "</f>
        <v> frankly i have been billed an annual fee i never areed to i expect compensation </v>
      </c>
      <c r="E581" s="0" t="n">
        <f aca="false">SUMPRODUCT((Rules!$A$2:$A$60=E$1)*Rules!$C$2:$C$60*ISNUMBER(SEARCH(Rules!$D$2:$D$60,$D581)))</f>
        <v>0</v>
      </c>
      <c r="F581" s="0" t="n">
        <f aca="false">SUMPRODUCT((Rules!$A$2:$A$60=F$1)*Rules!$C$2:$C$60*ISNUMBER(SEARCH(Rules!$D$2:$D$60,$D581)))</f>
        <v>0</v>
      </c>
      <c r="G581" s="0" t="n">
        <f aca="false">SUMPRODUCT((Rules!$A$2:$A$60=G$1)*Rules!$C$2:$C$60*ISNUMBER(SEARCH(Rules!$D$2:$D$60,$D581)))</f>
        <v>0</v>
      </c>
      <c r="H581" s="0" t="n">
        <f aca="false">SUMPRODUCT((Rules!$A$2:$A$60=H$1)*Rules!$C$2:$C$60*ISNUMBER(SEARCH(Rules!$D$2:$D$60,$D581)))</f>
        <v>4</v>
      </c>
      <c r="I581" s="0" t="n">
        <f aca="false">SUMPRODUCT((Rules!$A$2:$A$60=I$1)*Rules!$C$2:$C$60*ISNUMBER(SEARCH(Rules!$D$2:$D$60,$D581)))</f>
        <v>0</v>
      </c>
      <c r="J581" s="0" t="n">
        <f aca="false">SUMPRODUCT((Rules!$A$2:$A$60=J$1)*Rules!$C$2:$C$60*ISNUMBER(SEARCH(Rules!$D$2:$D$60,$D581)))</f>
        <v>0</v>
      </c>
      <c r="K581" s="0" t="str">
        <f aca="false">IF(OR(MAX(E581:J581)&lt;Rules!$H$1,MAX(E581:J581)-LARGE(E581:J581,2)&lt;Rules!$H$2),"No label",INDEX($E$1:$J$1,MATCH(MAX(E581:J581),E581:J581,0)))</f>
        <v>Fees &amp; Charges</v>
      </c>
      <c r="L581" s="0" t="n">
        <f aca="false">SUMPRODUCT((Rules!$A$2:$A$60=L$1)*Rules!$C$2:$C$60*ISNUMBER(SEARCH(Rules!$E$2:$E$60,$D581)))</f>
        <v>0</v>
      </c>
      <c r="M581" s="0" t="n">
        <f aca="false">SUMPRODUCT((Rules!$A$2:$A$60=M$1)*Rules!$C$2:$C$60*ISNUMBER(SEARCH(Rules!$E$2:$E$60,$D581)))</f>
        <v>0</v>
      </c>
      <c r="N581" s="0" t="n">
        <f aca="false">SUMPRODUCT((Rules!$A$2:$A$60=N$1)*Rules!$C$2:$C$60*ISNUMBER(SEARCH(Rules!$E$2:$E$60,$D581)))</f>
        <v>0</v>
      </c>
      <c r="O581" s="0" t="n">
        <f aca="false">SUMPRODUCT((Rules!$A$2:$A$60=O$1)*Rules!$C$2:$C$60*ISNUMBER(SEARCH(Rules!$E$2:$E$60,$D581)))</f>
        <v>4</v>
      </c>
      <c r="P581" s="0" t="n">
        <f aca="false">SUMPRODUCT((Rules!$A$2:$A$60=P$1)*Rules!$C$2:$C$60*ISNUMBER(SEARCH(Rules!$E$2:$E$60,$D581)))</f>
        <v>0</v>
      </c>
      <c r="Q581" s="0" t="n">
        <f aca="false">SUMPRODUCT((Rules!$A$2:$A$60=Q$1)*Rules!$C$2:$C$60*ISNUMBER(SEARCH(Rules!$E$2:$E$60,$D581)))</f>
        <v>0</v>
      </c>
      <c r="R581" s="0" t="str">
        <f aca="false">IF(OR(MAX(L581:Q581)&lt;Rules!$H$1,MAX(L581:Q581)-LARGE(L581:Q581,2)&lt;Rules!$H$2),"No label",INDEX($L$1:$Q$1,MATCH(MAX(L581:Q581),L581:Q581,0)))</f>
        <v>Fees &amp; Charges</v>
      </c>
      <c r="S581" s="0" t="n">
        <f aca="false">SUMPRODUCT(ISNUMBER(SEARCH(" "&amp;Terms!$A$3:$A$821&amp;" ",$D581))*Terms!B$3:B$821)+Terms!B$2</f>
        <v>1.50742002561903</v>
      </c>
      <c r="T581" s="0" t="n">
        <f aca="false">SUMPRODUCT(ISNUMBER(SEARCH(" "&amp;Terms!$A$3:$A$821&amp;" ",$D581))*Terms!C$3:C$821)+Terms!C$2</f>
        <v>-2.27961786762452</v>
      </c>
      <c r="U581" s="0" t="n">
        <f aca="false">SUMPRODUCT(ISNUMBER(SEARCH(" "&amp;Terms!$A$3:$A$821&amp;" ",$D581))*Terms!D$3:D$821)+Terms!D$2</f>
        <v>-3.09856195597899</v>
      </c>
      <c r="V581" s="0" t="n">
        <f aca="false">SUMPRODUCT(ISNUMBER(SEARCH(" "&amp;Terms!$A$3:$A$821&amp;" ",$D581))*Terms!E$3:E$821)+Terms!E$2</f>
        <v>9.3443956470727</v>
      </c>
      <c r="W581" s="0" t="n">
        <f aca="false">SUMPRODUCT(ISNUMBER(SEARCH(" "&amp;Terms!$A$3:$A$821&amp;" ",$D581))*Terms!F$3:F$821)+Terms!F$2</f>
        <v>-2.45376283970049</v>
      </c>
      <c r="X581" s="0" t="n">
        <f aca="false">SUMPRODUCT(ISNUMBER(SEARCH(" "&amp;Terms!$A$3:$A$821&amp;" ",$D581))*Terms!G$3:G$821)+Terms!G$2</f>
        <v>-3.01987300938764</v>
      </c>
      <c r="Y581" s="0" t="str">
        <f aca="false">INDEX($S$1:$X$1,MATCH(MAX(S581:X581),S581:X581,0))</f>
        <v>Fees &amp; Charges</v>
      </c>
      <c r="Z581" s="0" t="s">
        <v>2608</v>
      </c>
    </row>
    <row r="582" customFormat="false" ht="15" hidden="false" customHeight="false" outlineLevel="0" collapsed="false">
      <c r="A582" s="0" t="str">
        <f aca="false">Complaints!A582</f>
        <v>C0581</v>
      </c>
      <c r="B582" s="0" t="str">
        <f aca="false">Complaints!B582</f>
        <v>I was misled about what the insurance actually included. This is not acceptable.</v>
      </c>
      <c r="C582" s="0" t="str">
        <f aca="false">Complaints!C582</f>
        <v>Mis-selling</v>
      </c>
      <c r="D582" s="0" t="str">
        <f aca="false">" "&amp;TRIM(SUBSTITUTE(SUBSTITUTE(SUBSTITUTE(SUBSTITUTE(SUBSTITUTE(SUBSTITUTE(SUBSTITUTE(SUBSTITUTE(SUBSTITUTE(SUBSTITUTE(SUBSTITUTE(SUBSTITUTE(SUBSTITUTE(SUBSTITUTE(SUBSTITUTE(SUBSTITUTE(LOWER(B582),"."," "),","," "),"'"," "),"’"," "),"!"," "),"?"," "),";"," "),":"," "),"-"," "),"("," "),")"," "),"""", " "),"£"," "),"&amp;"," "),"/"," "),"%"," "))&amp;" "</f>
        <v> i was misled about what the insurance actually included this is not acceptable </v>
      </c>
      <c r="E582" s="0" t="n">
        <f aca="false">SUMPRODUCT((Rules!$A$2:$A$60=E$1)*Rules!$C$2:$C$60*ISNUMBER(SEARCH(Rules!$D$2:$D$60,$D582)))</f>
        <v>0</v>
      </c>
      <c r="F582" s="0" t="n">
        <f aca="false">SUMPRODUCT((Rules!$A$2:$A$60=F$1)*Rules!$C$2:$C$60*ISNUMBER(SEARCH(Rules!$D$2:$D$60,$D582)))</f>
        <v>4</v>
      </c>
      <c r="G582" s="0" t="n">
        <f aca="false">SUMPRODUCT((Rules!$A$2:$A$60=G$1)*Rules!$C$2:$C$60*ISNUMBER(SEARCH(Rules!$D$2:$D$60,$D582)))</f>
        <v>0</v>
      </c>
      <c r="H582" s="0" t="n">
        <f aca="false">SUMPRODUCT((Rules!$A$2:$A$60=H$1)*Rules!$C$2:$C$60*ISNUMBER(SEARCH(Rules!$D$2:$D$60,$D582)))</f>
        <v>0</v>
      </c>
      <c r="I582" s="0" t="n">
        <f aca="false">SUMPRODUCT((Rules!$A$2:$A$60=I$1)*Rules!$C$2:$C$60*ISNUMBER(SEARCH(Rules!$D$2:$D$60,$D582)))</f>
        <v>0</v>
      </c>
      <c r="J582" s="0" t="n">
        <f aca="false">SUMPRODUCT((Rules!$A$2:$A$60=J$1)*Rules!$C$2:$C$60*ISNUMBER(SEARCH(Rules!$D$2:$D$60,$D582)))</f>
        <v>0</v>
      </c>
      <c r="K582" s="0" t="str">
        <f aca="false">IF(OR(MAX(E582:J582)&lt;Rules!$H$1,MAX(E582:J582)-LARGE(E582:J582,2)&lt;Rules!$H$2),"No label",INDEX($E$1:$J$1,MATCH(MAX(E582:J582),E582:J582,0)))</f>
        <v>Mis-selling</v>
      </c>
      <c r="L582" s="0" t="n">
        <f aca="false">SUMPRODUCT((Rules!$A$2:$A$60=L$1)*Rules!$C$2:$C$60*ISNUMBER(SEARCH(Rules!$E$2:$E$60,$D582)))</f>
        <v>0</v>
      </c>
      <c r="M582" s="0" t="n">
        <f aca="false">SUMPRODUCT((Rules!$A$2:$A$60=M$1)*Rules!$C$2:$C$60*ISNUMBER(SEARCH(Rules!$E$2:$E$60,$D582)))</f>
        <v>4</v>
      </c>
      <c r="N582" s="0" t="n">
        <f aca="false">SUMPRODUCT((Rules!$A$2:$A$60=N$1)*Rules!$C$2:$C$60*ISNUMBER(SEARCH(Rules!$E$2:$E$60,$D582)))</f>
        <v>1</v>
      </c>
      <c r="O582" s="0" t="n">
        <f aca="false">SUMPRODUCT((Rules!$A$2:$A$60=O$1)*Rules!$C$2:$C$60*ISNUMBER(SEARCH(Rules!$E$2:$E$60,$D582)))</f>
        <v>0</v>
      </c>
      <c r="P582" s="0" t="n">
        <f aca="false">SUMPRODUCT((Rules!$A$2:$A$60=P$1)*Rules!$C$2:$C$60*ISNUMBER(SEARCH(Rules!$E$2:$E$60,$D582)))</f>
        <v>0</v>
      </c>
      <c r="Q582" s="0" t="n">
        <f aca="false">SUMPRODUCT((Rules!$A$2:$A$60=Q$1)*Rules!$C$2:$C$60*ISNUMBER(SEARCH(Rules!$E$2:$E$60,$D582)))</f>
        <v>0</v>
      </c>
      <c r="R582" s="0" t="str">
        <f aca="false">IF(OR(MAX(L582:Q582)&lt;Rules!$H$1,MAX(L582:Q582)-LARGE(L582:Q582,2)&lt;Rules!$H$2),"No label",INDEX($L$1:$Q$1,MATCH(MAX(L582:Q582),L582:Q582,0)))</f>
        <v>Mis-selling</v>
      </c>
      <c r="S582" s="0" t="n">
        <f aca="false">SUMPRODUCT(ISNUMBER(SEARCH(" "&amp;Terms!$A$3:$A$821&amp;" ",$D582))*Terms!B$3:B$821)+Terms!B$2</f>
        <v>-1.2421635517256</v>
      </c>
      <c r="T582" s="0" t="n">
        <f aca="false">SUMPRODUCT(ISNUMBER(SEARCH(" "&amp;Terms!$A$3:$A$821&amp;" ",$D582))*Terms!C$3:C$821)+Terms!C$2</f>
        <v>-4.88691288720266</v>
      </c>
      <c r="U582" s="0" t="n">
        <f aca="false">SUMPRODUCT(ISNUMBER(SEARCH(" "&amp;Terms!$A$3:$A$821&amp;" ",$D582))*Terms!D$3:D$821)+Terms!D$2</f>
        <v>-0.44722289963093</v>
      </c>
      <c r="V582" s="0" t="n">
        <f aca="false">SUMPRODUCT(ISNUMBER(SEARCH(" "&amp;Terms!$A$3:$A$821&amp;" ",$D582))*Terms!E$3:E$821)+Terms!E$2</f>
        <v>-1.26415267168032</v>
      </c>
      <c r="W582" s="0" t="n">
        <f aca="false">SUMPRODUCT(ISNUMBER(SEARCH(" "&amp;Terms!$A$3:$A$821&amp;" ",$D582))*Terms!F$3:F$821)+Terms!F$2</f>
        <v>-4.34358011294654</v>
      </c>
      <c r="X582" s="0" t="n">
        <f aca="false">SUMPRODUCT(ISNUMBER(SEARCH(" "&amp;Terms!$A$3:$A$821&amp;" ",$D582))*Terms!G$3:G$821)+Terms!G$2</f>
        <v>12.1840321231862</v>
      </c>
      <c r="Y582" s="0" t="str">
        <f aca="false">INDEX($S$1:$X$1,MATCH(MAX(S582:X582),S582:X582,0))</f>
        <v>Mis-selling</v>
      </c>
      <c r="Z582" s="0" t="s">
        <v>2607</v>
      </c>
    </row>
    <row r="583" customFormat="false" ht="15" hidden="false" customHeight="false" outlineLevel="0" collapsed="false">
      <c r="A583" s="0" t="str">
        <f aca="false">Complaints!A583</f>
        <v>C0582</v>
      </c>
      <c r="B583" s="0" t="str">
        <f aca="false">Complaints!B583</f>
        <v>I have been a customer for years. The salesperson pushed me into a plan I did not need. This is not acceptable.</v>
      </c>
      <c r="C583" s="0" t="str">
        <f aca="false">Complaints!C583</f>
        <v>Mis-selling</v>
      </c>
      <c r="D583" s="0" t="str">
        <f aca="false">" "&amp;TRIM(SUBSTITUTE(SUBSTITUTE(SUBSTITUTE(SUBSTITUTE(SUBSTITUTE(SUBSTITUTE(SUBSTITUTE(SUBSTITUTE(SUBSTITUTE(SUBSTITUTE(SUBSTITUTE(SUBSTITUTE(SUBSTITUTE(SUBSTITUTE(SUBSTITUTE(SUBSTITUTE(LOWER(B583),"."," "),","," "),"'"," "),"’"," "),"!"," "),"?"," "),";"," "),":"," "),"-"," "),"("," "),")"," "),"""", " "),"£"," "),"&amp;"," "),"/"," "),"%"," "))&amp;" "</f>
        <v> i have been a customer for years the salesperson pushed me into a plan i did not need this is not acceptable </v>
      </c>
      <c r="E583" s="0" t="n">
        <f aca="false">SUMPRODUCT((Rules!$A$2:$A$60=E$1)*Rules!$C$2:$C$60*ISNUMBER(SEARCH(Rules!$D$2:$D$60,$D583)))</f>
        <v>0</v>
      </c>
      <c r="F583" s="0" t="n">
        <f aca="false">SUMPRODUCT((Rules!$A$2:$A$60=F$1)*Rules!$C$2:$C$60*ISNUMBER(SEARCH(Rules!$D$2:$D$60,$D583)))</f>
        <v>2</v>
      </c>
      <c r="G583" s="0" t="n">
        <f aca="false">SUMPRODUCT((Rules!$A$2:$A$60=G$1)*Rules!$C$2:$C$60*ISNUMBER(SEARCH(Rules!$D$2:$D$60,$D583)))</f>
        <v>0</v>
      </c>
      <c r="H583" s="0" t="n">
        <f aca="false">SUMPRODUCT((Rules!$A$2:$A$60=H$1)*Rules!$C$2:$C$60*ISNUMBER(SEARCH(Rules!$D$2:$D$60,$D583)))</f>
        <v>0</v>
      </c>
      <c r="I583" s="0" t="n">
        <f aca="false">SUMPRODUCT((Rules!$A$2:$A$60=I$1)*Rules!$C$2:$C$60*ISNUMBER(SEARCH(Rules!$D$2:$D$60,$D583)))</f>
        <v>0</v>
      </c>
      <c r="J583" s="0" t="n">
        <f aca="false">SUMPRODUCT((Rules!$A$2:$A$60=J$1)*Rules!$C$2:$C$60*ISNUMBER(SEARCH(Rules!$D$2:$D$60,$D583)))</f>
        <v>0</v>
      </c>
      <c r="K583" s="0" t="str">
        <f aca="false">IF(OR(MAX(E583:J583)&lt;Rules!$H$1,MAX(E583:J583)-LARGE(E583:J583,2)&lt;Rules!$H$2),"No label",INDEX($E$1:$J$1,MATCH(MAX(E583:J583),E583:J583,0)))</f>
        <v>No label</v>
      </c>
      <c r="L583" s="0" t="n">
        <f aca="false">SUMPRODUCT((Rules!$A$2:$A$60=L$1)*Rules!$C$2:$C$60*ISNUMBER(SEARCH(Rules!$E$2:$E$60,$D583)))</f>
        <v>0</v>
      </c>
      <c r="M583" s="0" t="n">
        <f aca="false">SUMPRODUCT((Rules!$A$2:$A$60=M$1)*Rules!$C$2:$C$60*ISNUMBER(SEARCH(Rules!$E$2:$E$60,$D583)))</f>
        <v>2</v>
      </c>
      <c r="N583" s="0" t="n">
        <f aca="false">SUMPRODUCT((Rules!$A$2:$A$60=N$1)*Rules!$C$2:$C$60*ISNUMBER(SEARCH(Rules!$E$2:$E$60,$D583)))</f>
        <v>1</v>
      </c>
      <c r="O583" s="0" t="n">
        <f aca="false">SUMPRODUCT((Rules!$A$2:$A$60=O$1)*Rules!$C$2:$C$60*ISNUMBER(SEARCH(Rules!$E$2:$E$60,$D583)))</f>
        <v>0</v>
      </c>
      <c r="P583" s="0" t="n">
        <f aca="false">SUMPRODUCT((Rules!$A$2:$A$60=P$1)*Rules!$C$2:$C$60*ISNUMBER(SEARCH(Rules!$E$2:$E$60,$D583)))</f>
        <v>0</v>
      </c>
      <c r="Q583" s="0" t="n">
        <f aca="false">SUMPRODUCT((Rules!$A$2:$A$60=Q$1)*Rules!$C$2:$C$60*ISNUMBER(SEARCH(Rules!$E$2:$E$60,$D583)))</f>
        <v>0</v>
      </c>
      <c r="R583" s="0" t="str">
        <f aca="false">IF(OR(MAX(L583:Q583)&lt;Rules!$H$1,MAX(L583:Q583)-LARGE(L583:Q583,2)&lt;Rules!$H$2),"No label",INDEX($L$1:$Q$1,MATCH(MAX(L583:Q583),L583:Q583,0)))</f>
        <v>No label</v>
      </c>
      <c r="S583" s="0" t="n">
        <f aca="false">SUMPRODUCT(ISNUMBER(SEARCH(" "&amp;Terms!$A$3:$A$821&amp;" ",$D583))*Terms!B$3:B$821)+Terms!B$2</f>
        <v>-1.36445211304448</v>
      </c>
      <c r="T583" s="0" t="n">
        <f aca="false">SUMPRODUCT(ISNUMBER(SEARCH(" "&amp;Terms!$A$3:$A$821&amp;" ",$D583))*Terms!C$3:C$821)+Terms!C$2</f>
        <v>0.145086595076151</v>
      </c>
      <c r="U583" s="0" t="n">
        <f aca="false">SUMPRODUCT(ISNUMBER(SEARCH(" "&amp;Terms!$A$3:$A$821&amp;" ",$D583))*Terms!D$3:D$821)+Terms!D$2</f>
        <v>-2.68932724734978</v>
      </c>
      <c r="V583" s="0" t="n">
        <f aca="false">SUMPRODUCT(ISNUMBER(SEARCH(" "&amp;Terms!$A$3:$A$821&amp;" ",$D583))*Terms!E$3:E$821)+Terms!E$2</f>
        <v>-3.85552865961689</v>
      </c>
      <c r="W583" s="0" t="n">
        <f aca="false">SUMPRODUCT(ISNUMBER(SEARCH(" "&amp;Terms!$A$3:$A$821&amp;" ",$D583))*Terms!F$3:F$821)+Terms!F$2</f>
        <v>-0.303389661903367</v>
      </c>
      <c r="X583" s="0" t="n">
        <f aca="false">SUMPRODUCT(ISNUMBER(SEARCH(" "&amp;Terms!$A$3:$A$821&amp;" ",$D583))*Terms!G$3:G$821)+Terms!G$2</f>
        <v>8.06761108683847</v>
      </c>
      <c r="Y583" s="0" t="str">
        <f aca="false">INDEX($S$1:$X$1,MATCH(MAX(S583:X583),S583:X583,0))</f>
        <v>Mis-selling</v>
      </c>
      <c r="Z583" s="0" t="s">
        <v>2608</v>
      </c>
    </row>
    <row r="584" customFormat="false" ht="15" hidden="false" customHeight="false" outlineLevel="0" collapsed="false">
      <c r="A584" s="0" t="str">
        <f aca="false">Complaints!A584</f>
        <v>C0583</v>
      </c>
      <c r="B584" s="0" t="str">
        <f aca="false">Complaints!B584</f>
        <v>This is the second time I have raised this. I reported the unauthorised payment but you refused to reimburse me. There was also a fee involved. I would like a response in writing.</v>
      </c>
      <c r="C584" s="0" t="str">
        <f aca="false">Complaints!C584</f>
        <v>Fraud &amp; Scams</v>
      </c>
      <c r="D584" s="0" t="str">
        <f aca="false">" "&amp;TRIM(SUBSTITUTE(SUBSTITUTE(SUBSTITUTE(SUBSTITUTE(SUBSTITUTE(SUBSTITUTE(SUBSTITUTE(SUBSTITUTE(SUBSTITUTE(SUBSTITUTE(SUBSTITUTE(SUBSTITUTE(SUBSTITUTE(SUBSTITUTE(SUBSTITUTE(SUBSTITUTE(LOWER(B584),"."," "),","," "),"'"," "),"’"," "),"!"," "),"?"," "),";"," "),":"," "),"-"," "),"("," "),")"," "),"""", " "),"£"," "),"&amp;"," "),"/"," "),"%"," "))&amp;" "</f>
        <v> this is the second time i have raised this i reported the unauthorised payment but you refused to reimburse me there was also a fee involved i would like a response in writing </v>
      </c>
      <c r="E584" s="0" t="n">
        <f aca="false">SUMPRODUCT((Rules!$A$2:$A$60=E$1)*Rules!$C$2:$C$60*ISNUMBER(SEARCH(Rules!$D$2:$D$60,$D584)))</f>
        <v>3</v>
      </c>
      <c r="F584" s="0" t="n">
        <f aca="false">SUMPRODUCT((Rules!$A$2:$A$60=F$1)*Rules!$C$2:$C$60*ISNUMBER(SEARCH(Rules!$D$2:$D$60,$D584)))</f>
        <v>0</v>
      </c>
      <c r="G584" s="0" t="n">
        <f aca="false">SUMPRODUCT((Rules!$A$2:$A$60=G$1)*Rules!$C$2:$C$60*ISNUMBER(SEARCH(Rules!$D$2:$D$60,$D584)))</f>
        <v>0</v>
      </c>
      <c r="H584" s="0" t="n">
        <f aca="false">SUMPRODUCT((Rules!$A$2:$A$60=H$1)*Rules!$C$2:$C$60*ISNUMBER(SEARCH(Rules!$D$2:$D$60,$D584)))</f>
        <v>2</v>
      </c>
      <c r="I584" s="0" t="n">
        <f aca="false">SUMPRODUCT((Rules!$A$2:$A$60=I$1)*Rules!$C$2:$C$60*ISNUMBER(SEARCH(Rules!$D$2:$D$60,$D584)))</f>
        <v>0</v>
      </c>
      <c r="J584" s="0" t="n">
        <f aca="false">SUMPRODUCT((Rules!$A$2:$A$60=J$1)*Rules!$C$2:$C$60*ISNUMBER(SEARCH(Rules!$D$2:$D$60,$D584)))</f>
        <v>0</v>
      </c>
      <c r="K584" s="0" t="str">
        <f aca="false">IF(OR(MAX(E584:J584)&lt;Rules!$H$1,MAX(E584:J584)-LARGE(E584:J584,2)&lt;Rules!$H$2),"No label",INDEX($E$1:$J$1,MATCH(MAX(E584:J584),E584:J584,0)))</f>
        <v>No label</v>
      </c>
      <c r="L584" s="0" t="n">
        <f aca="false">SUMPRODUCT((Rules!$A$2:$A$60=L$1)*Rules!$C$2:$C$60*ISNUMBER(SEARCH(Rules!$E$2:$E$60,$D584)))</f>
        <v>3</v>
      </c>
      <c r="M584" s="0" t="n">
        <f aca="false">SUMPRODUCT((Rules!$A$2:$A$60=M$1)*Rules!$C$2:$C$60*ISNUMBER(SEARCH(Rules!$E$2:$E$60,$D584)))</f>
        <v>0</v>
      </c>
      <c r="N584" s="0" t="n">
        <f aca="false">SUMPRODUCT((Rules!$A$2:$A$60=N$1)*Rules!$C$2:$C$60*ISNUMBER(SEARCH(Rules!$E$2:$E$60,$D584)))</f>
        <v>0</v>
      </c>
      <c r="O584" s="0" t="n">
        <f aca="false">SUMPRODUCT((Rules!$A$2:$A$60=O$1)*Rules!$C$2:$C$60*ISNUMBER(SEARCH(Rules!$E$2:$E$60,$D584)))</f>
        <v>2</v>
      </c>
      <c r="P584" s="0" t="n">
        <f aca="false">SUMPRODUCT((Rules!$A$2:$A$60=P$1)*Rules!$C$2:$C$60*ISNUMBER(SEARCH(Rules!$E$2:$E$60,$D584)))</f>
        <v>0</v>
      </c>
      <c r="Q584" s="0" t="n">
        <f aca="false">SUMPRODUCT((Rules!$A$2:$A$60=Q$1)*Rules!$C$2:$C$60*ISNUMBER(SEARCH(Rules!$E$2:$E$60,$D584)))</f>
        <v>0</v>
      </c>
      <c r="R584" s="0" t="str">
        <f aca="false">IF(OR(MAX(L584:Q584)&lt;Rules!$H$1,MAX(L584:Q584)-LARGE(L584:Q584,2)&lt;Rules!$H$2),"No label",INDEX($L$1:$Q$1,MATCH(MAX(L584:Q584),L584:Q584,0)))</f>
        <v>No label</v>
      </c>
      <c r="S584" s="0" t="n">
        <f aca="false">SUMPRODUCT(ISNUMBER(SEARCH(" "&amp;Terms!$A$3:$A$821&amp;" ",$D584))*Terms!B$3:B$821)+Terms!B$2</f>
        <v>-1.29197935839027</v>
      </c>
      <c r="T584" s="0" t="n">
        <f aca="false">SUMPRODUCT(ISNUMBER(SEARCH(" "&amp;Terms!$A$3:$A$821&amp;" ",$D584))*Terms!C$3:C$821)+Terms!C$2</f>
        <v>-3.9779866597294</v>
      </c>
      <c r="U584" s="0" t="n">
        <f aca="false">SUMPRODUCT(ISNUMBER(SEARCH(" "&amp;Terms!$A$3:$A$821&amp;" ",$D584))*Terms!D$3:D$821)+Terms!D$2</f>
        <v>-1.56804517032409</v>
      </c>
      <c r="V584" s="0" t="n">
        <f aca="false">SUMPRODUCT(ISNUMBER(SEARCH(" "&amp;Terms!$A$3:$A$821&amp;" ",$D584))*Terms!E$3:E$821)+Terms!E$2</f>
        <v>-0.136429584590972</v>
      </c>
      <c r="W584" s="0" t="n">
        <f aca="false">SUMPRODUCT(ISNUMBER(SEARCH(" "&amp;Terms!$A$3:$A$821&amp;" ",$D584))*Terms!F$3:F$821)+Terms!F$2</f>
        <v>8.30921840090935</v>
      </c>
      <c r="X584" s="0" t="n">
        <f aca="false">SUMPRODUCT(ISNUMBER(SEARCH(" "&amp;Terms!$A$3:$A$821&amp;" ",$D584))*Terms!G$3:G$821)+Terms!G$2</f>
        <v>-1.33477762787453</v>
      </c>
      <c r="Y584" s="0" t="str">
        <f aca="false">INDEX($S$1:$X$1,MATCH(MAX(S584:X584),S584:X584,0))</f>
        <v>Fraud &amp; Scams</v>
      </c>
      <c r="Z584" s="0" t="s">
        <v>2607</v>
      </c>
    </row>
    <row r="585" customFormat="false" ht="15" hidden="false" customHeight="false" outlineLevel="0" collapsed="false">
      <c r="A585" s="0" t="str">
        <f aca="false">Complaints!A585</f>
        <v>C0584</v>
      </c>
      <c r="B585" s="0" t="str">
        <f aca="false">Complaints!B585</f>
        <v>Nobody checked whether I could afford the credit agreement. Also, i keep getting an error message when I sign in. Please escalate this.</v>
      </c>
      <c r="C585" s="0" t="str">
        <f aca="false">Complaints!C585</f>
        <v>Mis-selling</v>
      </c>
      <c r="D585" s="0" t="str">
        <f aca="false">" "&amp;TRIM(SUBSTITUTE(SUBSTITUTE(SUBSTITUTE(SUBSTITUTE(SUBSTITUTE(SUBSTITUTE(SUBSTITUTE(SUBSTITUTE(SUBSTITUTE(SUBSTITUTE(SUBSTITUTE(SUBSTITUTE(SUBSTITUTE(SUBSTITUTE(SUBSTITUTE(SUBSTITUTE(LOWER(B585),"."," "),","," "),"'"," "),"’"," "),"!"," "),"?"," "),";"," "),":"," "),"-"," "),"("," "),")"," "),"""", " "),"£"," "),"&amp;"," "),"/"," "),"%"," "))&amp;" "</f>
        <v> nobody checked whether i could afford the credit agreement also i keep getting an error message when i sign in please escalate this </v>
      </c>
      <c r="E585" s="0" t="n">
        <f aca="false">SUMPRODUCT((Rules!$A$2:$A$60=E$1)*Rules!$C$2:$C$60*ISNUMBER(SEARCH(Rules!$D$2:$D$60,$D585)))</f>
        <v>0</v>
      </c>
      <c r="F585" s="0" t="n">
        <f aca="false">SUMPRODUCT((Rules!$A$2:$A$60=F$1)*Rules!$C$2:$C$60*ISNUMBER(SEARCH(Rules!$D$2:$D$60,$D585)))</f>
        <v>0</v>
      </c>
      <c r="G585" s="0" t="n">
        <f aca="false">SUMPRODUCT((Rules!$A$2:$A$60=G$1)*Rules!$C$2:$C$60*ISNUMBER(SEARCH(Rules!$D$2:$D$60,$D585)))</f>
        <v>3</v>
      </c>
      <c r="H585" s="0" t="n">
        <f aca="false">SUMPRODUCT((Rules!$A$2:$A$60=H$1)*Rules!$C$2:$C$60*ISNUMBER(SEARCH(Rules!$D$2:$D$60,$D585)))</f>
        <v>0</v>
      </c>
      <c r="I585" s="0" t="n">
        <f aca="false">SUMPRODUCT((Rules!$A$2:$A$60=I$1)*Rules!$C$2:$C$60*ISNUMBER(SEARCH(Rules!$D$2:$D$60,$D585)))</f>
        <v>0</v>
      </c>
      <c r="J585" s="0" t="n">
        <f aca="false">SUMPRODUCT((Rules!$A$2:$A$60=J$1)*Rules!$C$2:$C$60*ISNUMBER(SEARCH(Rules!$D$2:$D$60,$D585)))</f>
        <v>0</v>
      </c>
      <c r="K585" s="0" t="str">
        <f aca="false">IF(OR(MAX(E585:J585)&lt;Rules!$H$1,MAX(E585:J585)-LARGE(E585:J585,2)&lt;Rules!$H$2),"No label",INDEX($E$1:$J$1,MATCH(MAX(E585:J585),E585:J585,0)))</f>
        <v>Account Access</v>
      </c>
      <c r="L585" s="0" t="n">
        <f aca="false">SUMPRODUCT((Rules!$A$2:$A$60=L$1)*Rules!$C$2:$C$60*ISNUMBER(SEARCH(Rules!$E$2:$E$60,$D585)))</f>
        <v>0</v>
      </c>
      <c r="M585" s="0" t="n">
        <f aca="false">SUMPRODUCT((Rules!$A$2:$A$60=M$1)*Rules!$C$2:$C$60*ISNUMBER(SEARCH(Rules!$E$2:$E$60,$D585)))</f>
        <v>0</v>
      </c>
      <c r="N585" s="0" t="n">
        <f aca="false">SUMPRODUCT((Rules!$A$2:$A$60=N$1)*Rules!$C$2:$C$60*ISNUMBER(SEARCH(Rules!$E$2:$E$60,$D585)))</f>
        <v>3</v>
      </c>
      <c r="O585" s="0" t="n">
        <f aca="false">SUMPRODUCT((Rules!$A$2:$A$60=O$1)*Rules!$C$2:$C$60*ISNUMBER(SEARCH(Rules!$E$2:$E$60,$D585)))</f>
        <v>0</v>
      </c>
      <c r="P585" s="0" t="n">
        <f aca="false">SUMPRODUCT((Rules!$A$2:$A$60=P$1)*Rules!$C$2:$C$60*ISNUMBER(SEARCH(Rules!$E$2:$E$60,$D585)))</f>
        <v>0</v>
      </c>
      <c r="Q585" s="0" t="n">
        <f aca="false">SUMPRODUCT((Rules!$A$2:$A$60=Q$1)*Rules!$C$2:$C$60*ISNUMBER(SEARCH(Rules!$E$2:$E$60,$D585)))</f>
        <v>0</v>
      </c>
      <c r="R585" s="0" t="str">
        <f aca="false">IF(OR(MAX(L585:Q585)&lt;Rules!$H$1,MAX(L585:Q585)-LARGE(L585:Q585,2)&lt;Rules!$H$2),"No label",INDEX($L$1:$Q$1,MATCH(MAX(L585:Q585),L585:Q585,0)))</f>
        <v>Account Access</v>
      </c>
      <c r="S585" s="0" t="n">
        <f aca="false">SUMPRODUCT(ISNUMBER(SEARCH(" "&amp;Terms!$A$3:$A$821&amp;" ",$D585))*Terms!B$3:B$821)+Terms!B$2</f>
        <v>7.94666312792952</v>
      </c>
      <c r="T585" s="0" t="n">
        <f aca="false">SUMPRODUCT(ISNUMBER(SEARCH(" "&amp;Terms!$A$3:$A$821&amp;" ",$D585))*Terms!C$3:C$821)+Terms!C$2</f>
        <v>-1.54784917941931</v>
      </c>
      <c r="U585" s="0" t="n">
        <f aca="false">SUMPRODUCT(ISNUMBER(SEARCH(" "&amp;Terms!$A$3:$A$821&amp;" ",$D585))*Terms!D$3:D$821)+Terms!D$2</f>
        <v>-3.71172458743089</v>
      </c>
      <c r="V585" s="0" t="n">
        <f aca="false">SUMPRODUCT(ISNUMBER(SEARCH(" "&amp;Terms!$A$3:$A$821&amp;" ",$D585))*Terms!E$3:E$821)+Terms!E$2</f>
        <v>-4.12289305779015</v>
      </c>
      <c r="W585" s="0" t="n">
        <f aca="false">SUMPRODUCT(ISNUMBER(SEARCH(" "&amp;Terms!$A$3:$A$821&amp;" ",$D585))*Terms!F$3:F$821)+Terms!F$2</f>
        <v>-4.19314503521479</v>
      </c>
      <c r="X585" s="0" t="n">
        <f aca="false">SUMPRODUCT(ISNUMBER(SEARCH(" "&amp;Terms!$A$3:$A$821&amp;" ",$D585))*Terms!G$3:G$821)+Terms!G$2</f>
        <v>5.62894873192574</v>
      </c>
      <c r="Y585" s="0" t="str">
        <f aca="false">INDEX($S$1:$X$1,MATCH(MAX(S585:X585),S585:X585,0))</f>
        <v>Account Access</v>
      </c>
      <c r="Z585" s="0" t="s">
        <v>2608</v>
      </c>
    </row>
    <row r="586" customFormat="false" ht="15" hidden="false" customHeight="false" outlineLevel="0" collapsed="false">
      <c r="A586" s="0" t="str">
        <f aca="false">Complaints!A586</f>
        <v>C0585</v>
      </c>
      <c r="B586" s="0" t="str">
        <f aca="false">Complaints!B586</f>
        <v>Frankly, My mortgage switch is taking far longer than you said it would.</v>
      </c>
      <c r="C586" s="0" t="str">
        <f aca="false">Complaints!C586</f>
        <v>Delays &amp; Processing</v>
      </c>
      <c r="D586" s="0" t="str">
        <f aca="false">" "&amp;TRIM(SUBSTITUTE(SUBSTITUTE(SUBSTITUTE(SUBSTITUTE(SUBSTITUTE(SUBSTITUTE(SUBSTITUTE(SUBSTITUTE(SUBSTITUTE(SUBSTITUTE(SUBSTITUTE(SUBSTITUTE(SUBSTITUTE(SUBSTITUTE(SUBSTITUTE(SUBSTITUTE(LOWER(B586),"."," "),","," "),"'"," "),"’"," "),"!"," "),"?"," "),";"," "),":"," "),"-"," "),"("," "),")"," "),"""", " "),"£"," "),"&amp;"," "),"/"," "),"%"," "))&amp;" "</f>
        <v> frankly my mortgage switch is taking far longer than you said it would </v>
      </c>
      <c r="E586" s="0" t="n">
        <f aca="false">SUMPRODUCT((Rules!$A$2:$A$60=E$1)*Rules!$C$2:$C$60*ISNUMBER(SEARCH(Rules!$D$2:$D$60,$D586)))</f>
        <v>0</v>
      </c>
      <c r="F586" s="0" t="n">
        <f aca="false">SUMPRODUCT((Rules!$A$2:$A$60=F$1)*Rules!$C$2:$C$60*ISNUMBER(SEARCH(Rules!$D$2:$D$60,$D586)))</f>
        <v>0</v>
      </c>
      <c r="G586" s="0" t="n">
        <f aca="false">SUMPRODUCT((Rules!$A$2:$A$60=G$1)*Rules!$C$2:$C$60*ISNUMBER(SEARCH(Rules!$D$2:$D$60,$D586)))</f>
        <v>0</v>
      </c>
      <c r="H586" s="0" t="n">
        <f aca="false">SUMPRODUCT((Rules!$A$2:$A$60=H$1)*Rules!$C$2:$C$60*ISNUMBER(SEARCH(Rules!$D$2:$D$60,$D586)))</f>
        <v>0</v>
      </c>
      <c r="I586" s="0" t="n">
        <f aca="false">SUMPRODUCT((Rules!$A$2:$A$60=I$1)*Rules!$C$2:$C$60*ISNUMBER(SEARCH(Rules!$D$2:$D$60,$D586)))</f>
        <v>2</v>
      </c>
      <c r="J586" s="0" t="n">
        <f aca="false">SUMPRODUCT((Rules!$A$2:$A$60=J$1)*Rules!$C$2:$C$60*ISNUMBER(SEARCH(Rules!$D$2:$D$60,$D586)))</f>
        <v>0</v>
      </c>
      <c r="K586" s="0" t="str">
        <f aca="false">IF(OR(MAX(E586:J586)&lt;Rules!$H$1,MAX(E586:J586)-LARGE(E586:J586,2)&lt;Rules!$H$2),"No label",INDEX($E$1:$J$1,MATCH(MAX(E586:J586),E586:J586,0)))</f>
        <v>No label</v>
      </c>
      <c r="L586" s="0" t="n">
        <f aca="false">SUMPRODUCT((Rules!$A$2:$A$60=L$1)*Rules!$C$2:$C$60*ISNUMBER(SEARCH(Rules!$E$2:$E$60,$D586)))</f>
        <v>0</v>
      </c>
      <c r="M586" s="0" t="n">
        <f aca="false">SUMPRODUCT((Rules!$A$2:$A$60=M$1)*Rules!$C$2:$C$60*ISNUMBER(SEARCH(Rules!$E$2:$E$60,$D586)))</f>
        <v>0</v>
      </c>
      <c r="N586" s="0" t="n">
        <f aca="false">SUMPRODUCT((Rules!$A$2:$A$60=N$1)*Rules!$C$2:$C$60*ISNUMBER(SEARCH(Rules!$E$2:$E$60,$D586)))</f>
        <v>0</v>
      </c>
      <c r="O586" s="0" t="n">
        <f aca="false">SUMPRODUCT((Rules!$A$2:$A$60=O$1)*Rules!$C$2:$C$60*ISNUMBER(SEARCH(Rules!$E$2:$E$60,$D586)))</f>
        <v>0</v>
      </c>
      <c r="P586" s="0" t="n">
        <f aca="false">SUMPRODUCT((Rules!$A$2:$A$60=P$1)*Rules!$C$2:$C$60*ISNUMBER(SEARCH(Rules!$E$2:$E$60,$D586)))</f>
        <v>2</v>
      </c>
      <c r="Q586" s="0" t="n">
        <f aca="false">SUMPRODUCT((Rules!$A$2:$A$60=Q$1)*Rules!$C$2:$C$60*ISNUMBER(SEARCH(Rules!$E$2:$E$60,$D586)))</f>
        <v>0</v>
      </c>
      <c r="R586" s="0" t="str">
        <f aca="false">IF(OR(MAX(L586:Q586)&lt;Rules!$H$1,MAX(L586:Q586)-LARGE(L586:Q586,2)&lt;Rules!$H$2),"No label",INDEX($L$1:$Q$1,MATCH(MAX(L586:Q586),L586:Q586,0)))</f>
        <v>No label</v>
      </c>
      <c r="S586" s="0" t="n">
        <f aca="false">SUMPRODUCT(ISNUMBER(SEARCH(" "&amp;Terms!$A$3:$A$821&amp;" ",$D586))*Terms!B$3:B$821)+Terms!B$2</f>
        <v>-4.47025232922621</v>
      </c>
      <c r="T586" s="0" t="n">
        <f aca="false">SUMPRODUCT(ISNUMBER(SEARCH(" "&amp;Terms!$A$3:$A$821&amp;" ",$D586))*Terms!C$3:C$821)+Terms!C$2</f>
        <v>-0.319131677586103</v>
      </c>
      <c r="U586" s="0" t="n">
        <f aca="false">SUMPRODUCT(ISNUMBER(SEARCH(" "&amp;Terms!$A$3:$A$821&amp;" ",$D586))*Terms!D$3:D$821)+Terms!D$2</f>
        <v>9.78227389876288</v>
      </c>
      <c r="V586" s="0" t="n">
        <f aca="false">SUMPRODUCT(ISNUMBER(SEARCH(" "&amp;Terms!$A$3:$A$821&amp;" ",$D586))*Terms!E$3:E$821)+Terms!E$2</f>
        <v>-1.29466742507662</v>
      </c>
      <c r="W586" s="0" t="n">
        <f aca="false">SUMPRODUCT(ISNUMBER(SEARCH(" "&amp;Terms!$A$3:$A$821&amp;" ",$D586))*Terms!F$3:F$821)+Terms!F$2</f>
        <v>-1.79446128517021</v>
      </c>
      <c r="X586" s="0" t="n">
        <f aca="false">SUMPRODUCT(ISNUMBER(SEARCH(" "&amp;Terms!$A$3:$A$821&amp;" ",$D586))*Terms!G$3:G$821)+Terms!G$2</f>
        <v>-1.90376118170364</v>
      </c>
      <c r="Y586" s="0" t="str">
        <f aca="false">INDEX($S$1:$X$1,MATCH(MAX(S586:X586),S586:X586,0))</f>
        <v>Delays &amp; Processing</v>
      </c>
      <c r="Z586" s="0" t="s">
        <v>2608</v>
      </c>
    </row>
    <row r="587" customFormat="false" ht="15" hidden="false" customHeight="false" outlineLevel="0" collapsed="false">
      <c r="A587" s="0" t="str">
        <f aca="false">Complaints!A587</f>
        <v>C0586</v>
      </c>
      <c r="B587" s="0" t="str">
        <f aca="false">Complaints!B587</f>
        <v>This is the second time I have raised this. I spent an hour on hold and then the call was cut off.</v>
      </c>
      <c r="C587" s="0" t="str">
        <f aca="false">Complaints!C587</f>
        <v>Customer Service</v>
      </c>
      <c r="D587" s="0" t="str">
        <f aca="false">" "&amp;TRIM(SUBSTITUTE(SUBSTITUTE(SUBSTITUTE(SUBSTITUTE(SUBSTITUTE(SUBSTITUTE(SUBSTITUTE(SUBSTITUTE(SUBSTITUTE(SUBSTITUTE(SUBSTITUTE(SUBSTITUTE(SUBSTITUTE(SUBSTITUTE(SUBSTITUTE(SUBSTITUTE(LOWER(B587),"."," "),","," "),"'"," "),"’"," "),"!"," "),"?"," "),";"," "),":"," "),"-"," "),"("," "),")"," "),"""", " "),"£"," "),"&amp;"," "),"/"," "),"%"," "))&amp;" "</f>
        <v> this is the second time i have raised this i spent an hour on hold and then the call was cut off </v>
      </c>
      <c r="E587" s="0" t="n">
        <f aca="false">SUMPRODUCT((Rules!$A$2:$A$60=E$1)*Rules!$C$2:$C$60*ISNUMBER(SEARCH(Rules!$D$2:$D$60,$D587)))</f>
        <v>0</v>
      </c>
      <c r="F587" s="0" t="n">
        <f aca="false">SUMPRODUCT((Rules!$A$2:$A$60=F$1)*Rules!$C$2:$C$60*ISNUMBER(SEARCH(Rules!$D$2:$D$60,$D587)))</f>
        <v>0</v>
      </c>
      <c r="G587" s="0" t="n">
        <f aca="false">SUMPRODUCT((Rules!$A$2:$A$60=G$1)*Rules!$C$2:$C$60*ISNUMBER(SEARCH(Rules!$D$2:$D$60,$D587)))</f>
        <v>0</v>
      </c>
      <c r="H587" s="0" t="n">
        <f aca="false">SUMPRODUCT((Rules!$A$2:$A$60=H$1)*Rules!$C$2:$C$60*ISNUMBER(SEARCH(Rules!$D$2:$D$60,$D587)))</f>
        <v>0</v>
      </c>
      <c r="I587" s="0" t="n">
        <f aca="false">SUMPRODUCT((Rules!$A$2:$A$60=I$1)*Rules!$C$2:$C$60*ISNUMBER(SEARCH(Rules!$D$2:$D$60,$D587)))</f>
        <v>0</v>
      </c>
      <c r="J587" s="0" t="n">
        <f aca="false">SUMPRODUCT((Rules!$A$2:$A$60=J$1)*Rules!$C$2:$C$60*ISNUMBER(SEARCH(Rules!$D$2:$D$60,$D587)))</f>
        <v>3</v>
      </c>
      <c r="K587" s="0" t="str">
        <f aca="false">IF(OR(MAX(E587:J587)&lt;Rules!$H$1,MAX(E587:J587)-LARGE(E587:J587,2)&lt;Rules!$H$2),"No label",INDEX($E$1:$J$1,MATCH(MAX(E587:J587),E587:J587,0)))</f>
        <v>Customer Service</v>
      </c>
      <c r="L587" s="0" t="n">
        <f aca="false">SUMPRODUCT((Rules!$A$2:$A$60=L$1)*Rules!$C$2:$C$60*ISNUMBER(SEARCH(Rules!$E$2:$E$60,$D587)))</f>
        <v>0</v>
      </c>
      <c r="M587" s="0" t="n">
        <f aca="false">SUMPRODUCT((Rules!$A$2:$A$60=M$1)*Rules!$C$2:$C$60*ISNUMBER(SEARCH(Rules!$E$2:$E$60,$D587)))</f>
        <v>0</v>
      </c>
      <c r="N587" s="0" t="n">
        <f aca="false">SUMPRODUCT((Rules!$A$2:$A$60=N$1)*Rules!$C$2:$C$60*ISNUMBER(SEARCH(Rules!$E$2:$E$60,$D587)))</f>
        <v>0</v>
      </c>
      <c r="O587" s="0" t="n">
        <f aca="false">SUMPRODUCT((Rules!$A$2:$A$60=O$1)*Rules!$C$2:$C$60*ISNUMBER(SEARCH(Rules!$E$2:$E$60,$D587)))</f>
        <v>0</v>
      </c>
      <c r="P587" s="0" t="n">
        <f aca="false">SUMPRODUCT((Rules!$A$2:$A$60=P$1)*Rules!$C$2:$C$60*ISNUMBER(SEARCH(Rules!$E$2:$E$60,$D587)))</f>
        <v>0</v>
      </c>
      <c r="Q587" s="0" t="n">
        <f aca="false">SUMPRODUCT((Rules!$A$2:$A$60=Q$1)*Rules!$C$2:$C$60*ISNUMBER(SEARCH(Rules!$E$2:$E$60,$D587)))</f>
        <v>3</v>
      </c>
      <c r="R587" s="0" t="str">
        <f aca="false">IF(OR(MAX(L587:Q587)&lt;Rules!$H$1,MAX(L587:Q587)-LARGE(L587:Q587,2)&lt;Rules!$H$2),"No label",INDEX($L$1:$Q$1,MATCH(MAX(L587:Q587),L587:Q587,0)))</f>
        <v>Customer Service</v>
      </c>
      <c r="S587" s="0" t="n">
        <f aca="false">SUMPRODUCT(ISNUMBER(SEARCH(" "&amp;Terms!$A$3:$A$821&amp;" ",$D587))*Terms!B$3:B$821)+Terms!B$2</f>
        <v>-2.83578840801092</v>
      </c>
      <c r="T587" s="0" t="n">
        <f aca="false">SUMPRODUCT(ISNUMBER(SEARCH(" "&amp;Terms!$A$3:$A$821&amp;" ",$D587))*Terms!C$3:C$821)+Terms!C$2</f>
        <v>8.66512128164523</v>
      </c>
      <c r="U587" s="0" t="n">
        <f aca="false">SUMPRODUCT(ISNUMBER(SEARCH(" "&amp;Terms!$A$3:$A$821&amp;" ",$D587))*Terms!D$3:D$821)+Terms!D$2</f>
        <v>-2.11851735953173</v>
      </c>
      <c r="V587" s="0" t="n">
        <f aca="false">SUMPRODUCT(ISNUMBER(SEARCH(" "&amp;Terms!$A$3:$A$821&amp;" ",$D587))*Terms!E$3:E$821)+Terms!E$2</f>
        <v>-2.84994786618527</v>
      </c>
      <c r="W587" s="0" t="n">
        <f aca="false">SUMPRODUCT(ISNUMBER(SEARCH(" "&amp;Terms!$A$3:$A$821&amp;" ",$D587))*Terms!F$3:F$821)+Terms!F$2</f>
        <v>0.0671940787889921</v>
      </c>
      <c r="X587" s="0" t="n">
        <f aca="false">SUMPRODUCT(ISNUMBER(SEARCH(" "&amp;Terms!$A$3:$A$821&amp;" ",$D587))*Terms!G$3:G$821)+Terms!G$2</f>
        <v>-0.928061726706184</v>
      </c>
      <c r="Y587" s="0" t="str">
        <f aca="false">INDEX($S$1:$X$1,MATCH(MAX(S587:X587),S587:X587,0))</f>
        <v>Customer Service</v>
      </c>
      <c r="Z587" s="0" t="s">
        <v>2607</v>
      </c>
    </row>
    <row r="588" customFormat="false" ht="15" hidden="false" customHeight="false" outlineLevel="0" collapsed="false">
      <c r="A588" s="0" t="str">
        <f aca="false">Complaints!A588</f>
        <v>C0587</v>
      </c>
      <c r="B588" s="0" t="str">
        <f aca="false">Complaints!B588</f>
        <v>This is the second time I have raised this. I was sold a product that was not suitable for my circumstances. This is not acceptable.</v>
      </c>
      <c r="C588" s="0" t="str">
        <f aca="false">Complaints!C588</f>
        <v>Mis-selling</v>
      </c>
      <c r="D588" s="0" t="str">
        <f aca="false">" "&amp;TRIM(SUBSTITUTE(SUBSTITUTE(SUBSTITUTE(SUBSTITUTE(SUBSTITUTE(SUBSTITUTE(SUBSTITUTE(SUBSTITUTE(SUBSTITUTE(SUBSTITUTE(SUBSTITUTE(SUBSTITUTE(SUBSTITUTE(SUBSTITUTE(SUBSTITUTE(SUBSTITUTE(LOWER(B588),"."," "),","," "),"'"," "),"’"," "),"!"," "),"?"," "),";"," "),":"," "),"-"," "),"("," "),")"," "),"""", " "),"£"," "),"&amp;"," "),"/"," "),"%"," "))&amp;" "</f>
        <v> this is the second time i have raised this i was sold a product that was not suitable for my circumstances this is not acceptable </v>
      </c>
      <c r="E588" s="0" t="n">
        <f aca="false">SUMPRODUCT((Rules!$A$2:$A$60=E$1)*Rules!$C$2:$C$60*ISNUMBER(SEARCH(Rules!$D$2:$D$60,$D588)))</f>
        <v>0</v>
      </c>
      <c r="F588" s="0" t="n">
        <f aca="false">SUMPRODUCT((Rules!$A$2:$A$60=F$1)*Rules!$C$2:$C$60*ISNUMBER(SEARCH(Rules!$D$2:$D$60,$D588)))</f>
        <v>5</v>
      </c>
      <c r="G588" s="0" t="n">
        <f aca="false">SUMPRODUCT((Rules!$A$2:$A$60=G$1)*Rules!$C$2:$C$60*ISNUMBER(SEARCH(Rules!$D$2:$D$60,$D588)))</f>
        <v>0</v>
      </c>
      <c r="H588" s="0" t="n">
        <f aca="false">SUMPRODUCT((Rules!$A$2:$A$60=H$1)*Rules!$C$2:$C$60*ISNUMBER(SEARCH(Rules!$D$2:$D$60,$D588)))</f>
        <v>0</v>
      </c>
      <c r="I588" s="0" t="n">
        <f aca="false">SUMPRODUCT((Rules!$A$2:$A$60=I$1)*Rules!$C$2:$C$60*ISNUMBER(SEARCH(Rules!$D$2:$D$60,$D588)))</f>
        <v>0</v>
      </c>
      <c r="J588" s="0" t="n">
        <f aca="false">SUMPRODUCT((Rules!$A$2:$A$60=J$1)*Rules!$C$2:$C$60*ISNUMBER(SEARCH(Rules!$D$2:$D$60,$D588)))</f>
        <v>0</v>
      </c>
      <c r="K588" s="0" t="str">
        <f aca="false">IF(OR(MAX(E588:J588)&lt;Rules!$H$1,MAX(E588:J588)-LARGE(E588:J588,2)&lt;Rules!$H$2),"No label",INDEX($E$1:$J$1,MATCH(MAX(E588:J588),E588:J588,0)))</f>
        <v>Mis-selling</v>
      </c>
      <c r="L588" s="0" t="n">
        <f aca="false">SUMPRODUCT((Rules!$A$2:$A$60=L$1)*Rules!$C$2:$C$60*ISNUMBER(SEARCH(Rules!$E$2:$E$60,$D588)))</f>
        <v>0</v>
      </c>
      <c r="M588" s="0" t="n">
        <f aca="false">SUMPRODUCT((Rules!$A$2:$A$60=M$1)*Rules!$C$2:$C$60*ISNUMBER(SEARCH(Rules!$E$2:$E$60,$D588)))</f>
        <v>5</v>
      </c>
      <c r="N588" s="0" t="n">
        <f aca="false">SUMPRODUCT((Rules!$A$2:$A$60=N$1)*Rules!$C$2:$C$60*ISNUMBER(SEARCH(Rules!$E$2:$E$60,$D588)))</f>
        <v>1</v>
      </c>
      <c r="O588" s="0" t="n">
        <f aca="false">SUMPRODUCT((Rules!$A$2:$A$60=O$1)*Rules!$C$2:$C$60*ISNUMBER(SEARCH(Rules!$E$2:$E$60,$D588)))</f>
        <v>0</v>
      </c>
      <c r="P588" s="0" t="n">
        <f aca="false">SUMPRODUCT((Rules!$A$2:$A$60=P$1)*Rules!$C$2:$C$60*ISNUMBER(SEARCH(Rules!$E$2:$E$60,$D588)))</f>
        <v>0</v>
      </c>
      <c r="Q588" s="0" t="n">
        <f aca="false">SUMPRODUCT((Rules!$A$2:$A$60=Q$1)*Rules!$C$2:$C$60*ISNUMBER(SEARCH(Rules!$E$2:$E$60,$D588)))</f>
        <v>0</v>
      </c>
      <c r="R588" s="0" t="str">
        <f aca="false">IF(OR(MAX(L588:Q588)&lt;Rules!$H$1,MAX(L588:Q588)-LARGE(L588:Q588,2)&lt;Rules!$H$2),"No label",INDEX($L$1:$Q$1,MATCH(MAX(L588:Q588),L588:Q588,0)))</f>
        <v>Mis-selling</v>
      </c>
      <c r="S588" s="0" t="n">
        <f aca="false">SUMPRODUCT(ISNUMBER(SEARCH(" "&amp;Terms!$A$3:$A$821&amp;" ",$D588))*Terms!B$3:B$821)+Terms!B$2</f>
        <v>-2.18690037965562</v>
      </c>
      <c r="T588" s="0" t="n">
        <f aca="false">SUMPRODUCT(ISNUMBER(SEARCH(" "&amp;Terms!$A$3:$A$821&amp;" ",$D588))*Terms!C$3:C$821)+Terms!C$2</f>
        <v>-0.827850755414552</v>
      </c>
      <c r="U588" s="0" t="n">
        <f aca="false">SUMPRODUCT(ISNUMBER(SEARCH(" "&amp;Terms!$A$3:$A$821&amp;" ",$D588))*Terms!D$3:D$821)+Terms!D$2</f>
        <v>-0.358018931785019</v>
      </c>
      <c r="V588" s="0" t="n">
        <f aca="false">SUMPRODUCT(ISNUMBER(SEARCH(" "&amp;Terms!$A$3:$A$821&amp;" ",$D588))*Terms!E$3:E$821)+Terms!E$2</f>
        <v>-2.00250228803813</v>
      </c>
      <c r="W588" s="0" t="n">
        <f aca="false">SUMPRODUCT(ISNUMBER(SEARCH(" "&amp;Terms!$A$3:$A$821&amp;" ",$D588))*Terms!F$3:F$821)+Terms!F$2</f>
        <v>-0.784414743077866</v>
      </c>
      <c r="X588" s="0" t="n">
        <f aca="false">SUMPRODUCT(ISNUMBER(SEARCH(" "&amp;Terms!$A$3:$A$821&amp;" ",$D588))*Terms!G$3:G$821)+Terms!G$2</f>
        <v>6.15968709797128</v>
      </c>
      <c r="Y588" s="0" t="str">
        <f aca="false">INDEX($S$1:$X$1,MATCH(MAX(S588:X588),S588:X588,0))</f>
        <v>Mis-selling</v>
      </c>
      <c r="Z588" s="0" t="s">
        <v>2607</v>
      </c>
    </row>
    <row r="589" customFormat="false" ht="15" hidden="false" customHeight="false" outlineLevel="0" collapsed="false">
      <c r="A589" s="0" t="str">
        <f aca="false">Complaints!A589</f>
        <v>C0588</v>
      </c>
      <c r="B589" s="0" t="str">
        <f aca="false">Complaints!B589</f>
        <v>I am writing to complain. I asked for a callback and it never happened. I do not think it was explained properly when I bought it. I would like a response in writing.</v>
      </c>
      <c r="C589" s="0" t="str">
        <f aca="false">Complaints!C589</f>
        <v>Customer Service</v>
      </c>
      <c r="D589" s="0" t="str">
        <f aca="false">" "&amp;TRIM(SUBSTITUTE(SUBSTITUTE(SUBSTITUTE(SUBSTITUTE(SUBSTITUTE(SUBSTITUTE(SUBSTITUTE(SUBSTITUTE(SUBSTITUTE(SUBSTITUTE(SUBSTITUTE(SUBSTITUTE(SUBSTITUTE(SUBSTITUTE(SUBSTITUTE(SUBSTITUTE(LOWER(B589),"."," "),","," "),"'"," "),"’"," "),"!"," "),"?"," "),";"," "),":"," "),"-"," "),"("," "),")"," "),"""", " "),"£"," "),"&amp;"," "),"/"," "),"%"," "))&amp;" "</f>
        <v> i am writing to complain i asked for a callback and it never happened i do not think it was explained properly when i bought it i would like a response in writing </v>
      </c>
      <c r="E589" s="0" t="n">
        <f aca="false">SUMPRODUCT((Rules!$A$2:$A$60=E$1)*Rules!$C$2:$C$60*ISNUMBER(SEARCH(Rules!$D$2:$D$60,$D589)))</f>
        <v>0</v>
      </c>
      <c r="F589" s="0" t="n">
        <f aca="false">SUMPRODUCT((Rules!$A$2:$A$60=F$1)*Rules!$C$2:$C$60*ISNUMBER(SEARCH(Rules!$D$2:$D$60,$D589)))</f>
        <v>0</v>
      </c>
      <c r="G589" s="0" t="n">
        <f aca="false">SUMPRODUCT((Rules!$A$2:$A$60=G$1)*Rules!$C$2:$C$60*ISNUMBER(SEARCH(Rules!$D$2:$D$60,$D589)))</f>
        <v>0</v>
      </c>
      <c r="H589" s="0" t="n">
        <f aca="false">SUMPRODUCT((Rules!$A$2:$A$60=H$1)*Rules!$C$2:$C$60*ISNUMBER(SEARCH(Rules!$D$2:$D$60,$D589)))</f>
        <v>0</v>
      </c>
      <c r="I589" s="0" t="n">
        <f aca="false">SUMPRODUCT((Rules!$A$2:$A$60=I$1)*Rules!$C$2:$C$60*ISNUMBER(SEARCH(Rules!$D$2:$D$60,$D589)))</f>
        <v>0</v>
      </c>
      <c r="J589" s="0" t="n">
        <f aca="false">SUMPRODUCT((Rules!$A$2:$A$60=J$1)*Rules!$C$2:$C$60*ISNUMBER(SEARCH(Rules!$D$2:$D$60,$D589)))</f>
        <v>2</v>
      </c>
      <c r="K589" s="0" t="str">
        <f aca="false">IF(OR(MAX(E589:J589)&lt;Rules!$H$1,MAX(E589:J589)-LARGE(E589:J589,2)&lt;Rules!$H$2),"No label",INDEX($E$1:$J$1,MATCH(MAX(E589:J589),E589:J589,0)))</f>
        <v>No label</v>
      </c>
      <c r="L589" s="0" t="n">
        <f aca="false">SUMPRODUCT((Rules!$A$2:$A$60=L$1)*Rules!$C$2:$C$60*ISNUMBER(SEARCH(Rules!$E$2:$E$60,$D589)))</f>
        <v>0</v>
      </c>
      <c r="M589" s="0" t="n">
        <f aca="false">SUMPRODUCT((Rules!$A$2:$A$60=M$1)*Rules!$C$2:$C$60*ISNUMBER(SEARCH(Rules!$E$2:$E$60,$D589)))</f>
        <v>0</v>
      </c>
      <c r="N589" s="0" t="n">
        <f aca="false">SUMPRODUCT((Rules!$A$2:$A$60=N$1)*Rules!$C$2:$C$60*ISNUMBER(SEARCH(Rules!$E$2:$E$60,$D589)))</f>
        <v>0</v>
      </c>
      <c r="O589" s="0" t="n">
        <f aca="false">SUMPRODUCT((Rules!$A$2:$A$60=O$1)*Rules!$C$2:$C$60*ISNUMBER(SEARCH(Rules!$E$2:$E$60,$D589)))</f>
        <v>0</v>
      </c>
      <c r="P589" s="0" t="n">
        <f aca="false">SUMPRODUCT((Rules!$A$2:$A$60=P$1)*Rules!$C$2:$C$60*ISNUMBER(SEARCH(Rules!$E$2:$E$60,$D589)))</f>
        <v>0</v>
      </c>
      <c r="Q589" s="0" t="n">
        <f aca="false">SUMPRODUCT((Rules!$A$2:$A$60=Q$1)*Rules!$C$2:$C$60*ISNUMBER(SEARCH(Rules!$E$2:$E$60,$D589)))</f>
        <v>2</v>
      </c>
      <c r="R589" s="0" t="str">
        <f aca="false">IF(OR(MAX(L589:Q589)&lt;Rules!$H$1,MAX(L589:Q589)-LARGE(L589:Q589,2)&lt;Rules!$H$2),"No label",INDEX($L$1:$Q$1,MATCH(MAX(L589:Q589),L589:Q589,0)))</f>
        <v>No label</v>
      </c>
      <c r="S589" s="0" t="n">
        <f aca="false">SUMPRODUCT(ISNUMBER(SEARCH(" "&amp;Terms!$A$3:$A$821&amp;" ",$D589))*Terms!B$3:B$821)+Terms!B$2</f>
        <v>-1.50242199277304</v>
      </c>
      <c r="T589" s="0" t="n">
        <f aca="false">SUMPRODUCT(ISNUMBER(SEARCH(" "&amp;Terms!$A$3:$A$821&amp;" ",$D589))*Terms!C$3:C$821)+Terms!C$2</f>
        <v>5.22358403160697</v>
      </c>
      <c r="U589" s="0" t="n">
        <f aca="false">SUMPRODUCT(ISNUMBER(SEARCH(" "&amp;Terms!$A$3:$A$821&amp;" ",$D589))*Terms!D$3:D$821)+Terms!D$2</f>
        <v>-2.39312350515595</v>
      </c>
      <c r="V589" s="0" t="n">
        <f aca="false">SUMPRODUCT(ISNUMBER(SEARCH(" "&amp;Terms!$A$3:$A$821&amp;" ",$D589))*Terms!E$3:E$821)+Terms!E$2</f>
        <v>0.254718041785382</v>
      </c>
      <c r="W589" s="0" t="n">
        <f aca="false">SUMPRODUCT(ISNUMBER(SEARCH(" "&amp;Terms!$A$3:$A$821&amp;" ",$D589))*Terms!F$3:F$821)+Terms!F$2</f>
        <v>-0.288258312672054</v>
      </c>
      <c r="X589" s="0" t="n">
        <f aca="false">SUMPRODUCT(ISNUMBER(SEARCH(" "&amp;Terms!$A$3:$A$821&amp;" ",$D589))*Terms!G$3:G$821)+Terms!G$2</f>
        <v>-1.29449826279123</v>
      </c>
      <c r="Y589" s="0" t="str">
        <f aca="false">INDEX($S$1:$X$1,MATCH(MAX(S589:X589),S589:X589,0))</f>
        <v>Customer Service</v>
      </c>
      <c r="Z589" s="0" t="s">
        <v>2608</v>
      </c>
    </row>
    <row r="590" customFormat="false" ht="15" hidden="false" customHeight="false" outlineLevel="0" collapsed="false">
      <c r="A590" s="0" t="str">
        <f aca="false">Complaints!A590</f>
        <v>C0589</v>
      </c>
      <c r="B590" s="0" t="str">
        <f aca="false">Complaints!B590</f>
        <v>A person pretending to be from your bank phoned me and I gave them details. Please sort this out.</v>
      </c>
      <c r="C590" s="0" t="str">
        <f aca="false">Complaints!C590</f>
        <v>Fraud &amp; Scams</v>
      </c>
      <c r="D590" s="0" t="str">
        <f aca="false">" "&amp;TRIM(SUBSTITUTE(SUBSTITUTE(SUBSTITUTE(SUBSTITUTE(SUBSTITUTE(SUBSTITUTE(SUBSTITUTE(SUBSTITUTE(SUBSTITUTE(SUBSTITUTE(SUBSTITUTE(SUBSTITUTE(SUBSTITUTE(SUBSTITUTE(SUBSTITUTE(SUBSTITUTE(LOWER(B590),"."," "),","," "),"'"," "),"’"," "),"!"," "),"?"," "),";"," "),":"," "),"-"," "),"("," "),")"," "),"""", " "),"£"," "),"&amp;"," "),"/"," "),"%"," "))&amp;" "</f>
        <v> a person pretending to be from your bank phoned me and i gave them details please sort this out </v>
      </c>
      <c r="E590" s="0" t="n">
        <f aca="false">SUMPRODUCT((Rules!$A$2:$A$60=E$1)*Rules!$C$2:$C$60*ISNUMBER(SEARCH(Rules!$D$2:$D$60,$D590)))</f>
        <v>0</v>
      </c>
      <c r="F590" s="0" t="n">
        <f aca="false">SUMPRODUCT((Rules!$A$2:$A$60=F$1)*Rules!$C$2:$C$60*ISNUMBER(SEARCH(Rules!$D$2:$D$60,$D590)))</f>
        <v>0</v>
      </c>
      <c r="G590" s="0" t="n">
        <f aca="false">SUMPRODUCT((Rules!$A$2:$A$60=G$1)*Rules!$C$2:$C$60*ISNUMBER(SEARCH(Rules!$D$2:$D$60,$D590)))</f>
        <v>0</v>
      </c>
      <c r="H590" s="0" t="n">
        <f aca="false">SUMPRODUCT((Rules!$A$2:$A$60=H$1)*Rules!$C$2:$C$60*ISNUMBER(SEARCH(Rules!$D$2:$D$60,$D590)))</f>
        <v>0</v>
      </c>
      <c r="I590" s="0" t="n">
        <f aca="false">SUMPRODUCT((Rules!$A$2:$A$60=I$1)*Rules!$C$2:$C$60*ISNUMBER(SEARCH(Rules!$D$2:$D$60,$D590)))</f>
        <v>0</v>
      </c>
      <c r="J590" s="0" t="n">
        <f aca="false">SUMPRODUCT((Rules!$A$2:$A$60=J$1)*Rules!$C$2:$C$60*ISNUMBER(SEARCH(Rules!$D$2:$D$60,$D590)))</f>
        <v>0</v>
      </c>
      <c r="K590" s="0" t="str">
        <f aca="false">IF(OR(MAX(E590:J590)&lt;Rules!$H$1,MAX(E590:J590)-LARGE(E590:J590,2)&lt;Rules!$H$2),"No label",INDEX($E$1:$J$1,MATCH(MAX(E590:J590),E590:J590,0)))</f>
        <v>No label</v>
      </c>
      <c r="L590" s="0" t="n">
        <f aca="false">SUMPRODUCT((Rules!$A$2:$A$60=L$1)*Rules!$C$2:$C$60*ISNUMBER(SEARCH(Rules!$E$2:$E$60,$D590)))</f>
        <v>0</v>
      </c>
      <c r="M590" s="0" t="n">
        <f aca="false">SUMPRODUCT((Rules!$A$2:$A$60=M$1)*Rules!$C$2:$C$60*ISNUMBER(SEARCH(Rules!$E$2:$E$60,$D590)))</f>
        <v>0</v>
      </c>
      <c r="N590" s="0" t="n">
        <f aca="false">SUMPRODUCT((Rules!$A$2:$A$60=N$1)*Rules!$C$2:$C$60*ISNUMBER(SEARCH(Rules!$E$2:$E$60,$D590)))</f>
        <v>0</v>
      </c>
      <c r="O590" s="0" t="n">
        <f aca="false">SUMPRODUCT((Rules!$A$2:$A$60=O$1)*Rules!$C$2:$C$60*ISNUMBER(SEARCH(Rules!$E$2:$E$60,$D590)))</f>
        <v>0</v>
      </c>
      <c r="P590" s="0" t="n">
        <f aca="false">SUMPRODUCT((Rules!$A$2:$A$60=P$1)*Rules!$C$2:$C$60*ISNUMBER(SEARCH(Rules!$E$2:$E$60,$D590)))</f>
        <v>0</v>
      </c>
      <c r="Q590" s="0" t="n">
        <f aca="false">SUMPRODUCT((Rules!$A$2:$A$60=Q$1)*Rules!$C$2:$C$60*ISNUMBER(SEARCH(Rules!$E$2:$E$60,$D590)))</f>
        <v>0</v>
      </c>
      <c r="R590" s="0" t="str">
        <f aca="false">IF(OR(MAX(L590:Q590)&lt;Rules!$H$1,MAX(L590:Q590)-LARGE(L590:Q590,2)&lt;Rules!$H$2),"No label",INDEX($L$1:$Q$1,MATCH(MAX(L590:Q590),L590:Q590,0)))</f>
        <v>No label</v>
      </c>
      <c r="S590" s="0" t="n">
        <f aca="false">SUMPRODUCT(ISNUMBER(SEARCH(" "&amp;Terms!$A$3:$A$821&amp;" ",$D590))*Terms!B$3:B$821)+Terms!B$2</f>
        <v>-2.58923372273073</v>
      </c>
      <c r="T590" s="0" t="n">
        <f aca="false">SUMPRODUCT(ISNUMBER(SEARCH(" "&amp;Terms!$A$3:$A$821&amp;" ",$D590))*Terms!C$3:C$821)+Terms!C$2</f>
        <v>-1.87837020026345</v>
      </c>
      <c r="U590" s="0" t="n">
        <f aca="false">SUMPRODUCT(ISNUMBER(SEARCH(" "&amp;Terms!$A$3:$A$821&amp;" ",$D590))*Terms!D$3:D$821)+Terms!D$2</f>
        <v>-4.43547129105013</v>
      </c>
      <c r="V590" s="0" t="n">
        <f aca="false">SUMPRODUCT(ISNUMBER(SEARCH(" "&amp;Terms!$A$3:$A$821&amp;" ",$D590))*Terms!E$3:E$821)+Terms!E$2</f>
        <v>-1.07396855090618</v>
      </c>
      <c r="W590" s="0" t="n">
        <f aca="false">SUMPRODUCT(ISNUMBER(SEARCH(" "&amp;Terms!$A$3:$A$821&amp;" ",$D590))*Terms!F$3:F$821)+Terms!F$2</f>
        <v>10.399055257401</v>
      </c>
      <c r="X590" s="0" t="n">
        <f aca="false">SUMPRODUCT(ISNUMBER(SEARCH(" "&amp;Terms!$A$3:$A$821&amp;" ",$D590))*Terms!G$3:G$821)+Terms!G$2</f>
        <v>-0.422011492450401</v>
      </c>
      <c r="Y590" s="0" t="str">
        <f aca="false">INDEX($S$1:$X$1,MATCH(MAX(S590:X590),S590:X590,0))</f>
        <v>Fraud &amp; Scams</v>
      </c>
      <c r="Z590" s="0" t="s">
        <v>2607</v>
      </c>
    </row>
    <row r="591" customFormat="false" ht="15" hidden="false" customHeight="false" outlineLevel="0" collapsed="false">
      <c r="A591" s="0" t="str">
        <f aca="false">Complaints!A591</f>
        <v>C0590</v>
      </c>
      <c r="B591" s="0" t="str">
        <f aca="false">Complaints!B591</f>
        <v>I have been a customer for years. The payment still has not arrived in my account. Also, the pension transfer advice I received was poor and I have lost out.</v>
      </c>
      <c r="C591" s="0" t="str">
        <f aca="false">Complaints!C591</f>
        <v>Delays &amp; Processing</v>
      </c>
      <c r="D591" s="0" t="str">
        <f aca="false">" "&amp;TRIM(SUBSTITUTE(SUBSTITUTE(SUBSTITUTE(SUBSTITUTE(SUBSTITUTE(SUBSTITUTE(SUBSTITUTE(SUBSTITUTE(SUBSTITUTE(SUBSTITUTE(SUBSTITUTE(SUBSTITUTE(SUBSTITUTE(SUBSTITUTE(SUBSTITUTE(SUBSTITUTE(LOWER(B591),"."," "),","," "),"'"," "),"’"," "),"!"," "),"?"," "),";"," "),":"," "),"-"," "),"("," "),")"," "),"""", " "),"£"," "),"&amp;"," "),"/"," "),"%"," "))&amp;" "</f>
        <v> i have been a customer for years the payment still has not arrived in my account also the pension transfer advice i received was poor and i have lost out </v>
      </c>
      <c r="E591" s="0" t="n">
        <f aca="false">SUMPRODUCT((Rules!$A$2:$A$60=E$1)*Rules!$C$2:$C$60*ISNUMBER(SEARCH(Rules!$D$2:$D$60,$D591)))</f>
        <v>0</v>
      </c>
      <c r="F591" s="0" t="n">
        <f aca="false">SUMPRODUCT((Rules!$A$2:$A$60=F$1)*Rules!$C$2:$C$60*ISNUMBER(SEARCH(Rules!$D$2:$D$60,$D591)))</f>
        <v>2</v>
      </c>
      <c r="G591" s="0" t="n">
        <f aca="false">SUMPRODUCT((Rules!$A$2:$A$60=G$1)*Rules!$C$2:$C$60*ISNUMBER(SEARCH(Rules!$D$2:$D$60,$D591)))</f>
        <v>0</v>
      </c>
      <c r="H591" s="0" t="n">
        <f aca="false">SUMPRODUCT((Rules!$A$2:$A$60=H$1)*Rules!$C$2:$C$60*ISNUMBER(SEARCH(Rules!$D$2:$D$60,$D591)))</f>
        <v>0</v>
      </c>
      <c r="I591" s="0" t="n">
        <f aca="false">SUMPRODUCT((Rules!$A$2:$A$60=I$1)*Rules!$C$2:$C$60*ISNUMBER(SEARCH(Rules!$D$2:$D$60,$D591)))</f>
        <v>2</v>
      </c>
      <c r="J591" s="0" t="n">
        <f aca="false">SUMPRODUCT((Rules!$A$2:$A$60=J$1)*Rules!$C$2:$C$60*ISNUMBER(SEARCH(Rules!$D$2:$D$60,$D591)))</f>
        <v>0</v>
      </c>
      <c r="K591" s="0" t="str">
        <f aca="false">IF(OR(MAX(E591:J591)&lt;Rules!$H$1,MAX(E591:J591)-LARGE(E591:J591,2)&lt;Rules!$H$2),"No label",INDEX($E$1:$J$1,MATCH(MAX(E591:J591),E591:J591,0)))</f>
        <v>No label</v>
      </c>
      <c r="L591" s="0" t="n">
        <f aca="false">SUMPRODUCT((Rules!$A$2:$A$60=L$1)*Rules!$C$2:$C$60*ISNUMBER(SEARCH(Rules!$E$2:$E$60,$D591)))</f>
        <v>0</v>
      </c>
      <c r="M591" s="0" t="n">
        <f aca="false">SUMPRODUCT((Rules!$A$2:$A$60=M$1)*Rules!$C$2:$C$60*ISNUMBER(SEARCH(Rules!$E$2:$E$60,$D591)))</f>
        <v>2</v>
      </c>
      <c r="N591" s="0" t="n">
        <f aca="false">SUMPRODUCT((Rules!$A$2:$A$60=N$1)*Rules!$C$2:$C$60*ISNUMBER(SEARCH(Rules!$E$2:$E$60,$D591)))</f>
        <v>0</v>
      </c>
      <c r="O591" s="0" t="n">
        <f aca="false">SUMPRODUCT((Rules!$A$2:$A$60=O$1)*Rules!$C$2:$C$60*ISNUMBER(SEARCH(Rules!$E$2:$E$60,$D591)))</f>
        <v>0</v>
      </c>
      <c r="P591" s="0" t="n">
        <f aca="false">SUMPRODUCT((Rules!$A$2:$A$60=P$1)*Rules!$C$2:$C$60*ISNUMBER(SEARCH(Rules!$E$2:$E$60,$D591)))</f>
        <v>2</v>
      </c>
      <c r="Q591" s="0" t="n">
        <f aca="false">SUMPRODUCT((Rules!$A$2:$A$60=Q$1)*Rules!$C$2:$C$60*ISNUMBER(SEARCH(Rules!$E$2:$E$60,$D591)))</f>
        <v>0</v>
      </c>
      <c r="R591" s="0" t="str">
        <f aca="false">IF(OR(MAX(L591:Q591)&lt;Rules!$H$1,MAX(L591:Q591)-LARGE(L591:Q591,2)&lt;Rules!$H$2),"No label",INDEX($L$1:$Q$1,MATCH(MAX(L591:Q591),L591:Q591,0)))</f>
        <v>No label</v>
      </c>
      <c r="S591" s="0" t="n">
        <f aca="false">SUMPRODUCT(ISNUMBER(SEARCH(" "&amp;Terms!$A$3:$A$821&amp;" ",$D591))*Terms!B$3:B$821)+Terms!B$2</f>
        <v>-1.95470200838171</v>
      </c>
      <c r="T591" s="0" t="n">
        <f aca="false">SUMPRODUCT(ISNUMBER(SEARCH(" "&amp;Terms!$A$3:$A$821&amp;" ",$D591))*Terms!C$3:C$821)+Terms!C$2</f>
        <v>-5.25314165658823</v>
      </c>
      <c r="U591" s="0" t="n">
        <f aca="false">SUMPRODUCT(ISNUMBER(SEARCH(" "&amp;Terms!$A$3:$A$821&amp;" ",$D591))*Terms!D$3:D$821)+Terms!D$2</f>
        <v>9.22526938971792</v>
      </c>
      <c r="V591" s="0" t="n">
        <f aca="false">SUMPRODUCT(ISNUMBER(SEARCH(" "&amp;Terms!$A$3:$A$821&amp;" ",$D591))*Terms!E$3:E$821)+Terms!E$2</f>
        <v>-3.90130154350176</v>
      </c>
      <c r="W591" s="0" t="n">
        <f aca="false">SUMPRODUCT(ISNUMBER(SEARCH(" "&amp;Terms!$A$3:$A$821&amp;" ",$D591))*Terms!F$3:F$821)+Terms!F$2</f>
        <v>-3.36423383992086</v>
      </c>
      <c r="X591" s="0" t="n">
        <f aca="false">SUMPRODUCT(ISNUMBER(SEARCH(" "&amp;Terms!$A$3:$A$821&amp;" ",$D591))*Terms!G$3:G$821)+Terms!G$2</f>
        <v>5.24810965867473</v>
      </c>
      <c r="Y591" s="0" t="str">
        <f aca="false">INDEX($S$1:$X$1,MATCH(MAX(S591:X591),S591:X591,0))</f>
        <v>Delays &amp; Processing</v>
      </c>
      <c r="Z591" s="0" t="s">
        <v>2607</v>
      </c>
    </row>
    <row r="592" customFormat="false" ht="15" hidden="false" customHeight="false" outlineLevel="0" collapsed="false">
      <c r="A592" s="0" t="str">
        <f aca="false">Complaints!A592</f>
        <v>C0591</v>
      </c>
      <c r="B592" s="0" t="str">
        <f aca="false">Complaints!B592</f>
        <v>I am writing to complain. I spent an hur on hold and then the call was cut off. Also, i was advised to take out cover that duplicates what I already had.</v>
      </c>
      <c r="C592" s="0" t="str">
        <f aca="false">Complaints!C592</f>
        <v>Customer Service</v>
      </c>
      <c r="D592" s="0" t="str">
        <f aca="false">" "&amp;TRIM(SUBSTITUTE(SUBSTITUTE(SUBSTITUTE(SUBSTITUTE(SUBSTITUTE(SUBSTITUTE(SUBSTITUTE(SUBSTITUTE(SUBSTITUTE(SUBSTITUTE(SUBSTITUTE(SUBSTITUTE(SUBSTITUTE(SUBSTITUTE(SUBSTITUTE(SUBSTITUTE(LOWER(B592),"."," "),","," "),"'"," "),"’"," "),"!"," "),"?"," "),";"," "),":"," "),"-"," "),"("," "),")"," "),"""", " "),"£"," "),"&amp;"," "),"/"," "),"%"," "))&amp;" "</f>
        <v> i am writing to complain i spent an hur on hold and then the call was cut off also i was advised to take out cover that duplicates what i already had </v>
      </c>
      <c r="E592" s="0" t="n">
        <f aca="false">SUMPRODUCT((Rules!$A$2:$A$60=E$1)*Rules!$C$2:$C$60*ISNUMBER(SEARCH(Rules!$D$2:$D$60,$D592)))</f>
        <v>0</v>
      </c>
      <c r="F592" s="0" t="n">
        <f aca="false">SUMPRODUCT((Rules!$A$2:$A$60=F$1)*Rules!$C$2:$C$60*ISNUMBER(SEARCH(Rules!$D$2:$D$60,$D592)))</f>
        <v>0</v>
      </c>
      <c r="G592" s="0" t="n">
        <f aca="false">SUMPRODUCT((Rules!$A$2:$A$60=G$1)*Rules!$C$2:$C$60*ISNUMBER(SEARCH(Rules!$D$2:$D$60,$D592)))</f>
        <v>0</v>
      </c>
      <c r="H592" s="0" t="n">
        <f aca="false">SUMPRODUCT((Rules!$A$2:$A$60=H$1)*Rules!$C$2:$C$60*ISNUMBER(SEARCH(Rules!$D$2:$D$60,$D592)))</f>
        <v>0</v>
      </c>
      <c r="I592" s="0" t="n">
        <f aca="false">SUMPRODUCT((Rules!$A$2:$A$60=I$1)*Rules!$C$2:$C$60*ISNUMBER(SEARCH(Rules!$D$2:$D$60,$D592)))</f>
        <v>0</v>
      </c>
      <c r="J592" s="0" t="n">
        <f aca="false">SUMPRODUCT((Rules!$A$2:$A$60=J$1)*Rules!$C$2:$C$60*ISNUMBER(SEARCH(Rules!$D$2:$D$60,$D592)))</f>
        <v>3</v>
      </c>
      <c r="K592" s="0" t="str">
        <f aca="false">IF(OR(MAX(E592:J592)&lt;Rules!$H$1,MAX(E592:J592)-LARGE(E592:J592,2)&lt;Rules!$H$2),"No label",INDEX($E$1:$J$1,MATCH(MAX(E592:J592),E592:J592,0)))</f>
        <v>Customer Service</v>
      </c>
      <c r="L592" s="0" t="n">
        <f aca="false">SUMPRODUCT((Rules!$A$2:$A$60=L$1)*Rules!$C$2:$C$60*ISNUMBER(SEARCH(Rules!$E$2:$E$60,$D592)))</f>
        <v>0</v>
      </c>
      <c r="M592" s="0" t="n">
        <f aca="false">SUMPRODUCT((Rules!$A$2:$A$60=M$1)*Rules!$C$2:$C$60*ISNUMBER(SEARCH(Rules!$E$2:$E$60,$D592)))</f>
        <v>4</v>
      </c>
      <c r="N592" s="0" t="n">
        <f aca="false">SUMPRODUCT((Rules!$A$2:$A$60=N$1)*Rules!$C$2:$C$60*ISNUMBER(SEARCH(Rules!$E$2:$E$60,$D592)))</f>
        <v>0</v>
      </c>
      <c r="O592" s="0" t="n">
        <f aca="false">SUMPRODUCT((Rules!$A$2:$A$60=O$1)*Rules!$C$2:$C$60*ISNUMBER(SEARCH(Rules!$E$2:$E$60,$D592)))</f>
        <v>0</v>
      </c>
      <c r="P592" s="0" t="n">
        <f aca="false">SUMPRODUCT((Rules!$A$2:$A$60=P$1)*Rules!$C$2:$C$60*ISNUMBER(SEARCH(Rules!$E$2:$E$60,$D592)))</f>
        <v>0</v>
      </c>
      <c r="Q592" s="0" t="n">
        <f aca="false">SUMPRODUCT((Rules!$A$2:$A$60=Q$1)*Rules!$C$2:$C$60*ISNUMBER(SEARCH(Rules!$E$2:$E$60,$D592)))</f>
        <v>4</v>
      </c>
      <c r="R592" s="0" t="str">
        <f aca="false">IF(OR(MAX(L592:Q592)&lt;Rules!$H$1,MAX(L592:Q592)-LARGE(L592:Q592,2)&lt;Rules!$H$2),"No label",INDEX($L$1:$Q$1,MATCH(MAX(L592:Q592),L592:Q592,0)))</f>
        <v>No label</v>
      </c>
      <c r="S592" s="0" t="n">
        <f aca="false">SUMPRODUCT(ISNUMBER(SEARCH(" "&amp;Terms!$A$3:$A$821&amp;" ",$D592))*Terms!B$3:B$821)+Terms!B$2</f>
        <v>-1.86514505290746</v>
      </c>
      <c r="T592" s="0" t="n">
        <f aca="false">SUMPRODUCT(ISNUMBER(SEARCH(" "&amp;Terms!$A$3:$A$821&amp;" ",$D592))*Terms!C$3:C$821)+Terms!C$2</f>
        <v>5.23024565867342</v>
      </c>
      <c r="U592" s="0" t="n">
        <f aca="false">SUMPRODUCT(ISNUMBER(SEARCH(" "&amp;Terms!$A$3:$A$821&amp;" ",$D592))*Terms!D$3:D$821)+Terms!D$2</f>
        <v>-1.10233871860551</v>
      </c>
      <c r="V592" s="0" t="n">
        <f aca="false">SUMPRODUCT(ISNUMBER(SEARCH(" "&amp;Terms!$A$3:$A$821&amp;" ",$D592))*Terms!E$3:E$821)+Terms!E$2</f>
        <v>-4.77255022948097</v>
      </c>
      <c r="W592" s="0" t="n">
        <f aca="false">SUMPRODUCT(ISNUMBER(SEARCH(" "&amp;Terms!$A$3:$A$821&amp;" ",$D592))*Terms!F$3:F$821)+Terms!F$2</f>
        <v>-2.42353452351612</v>
      </c>
      <c r="X592" s="0" t="n">
        <f aca="false">SUMPRODUCT(ISNUMBER(SEARCH(" "&amp;Terms!$A$3:$A$821&amp;" ",$D592))*Terms!G$3:G$821)+Terms!G$2</f>
        <v>4.93332286583674</v>
      </c>
      <c r="Y592" s="0" t="str">
        <f aca="false">INDEX($S$1:$X$1,MATCH(MAX(S592:X592),S592:X592,0))</f>
        <v>Customer Service</v>
      </c>
      <c r="Z592" s="0" t="s">
        <v>2607</v>
      </c>
    </row>
    <row r="593" customFormat="false" ht="15" hidden="false" customHeight="false" outlineLevel="0" collapsed="false">
      <c r="A593" s="0" t="str">
        <f aca="false">Complaints!A593</f>
        <v>C0592</v>
      </c>
      <c r="B593" s="0" t="str">
        <f aca="false">Complaints!B593</f>
        <v>I have been a customer for years. My card reader stopped working and I cannot approve payments. I also spent ages on hold when I called about it. Please escalate this.</v>
      </c>
      <c r="C593" s="0" t="str">
        <f aca="false">Complaints!C593</f>
        <v>Account Access</v>
      </c>
      <c r="D593" s="0" t="str">
        <f aca="false">" "&amp;TRIM(SUBSTITUTE(SUBSTITUTE(SUBSTITUTE(SUBSTITUTE(SUBSTITUTE(SUBSTITUTE(SUBSTITUTE(SUBSTITUTE(SUBSTITUTE(SUBSTITUTE(SUBSTITUTE(SUBSTITUTE(SUBSTITUTE(SUBSTITUTE(SUBSTITUTE(SUBSTITUTE(LOWER(B593),"."," "),","," "),"'"," "),"’"," "),"!"," "),"?"," "),";"," "),":"," "),"-"," "),"("," "),")"," "),"""", " "),"£"," "),"&amp;"," "),"/"," "),"%"," "))&amp;" "</f>
        <v> i have been a customer for years my card reader stopped working and i cannot approve payments i also spent ages on hold when i called about it please escalate this </v>
      </c>
      <c r="E593" s="0" t="n">
        <f aca="false">SUMPRODUCT((Rules!$A$2:$A$60=E$1)*Rules!$C$2:$C$60*ISNUMBER(SEARCH(Rules!$D$2:$D$60,$D593)))</f>
        <v>0</v>
      </c>
      <c r="F593" s="0" t="n">
        <f aca="false">SUMPRODUCT((Rules!$A$2:$A$60=F$1)*Rules!$C$2:$C$60*ISNUMBER(SEARCH(Rules!$D$2:$D$60,$D593)))</f>
        <v>0</v>
      </c>
      <c r="G593" s="0" t="n">
        <f aca="false">SUMPRODUCT((Rules!$A$2:$A$60=G$1)*Rules!$C$2:$C$60*ISNUMBER(SEARCH(Rules!$D$2:$D$60,$D593)))</f>
        <v>0</v>
      </c>
      <c r="H593" s="0" t="n">
        <f aca="false">SUMPRODUCT((Rules!$A$2:$A$60=H$1)*Rules!$C$2:$C$60*ISNUMBER(SEARCH(Rules!$D$2:$D$60,$D593)))</f>
        <v>0</v>
      </c>
      <c r="I593" s="0" t="n">
        <f aca="false">SUMPRODUCT((Rules!$A$2:$A$60=I$1)*Rules!$C$2:$C$60*ISNUMBER(SEARCH(Rules!$D$2:$D$60,$D593)))</f>
        <v>0</v>
      </c>
      <c r="J593" s="0" t="n">
        <f aca="false">SUMPRODUCT((Rules!$A$2:$A$60=J$1)*Rules!$C$2:$C$60*ISNUMBER(SEARCH(Rules!$D$2:$D$60,$D593)))</f>
        <v>3</v>
      </c>
      <c r="K593" s="0" t="str">
        <f aca="false">IF(OR(MAX(E593:J593)&lt;Rules!$H$1,MAX(E593:J593)-LARGE(E593:J593,2)&lt;Rules!$H$2),"No label",INDEX($E$1:$J$1,MATCH(MAX(E593:J593),E593:J593,0)))</f>
        <v>Customer Service</v>
      </c>
      <c r="L593" s="0" t="n">
        <f aca="false">SUMPRODUCT((Rules!$A$2:$A$60=L$1)*Rules!$C$2:$C$60*ISNUMBER(SEARCH(Rules!$E$2:$E$60,$D593)))</f>
        <v>0</v>
      </c>
      <c r="M593" s="0" t="n">
        <f aca="false">SUMPRODUCT((Rules!$A$2:$A$60=M$1)*Rules!$C$2:$C$60*ISNUMBER(SEARCH(Rules!$E$2:$E$60,$D593)))</f>
        <v>0</v>
      </c>
      <c r="N593" s="0" t="n">
        <f aca="false">SUMPRODUCT((Rules!$A$2:$A$60=N$1)*Rules!$C$2:$C$60*ISNUMBER(SEARCH(Rules!$E$2:$E$60,$D593)))</f>
        <v>0</v>
      </c>
      <c r="O593" s="0" t="n">
        <f aca="false">SUMPRODUCT((Rules!$A$2:$A$60=O$1)*Rules!$C$2:$C$60*ISNUMBER(SEARCH(Rules!$E$2:$E$60,$D593)))</f>
        <v>0</v>
      </c>
      <c r="P593" s="0" t="n">
        <f aca="false">SUMPRODUCT((Rules!$A$2:$A$60=P$1)*Rules!$C$2:$C$60*ISNUMBER(SEARCH(Rules!$E$2:$E$60,$D593)))</f>
        <v>0</v>
      </c>
      <c r="Q593" s="0" t="n">
        <f aca="false">SUMPRODUCT((Rules!$A$2:$A$60=Q$1)*Rules!$C$2:$C$60*ISNUMBER(SEARCH(Rules!$E$2:$E$60,$D593)))</f>
        <v>3</v>
      </c>
      <c r="R593" s="0" t="str">
        <f aca="false">IF(OR(MAX(L593:Q593)&lt;Rules!$H$1,MAX(L593:Q593)-LARGE(L593:Q593,2)&lt;Rules!$H$2),"No label",INDEX($L$1:$Q$1,MATCH(MAX(L593:Q593),L593:Q593,0)))</f>
        <v>Customer Service</v>
      </c>
      <c r="S593" s="0" t="n">
        <f aca="false">SUMPRODUCT(ISNUMBER(SEARCH(" "&amp;Terms!$A$3:$A$821&amp;" ",$D593))*Terms!B$3:B$821)+Terms!B$2</f>
        <v>16.2894572740648</v>
      </c>
      <c r="T593" s="0" t="n">
        <f aca="false">SUMPRODUCT(ISNUMBER(SEARCH(" "&amp;Terms!$A$3:$A$821&amp;" ",$D593))*Terms!C$3:C$821)+Terms!C$2</f>
        <v>2.45453963355089</v>
      </c>
      <c r="U593" s="0" t="n">
        <f aca="false">SUMPRODUCT(ISNUMBER(SEARCH(" "&amp;Terms!$A$3:$A$821&amp;" ",$D593))*Terms!D$3:D$821)+Terms!D$2</f>
        <v>-2.8274794153813</v>
      </c>
      <c r="V593" s="0" t="n">
        <f aca="false">SUMPRODUCT(ISNUMBER(SEARCH(" "&amp;Terms!$A$3:$A$821&amp;" ",$D593))*Terms!E$3:E$821)+Terms!E$2</f>
        <v>-5.95280474446778</v>
      </c>
      <c r="W593" s="0" t="n">
        <f aca="false">SUMPRODUCT(ISNUMBER(SEARCH(" "&amp;Terms!$A$3:$A$821&amp;" ",$D593))*Terms!F$3:F$821)+Terms!F$2</f>
        <v>-2.0675947180567</v>
      </c>
      <c r="X593" s="0" t="n">
        <f aca="false">SUMPRODUCT(ISNUMBER(SEARCH(" "&amp;Terms!$A$3:$A$821&amp;" ",$D593))*Terms!G$3:G$821)+Terms!G$2</f>
        <v>-7.89611802970987</v>
      </c>
      <c r="Y593" s="0" t="str">
        <f aca="false">INDEX($S$1:$X$1,MATCH(MAX(S593:X593),S593:X593,0))</f>
        <v>Account Access</v>
      </c>
      <c r="Z593" s="0" t="s">
        <v>2607</v>
      </c>
    </row>
    <row r="594" customFormat="false" ht="15" hidden="false" customHeight="false" outlineLevel="0" collapsed="false">
      <c r="A594" s="0" t="str">
        <f aca="false">Complaints!A594</f>
        <v>C0593</v>
      </c>
      <c r="B594" s="0" t="str">
        <f aca="false">Complaints!B594</f>
        <v>I am writing to complain. The webchat agent ended the conversation without solving anything. Also, why has my interest rate gone up without notice, it is costing me more every month.</v>
      </c>
      <c r="C594" s="0" t="str">
        <f aca="false">Complaints!C594</f>
        <v>Customer Service</v>
      </c>
      <c r="D594" s="0" t="str">
        <f aca="false">" "&amp;TRIM(SUBSTITUTE(SUBSTITUTE(SUBSTITUTE(SUBSTITUTE(SUBSTITUTE(SUBSTITUTE(SUBSTITUTE(SUBSTITUTE(SUBSTITUTE(SUBSTITUTE(SUBSTITUTE(SUBSTITUTE(SUBSTITUTE(SUBSTITUTE(SUBSTITUTE(SUBSTITUTE(LOWER(B594),"."," "),","," "),"'"," "),"’"," "),"!"," "),"?"," "),";"," "),":"," "),"-"," "),"("," "),")"," "),"""", " "),"£"," "),"&amp;"," "),"/"," "),"%"," "))&amp;" "</f>
        <v> i am writing to complain the webchat agent ended the conversation without solving anything also why has my interest rate gone up without notice it is costing me more every month </v>
      </c>
      <c r="E594" s="0" t="n">
        <f aca="false">SUMPRODUCT((Rules!$A$2:$A$60=E$1)*Rules!$C$2:$C$60*ISNUMBER(SEARCH(Rules!$D$2:$D$60,$D594)))</f>
        <v>0</v>
      </c>
      <c r="F594" s="0" t="n">
        <f aca="false">SUMPRODUCT((Rules!$A$2:$A$60=F$1)*Rules!$C$2:$C$60*ISNUMBER(SEARCH(Rules!$D$2:$D$60,$D594)))</f>
        <v>0</v>
      </c>
      <c r="G594" s="0" t="n">
        <f aca="false">SUMPRODUCT((Rules!$A$2:$A$60=G$1)*Rules!$C$2:$C$60*ISNUMBER(SEARCH(Rules!$D$2:$D$60,$D594)))</f>
        <v>0</v>
      </c>
      <c r="H594" s="0" t="n">
        <f aca="false">SUMPRODUCT((Rules!$A$2:$A$60=H$1)*Rules!$C$2:$C$60*ISNUMBER(SEARCH(Rules!$D$2:$D$60,$D594)))</f>
        <v>2</v>
      </c>
      <c r="I594" s="0" t="n">
        <f aca="false">SUMPRODUCT((Rules!$A$2:$A$60=I$1)*Rules!$C$2:$C$60*ISNUMBER(SEARCH(Rules!$D$2:$D$60,$D594)))</f>
        <v>0</v>
      </c>
      <c r="J594" s="0" t="n">
        <f aca="false">SUMPRODUCT((Rules!$A$2:$A$60=J$1)*Rules!$C$2:$C$60*ISNUMBER(SEARCH(Rules!$D$2:$D$60,$D594)))</f>
        <v>2</v>
      </c>
      <c r="K594" s="0" t="str">
        <f aca="false">IF(OR(MAX(E594:J594)&lt;Rules!$H$1,MAX(E594:J594)-LARGE(E594:J594,2)&lt;Rules!$H$2),"No label",INDEX($E$1:$J$1,MATCH(MAX(E594:J594),E594:J594,0)))</f>
        <v>No label</v>
      </c>
      <c r="L594" s="0" t="n">
        <f aca="false">SUMPRODUCT((Rules!$A$2:$A$60=L$1)*Rules!$C$2:$C$60*ISNUMBER(SEARCH(Rules!$E$2:$E$60,$D594)))</f>
        <v>0</v>
      </c>
      <c r="M594" s="0" t="n">
        <f aca="false">SUMPRODUCT((Rules!$A$2:$A$60=M$1)*Rules!$C$2:$C$60*ISNUMBER(SEARCH(Rules!$E$2:$E$60,$D594)))</f>
        <v>0</v>
      </c>
      <c r="N594" s="0" t="n">
        <f aca="false">SUMPRODUCT((Rules!$A$2:$A$60=N$1)*Rules!$C$2:$C$60*ISNUMBER(SEARCH(Rules!$E$2:$E$60,$D594)))</f>
        <v>0</v>
      </c>
      <c r="O594" s="0" t="n">
        <f aca="false">SUMPRODUCT((Rules!$A$2:$A$60=O$1)*Rules!$C$2:$C$60*ISNUMBER(SEARCH(Rules!$E$2:$E$60,$D594)))</f>
        <v>2</v>
      </c>
      <c r="P594" s="0" t="n">
        <f aca="false">SUMPRODUCT((Rules!$A$2:$A$60=P$1)*Rules!$C$2:$C$60*ISNUMBER(SEARCH(Rules!$E$2:$E$60,$D594)))</f>
        <v>0</v>
      </c>
      <c r="Q594" s="0" t="n">
        <f aca="false">SUMPRODUCT((Rules!$A$2:$A$60=Q$1)*Rules!$C$2:$C$60*ISNUMBER(SEARCH(Rules!$E$2:$E$60,$D594)))</f>
        <v>2</v>
      </c>
      <c r="R594" s="0" t="str">
        <f aca="false">IF(OR(MAX(L594:Q594)&lt;Rules!$H$1,MAX(L594:Q594)-LARGE(L594:Q594,2)&lt;Rules!$H$2),"No label",INDEX($L$1:$Q$1,MATCH(MAX(L594:Q594),L594:Q594,0)))</f>
        <v>No label</v>
      </c>
      <c r="S594" s="0" t="n">
        <f aca="false">SUMPRODUCT(ISNUMBER(SEARCH(" "&amp;Terms!$A$3:$A$821&amp;" ",$D594))*Terms!B$3:B$821)+Terms!B$2</f>
        <v>-2.58296933255895</v>
      </c>
      <c r="T594" s="0" t="n">
        <f aca="false">SUMPRODUCT(ISNUMBER(SEARCH(" "&amp;Terms!$A$3:$A$821&amp;" ",$D594))*Terms!C$3:C$821)+Terms!C$2</f>
        <v>8.33360848610305</v>
      </c>
      <c r="U594" s="0" t="n">
        <f aca="false">SUMPRODUCT(ISNUMBER(SEARCH(" "&amp;Terms!$A$3:$A$821&amp;" ",$D594))*Terms!D$3:D$821)+Terms!D$2</f>
        <v>-0.79801218349013</v>
      </c>
      <c r="V594" s="0" t="n">
        <f aca="false">SUMPRODUCT(ISNUMBER(SEARCH(" "&amp;Terms!$A$3:$A$821&amp;" ",$D594))*Terms!E$3:E$821)+Terms!E$2</f>
        <v>3.29753570620043</v>
      </c>
      <c r="W594" s="0" t="n">
        <f aca="false">SUMPRODUCT(ISNUMBER(SEARCH(" "&amp;Terms!$A$3:$A$821&amp;" ",$D594))*Terms!F$3:F$821)+Terms!F$2</f>
        <v>-3.95719137303928</v>
      </c>
      <c r="X594" s="0" t="n">
        <f aca="false">SUMPRODUCT(ISNUMBER(SEARCH(" "&amp;Terms!$A$3:$A$821&amp;" ",$D594))*Terms!G$3:G$821)+Terms!G$2</f>
        <v>-4.29297130321502</v>
      </c>
      <c r="Y594" s="0" t="str">
        <f aca="false">INDEX($S$1:$X$1,MATCH(MAX(S594:X594),S594:X594,0))</f>
        <v>Customer Service</v>
      </c>
      <c r="Z594" s="0" t="s">
        <v>2608</v>
      </c>
    </row>
    <row r="595" customFormat="false" ht="15" hidden="false" customHeight="false" outlineLevel="0" collapsed="false">
      <c r="A595" s="0" t="str">
        <f aca="false">Complaints!A595</f>
        <v>C0594</v>
      </c>
      <c r="B595" s="0" t="str">
        <f aca="false">Complaints!B595</f>
        <v>I have been a customer for years. My account was frozen and I cannot get in to move money. I expect compensation.</v>
      </c>
      <c r="C595" s="0" t="str">
        <f aca="false">Complaints!C595</f>
        <v>Account Access</v>
      </c>
      <c r="D595" s="0" t="str">
        <f aca="false">" "&amp;TRIM(SUBSTITUTE(SUBSTITUTE(SUBSTITUTE(SUBSTITUTE(SUBSTITUTE(SUBSTITUTE(SUBSTITUTE(SUBSTITUTE(SUBSTITUTE(SUBSTITUTE(SUBSTITUTE(SUBSTITUTE(SUBSTITUTE(SUBSTITUTE(SUBSTITUTE(SUBSTITUTE(LOWER(B595),"."," "),","," "),"'"," "),"’"," "),"!"," "),"?"," "),";"," "),":"," "),"-"," "),"("," "),")"," "),"""", " "),"£"," "),"&amp;"," "),"/"," "),"%"," "))&amp;" "</f>
        <v> i have been a customer for years my account was frozen and i cannot get in to move money i expect compensation </v>
      </c>
      <c r="E595" s="0" t="n">
        <f aca="false">SUMPRODUCT((Rules!$A$2:$A$60=E$1)*Rules!$C$2:$C$60*ISNUMBER(SEARCH(Rules!$D$2:$D$60,$D595)))</f>
        <v>0</v>
      </c>
      <c r="F595" s="0" t="n">
        <f aca="false">SUMPRODUCT((Rules!$A$2:$A$60=F$1)*Rules!$C$2:$C$60*ISNUMBER(SEARCH(Rules!$D$2:$D$60,$D595)))</f>
        <v>0</v>
      </c>
      <c r="G595" s="0" t="n">
        <f aca="false">SUMPRODUCT((Rules!$A$2:$A$60=G$1)*Rules!$C$2:$C$60*ISNUMBER(SEARCH(Rules!$D$2:$D$60,$D595)))</f>
        <v>0</v>
      </c>
      <c r="H595" s="0" t="n">
        <f aca="false">SUMPRODUCT((Rules!$A$2:$A$60=H$1)*Rules!$C$2:$C$60*ISNUMBER(SEARCH(Rules!$D$2:$D$60,$D595)))</f>
        <v>0</v>
      </c>
      <c r="I595" s="0" t="n">
        <f aca="false">SUMPRODUCT((Rules!$A$2:$A$60=I$1)*Rules!$C$2:$C$60*ISNUMBER(SEARCH(Rules!$D$2:$D$60,$D595)))</f>
        <v>0</v>
      </c>
      <c r="J595" s="0" t="n">
        <f aca="false">SUMPRODUCT((Rules!$A$2:$A$60=J$1)*Rules!$C$2:$C$60*ISNUMBER(SEARCH(Rules!$D$2:$D$60,$D595)))</f>
        <v>0</v>
      </c>
      <c r="K595" s="0" t="str">
        <f aca="false">IF(OR(MAX(E595:J595)&lt;Rules!$H$1,MAX(E595:J595)-LARGE(E595:J595,2)&lt;Rules!$H$2),"No label",INDEX($E$1:$J$1,MATCH(MAX(E595:J595),E595:J595,0)))</f>
        <v>No label</v>
      </c>
      <c r="L595" s="0" t="n">
        <f aca="false">SUMPRODUCT((Rules!$A$2:$A$60=L$1)*Rules!$C$2:$C$60*ISNUMBER(SEARCH(Rules!$E$2:$E$60,$D595)))</f>
        <v>0</v>
      </c>
      <c r="M595" s="0" t="n">
        <f aca="false">SUMPRODUCT((Rules!$A$2:$A$60=M$1)*Rules!$C$2:$C$60*ISNUMBER(SEARCH(Rules!$E$2:$E$60,$D595)))</f>
        <v>0</v>
      </c>
      <c r="N595" s="0" t="n">
        <f aca="false">SUMPRODUCT((Rules!$A$2:$A$60=N$1)*Rules!$C$2:$C$60*ISNUMBER(SEARCH(Rules!$E$2:$E$60,$D595)))</f>
        <v>0</v>
      </c>
      <c r="O595" s="0" t="n">
        <f aca="false">SUMPRODUCT((Rules!$A$2:$A$60=O$1)*Rules!$C$2:$C$60*ISNUMBER(SEARCH(Rules!$E$2:$E$60,$D595)))</f>
        <v>0</v>
      </c>
      <c r="P595" s="0" t="n">
        <f aca="false">SUMPRODUCT((Rules!$A$2:$A$60=P$1)*Rules!$C$2:$C$60*ISNUMBER(SEARCH(Rules!$E$2:$E$60,$D595)))</f>
        <v>0</v>
      </c>
      <c r="Q595" s="0" t="n">
        <f aca="false">SUMPRODUCT((Rules!$A$2:$A$60=Q$1)*Rules!$C$2:$C$60*ISNUMBER(SEARCH(Rules!$E$2:$E$60,$D595)))</f>
        <v>0</v>
      </c>
      <c r="R595" s="0" t="str">
        <f aca="false">IF(OR(MAX(L595:Q595)&lt;Rules!$H$1,MAX(L595:Q595)-LARGE(L595:Q595,2)&lt;Rules!$H$2),"No label",INDEX($L$1:$Q$1,MATCH(MAX(L595:Q595),L595:Q595,0)))</f>
        <v>No label</v>
      </c>
      <c r="S595" s="0" t="n">
        <f aca="false">SUMPRODUCT(ISNUMBER(SEARCH(" "&amp;Terms!$A$3:$A$821&amp;" ",$D595))*Terms!B$3:B$821)+Terms!B$2</f>
        <v>8.01018556356868</v>
      </c>
      <c r="T595" s="0" t="n">
        <f aca="false">SUMPRODUCT(ISNUMBER(SEARCH(" "&amp;Terms!$A$3:$A$821&amp;" ",$D595))*Terms!C$3:C$821)+Terms!C$2</f>
        <v>-3.36981251833772</v>
      </c>
      <c r="U595" s="0" t="n">
        <f aca="false">SUMPRODUCT(ISNUMBER(SEARCH(" "&amp;Terms!$A$3:$A$821&amp;" ",$D595))*Terms!D$3:D$821)+Terms!D$2</f>
        <v>0.358747851314692</v>
      </c>
      <c r="V595" s="0" t="n">
        <f aca="false">SUMPRODUCT(ISNUMBER(SEARCH(" "&amp;Terms!$A$3:$A$821&amp;" ",$D595))*Terms!E$3:E$821)+Terms!E$2</f>
        <v>-3.17000046389658</v>
      </c>
      <c r="W595" s="0" t="n">
        <f aca="false">SUMPRODUCT(ISNUMBER(SEARCH(" "&amp;Terms!$A$3:$A$821&amp;" ",$D595))*Terms!F$3:F$821)+Terms!F$2</f>
        <v>1.4808709270476</v>
      </c>
      <c r="X595" s="0" t="n">
        <f aca="false">SUMPRODUCT(ISNUMBER(SEARCH(" "&amp;Terms!$A$3:$A$821&amp;" ",$D595))*Terms!G$3:G$821)+Terms!G$2</f>
        <v>-3.30999135969659</v>
      </c>
      <c r="Y595" s="0" t="str">
        <f aca="false">INDEX($S$1:$X$1,MATCH(MAX(S595:X595),S595:X595,0))</f>
        <v>Account Access</v>
      </c>
      <c r="Z595" s="0" t="s">
        <v>2607</v>
      </c>
    </row>
    <row r="596" customFormat="false" ht="15" hidden="false" customHeight="false" outlineLevel="0" collapsed="false">
      <c r="A596" s="0" t="str">
        <f aca="false">Complaints!A596</f>
        <v>C0595</v>
      </c>
      <c r="B596" s="0" t="str">
        <f aca="false">Complaints!B596</f>
        <v>To whom it may concern, The branch manager would not listen to my concerns. I am worried it might be fraud.</v>
      </c>
      <c r="C596" s="0" t="str">
        <f aca="false">Complaints!C596</f>
        <v>Customer Service</v>
      </c>
      <c r="D596" s="0" t="str">
        <f aca="false">" "&amp;TRIM(SUBSTITUTE(SUBSTITUTE(SUBSTITUTE(SUBSTITUTE(SUBSTITUTE(SUBSTITUTE(SUBSTITUTE(SUBSTITUTE(SUBSTITUTE(SUBSTITUTE(SUBSTITUTE(SUBSTITUTE(SUBSTITUTE(SUBSTITUTE(SUBSTITUTE(SUBSTITUTE(LOWER(B596),"."," "),","," "),"'"," "),"’"," "),"!"," "),"?"," "),";"," "),":"," "),"-"," "),"("," "),")"," "),"""", " "),"£"," "),"&amp;"," "),"/"," "),"%"," "))&amp;" "</f>
        <v> to whom it may concern the branch manager would not listen to my concerns i am worried it might be fraud </v>
      </c>
      <c r="E596" s="0" t="n">
        <f aca="false">SUMPRODUCT((Rules!$A$2:$A$60=E$1)*Rules!$C$2:$C$60*ISNUMBER(SEARCH(Rules!$D$2:$D$60,$D596)))</f>
        <v>3</v>
      </c>
      <c r="F596" s="0" t="n">
        <f aca="false">SUMPRODUCT((Rules!$A$2:$A$60=F$1)*Rules!$C$2:$C$60*ISNUMBER(SEARCH(Rules!$D$2:$D$60,$D596)))</f>
        <v>0</v>
      </c>
      <c r="G596" s="0" t="n">
        <f aca="false">SUMPRODUCT((Rules!$A$2:$A$60=G$1)*Rules!$C$2:$C$60*ISNUMBER(SEARCH(Rules!$D$2:$D$60,$D596)))</f>
        <v>0</v>
      </c>
      <c r="H596" s="0" t="n">
        <f aca="false">SUMPRODUCT((Rules!$A$2:$A$60=H$1)*Rules!$C$2:$C$60*ISNUMBER(SEARCH(Rules!$D$2:$D$60,$D596)))</f>
        <v>0</v>
      </c>
      <c r="I596" s="0" t="n">
        <f aca="false">SUMPRODUCT((Rules!$A$2:$A$60=I$1)*Rules!$C$2:$C$60*ISNUMBER(SEARCH(Rules!$D$2:$D$60,$D596)))</f>
        <v>0</v>
      </c>
      <c r="J596" s="0" t="n">
        <f aca="false">SUMPRODUCT((Rules!$A$2:$A$60=J$1)*Rules!$C$2:$C$60*ISNUMBER(SEARCH(Rules!$D$2:$D$60,$D596)))</f>
        <v>0</v>
      </c>
      <c r="K596" s="0" t="str">
        <f aca="false">IF(OR(MAX(E596:J596)&lt;Rules!$H$1,MAX(E596:J596)-LARGE(E596:J596,2)&lt;Rules!$H$2),"No label",INDEX($E$1:$J$1,MATCH(MAX(E596:J596),E596:J596,0)))</f>
        <v>Fraud &amp; Scams</v>
      </c>
      <c r="L596" s="0" t="n">
        <f aca="false">SUMPRODUCT((Rules!$A$2:$A$60=L$1)*Rules!$C$2:$C$60*ISNUMBER(SEARCH(Rules!$E$2:$E$60,$D596)))</f>
        <v>3</v>
      </c>
      <c r="M596" s="0" t="n">
        <f aca="false">SUMPRODUCT((Rules!$A$2:$A$60=M$1)*Rules!$C$2:$C$60*ISNUMBER(SEARCH(Rules!$E$2:$E$60,$D596)))</f>
        <v>0</v>
      </c>
      <c r="N596" s="0" t="n">
        <f aca="false">SUMPRODUCT((Rules!$A$2:$A$60=N$1)*Rules!$C$2:$C$60*ISNUMBER(SEARCH(Rules!$E$2:$E$60,$D596)))</f>
        <v>0</v>
      </c>
      <c r="O596" s="0" t="n">
        <f aca="false">SUMPRODUCT((Rules!$A$2:$A$60=O$1)*Rules!$C$2:$C$60*ISNUMBER(SEARCH(Rules!$E$2:$E$60,$D596)))</f>
        <v>0</v>
      </c>
      <c r="P596" s="0" t="n">
        <f aca="false">SUMPRODUCT((Rules!$A$2:$A$60=P$1)*Rules!$C$2:$C$60*ISNUMBER(SEARCH(Rules!$E$2:$E$60,$D596)))</f>
        <v>0</v>
      </c>
      <c r="Q596" s="0" t="n">
        <f aca="false">SUMPRODUCT((Rules!$A$2:$A$60=Q$1)*Rules!$C$2:$C$60*ISNUMBER(SEARCH(Rules!$E$2:$E$60,$D596)))</f>
        <v>0</v>
      </c>
      <c r="R596" s="0" t="str">
        <f aca="false">IF(OR(MAX(L596:Q596)&lt;Rules!$H$1,MAX(L596:Q596)-LARGE(L596:Q596,2)&lt;Rules!$H$2),"No label",INDEX($L$1:$Q$1,MATCH(MAX(L596:Q596),L596:Q596,0)))</f>
        <v>Fraud &amp; Scams</v>
      </c>
      <c r="S596" s="0" t="n">
        <f aca="false">SUMPRODUCT(ISNUMBER(SEARCH(" "&amp;Terms!$A$3:$A$821&amp;" ",$D596))*Terms!B$3:B$821)+Terms!B$2</f>
        <v>-0.904048235894987</v>
      </c>
      <c r="T596" s="0" t="n">
        <f aca="false">SUMPRODUCT(ISNUMBER(SEARCH(" "&amp;Terms!$A$3:$A$821&amp;" ",$D596))*Terms!C$3:C$821)+Terms!C$2</f>
        <v>9.85906466468512</v>
      </c>
      <c r="U596" s="0" t="n">
        <f aca="false">SUMPRODUCT(ISNUMBER(SEARCH(" "&amp;Terms!$A$3:$A$821&amp;" ",$D596))*Terms!D$3:D$821)+Terms!D$2</f>
        <v>-3.06048032719632</v>
      </c>
      <c r="V596" s="0" t="n">
        <f aca="false">SUMPRODUCT(ISNUMBER(SEARCH(" "&amp;Terms!$A$3:$A$821&amp;" ",$D596))*Terms!E$3:E$821)+Terms!E$2</f>
        <v>0.321032126290018</v>
      </c>
      <c r="W596" s="0" t="n">
        <f aca="false">SUMPRODUCT(ISNUMBER(SEARCH(" "&amp;Terms!$A$3:$A$821&amp;" ",$D596))*Terms!F$3:F$821)+Terms!F$2</f>
        <v>-2.89082057333376</v>
      </c>
      <c r="X596" s="0" t="n">
        <f aca="false">SUMPRODUCT(ISNUMBER(SEARCH(" "&amp;Terms!$A$3:$A$821&amp;" ",$D596))*Terms!G$3:G$821)+Terms!G$2</f>
        <v>-3.32474765454997</v>
      </c>
      <c r="Y596" s="0" t="str">
        <f aca="false">INDEX($S$1:$X$1,MATCH(MAX(S596:X596),S596:X596,0))</f>
        <v>Customer Service</v>
      </c>
      <c r="Z596" s="0" t="s">
        <v>2607</v>
      </c>
    </row>
    <row r="597" customFormat="false" ht="15" hidden="false" customHeight="false" outlineLevel="0" collapsed="false">
      <c r="A597" s="0" t="str">
        <f aca="false">Complaints!A597</f>
        <v>C0596</v>
      </c>
      <c r="B597" s="0" t="str">
        <f aca="false">Complaints!B597</f>
        <v>Hello, The fraud team closed my case without investigating properly. It has also been taking far too long. Please escalate this.</v>
      </c>
      <c r="C597" s="0" t="str">
        <f aca="false">Complaints!C597</f>
        <v>Fraud &amp; Scams</v>
      </c>
      <c r="D597" s="0" t="str">
        <f aca="false">" "&amp;TRIM(SUBSTITUTE(SUBSTITUTE(SUBSTITUTE(SUBSTITUTE(SUBSTITUTE(SUBSTITUTE(SUBSTITUTE(SUBSTITUTE(SUBSTITUTE(SUBSTITUTE(SUBSTITUTE(SUBSTITUTE(SUBSTITUTE(SUBSTITUTE(SUBSTITUTE(SUBSTITUTE(LOWER(B597),"."," "),","," "),"'"," "),"’"," "),"!"," "),"?"," "),";"," "),":"," "),"-"," "),"("," "),")"," "),"""", " "),"£"," "),"&amp;"," "),"/"," "),"%"," "))&amp;" "</f>
        <v> hello the fraud team closed my case without investigating properly it has also been taking far too long please escalate this </v>
      </c>
      <c r="E597" s="0" t="n">
        <f aca="false">SUMPRODUCT((Rules!$A$2:$A$60=E$1)*Rules!$C$2:$C$60*ISNUMBER(SEARCH(Rules!$D$2:$D$60,$D597)))</f>
        <v>3</v>
      </c>
      <c r="F597" s="0" t="n">
        <f aca="false">SUMPRODUCT((Rules!$A$2:$A$60=F$1)*Rules!$C$2:$C$60*ISNUMBER(SEARCH(Rules!$D$2:$D$60,$D597)))</f>
        <v>0</v>
      </c>
      <c r="G597" s="0" t="n">
        <f aca="false">SUMPRODUCT((Rules!$A$2:$A$60=G$1)*Rules!$C$2:$C$60*ISNUMBER(SEARCH(Rules!$D$2:$D$60,$D597)))</f>
        <v>0</v>
      </c>
      <c r="H597" s="0" t="n">
        <f aca="false">SUMPRODUCT((Rules!$A$2:$A$60=H$1)*Rules!$C$2:$C$60*ISNUMBER(SEARCH(Rules!$D$2:$D$60,$D597)))</f>
        <v>0</v>
      </c>
      <c r="I597" s="0" t="n">
        <f aca="false">SUMPRODUCT((Rules!$A$2:$A$60=I$1)*Rules!$C$2:$C$60*ISNUMBER(SEARCH(Rules!$D$2:$D$60,$D597)))</f>
        <v>0</v>
      </c>
      <c r="J597" s="0" t="n">
        <f aca="false">SUMPRODUCT((Rules!$A$2:$A$60=J$1)*Rules!$C$2:$C$60*ISNUMBER(SEARCH(Rules!$D$2:$D$60,$D597)))</f>
        <v>0</v>
      </c>
      <c r="K597" s="0" t="str">
        <f aca="false">IF(OR(MAX(E597:J597)&lt;Rules!$H$1,MAX(E597:J597)-LARGE(E597:J597,2)&lt;Rules!$H$2),"No label",INDEX($E$1:$J$1,MATCH(MAX(E597:J597),E597:J597,0)))</f>
        <v>Fraud &amp; Scams</v>
      </c>
      <c r="L597" s="0" t="n">
        <f aca="false">SUMPRODUCT((Rules!$A$2:$A$60=L$1)*Rules!$C$2:$C$60*ISNUMBER(SEARCH(Rules!$E$2:$E$60,$D597)))</f>
        <v>3</v>
      </c>
      <c r="M597" s="0" t="n">
        <f aca="false">SUMPRODUCT((Rules!$A$2:$A$60=M$1)*Rules!$C$2:$C$60*ISNUMBER(SEARCH(Rules!$E$2:$E$60,$D597)))</f>
        <v>0</v>
      </c>
      <c r="N597" s="0" t="n">
        <f aca="false">SUMPRODUCT((Rules!$A$2:$A$60=N$1)*Rules!$C$2:$C$60*ISNUMBER(SEARCH(Rules!$E$2:$E$60,$D597)))</f>
        <v>0</v>
      </c>
      <c r="O597" s="0" t="n">
        <f aca="false">SUMPRODUCT((Rules!$A$2:$A$60=O$1)*Rules!$C$2:$C$60*ISNUMBER(SEARCH(Rules!$E$2:$E$60,$D597)))</f>
        <v>0</v>
      </c>
      <c r="P597" s="0" t="n">
        <f aca="false">SUMPRODUCT((Rules!$A$2:$A$60=P$1)*Rules!$C$2:$C$60*ISNUMBER(SEARCH(Rules!$E$2:$E$60,$D597)))</f>
        <v>0</v>
      </c>
      <c r="Q597" s="0" t="n">
        <f aca="false">SUMPRODUCT((Rules!$A$2:$A$60=Q$1)*Rules!$C$2:$C$60*ISNUMBER(SEARCH(Rules!$E$2:$E$60,$D597)))</f>
        <v>0</v>
      </c>
      <c r="R597" s="0" t="str">
        <f aca="false">IF(OR(MAX(L597:Q597)&lt;Rules!$H$1,MAX(L597:Q597)-LARGE(L597:Q597,2)&lt;Rules!$H$2),"No label",INDEX($L$1:$Q$1,MATCH(MAX(L597:Q597),L597:Q597,0)))</f>
        <v>Fraud &amp; Scams</v>
      </c>
      <c r="S597" s="0" t="n">
        <f aca="false">SUMPRODUCT(ISNUMBER(SEARCH(" "&amp;Terms!$A$3:$A$821&amp;" ",$D597))*Terms!B$3:B$821)+Terms!B$2</f>
        <v>-3.80270109387649</v>
      </c>
      <c r="T597" s="0" t="n">
        <f aca="false">SUMPRODUCT(ISNUMBER(SEARCH(" "&amp;Terms!$A$3:$A$821&amp;" ",$D597))*Terms!C$3:C$821)+Terms!C$2</f>
        <v>0.504330348859234</v>
      </c>
      <c r="U597" s="0" t="n">
        <f aca="false">SUMPRODUCT(ISNUMBER(SEARCH(" "&amp;Terms!$A$3:$A$821&amp;" ",$D597))*Terms!D$3:D$821)+Terms!D$2</f>
        <v>-3.35346682077382</v>
      </c>
      <c r="V597" s="0" t="n">
        <f aca="false">SUMPRODUCT(ISNUMBER(SEARCH(" "&amp;Terms!$A$3:$A$821&amp;" ",$D597))*Terms!E$3:E$821)+Terms!E$2</f>
        <v>-1.67479757158632</v>
      </c>
      <c r="W597" s="0" t="n">
        <f aca="false">SUMPRODUCT(ISNUMBER(SEARCH(" "&amp;Terms!$A$3:$A$821&amp;" ",$D597))*Terms!F$3:F$821)+Terms!F$2</f>
        <v>10.4845826422011</v>
      </c>
      <c r="X597" s="0" t="n">
        <f aca="false">SUMPRODUCT(ISNUMBER(SEARCH(" "&amp;Terms!$A$3:$A$821&amp;" ",$D597))*Terms!G$3:G$821)+Terms!G$2</f>
        <v>-2.15794750482364</v>
      </c>
      <c r="Y597" s="0" t="str">
        <f aca="false">INDEX($S$1:$X$1,MATCH(MAX(S597:X597),S597:X597,0))</f>
        <v>Fraud &amp; Scams</v>
      </c>
      <c r="Z597" s="0" t="s">
        <v>2607</v>
      </c>
    </row>
    <row r="598" customFormat="false" ht="15" hidden="false" customHeight="false" outlineLevel="0" collapsed="false">
      <c r="A598" s="0" t="str">
        <f aca="false">Complaints!A598</f>
        <v>C0597</v>
      </c>
      <c r="B598" s="0" t="str">
        <f aca="false">Complaints!B598</f>
        <v>I sent the form twice and it seems to have been lost in the system. Also, two factor codes are not being sent to my phone.</v>
      </c>
      <c r="C598" s="0" t="str">
        <f aca="false">Complaints!C598</f>
        <v>Delays &amp; Processing</v>
      </c>
      <c r="D598" s="0" t="str">
        <f aca="false">" "&amp;TRIM(SUBSTITUTE(SUBSTITUTE(SUBSTITUTE(SUBSTITUTE(SUBSTITUTE(SUBSTITUTE(SUBSTITUTE(SUBSTITUTE(SUBSTITUTE(SUBSTITUTE(SUBSTITUTE(SUBSTITUTE(SUBSTITUTE(SUBSTITUTE(SUBSTITUTE(SUBSTITUTE(LOWER(B598),"."," "),","," "),"'"," "),"’"," "),"!"," "),"?"," "),";"," "),":"," "),"-"," "),"("," "),")"," "),"""", " "),"£"," "),"&amp;"," "),"/"," "),"%"," "))&amp;" "</f>
        <v> i sent the form twice and it seems to have been lost in the system also two factor codes are not being sent to my phone </v>
      </c>
      <c r="E598" s="0" t="n">
        <f aca="false">SUMPRODUCT((Rules!$A$2:$A$60=E$1)*Rules!$C$2:$C$60*ISNUMBER(SEARCH(Rules!$D$2:$D$60,$D598)))</f>
        <v>0</v>
      </c>
      <c r="F598" s="0" t="n">
        <f aca="false">SUMPRODUCT((Rules!$A$2:$A$60=F$1)*Rules!$C$2:$C$60*ISNUMBER(SEARCH(Rules!$D$2:$D$60,$D598)))</f>
        <v>0</v>
      </c>
      <c r="G598" s="0" t="n">
        <f aca="false">SUMPRODUCT((Rules!$A$2:$A$60=G$1)*Rules!$C$2:$C$60*ISNUMBER(SEARCH(Rules!$D$2:$D$60,$D598)))</f>
        <v>3</v>
      </c>
      <c r="H598" s="0" t="n">
        <f aca="false">SUMPRODUCT((Rules!$A$2:$A$60=H$1)*Rules!$C$2:$C$60*ISNUMBER(SEARCH(Rules!$D$2:$D$60,$D598)))</f>
        <v>0</v>
      </c>
      <c r="I598" s="0" t="n">
        <f aca="false">SUMPRODUCT((Rules!$A$2:$A$60=I$1)*Rules!$C$2:$C$60*ISNUMBER(SEARCH(Rules!$D$2:$D$60,$D598)))</f>
        <v>0</v>
      </c>
      <c r="J598" s="0" t="n">
        <f aca="false">SUMPRODUCT((Rules!$A$2:$A$60=J$1)*Rules!$C$2:$C$60*ISNUMBER(SEARCH(Rules!$D$2:$D$60,$D598)))</f>
        <v>0</v>
      </c>
      <c r="K598" s="0" t="str">
        <f aca="false">IF(OR(MAX(E598:J598)&lt;Rules!$H$1,MAX(E598:J598)-LARGE(E598:J598,2)&lt;Rules!$H$2),"No label",INDEX($E$1:$J$1,MATCH(MAX(E598:J598),E598:J598,0)))</f>
        <v>Account Access</v>
      </c>
      <c r="L598" s="0" t="n">
        <f aca="false">SUMPRODUCT((Rules!$A$2:$A$60=L$1)*Rules!$C$2:$C$60*ISNUMBER(SEARCH(Rules!$E$2:$E$60,$D598)))</f>
        <v>0</v>
      </c>
      <c r="M598" s="0" t="n">
        <f aca="false">SUMPRODUCT((Rules!$A$2:$A$60=M$1)*Rules!$C$2:$C$60*ISNUMBER(SEARCH(Rules!$E$2:$E$60,$D598)))</f>
        <v>0</v>
      </c>
      <c r="N598" s="0" t="n">
        <f aca="false">SUMPRODUCT((Rules!$A$2:$A$60=N$1)*Rules!$C$2:$C$60*ISNUMBER(SEARCH(Rules!$E$2:$E$60,$D598)))</f>
        <v>3</v>
      </c>
      <c r="O598" s="0" t="n">
        <f aca="false">SUMPRODUCT((Rules!$A$2:$A$60=O$1)*Rules!$C$2:$C$60*ISNUMBER(SEARCH(Rules!$E$2:$E$60,$D598)))</f>
        <v>0</v>
      </c>
      <c r="P598" s="0" t="n">
        <f aca="false">SUMPRODUCT((Rules!$A$2:$A$60=P$1)*Rules!$C$2:$C$60*ISNUMBER(SEARCH(Rules!$E$2:$E$60,$D598)))</f>
        <v>0</v>
      </c>
      <c r="Q598" s="0" t="n">
        <f aca="false">SUMPRODUCT((Rules!$A$2:$A$60=Q$1)*Rules!$C$2:$C$60*ISNUMBER(SEARCH(Rules!$E$2:$E$60,$D598)))</f>
        <v>0</v>
      </c>
      <c r="R598" s="0" t="str">
        <f aca="false">IF(OR(MAX(L598:Q598)&lt;Rules!$H$1,MAX(L598:Q598)-LARGE(L598:Q598,2)&lt;Rules!$H$2),"No label",INDEX($L$1:$Q$1,MATCH(MAX(L598:Q598),L598:Q598,0)))</f>
        <v>Account Access</v>
      </c>
      <c r="S598" s="0" t="n">
        <f aca="false">SUMPRODUCT(ISNUMBER(SEARCH(" "&amp;Terms!$A$3:$A$821&amp;" ",$D598))*Terms!B$3:B$821)+Terms!B$2</f>
        <v>5.10154642371942</v>
      </c>
      <c r="T598" s="0" t="n">
        <f aca="false">SUMPRODUCT(ISNUMBER(SEARCH(" "&amp;Terms!$A$3:$A$821&amp;" ",$D598))*Terms!C$3:C$821)+Terms!C$2</f>
        <v>-3.49822792214618</v>
      </c>
      <c r="U598" s="0" t="n">
        <f aca="false">SUMPRODUCT(ISNUMBER(SEARCH(" "&amp;Terms!$A$3:$A$821&amp;" ",$D598))*Terms!D$3:D$821)+Terms!D$2</f>
        <v>9.96727976281243</v>
      </c>
      <c r="V598" s="0" t="n">
        <f aca="false">SUMPRODUCT(ISNUMBER(SEARCH(" "&amp;Terms!$A$3:$A$821&amp;" ",$D598))*Terms!E$3:E$821)+Terms!E$2</f>
        <v>-1.11593484432994</v>
      </c>
      <c r="W598" s="0" t="n">
        <f aca="false">SUMPRODUCT(ISNUMBER(SEARCH(" "&amp;Terms!$A$3:$A$821&amp;" ",$D598))*Terms!F$3:F$821)+Terms!F$2</f>
        <v>-7.44708153116925</v>
      </c>
      <c r="X598" s="0" t="n">
        <f aca="false">SUMPRODUCT(ISNUMBER(SEARCH(" "&amp;Terms!$A$3:$A$821&amp;" ",$D598))*Terms!G$3:G$821)+Terms!G$2</f>
        <v>-3.00758188888641</v>
      </c>
      <c r="Y598" s="0" t="str">
        <f aca="false">INDEX($S$1:$X$1,MATCH(MAX(S598:X598),S598:X598,0))</f>
        <v>Delays &amp; Processing</v>
      </c>
      <c r="Z598" s="0" t="s">
        <v>2607</v>
      </c>
    </row>
    <row r="599" customFormat="false" ht="15" hidden="false" customHeight="false" outlineLevel="0" collapsed="false">
      <c r="A599" s="0" t="str">
        <f aca="false">Complaints!A599</f>
        <v>C0598</v>
      </c>
      <c r="B599" s="0" t="str">
        <f aca="false">Complaints!B599</f>
        <v>I think I was the victim of a scam and sent money to a fraudster. I expect compensation.</v>
      </c>
      <c r="C599" s="0" t="str">
        <f aca="false">Complaints!C599</f>
        <v>Fraud &amp; Scams</v>
      </c>
      <c r="D599" s="0" t="str">
        <f aca="false">" "&amp;TRIM(SUBSTITUTE(SUBSTITUTE(SUBSTITUTE(SUBSTITUTE(SUBSTITUTE(SUBSTITUTE(SUBSTITUTE(SUBSTITUTE(SUBSTITUTE(SUBSTITUTE(SUBSTITUTE(SUBSTITUTE(SUBSTITUTE(SUBSTITUTE(SUBSTITUTE(SUBSTITUTE(LOWER(B599),"."," "),","," "),"'"," "),"’"," "),"!"," "),"?"," "),";"," "),":"," "),"-"," "),"("," "),")"," "),"""", " "),"£"," "),"&amp;"," "),"/"," "),"%"," "))&amp;" "</f>
        <v> i think i was the victim of a scam and sent money to a fraudster i expect compensation </v>
      </c>
      <c r="E599" s="0" t="n">
        <f aca="false">SUMPRODUCT((Rules!$A$2:$A$60=E$1)*Rules!$C$2:$C$60*ISNUMBER(SEARCH(Rules!$D$2:$D$60,$D599)))</f>
        <v>6</v>
      </c>
      <c r="F599" s="0" t="n">
        <f aca="false">SUMPRODUCT((Rules!$A$2:$A$60=F$1)*Rules!$C$2:$C$60*ISNUMBER(SEARCH(Rules!$D$2:$D$60,$D599)))</f>
        <v>0</v>
      </c>
      <c r="G599" s="0" t="n">
        <f aca="false">SUMPRODUCT((Rules!$A$2:$A$60=G$1)*Rules!$C$2:$C$60*ISNUMBER(SEARCH(Rules!$D$2:$D$60,$D599)))</f>
        <v>0</v>
      </c>
      <c r="H599" s="0" t="n">
        <f aca="false">SUMPRODUCT((Rules!$A$2:$A$60=H$1)*Rules!$C$2:$C$60*ISNUMBER(SEARCH(Rules!$D$2:$D$60,$D599)))</f>
        <v>0</v>
      </c>
      <c r="I599" s="0" t="n">
        <f aca="false">SUMPRODUCT((Rules!$A$2:$A$60=I$1)*Rules!$C$2:$C$60*ISNUMBER(SEARCH(Rules!$D$2:$D$60,$D599)))</f>
        <v>0</v>
      </c>
      <c r="J599" s="0" t="n">
        <f aca="false">SUMPRODUCT((Rules!$A$2:$A$60=J$1)*Rules!$C$2:$C$60*ISNUMBER(SEARCH(Rules!$D$2:$D$60,$D599)))</f>
        <v>0</v>
      </c>
      <c r="K599" s="0" t="str">
        <f aca="false">IF(OR(MAX(E599:J599)&lt;Rules!$H$1,MAX(E599:J599)-LARGE(E599:J599,2)&lt;Rules!$H$2),"No label",INDEX($E$1:$J$1,MATCH(MAX(E599:J599),E599:J599,0)))</f>
        <v>Fraud &amp; Scams</v>
      </c>
      <c r="L599" s="0" t="n">
        <f aca="false">SUMPRODUCT((Rules!$A$2:$A$60=L$1)*Rules!$C$2:$C$60*ISNUMBER(SEARCH(Rules!$E$2:$E$60,$D599)))</f>
        <v>6</v>
      </c>
      <c r="M599" s="0" t="n">
        <f aca="false">SUMPRODUCT((Rules!$A$2:$A$60=M$1)*Rules!$C$2:$C$60*ISNUMBER(SEARCH(Rules!$E$2:$E$60,$D599)))</f>
        <v>0</v>
      </c>
      <c r="N599" s="0" t="n">
        <f aca="false">SUMPRODUCT((Rules!$A$2:$A$60=N$1)*Rules!$C$2:$C$60*ISNUMBER(SEARCH(Rules!$E$2:$E$60,$D599)))</f>
        <v>0</v>
      </c>
      <c r="O599" s="0" t="n">
        <f aca="false">SUMPRODUCT((Rules!$A$2:$A$60=O$1)*Rules!$C$2:$C$60*ISNUMBER(SEARCH(Rules!$E$2:$E$60,$D599)))</f>
        <v>0</v>
      </c>
      <c r="P599" s="0" t="n">
        <f aca="false">SUMPRODUCT((Rules!$A$2:$A$60=P$1)*Rules!$C$2:$C$60*ISNUMBER(SEARCH(Rules!$E$2:$E$60,$D599)))</f>
        <v>0</v>
      </c>
      <c r="Q599" s="0" t="n">
        <f aca="false">SUMPRODUCT((Rules!$A$2:$A$60=Q$1)*Rules!$C$2:$C$60*ISNUMBER(SEARCH(Rules!$E$2:$E$60,$D599)))</f>
        <v>0</v>
      </c>
      <c r="R599" s="0" t="str">
        <f aca="false">IF(OR(MAX(L599:Q599)&lt;Rules!$H$1,MAX(L599:Q599)-LARGE(L599:Q599,2)&lt;Rules!$H$2),"No label",INDEX($L$1:$Q$1,MATCH(MAX(L599:Q599),L599:Q599,0)))</f>
        <v>Fraud &amp; Scams</v>
      </c>
      <c r="S599" s="0" t="n">
        <f aca="false">SUMPRODUCT(ISNUMBER(SEARCH(" "&amp;Terms!$A$3:$A$821&amp;" ",$D599))*Terms!B$3:B$821)+Terms!B$2</f>
        <v>2.35105654065348</v>
      </c>
      <c r="T599" s="0" t="n">
        <f aca="false">SUMPRODUCT(ISNUMBER(SEARCH(" "&amp;Terms!$A$3:$A$821&amp;" ",$D599))*Terms!C$3:C$821)+Terms!C$2</f>
        <v>-4.83844461075844</v>
      </c>
      <c r="U599" s="0" t="n">
        <f aca="false">SUMPRODUCT(ISNUMBER(SEARCH(" "&amp;Terms!$A$3:$A$821&amp;" ",$D599))*Terms!D$3:D$821)+Terms!D$2</f>
        <v>-1.47355967132218</v>
      </c>
      <c r="V599" s="0" t="n">
        <f aca="false">SUMPRODUCT(ISNUMBER(SEARCH(" "&amp;Terms!$A$3:$A$821&amp;" ",$D599))*Terms!E$3:E$821)+Terms!E$2</f>
        <v>-3.10556645709219</v>
      </c>
      <c r="W599" s="0" t="n">
        <f aca="false">SUMPRODUCT(ISNUMBER(SEARCH(" "&amp;Terms!$A$3:$A$821&amp;" ",$D599))*Terms!F$3:F$821)+Terms!F$2</f>
        <v>10.6476500466001</v>
      </c>
      <c r="X599" s="0" t="n">
        <f aca="false">SUMPRODUCT(ISNUMBER(SEARCH(" "&amp;Terms!$A$3:$A$821&amp;" ",$D599))*Terms!G$3:G$821)+Terms!G$2</f>
        <v>-3.58113584808066</v>
      </c>
      <c r="Y599" s="0" t="str">
        <f aca="false">INDEX($S$1:$X$1,MATCH(MAX(S599:X599),S599:X599,0))</f>
        <v>Fraud &amp; Scams</v>
      </c>
      <c r="Z599" s="0" t="s">
        <v>2608</v>
      </c>
    </row>
    <row r="600" customFormat="false" ht="15" hidden="false" customHeight="false" outlineLevel="0" collapsed="false">
      <c r="A600" s="0" t="str">
        <f aca="false">Complaints!A600</f>
        <v>C0599</v>
      </c>
      <c r="B600" s="0" t="str">
        <f aca="false">Complaints!B600</f>
        <v>To whom it may concern, A person pretending to be from your bank phoned me and I gave them details.</v>
      </c>
      <c r="C600" s="0" t="str">
        <f aca="false">Complaints!C600</f>
        <v>Fraud &amp; Scams</v>
      </c>
      <c r="D600" s="0" t="str">
        <f aca="false">" "&amp;TRIM(SUBSTITUTE(SUBSTITUTE(SUBSTITUTE(SUBSTITUTE(SUBSTITUTE(SUBSTITUTE(SUBSTITUTE(SUBSTITUTE(SUBSTITUTE(SUBSTITUTE(SUBSTITUTE(SUBSTITUTE(SUBSTITUTE(SUBSTITUTE(SUBSTITUTE(SUBSTITUTE(LOWER(B600),"."," "),","," "),"'"," "),"’"," "),"!"," "),"?"," "),";"," "),":"," "),"-"," "),"("," "),")"," "),"""", " "),"£"," "),"&amp;"," "),"/"," "),"%"," "))&amp;" "</f>
        <v> to whom it may concern a person pretending to be from your bank phoned me and i gave them details </v>
      </c>
      <c r="E600" s="0" t="n">
        <f aca="false">SUMPRODUCT((Rules!$A$2:$A$60=E$1)*Rules!$C$2:$C$60*ISNUMBER(SEARCH(Rules!$D$2:$D$60,$D600)))</f>
        <v>0</v>
      </c>
      <c r="F600" s="0" t="n">
        <f aca="false">SUMPRODUCT((Rules!$A$2:$A$60=F$1)*Rules!$C$2:$C$60*ISNUMBER(SEARCH(Rules!$D$2:$D$60,$D600)))</f>
        <v>0</v>
      </c>
      <c r="G600" s="0" t="n">
        <f aca="false">SUMPRODUCT((Rules!$A$2:$A$60=G$1)*Rules!$C$2:$C$60*ISNUMBER(SEARCH(Rules!$D$2:$D$60,$D600)))</f>
        <v>0</v>
      </c>
      <c r="H600" s="0" t="n">
        <f aca="false">SUMPRODUCT((Rules!$A$2:$A$60=H$1)*Rules!$C$2:$C$60*ISNUMBER(SEARCH(Rules!$D$2:$D$60,$D600)))</f>
        <v>0</v>
      </c>
      <c r="I600" s="0" t="n">
        <f aca="false">SUMPRODUCT((Rules!$A$2:$A$60=I$1)*Rules!$C$2:$C$60*ISNUMBER(SEARCH(Rules!$D$2:$D$60,$D600)))</f>
        <v>0</v>
      </c>
      <c r="J600" s="0" t="n">
        <f aca="false">SUMPRODUCT((Rules!$A$2:$A$60=J$1)*Rules!$C$2:$C$60*ISNUMBER(SEARCH(Rules!$D$2:$D$60,$D600)))</f>
        <v>0</v>
      </c>
      <c r="K600" s="0" t="str">
        <f aca="false">IF(OR(MAX(E600:J600)&lt;Rules!$H$1,MAX(E600:J600)-LARGE(E600:J600,2)&lt;Rules!$H$2),"No label",INDEX($E$1:$J$1,MATCH(MAX(E600:J600),E600:J600,0)))</f>
        <v>No label</v>
      </c>
      <c r="L600" s="0" t="n">
        <f aca="false">SUMPRODUCT((Rules!$A$2:$A$60=L$1)*Rules!$C$2:$C$60*ISNUMBER(SEARCH(Rules!$E$2:$E$60,$D600)))</f>
        <v>0</v>
      </c>
      <c r="M600" s="0" t="n">
        <f aca="false">SUMPRODUCT((Rules!$A$2:$A$60=M$1)*Rules!$C$2:$C$60*ISNUMBER(SEARCH(Rules!$E$2:$E$60,$D600)))</f>
        <v>0</v>
      </c>
      <c r="N600" s="0" t="n">
        <f aca="false">SUMPRODUCT((Rules!$A$2:$A$60=N$1)*Rules!$C$2:$C$60*ISNUMBER(SEARCH(Rules!$E$2:$E$60,$D600)))</f>
        <v>0</v>
      </c>
      <c r="O600" s="0" t="n">
        <f aca="false">SUMPRODUCT((Rules!$A$2:$A$60=O$1)*Rules!$C$2:$C$60*ISNUMBER(SEARCH(Rules!$E$2:$E$60,$D600)))</f>
        <v>0</v>
      </c>
      <c r="P600" s="0" t="n">
        <f aca="false">SUMPRODUCT((Rules!$A$2:$A$60=P$1)*Rules!$C$2:$C$60*ISNUMBER(SEARCH(Rules!$E$2:$E$60,$D600)))</f>
        <v>0</v>
      </c>
      <c r="Q600" s="0" t="n">
        <f aca="false">SUMPRODUCT((Rules!$A$2:$A$60=Q$1)*Rules!$C$2:$C$60*ISNUMBER(SEARCH(Rules!$E$2:$E$60,$D600)))</f>
        <v>0</v>
      </c>
      <c r="R600" s="0" t="str">
        <f aca="false">IF(OR(MAX(L600:Q600)&lt;Rules!$H$1,MAX(L600:Q600)-LARGE(L600:Q600,2)&lt;Rules!$H$2),"No label",INDEX($L$1:$Q$1,MATCH(MAX(L600:Q600),L600:Q600,0)))</f>
        <v>No label</v>
      </c>
      <c r="S600" s="0" t="n">
        <f aca="false">SUMPRODUCT(ISNUMBER(SEARCH(" "&amp;Terms!$A$3:$A$821&amp;" ",$D600))*Terms!B$3:B$821)+Terms!B$2</f>
        <v>-0.590904675399377</v>
      </c>
      <c r="T600" s="0" t="n">
        <f aca="false">SUMPRODUCT(ISNUMBER(SEARCH(" "&amp;Terms!$A$3:$A$821&amp;" ",$D600))*Terms!C$3:C$821)+Terms!C$2</f>
        <v>-2.44935382275495</v>
      </c>
      <c r="U600" s="0" t="n">
        <f aca="false">SUMPRODUCT(ISNUMBER(SEARCH(" "&amp;Terms!$A$3:$A$821&amp;" ",$D600))*Terms!D$3:D$821)+Terms!D$2</f>
        <v>-4.98827818380489</v>
      </c>
      <c r="V600" s="0" t="n">
        <f aca="false">SUMPRODUCT(ISNUMBER(SEARCH(" "&amp;Terms!$A$3:$A$821&amp;" ",$D600))*Terms!E$3:E$821)+Terms!E$2</f>
        <v>-1.32358955371178</v>
      </c>
      <c r="W600" s="0" t="n">
        <f aca="false">SUMPRODUCT(ISNUMBER(SEARCH(" "&amp;Terms!$A$3:$A$821&amp;" ",$D600))*Terms!F$3:F$821)+Terms!F$2</f>
        <v>9.79246404754188</v>
      </c>
      <c r="X600" s="0" t="n">
        <f aca="false">SUMPRODUCT(ISNUMBER(SEARCH(" "&amp;Terms!$A$3:$A$821&amp;" ",$D600))*Terms!G$3:G$821)+Terms!G$2</f>
        <v>-0.440337811870801</v>
      </c>
      <c r="Y600" s="0" t="str">
        <f aca="false">INDEX($S$1:$X$1,MATCH(MAX(S600:X600),S600:X600,0))</f>
        <v>Fraud &amp; Scams</v>
      </c>
      <c r="Z600" s="0" t="s">
        <v>2607</v>
      </c>
    </row>
    <row r="601" customFormat="false" ht="15" hidden="false" customHeight="false" outlineLevel="0" collapsed="false">
      <c r="A601" s="0" t="str">
        <f aca="false">Complaints!A601</f>
        <v>C0600</v>
      </c>
      <c r="B601" s="0" t="str">
        <f aca="false">Complaints!B601</f>
        <v>To whom it may concern, I feel I was treated badly because of my age. I could not log in to check either.</v>
      </c>
      <c r="C601" s="0" t="str">
        <f aca="false">Complaints!C601</f>
        <v>Customer Service</v>
      </c>
      <c r="D601" s="0" t="str">
        <f aca="false">" "&amp;TRIM(SUBSTITUTE(SUBSTITUTE(SUBSTITUTE(SUBSTITUTE(SUBSTITUTE(SUBSTITUTE(SUBSTITUTE(SUBSTITUTE(SUBSTITUTE(SUBSTITUTE(SUBSTITUTE(SUBSTITUTE(SUBSTITUTE(SUBSTITUTE(SUBSTITUTE(SUBSTITUTE(LOWER(B601),"."," "),","," "),"'"," "),"’"," "),"!"," "),"?"," "),";"," "),":"," "),"-"," "),"("," "),")"," "),"""", " "),"£"," "),"&amp;"," "),"/"," "),"%"," "))&amp;" "</f>
        <v> to whom it may concern i feel i was treated badly because of my age i could not log in to check either </v>
      </c>
      <c r="E601" s="0" t="n">
        <f aca="false">SUMPRODUCT((Rules!$A$2:$A$60=E$1)*Rules!$C$2:$C$60*ISNUMBER(SEARCH(Rules!$D$2:$D$60,$D601)))</f>
        <v>0</v>
      </c>
      <c r="F601" s="0" t="n">
        <f aca="false">SUMPRODUCT((Rules!$A$2:$A$60=F$1)*Rules!$C$2:$C$60*ISNUMBER(SEARCH(Rules!$D$2:$D$60,$D601)))</f>
        <v>0</v>
      </c>
      <c r="G601" s="0" t="n">
        <f aca="false">SUMPRODUCT((Rules!$A$2:$A$60=G$1)*Rules!$C$2:$C$60*ISNUMBER(SEARCH(Rules!$D$2:$D$60,$D601)))</f>
        <v>3</v>
      </c>
      <c r="H601" s="0" t="n">
        <f aca="false">SUMPRODUCT((Rules!$A$2:$A$60=H$1)*Rules!$C$2:$C$60*ISNUMBER(SEARCH(Rules!$D$2:$D$60,$D601)))</f>
        <v>0</v>
      </c>
      <c r="I601" s="0" t="n">
        <f aca="false">SUMPRODUCT((Rules!$A$2:$A$60=I$1)*Rules!$C$2:$C$60*ISNUMBER(SEARCH(Rules!$D$2:$D$60,$D601)))</f>
        <v>0</v>
      </c>
      <c r="J601" s="0" t="n">
        <f aca="false">SUMPRODUCT((Rules!$A$2:$A$60=J$1)*Rules!$C$2:$C$60*ISNUMBER(SEARCH(Rules!$D$2:$D$60,$D601)))</f>
        <v>3</v>
      </c>
      <c r="K601" s="0" t="str">
        <f aca="false">IF(OR(MAX(E601:J601)&lt;Rules!$H$1,MAX(E601:J601)-LARGE(E601:J601,2)&lt;Rules!$H$2),"No label",INDEX($E$1:$J$1,MATCH(MAX(E601:J601),E601:J601,0)))</f>
        <v>No label</v>
      </c>
      <c r="L601" s="0" t="n">
        <f aca="false">SUMPRODUCT((Rules!$A$2:$A$60=L$1)*Rules!$C$2:$C$60*ISNUMBER(SEARCH(Rules!$E$2:$E$60,$D601)))</f>
        <v>0</v>
      </c>
      <c r="M601" s="0" t="n">
        <f aca="false">SUMPRODUCT((Rules!$A$2:$A$60=M$1)*Rules!$C$2:$C$60*ISNUMBER(SEARCH(Rules!$E$2:$E$60,$D601)))</f>
        <v>0</v>
      </c>
      <c r="N601" s="0" t="n">
        <f aca="false">SUMPRODUCT((Rules!$A$2:$A$60=N$1)*Rules!$C$2:$C$60*ISNUMBER(SEARCH(Rules!$E$2:$E$60,$D601)))</f>
        <v>3</v>
      </c>
      <c r="O601" s="0" t="n">
        <f aca="false">SUMPRODUCT((Rules!$A$2:$A$60=O$1)*Rules!$C$2:$C$60*ISNUMBER(SEARCH(Rules!$E$2:$E$60,$D601)))</f>
        <v>0</v>
      </c>
      <c r="P601" s="0" t="n">
        <f aca="false">SUMPRODUCT((Rules!$A$2:$A$60=P$1)*Rules!$C$2:$C$60*ISNUMBER(SEARCH(Rules!$E$2:$E$60,$D601)))</f>
        <v>0</v>
      </c>
      <c r="Q601" s="0" t="n">
        <f aca="false">SUMPRODUCT((Rules!$A$2:$A$60=Q$1)*Rules!$C$2:$C$60*ISNUMBER(SEARCH(Rules!$E$2:$E$60,$D601)))</f>
        <v>3</v>
      </c>
      <c r="R601" s="0" t="str">
        <f aca="false">IF(OR(MAX(L601:Q601)&lt;Rules!$H$1,MAX(L601:Q601)-LARGE(L601:Q601,2)&lt;Rules!$H$2),"No label",INDEX($L$1:$Q$1,MATCH(MAX(L601:Q601),L601:Q601,0)))</f>
        <v>No label</v>
      </c>
      <c r="S601" s="0" t="n">
        <f aca="false">SUMPRODUCT(ISNUMBER(SEARCH(" "&amp;Terms!$A$3:$A$821&amp;" ",$D601))*Terms!B$3:B$821)+Terms!B$2</f>
        <v>-0.464329396879958</v>
      </c>
      <c r="T601" s="0" t="n">
        <f aca="false">SUMPRODUCT(ISNUMBER(SEARCH(" "&amp;Terms!$A$3:$A$821&amp;" ",$D601))*Terms!C$3:C$821)+Terms!C$2</f>
        <v>8.87556077389568</v>
      </c>
      <c r="U601" s="0" t="n">
        <f aca="false">SUMPRODUCT(ISNUMBER(SEARCH(" "&amp;Terms!$A$3:$A$821&amp;" ",$D601))*Terms!D$3:D$821)+Terms!D$2</f>
        <v>-3.07408186101602</v>
      </c>
      <c r="V601" s="0" t="n">
        <f aca="false">SUMPRODUCT(ISNUMBER(SEARCH(" "&amp;Terms!$A$3:$A$821&amp;" ",$D601))*Terms!E$3:E$821)+Terms!E$2</f>
        <v>-1.74586697369352</v>
      </c>
      <c r="W601" s="0" t="n">
        <f aca="false">SUMPRODUCT(ISNUMBER(SEARCH(" "&amp;Terms!$A$3:$A$821&amp;" ",$D601))*Terms!F$3:F$821)+Terms!F$2</f>
        <v>-2.74771445514517</v>
      </c>
      <c r="X601" s="0" t="n">
        <f aca="false">SUMPRODUCT(ISNUMBER(SEARCH(" "&amp;Terms!$A$3:$A$821&amp;" ",$D601))*Terms!G$3:G$821)+Terms!G$2</f>
        <v>-0.843568087160896</v>
      </c>
      <c r="Y601" s="0" t="str">
        <f aca="false">INDEX($S$1:$X$1,MATCH(MAX(S601:X601),S601:X601,0))</f>
        <v>Customer Service</v>
      </c>
      <c r="Z601" s="0" t="s">
        <v>2607</v>
      </c>
    </row>
    <row r="602" customFormat="false" ht="15" hidden="false" customHeight="false" outlineLevel="0" collapsed="false">
      <c r="A602" s="0" t="str">
        <f aca="false">Complaints!A602</f>
        <v>C0601</v>
      </c>
      <c r="B602" s="0" t="str">
        <f aca="false">Complaints!B602</f>
        <v>I was charged a monthly fee that nobody told me about.</v>
      </c>
      <c r="C602" s="0" t="str">
        <f aca="false">Complaints!C602</f>
        <v>Fees &amp; Charges</v>
      </c>
      <c r="D602" s="0" t="str">
        <f aca="false">" "&amp;TRIM(SUBSTITUTE(SUBSTITUTE(SUBSTITUTE(SUBSTITUTE(SUBSTITUTE(SUBSTITUTE(SUBSTITUTE(SUBSTITUTE(SUBSTITUTE(SUBSTITUTE(SUBSTITUTE(SUBSTITUTE(SUBSTITUTE(SUBSTITUTE(SUBSTITUTE(SUBSTITUTE(LOWER(B602),"."," "),","," "),"'"," "),"’"," "),"!"," "),"?"," "),";"," "),":"," "),"-"," "),"("," "),")"," "),"""", " "),"£"," "),"&amp;"," "),"/"," "),"%"," "))&amp;" "</f>
        <v> i was charged a monthly fee that nobody told me about </v>
      </c>
      <c r="E602" s="0" t="n">
        <f aca="false">SUMPRODUCT((Rules!$A$2:$A$60=E$1)*Rules!$C$2:$C$60*ISNUMBER(SEARCH(Rules!$D$2:$D$60,$D602)))</f>
        <v>0</v>
      </c>
      <c r="F602" s="0" t="n">
        <f aca="false">SUMPRODUCT((Rules!$A$2:$A$60=F$1)*Rules!$C$2:$C$60*ISNUMBER(SEARCH(Rules!$D$2:$D$60,$D602)))</f>
        <v>0</v>
      </c>
      <c r="G602" s="0" t="n">
        <f aca="false">SUMPRODUCT((Rules!$A$2:$A$60=G$1)*Rules!$C$2:$C$60*ISNUMBER(SEARCH(Rules!$D$2:$D$60,$D602)))</f>
        <v>0</v>
      </c>
      <c r="H602" s="0" t="n">
        <f aca="false">SUMPRODUCT((Rules!$A$2:$A$60=H$1)*Rules!$C$2:$C$60*ISNUMBER(SEARCH(Rules!$D$2:$D$60,$D602)))</f>
        <v>4</v>
      </c>
      <c r="I602" s="0" t="n">
        <f aca="false">SUMPRODUCT((Rules!$A$2:$A$60=I$1)*Rules!$C$2:$C$60*ISNUMBER(SEARCH(Rules!$D$2:$D$60,$D602)))</f>
        <v>0</v>
      </c>
      <c r="J602" s="0" t="n">
        <f aca="false">SUMPRODUCT((Rules!$A$2:$A$60=J$1)*Rules!$C$2:$C$60*ISNUMBER(SEARCH(Rules!$D$2:$D$60,$D602)))</f>
        <v>0</v>
      </c>
      <c r="K602" s="0" t="str">
        <f aca="false">IF(OR(MAX(E602:J602)&lt;Rules!$H$1,MAX(E602:J602)-LARGE(E602:J602,2)&lt;Rules!$H$2),"No label",INDEX($E$1:$J$1,MATCH(MAX(E602:J602),E602:J602,0)))</f>
        <v>Fees &amp; Charges</v>
      </c>
      <c r="L602" s="0" t="n">
        <f aca="false">SUMPRODUCT((Rules!$A$2:$A$60=L$1)*Rules!$C$2:$C$60*ISNUMBER(SEARCH(Rules!$E$2:$E$60,$D602)))</f>
        <v>0</v>
      </c>
      <c r="M602" s="0" t="n">
        <f aca="false">SUMPRODUCT((Rules!$A$2:$A$60=M$1)*Rules!$C$2:$C$60*ISNUMBER(SEARCH(Rules!$E$2:$E$60,$D602)))</f>
        <v>0</v>
      </c>
      <c r="N602" s="0" t="n">
        <f aca="false">SUMPRODUCT((Rules!$A$2:$A$60=N$1)*Rules!$C$2:$C$60*ISNUMBER(SEARCH(Rules!$E$2:$E$60,$D602)))</f>
        <v>0</v>
      </c>
      <c r="O602" s="0" t="n">
        <f aca="false">SUMPRODUCT((Rules!$A$2:$A$60=O$1)*Rules!$C$2:$C$60*ISNUMBER(SEARCH(Rules!$E$2:$E$60,$D602)))</f>
        <v>6</v>
      </c>
      <c r="P602" s="0" t="n">
        <f aca="false">SUMPRODUCT((Rules!$A$2:$A$60=P$1)*Rules!$C$2:$C$60*ISNUMBER(SEARCH(Rules!$E$2:$E$60,$D602)))</f>
        <v>0</v>
      </c>
      <c r="Q602" s="0" t="n">
        <f aca="false">SUMPRODUCT((Rules!$A$2:$A$60=Q$1)*Rules!$C$2:$C$60*ISNUMBER(SEARCH(Rules!$E$2:$E$60,$D602)))</f>
        <v>0</v>
      </c>
      <c r="R602" s="0" t="str">
        <f aca="false">IF(OR(MAX(L602:Q602)&lt;Rules!$H$1,MAX(L602:Q602)-LARGE(L602:Q602,2)&lt;Rules!$H$2),"No label",INDEX($L$1:$Q$1,MATCH(MAX(L602:Q602),L602:Q602,0)))</f>
        <v>Fees &amp; Charges</v>
      </c>
      <c r="S602" s="0" t="n">
        <f aca="false">SUMPRODUCT(ISNUMBER(SEARCH(" "&amp;Terms!$A$3:$A$821&amp;" ",$D602))*Terms!B$3:B$821)+Terms!B$2</f>
        <v>-1.92652725999107</v>
      </c>
      <c r="T602" s="0" t="n">
        <f aca="false">SUMPRODUCT(ISNUMBER(SEARCH(" "&amp;Terms!$A$3:$A$821&amp;" ",$D602))*Terms!C$3:C$821)+Terms!C$2</f>
        <v>-4.42654248490078</v>
      </c>
      <c r="U602" s="0" t="n">
        <f aca="false">SUMPRODUCT(ISNUMBER(SEARCH(" "&amp;Terms!$A$3:$A$821&amp;" ",$D602))*Terms!D$3:D$821)+Terms!D$2</f>
        <v>-2.00325292298403</v>
      </c>
      <c r="V602" s="0" t="n">
        <f aca="false">SUMPRODUCT(ISNUMBER(SEARCH(" "&amp;Terms!$A$3:$A$821&amp;" ",$D602))*Terms!E$3:E$821)+Terms!E$2</f>
        <v>11.030262299216</v>
      </c>
      <c r="W602" s="0" t="n">
        <f aca="false">SUMPRODUCT(ISNUMBER(SEARCH(" "&amp;Terms!$A$3:$A$821&amp;" ",$D602))*Terms!F$3:F$821)+Terms!F$2</f>
        <v>-2.40074609088974</v>
      </c>
      <c r="X602" s="0" t="n">
        <f aca="false">SUMPRODUCT(ISNUMBER(SEARCH(" "&amp;Terms!$A$3:$A$821&amp;" ",$D602))*Terms!G$3:G$821)+Terms!G$2</f>
        <v>-0.273193540450274</v>
      </c>
      <c r="Y602" s="0" t="str">
        <f aca="false">INDEX($S$1:$X$1,MATCH(MAX(S602:X602),S602:X602,0))</f>
        <v>Fees &amp; Charges</v>
      </c>
      <c r="Z602" s="0" t="s">
        <v>2607</v>
      </c>
    </row>
    <row r="603" customFormat="false" ht="15" hidden="false" customHeight="false" outlineLevel="0" collapsed="false">
      <c r="A603" s="0" t="str">
        <f aca="false">Complaints!A603</f>
        <v>C0602</v>
      </c>
      <c r="B603" s="0" t="str">
        <f aca="false">Complaints!B603</f>
        <v>I was sold a product that was not suitable for my circumstances. I also spent ages on hold when I called about it. I want this put right.</v>
      </c>
      <c r="C603" s="0" t="str">
        <f aca="false">Complaints!C603</f>
        <v>Mis-selling</v>
      </c>
      <c r="D603" s="0" t="str">
        <f aca="false">" "&amp;TRIM(SUBSTITUTE(SUBSTITUTE(SUBSTITUTE(SUBSTITUTE(SUBSTITUTE(SUBSTITUTE(SUBSTITUTE(SUBSTITUTE(SUBSTITUTE(SUBSTITUTE(SUBSTITUTE(SUBSTITUTE(SUBSTITUTE(SUBSTITUTE(SUBSTITUTE(SUBSTITUTE(LOWER(B603),"."," "),","," "),"'"," "),"’"," "),"!"," "),"?"," "),";"," "),":"," "),"-"," "),"("," "),")"," "),"""", " "),"£"," "),"&amp;"," "),"/"," "),"%"," "))&amp;" "</f>
        <v> i was sold a product that was not suitable for my circumstances i also spent ages on hold when i called about it i want this put right </v>
      </c>
      <c r="E603" s="0" t="n">
        <f aca="false">SUMPRODUCT((Rules!$A$2:$A$60=E$1)*Rules!$C$2:$C$60*ISNUMBER(SEARCH(Rules!$D$2:$D$60,$D603)))</f>
        <v>0</v>
      </c>
      <c r="F603" s="0" t="n">
        <f aca="false">SUMPRODUCT((Rules!$A$2:$A$60=F$1)*Rules!$C$2:$C$60*ISNUMBER(SEARCH(Rules!$D$2:$D$60,$D603)))</f>
        <v>5</v>
      </c>
      <c r="G603" s="0" t="n">
        <f aca="false">SUMPRODUCT((Rules!$A$2:$A$60=G$1)*Rules!$C$2:$C$60*ISNUMBER(SEARCH(Rules!$D$2:$D$60,$D603)))</f>
        <v>0</v>
      </c>
      <c r="H603" s="0" t="n">
        <f aca="false">SUMPRODUCT((Rules!$A$2:$A$60=H$1)*Rules!$C$2:$C$60*ISNUMBER(SEARCH(Rules!$D$2:$D$60,$D603)))</f>
        <v>0</v>
      </c>
      <c r="I603" s="0" t="n">
        <f aca="false">SUMPRODUCT((Rules!$A$2:$A$60=I$1)*Rules!$C$2:$C$60*ISNUMBER(SEARCH(Rules!$D$2:$D$60,$D603)))</f>
        <v>0</v>
      </c>
      <c r="J603" s="0" t="n">
        <f aca="false">SUMPRODUCT((Rules!$A$2:$A$60=J$1)*Rules!$C$2:$C$60*ISNUMBER(SEARCH(Rules!$D$2:$D$60,$D603)))</f>
        <v>3</v>
      </c>
      <c r="K603" s="0" t="str">
        <f aca="false">IF(OR(MAX(E603:J603)&lt;Rules!$H$1,MAX(E603:J603)-LARGE(E603:J603,2)&lt;Rules!$H$2),"No label",INDEX($E$1:$J$1,MATCH(MAX(E603:J603),E603:J603,0)))</f>
        <v>Mis-selling</v>
      </c>
      <c r="L603" s="0" t="n">
        <f aca="false">SUMPRODUCT((Rules!$A$2:$A$60=L$1)*Rules!$C$2:$C$60*ISNUMBER(SEARCH(Rules!$E$2:$E$60,$D603)))</f>
        <v>0</v>
      </c>
      <c r="M603" s="0" t="n">
        <f aca="false">SUMPRODUCT((Rules!$A$2:$A$60=M$1)*Rules!$C$2:$C$60*ISNUMBER(SEARCH(Rules!$E$2:$E$60,$D603)))</f>
        <v>5</v>
      </c>
      <c r="N603" s="0" t="n">
        <f aca="false">SUMPRODUCT((Rules!$A$2:$A$60=N$1)*Rules!$C$2:$C$60*ISNUMBER(SEARCH(Rules!$E$2:$E$60,$D603)))</f>
        <v>0</v>
      </c>
      <c r="O603" s="0" t="n">
        <f aca="false">SUMPRODUCT((Rules!$A$2:$A$60=O$1)*Rules!$C$2:$C$60*ISNUMBER(SEARCH(Rules!$E$2:$E$60,$D603)))</f>
        <v>0</v>
      </c>
      <c r="P603" s="0" t="n">
        <f aca="false">SUMPRODUCT((Rules!$A$2:$A$60=P$1)*Rules!$C$2:$C$60*ISNUMBER(SEARCH(Rules!$E$2:$E$60,$D603)))</f>
        <v>0</v>
      </c>
      <c r="Q603" s="0" t="n">
        <f aca="false">SUMPRODUCT((Rules!$A$2:$A$60=Q$1)*Rules!$C$2:$C$60*ISNUMBER(SEARCH(Rules!$E$2:$E$60,$D603)))</f>
        <v>3</v>
      </c>
      <c r="R603" s="0" t="str">
        <f aca="false">IF(OR(MAX(L603:Q603)&lt;Rules!$H$1,MAX(L603:Q603)-LARGE(L603:Q603,2)&lt;Rules!$H$2),"No label",INDEX($L$1:$Q$1,MATCH(MAX(L603:Q603),L603:Q603,0)))</f>
        <v>Mis-selling</v>
      </c>
      <c r="S603" s="0" t="n">
        <f aca="false">SUMPRODUCT(ISNUMBER(SEARCH(" "&amp;Terms!$A$3:$A$821&amp;" ",$D603))*Terms!B$3:B$821)+Terms!B$2</f>
        <v>-2.58838765369907</v>
      </c>
      <c r="T603" s="0" t="n">
        <f aca="false">SUMPRODUCT(ISNUMBER(SEARCH(" "&amp;Terms!$A$3:$A$821&amp;" ",$D603))*Terms!C$3:C$821)+Terms!C$2</f>
        <v>-1.82431395918072</v>
      </c>
      <c r="U603" s="0" t="n">
        <f aca="false">SUMPRODUCT(ISNUMBER(SEARCH(" "&amp;Terms!$A$3:$A$821&amp;" ",$D603))*Terms!D$3:D$821)+Terms!D$2</f>
        <v>-1.52420911079453</v>
      </c>
      <c r="V603" s="0" t="n">
        <f aca="false">SUMPRODUCT(ISNUMBER(SEARCH(" "&amp;Terms!$A$3:$A$821&amp;" ",$D603))*Terms!E$3:E$821)+Terms!E$2</f>
        <v>-1.03417232087338</v>
      </c>
      <c r="W603" s="0" t="n">
        <f aca="false">SUMPRODUCT(ISNUMBER(SEARCH(" "&amp;Terms!$A$3:$A$821&amp;" ",$D603))*Terms!F$3:F$821)+Terms!F$2</f>
        <v>-0.21877267711312</v>
      </c>
      <c r="X603" s="0" t="n">
        <f aca="false">SUMPRODUCT(ISNUMBER(SEARCH(" "&amp;Terms!$A$3:$A$821&amp;" ",$D603))*Terms!G$3:G$821)+Terms!G$2</f>
        <v>7.18985572166092</v>
      </c>
      <c r="Y603" s="0" t="str">
        <f aca="false">INDEX($S$1:$X$1,MATCH(MAX(S603:X603),S603:X603,0))</f>
        <v>Mis-selling</v>
      </c>
      <c r="Z603" s="0" t="s">
        <v>2607</v>
      </c>
    </row>
    <row r="604" customFormat="false" ht="15" hidden="false" customHeight="false" outlineLevel="0" collapsed="false">
      <c r="A604" s="0" t="str">
        <f aca="false">Complaints!A604</f>
        <v>C0603</v>
      </c>
      <c r="B604" s="0" t="str">
        <f aca="false">Complaints!B604</f>
        <v>To whom it may concern, I feel I was treated badly because of my age.</v>
      </c>
      <c r="C604" s="0" t="str">
        <f aca="false">Complaints!C604</f>
        <v>Customer Service</v>
      </c>
      <c r="D604" s="0" t="str">
        <f aca="false">" "&amp;TRIM(SUBSTITUTE(SUBSTITUTE(SUBSTITUTE(SUBSTITUTE(SUBSTITUTE(SUBSTITUTE(SUBSTITUTE(SUBSTITUTE(SUBSTITUTE(SUBSTITUTE(SUBSTITUTE(SUBSTITUTE(SUBSTITUTE(SUBSTITUTE(SUBSTITUTE(SUBSTITUTE(LOWER(B604),"."," "),","," "),"'"," "),"’"," "),"!"," "),"?"," "),";"," "),":"," "),"-"," "),"("," "),")"," "),"""", " "),"£"," "),"&amp;"," "),"/"," "),"%"," "))&amp;" "</f>
        <v> to whom it may concern i feel i was treated badly because of my age </v>
      </c>
      <c r="E604" s="0" t="n">
        <f aca="false">SUMPRODUCT((Rules!$A$2:$A$60=E$1)*Rules!$C$2:$C$60*ISNUMBER(SEARCH(Rules!$D$2:$D$60,$D604)))</f>
        <v>0</v>
      </c>
      <c r="F604" s="0" t="n">
        <f aca="false">SUMPRODUCT((Rules!$A$2:$A$60=F$1)*Rules!$C$2:$C$60*ISNUMBER(SEARCH(Rules!$D$2:$D$60,$D604)))</f>
        <v>0</v>
      </c>
      <c r="G604" s="0" t="n">
        <f aca="false">SUMPRODUCT((Rules!$A$2:$A$60=G$1)*Rules!$C$2:$C$60*ISNUMBER(SEARCH(Rules!$D$2:$D$60,$D604)))</f>
        <v>0</v>
      </c>
      <c r="H604" s="0" t="n">
        <f aca="false">SUMPRODUCT((Rules!$A$2:$A$60=H$1)*Rules!$C$2:$C$60*ISNUMBER(SEARCH(Rules!$D$2:$D$60,$D604)))</f>
        <v>0</v>
      </c>
      <c r="I604" s="0" t="n">
        <f aca="false">SUMPRODUCT((Rules!$A$2:$A$60=I$1)*Rules!$C$2:$C$60*ISNUMBER(SEARCH(Rules!$D$2:$D$60,$D604)))</f>
        <v>0</v>
      </c>
      <c r="J604" s="0" t="n">
        <f aca="false">SUMPRODUCT((Rules!$A$2:$A$60=J$1)*Rules!$C$2:$C$60*ISNUMBER(SEARCH(Rules!$D$2:$D$60,$D604)))</f>
        <v>3</v>
      </c>
      <c r="K604" s="0" t="str">
        <f aca="false">IF(OR(MAX(E604:J604)&lt;Rules!$H$1,MAX(E604:J604)-LARGE(E604:J604,2)&lt;Rules!$H$2),"No label",INDEX($E$1:$J$1,MATCH(MAX(E604:J604),E604:J604,0)))</f>
        <v>Customer Service</v>
      </c>
      <c r="L604" s="0" t="n">
        <f aca="false">SUMPRODUCT((Rules!$A$2:$A$60=L$1)*Rules!$C$2:$C$60*ISNUMBER(SEARCH(Rules!$E$2:$E$60,$D604)))</f>
        <v>0</v>
      </c>
      <c r="M604" s="0" t="n">
        <f aca="false">SUMPRODUCT((Rules!$A$2:$A$60=M$1)*Rules!$C$2:$C$60*ISNUMBER(SEARCH(Rules!$E$2:$E$60,$D604)))</f>
        <v>0</v>
      </c>
      <c r="N604" s="0" t="n">
        <f aca="false">SUMPRODUCT((Rules!$A$2:$A$60=N$1)*Rules!$C$2:$C$60*ISNUMBER(SEARCH(Rules!$E$2:$E$60,$D604)))</f>
        <v>0</v>
      </c>
      <c r="O604" s="0" t="n">
        <f aca="false">SUMPRODUCT((Rules!$A$2:$A$60=O$1)*Rules!$C$2:$C$60*ISNUMBER(SEARCH(Rules!$E$2:$E$60,$D604)))</f>
        <v>0</v>
      </c>
      <c r="P604" s="0" t="n">
        <f aca="false">SUMPRODUCT((Rules!$A$2:$A$60=P$1)*Rules!$C$2:$C$60*ISNUMBER(SEARCH(Rules!$E$2:$E$60,$D604)))</f>
        <v>0</v>
      </c>
      <c r="Q604" s="0" t="n">
        <f aca="false">SUMPRODUCT((Rules!$A$2:$A$60=Q$1)*Rules!$C$2:$C$60*ISNUMBER(SEARCH(Rules!$E$2:$E$60,$D604)))</f>
        <v>3</v>
      </c>
      <c r="R604" s="0" t="str">
        <f aca="false">IF(OR(MAX(L604:Q604)&lt;Rules!$H$1,MAX(L604:Q604)-LARGE(L604:Q604,2)&lt;Rules!$H$2),"No label",INDEX($L$1:$Q$1,MATCH(MAX(L604:Q604),L604:Q604,0)))</f>
        <v>Customer Service</v>
      </c>
      <c r="S604" s="0" t="n">
        <f aca="false">SUMPRODUCT(ISNUMBER(SEARCH(" "&amp;Terms!$A$3:$A$821&amp;" ",$D604))*Terms!B$3:B$821)+Terms!B$2</f>
        <v>-0.160048189568416</v>
      </c>
      <c r="T604" s="0" t="n">
        <f aca="false">SUMPRODUCT(ISNUMBER(SEARCH(" "&amp;Terms!$A$3:$A$821&amp;" ",$D604))*Terms!C$3:C$821)+Terms!C$2</f>
        <v>9.05701451506891</v>
      </c>
      <c r="U604" s="0" t="n">
        <f aca="false">SUMPRODUCT(ISNUMBER(SEARCH(" "&amp;Terms!$A$3:$A$821&amp;" ",$D604))*Terms!D$3:D$821)+Terms!D$2</f>
        <v>-3.55840080994149</v>
      </c>
      <c r="V604" s="0" t="n">
        <f aca="false">SUMPRODUCT(ISNUMBER(SEARCH(" "&amp;Terms!$A$3:$A$821&amp;" ",$D604))*Terms!E$3:E$821)+Terms!E$2</f>
        <v>-2.07200730566966</v>
      </c>
      <c r="W604" s="0" t="n">
        <f aca="false">SUMPRODUCT(ISNUMBER(SEARCH(" "&amp;Terms!$A$3:$A$821&amp;" ",$D604))*Terms!F$3:F$821)+Terms!F$2</f>
        <v>-2.35500516608464</v>
      </c>
      <c r="X604" s="0" t="n">
        <f aca="false">SUMPRODUCT(ISNUMBER(SEARCH(" "&amp;Terms!$A$3:$A$821&amp;" ",$D604))*Terms!G$3:G$821)+Terms!G$2</f>
        <v>-0.911553043804585</v>
      </c>
      <c r="Y604" s="0" t="str">
        <f aca="false">INDEX($S$1:$X$1,MATCH(MAX(S604:X604),S604:X604,0))</f>
        <v>Customer Service</v>
      </c>
      <c r="Z604" s="0" t="s">
        <v>2608</v>
      </c>
    </row>
    <row r="605" customFormat="false" ht="15" hidden="false" customHeight="false" outlineLevel="0" collapsed="false">
      <c r="A605" s="0" t="str">
        <f aca="false">Complaints!A605</f>
        <v>C0604</v>
      </c>
      <c r="B605" s="0" t="str">
        <f aca="false">Complaints!B605</f>
        <v>I have been a customer for years. My account was frozen and I cannot get in to move money. It has also been taking far too long. I expect compensation.</v>
      </c>
      <c r="C605" s="0" t="str">
        <f aca="false">Complaints!C605</f>
        <v>Account Access</v>
      </c>
      <c r="D605" s="0" t="str">
        <f aca="false">" "&amp;TRIM(SUBSTITUTE(SUBSTITUTE(SUBSTITUTE(SUBSTITUTE(SUBSTITUTE(SUBSTITUTE(SUBSTITUTE(SUBSTITUTE(SUBSTITUTE(SUBSTITUTE(SUBSTITUTE(SUBSTITUTE(SUBSTITUTE(SUBSTITUTE(SUBSTITUTE(SUBSTITUTE(LOWER(B605),"."," "),","," "),"'"," "),"’"," "),"!"," "),"?"," "),";"," "),":"," "),"-"," "),"("," "),")"," "),"""", " "),"£"," "),"&amp;"," "),"/"," "),"%"," "))&amp;" "</f>
        <v> i have been a customer for years my account was frozen and i cannot get in to move money it has also been taking far too long i expect compensation </v>
      </c>
      <c r="E605" s="0" t="n">
        <f aca="false">SUMPRODUCT((Rules!$A$2:$A$60=E$1)*Rules!$C$2:$C$60*ISNUMBER(SEARCH(Rules!$D$2:$D$60,$D605)))</f>
        <v>0</v>
      </c>
      <c r="F605" s="0" t="n">
        <f aca="false">SUMPRODUCT((Rules!$A$2:$A$60=F$1)*Rules!$C$2:$C$60*ISNUMBER(SEARCH(Rules!$D$2:$D$60,$D605)))</f>
        <v>0</v>
      </c>
      <c r="G605" s="0" t="n">
        <f aca="false">SUMPRODUCT((Rules!$A$2:$A$60=G$1)*Rules!$C$2:$C$60*ISNUMBER(SEARCH(Rules!$D$2:$D$60,$D605)))</f>
        <v>0</v>
      </c>
      <c r="H605" s="0" t="n">
        <f aca="false">SUMPRODUCT((Rules!$A$2:$A$60=H$1)*Rules!$C$2:$C$60*ISNUMBER(SEARCH(Rules!$D$2:$D$60,$D605)))</f>
        <v>0</v>
      </c>
      <c r="I605" s="0" t="n">
        <f aca="false">SUMPRODUCT((Rules!$A$2:$A$60=I$1)*Rules!$C$2:$C$60*ISNUMBER(SEARCH(Rules!$D$2:$D$60,$D605)))</f>
        <v>0</v>
      </c>
      <c r="J605" s="0" t="n">
        <f aca="false">SUMPRODUCT((Rules!$A$2:$A$60=J$1)*Rules!$C$2:$C$60*ISNUMBER(SEARCH(Rules!$D$2:$D$60,$D605)))</f>
        <v>0</v>
      </c>
      <c r="K605" s="0" t="str">
        <f aca="false">IF(OR(MAX(E605:J605)&lt;Rules!$H$1,MAX(E605:J605)-LARGE(E605:J605,2)&lt;Rules!$H$2),"No label",INDEX($E$1:$J$1,MATCH(MAX(E605:J605),E605:J605,0)))</f>
        <v>No label</v>
      </c>
      <c r="L605" s="0" t="n">
        <f aca="false">SUMPRODUCT((Rules!$A$2:$A$60=L$1)*Rules!$C$2:$C$60*ISNUMBER(SEARCH(Rules!$E$2:$E$60,$D605)))</f>
        <v>0</v>
      </c>
      <c r="M605" s="0" t="n">
        <f aca="false">SUMPRODUCT((Rules!$A$2:$A$60=M$1)*Rules!$C$2:$C$60*ISNUMBER(SEARCH(Rules!$E$2:$E$60,$D605)))</f>
        <v>0</v>
      </c>
      <c r="N605" s="0" t="n">
        <f aca="false">SUMPRODUCT((Rules!$A$2:$A$60=N$1)*Rules!$C$2:$C$60*ISNUMBER(SEARCH(Rules!$E$2:$E$60,$D605)))</f>
        <v>0</v>
      </c>
      <c r="O605" s="0" t="n">
        <f aca="false">SUMPRODUCT((Rules!$A$2:$A$60=O$1)*Rules!$C$2:$C$60*ISNUMBER(SEARCH(Rules!$E$2:$E$60,$D605)))</f>
        <v>0</v>
      </c>
      <c r="P605" s="0" t="n">
        <f aca="false">SUMPRODUCT((Rules!$A$2:$A$60=P$1)*Rules!$C$2:$C$60*ISNUMBER(SEARCH(Rules!$E$2:$E$60,$D605)))</f>
        <v>0</v>
      </c>
      <c r="Q605" s="0" t="n">
        <f aca="false">SUMPRODUCT((Rules!$A$2:$A$60=Q$1)*Rules!$C$2:$C$60*ISNUMBER(SEARCH(Rules!$E$2:$E$60,$D605)))</f>
        <v>0</v>
      </c>
      <c r="R605" s="0" t="str">
        <f aca="false">IF(OR(MAX(L605:Q605)&lt;Rules!$H$1,MAX(L605:Q605)-LARGE(L605:Q605,2)&lt;Rules!$H$2),"No label",INDEX($L$1:$Q$1,MATCH(MAX(L605:Q605),L605:Q605,0)))</f>
        <v>No label</v>
      </c>
      <c r="S605" s="0" t="n">
        <f aca="false">SUMPRODUCT(ISNUMBER(SEARCH(" "&amp;Terms!$A$3:$A$821&amp;" ",$D605))*Terms!B$3:B$821)+Terms!B$2</f>
        <v>7.25608345548588</v>
      </c>
      <c r="T605" s="0" t="n">
        <f aca="false">SUMPRODUCT(ISNUMBER(SEARCH(" "&amp;Terms!$A$3:$A$821&amp;" ",$D605))*Terms!C$3:C$821)+Terms!C$2</f>
        <v>-3.2109210642835</v>
      </c>
      <c r="U605" s="0" t="n">
        <f aca="false">SUMPRODUCT(ISNUMBER(SEARCH(" "&amp;Terms!$A$3:$A$821&amp;" ",$D605))*Terms!D$3:D$821)+Terms!D$2</f>
        <v>0.903628503234937</v>
      </c>
      <c r="V605" s="0" t="n">
        <f aca="false">SUMPRODUCT(ISNUMBER(SEARCH(" "&amp;Terms!$A$3:$A$821&amp;" ",$D605))*Terms!E$3:E$821)+Terms!E$2</f>
        <v>-2.4763736871139</v>
      </c>
      <c r="W605" s="0" t="n">
        <f aca="false">SUMPRODUCT(ISNUMBER(SEARCH(" "&amp;Terms!$A$3:$A$821&amp;" ",$D605))*Terms!F$3:F$821)+Terms!F$2</f>
        <v>1.39219694523458</v>
      </c>
      <c r="X605" s="0" t="n">
        <f aca="false">SUMPRODUCT(ISNUMBER(SEARCH(" "&amp;Terms!$A$3:$A$821&amp;" ",$D605))*Terms!G$3:G$821)+Terms!G$2</f>
        <v>-3.86461415255792</v>
      </c>
      <c r="Y605" s="0" t="str">
        <f aca="false">INDEX($S$1:$X$1,MATCH(MAX(S605:X605),S605:X605,0))</f>
        <v>Account Access</v>
      </c>
      <c r="Z605" s="0" t="s">
        <v>2607</v>
      </c>
    </row>
    <row r="606" customFormat="false" ht="15" hidden="false" customHeight="false" outlineLevel="0" collapsed="false">
      <c r="A606" s="0" t="str">
        <f aca="false">Complaints!A606</f>
        <v>C0605</v>
      </c>
      <c r="B606" s="0" t="str">
        <f aca="false">Complaints!B606</f>
        <v>To whom it may concern, I cannot log in to the mobile app since the update.</v>
      </c>
      <c r="C606" s="0" t="str">
        <f aca="false">Complaints!C606</f>
        <v>Account Access</v>
      </c>
      <c r="D606" s="0" t="str">
        <f aca="false">" "&amp;TRIM(SUBSTITUTE(SUBSTITUTE(SUBSTITUTE(SUBSTITUTE(SUBSTITUTE(SUBSTITUTE(SUBSTITUTE(SUBSTITUTE(SUBSTITUTE(SUBSTITUTE(SUBSTITUTE(SUBSTITUTE(SUBSTITUTE(SUBSTITUTE(SUBSTITUTE(SUBSTITUTE(LOWER(B606),"."," "),","," "),"'"," "),"’"," "),"!"," "),"?"," "),";"," "),":"," "),"-"," "),"("," "),")"," "),"""", " "),"£"," "),"&amp;"," "),"/"," "),"%"," "))&amp;" "</f>
        <v> to whom it may concern i cannot log in to the mobile app since the update </v>
      </c>
      <c r="E606" s="0" t="n">
        <f aca="false">SUMPRODUCT((Rules!$A$2:$A$60=E$1)*Rules!$C$2:$C$60*ISNUMBER(SEARCH(Rules!$D$2:$D$60,$D606)))</f>
        <v>0</v>
      </c>
      <c r="F606" s="0" t="n">
        <f aca="false">SUMPRODUCT((Rules!$A$2:$A$60=F$1)*Rules!$C$2:$C$60*ISNUMBER(SEARCH(Rules!$D$2:$D$60,$D606)))</f>
        <v>0</v>
      </c>
      <c r="G606" s="0" t="n">
        <f aca="false">SUMPRODUCT((Rules!$A$2:$A$60=G$1)*Rules!$C$2:$C$60*ISNUMBER(SEARCH(Rules!$D$2:$D$60,$D606)))</f>
        <v>4</v>
      </c>
      <c r="H606" s="0" t="n">
        <f aca="false">SUMPRODUCT((Rules!$A$2:$A$60=H$1)*Rules!$C$2:$C$60*ISNUMBER(SEARCH(Rules!$D$2:$D$60,$D606)))</f>
        <v>0</v>
      </c>
      <c r="I606" s="0" t="n">
        <f aca="false">SUMPRODUCT((Rules!$A$2:$A$60=I$1)*Rules!$C$2:$C$60*ISNUMBER(SEARCH(Rules!$D$2:$D$60,$D606)))</f>
        <v>0</v>
      </c>
      <c r="J606" s="0" t="n">
        <f aca="false">SUMPRODUCT((Rules!$A$2:$A$60=J$1)*Rules!$C$2:$C$60*ISNUMBER(SEARCH(Rules!$D$2:$D$60,$D606)))</f>
        <v>0</v>
      </c>
      <c r="K606" s="0" t="str">
        <f aca="false">IF(OR(MAX(E606:J606)&lt;Rules!$H$1,MAX(E606:J606)-LARGE(E606:J606,2)&lt;Rules!$H$2),"No label",INDEX($E$1:$J$1,MATCH(MAX(E606:J606),E606:J606,0)))</f>
        <v>Account Access</v>
      </c>
      <c r="L606" s="0" t="n">
        <f aca="false">SUMPRODUCT((Rules!$A$2:$A$60=L$1)*Rules!$C$2:$C$60*ISNUMBER(SEARCH(Rules!$E$2:$E$60,$D606)))</f>
        <v>0</v>
      </c>
      <c r="M606" s="0" t="n">
        <f aca="false">SUMPRODUCT((Rules!$A$2:$A$60=M$1)*Rules!$C$2:$C$60*ISNUMBER(SEARCH(Rules!$E$2:$E$60,$D606)))</f>
        <v>0</v>
      </c>
      <c r="N606" s="0" t="n">
        <f aca="false">SUMPRODUCT((Rules!$A$2:$A$60=N$1)*Rules!$C$2:$C$60*ISNUMBER(SEARCH(Rules!$E$2:$E$60,$D606)))</f>
        <v>4</v>
      </c>
      <c r="O606" s="0" t="n">
        <f aca="false">SUMPRODUCT((Rules!$A$2:$A$60=O$1)*Rules!$C$2:$C$60*ISNUMBER(SEARCH(Rules!$E$2:$E$60,$D606)))</f>
        <v>0</v>
      </c>
      <c r="P606" s="0" t="n">
        <f aca="false">SUMPRODUCT((Rules!$A$2:$A$60=P$1)*Rules!$C$2:$C$60*ISNUMBER(SEARCH(Rules!$E$2:$E$60,$D606)))</f>
        <v>0</v>
      </c>
      <c r="Q606" s="0" t="n">
        <f aca="false">SUMPRODUCT((Rules!$A$2:$A$60=Q$1)*Rules!$C$2:$C$60*ISNUMBER(SEARCH(Rules!$E$2:$E$60,$D606)))</f>
        <v>0</v>
      </c>
      <c r="R606" s="0" t="str">
        <f aca="false">IF(OR(MAX(L606:Q606)&lt;Rules!$H$1,MAX(L606:Q606)-LARGE(L606:Q606,2)&lt;Rules!$H$2),"No label",INDEX($L$1:$Q$1,MATCH(MAX(L606:Q606),L606:Q606,0)))</f>
        <v>Account Access</v>
      </c>
      <c r="S606" s="0" t="n">
        <f aca="false">SUMPRODUCT(ISNUMBER(SEARCH(" "&amp;Terms!$A$3:$A$821&amp;" ",$D606))*Terms!B$3:B$821)+Terms!B$2</f>
        <v>8.55660610968834</v>
      </c>
      <c r="T606" s="0" t="n">
        <f aca="false">SUMPRODUCT(ISNUMBER(SEARCH(" "&amp;Terms!$A$3:$A$821&amp;" ",$D606))*Terms!C$3:C$821)+Terms!C$2</f>
        <v>-1.13756969030103</v>
      </c>
      <c r="U606" s="0" t="n">
        <f aca="false">SUMPRODUCT(ISNUMBER(SEARCH(" "&amp;Terms!$A$3:$A$821&amp;" ",$D606))*Terms!D$3:D$821)+Terms!D$2</f>
        <v>-1.79811471283853</v>
      </c>
      <c r="V606" s="0" t="n">
        <f aca="false">SUMPRODUCT(ISNUMBER(SEARCH(" "&amp;Terms!$A$3:$A$821&amp;" ",$D606))*Terms!E$3:E$821)+Terms!E$2</f>
        <v>-0.874981714953298</v>
      </c>
      <c r="W606" s="0" t="n">
        <f aca="false">SUMPRODUCT(ISNUMBER(SEARCH(" "&amp;Terms!$A$3:$A$821&amp;" ",$D606))*Terms!F$3:F$821)+Terms!F$2</f>
        <v>-4.60795153223221</v>
      </c>
      <c r="X606" s="0" t="n">
        <f aca="false">SUMPRODUCT(ISNUMBER(SEARCH(" "&amp;Terms!$A$3:$A$821&amp;" ",$D606))*Terms!G$3:G$821)+Terms!G$2</f>
        <v>-0.137988459363174</v>
      </c>
      <c r="Y606" s="0" t="str">
        <f aca="false">INDEX($S$1:$X$1,MATCH(MAX(S606:X606),S606:X606,0))</f>
        <v>Account Access</v>
      </c>
      <c r="Z606" s="0" t="s">
        <v>2607</v>
      </c>
    </row>
    <row r="607" customFormat="false" ht="15" hidden="false" customHeight="false" outlineLevel="0" collapsed="false">
      <c r="A607" s="0" t="str">
        <f aca="false">Complaints!A607</f>
        <v>C0606</v>
      </c>
      <c r="B607" s="0" t="str">
        <f aca="false">Complaints!B607</f>
        <v>A late payment fee appeared and I want it refunded. I want this put right.</v>
      </c>
      <c r="C607" s="0" t="str">
        <f aca="false">Complaints!C607</f>
        <v>Fees &amp; Charges</v>
      </c>
      <c r="D607" s="0" t="str">
        <f aca="false">" "&amp;TRIM(SUBSTITUTE(SUBSTITUTE(SUBSTITUTE(SUBSTITUTE(SUBSTITUTE(SUBSTITUTE(SUBSTITUTE(SUBSTITUTE(SUBSTITUTE(SUBSTITUTE(SUBSTITUTE(SUBSTITUTE(SUBSTITUTE(SUBSTITUTE(SUBSTITUTE(SUBSTITUTE(LOWER(B607),"."," "),","," "),"'"," "),"’"," "),"!"," "),"?"," "),";"," "),":"," "),"-"," "),"("," "),")"," "),"""", " "),"£"," "),"&amp;"," "),"/"," "),"%"," "))&amp;" "</f>
        <v> a late payment fee appeared and i want it refunded i want this put right </v>
      </c>
      <c r="E607" s="0" t="n">
        <f aca="false">SUMPRODUCT((Rules!$A$2:$A$60=E$1)*Rules!$C$2:$C$60*ISNUMBER(SEARCH(Rules!$D$2:$D$60,$D607)))</f>
        <v>0</v>
      </c>
      <c r="F607" s="0" t="n">
        <f aca="false">SUMPRODUCT((Rules!$A$2:$A$60=F$1)*Rules!$C$2:$C$60*ISNUMBER(SEARCH(Rules!$D$2:$D$60,$D607)))</f>
        <v>0</v>
      </c>
      <c r="G607" s="0" t="n">
        <f aca="false">SUMPRODUCT((Rules!$A$2:$A$60=G$1)*Rules!$C$2:$C$60*ISNUMBER(SEARCH(Rules!$D$2:$D$60,$D607)))</f>
        <v>0</v>
      </c>
      <c r="H607" s="0" t="n">
        <f aca="false">SUMPRODUCT((Rules!$A$2:$A$60=H$1)*Rules!$C$2:$C$60*ISNUMBER(SEARCH(Rules!$D$2:$D$60,$D607)))</f>
        <v>2</v>
      </c>
      <c r="I607" s="0" t="n">
        <f aca="false">SUMPRODUCT((Rules!$A$2:$A$60=I$1)*Rules!$C$2:$C$60*ISNUMBER(SEARCH(Rules!$D$2:$D$60,$D607)))</f>
        <v>0</v>
      </c>
      <c r="J607" s="0" t="n">
        <f aca="false">SUMPRODUCT((Rules!$A$2:$A$60=J$1)*Rules!$C$2:$C$60*ISNUMBER(SEARCH(Rules!$D$2:$D$60,$D607)))</f>
        <v>0</v>
      </c>
      <c r="K607" s="0" t="str">
        <f aca="false">IF(OR(MAX(E607:J607)&lt;Rules!$H$1,MAX(E607:J607)-LARGE(E607:J607,2)&lt;Rules!$H$2),"No label",INDEX($E$1:$J$1,MATCH(MAX(E607:J607),E607:J607,0)))</f>
        <v>No label</v>
      </c>
      <c r="L607" s="0" t="n">
        <f aca="false">SUMPRODUCT((Rules!$A$2:$A$60=L$1)*Rules!$C$2:$C$60*ISNUMBER(SEARCH(Rules!$E$2:$E$60,$D607)))</f>
        <v>0</v>
      </c>
      <c r="M607" s="0" t="n">
        <f aca="false">SUMPRODUCT((Rules!$A$2:$A$60=M$1)*Rules!$C$2:$C$60*ISNUMBER(SEARCH(Rules!$E$2:$E$60,$D607)))</f>
        <v>0</v>
      </c>
      <c r="N607" s="0" t="n">
        <f aca="false">SUMPRODUCT((Rules!$A$2:$A$60=N$1)*Rules!$C$2:$C$60*ISNUMBER(SEARCH(Rules!$E$2:$E$60,$D607)))</f>
        <v>0</v>
      </c>
      <c r="O607" s="0" t="n">
        <f aca="false">SUMPRODUCT((Rules!$A$2:$A$60=O$1)*Rules!$C$2:$C$60*ISNUMBER(SEARCH(Rules!$E$2:$E$60,$D607)))</f>
        <v>2</v>
      </c>
      <c r="P607" s="0" t="n">
        <f aca="false">SUMPRODUCT((Rules!$A$2:$A$60=P$1)*Rules!$C$2:$C$60*ISNUMBER(SEARCH(Rules!$E$2:$E$60,$D607)))</f>
        <v>0</v>
      </c>
      <c r="Q607" s="0" t="n">
        <f aca="false">SUMPRODUCT((Rules!$A$2:$A$60=Q$1)*Rules!$C$2:$C$60*ISNUMBER(SEARCH(Rules!$E$2:$E$60,$D607)))</f>
        <v>0</v>
      </c>
      <c r="R607" s="0" t="str">
        <f aca="false">IF(OR(MAX(L607:Q607)&lt;Rules!$H$1,MAX(L607:Q607)-LARGE(L607:Q607,2)&lt;Rules!$H$2),"No label",INDEX($L$1:$Q$1,MATCH(MAX(L607:Q607),L607:Q607,0)))</f>
        <v>No label</v>
      </c>
      <c r="S607" s="0" t="n">
        <f aca="false">SUMPRODUCT(ISNUMBER(SEARCH(" "&amp;Terms!$A$3:$A$821&amp;" ",$D607))*Terms!B$3:B$821)+Terms!B$2</f>
        <v>-4.193466272618</v>
      </c>
      <c r="T607" s="0" t="n">
        <f aca="false">SUMPRODUCT(ISNUMBER(SEARCH(" "&amp;Terms!$A$3:$A$821&amp;" ",$D607))*Terms!C$3:C$821)+Terms!C$2</f>
        <v>-7.11958848727332</v>
      </c>
      <c r="U607" s="0" t="n">
        <f aca="false">SUMPRODUCT(ISNUMBER(SEARCH(" "&amp;Terms!$A$3:$A$821&amp;" ",$D607))*Terms!D$3:D$821)+Terms!D$2</f>
        <v>-0.323737303437554</v>
      </c>
      <c r="V607" s="0" t="n">
        <f aca="false">SUMPRODUCT(ISNUMBER(SEARCH(" "&amp;Terms!$A$3:$A$821&amp;" ",$D607))*Terms!E$3:E$821)+Terms!E$2</f>
        <v>15.0368029979649</v>
      </c>
      <c r="W607" s="0" t="n">
        <f aca="false">SUMPRODUCT(ISNUMBER(SEARCH(" "&amp;Terms!$A$3:$A$821&amp;" ",$D607))*Terms!F$3:F$821)+Terms!F$2</f>
        <v>1.69103227129358</v>
      </c>
      <c r="X607" s="0" t="n">
        <f aca="false">SUMPRODUCT(ISNUMBER(SEARCH(" "&amp;Terms!$A$3:$A$821&amp;" ",$D607))*Terms!G$3:G$821)+Terms!G$2</f>
        <v>-5.09104320592954</v>
      </c>
      <c r="Y607" s="0" t="str">
        <f aca="false">INDEX($S$1:$X$1,MATCH(MAX(S607:X607),S607:X607,0))</f>
        <v>Fees &amp; Charges</v>
      </c>
      <c r="Z607" s="0" t="s">
        <v>2608</v>
      </c>
    </row>
    <row r="608" customFormat="false" ht="15" hidden="false" customHeight="false" outlineLevel="0" collapsed="false">
      <c r="A608" s="0" t="str">
        <f aca="false">Complaints!A608</f>
        <v>C0607</v>
      </c>
      <c r="B608" s="0" t="str">
        <f aca="false">Complaints!B608</f>
        <v>Hello, The costs keep creeping up and my balance is lower than it should be. I am worried it might be fraud. I would like a response in writing.</v>
      </c>
      <c r="C608" s="0" t="str">
        <f aca="false">Complaints!C608</f>
        <v>Fees &amp; Charges</v>
      </c>
      <c r="D608" s="0" t="str">
        <f aca="false">" "&amp;TRIM(SUBSTITUTE(SUBSTITUTE(SUBSTITUTE(SUBSTITUTE(SUBSTITUTE(SUBSTITUTE(SUBSTITUTE(SUBSTITUTE(SUBSTITUTE(SUBSTITUTE(SUBSTITUTE(SUBSTITUTE(SUBSTITUTE(SUBSTITUTE(SUBSTITUTE(SUBSTITUTE(LOWER(B608),"."," "),","," "),"'"," "),"’"," "),"!"," "),"?"," "),";"," "),":"," "),"-"," "),"("," "),")"," "),"""", " "),"£"," "),"&amp;"," "),"/"," "),"%"," "))&amp;" "</f>
        <v> hello the costs keep creeping up and my balance is lower than it should be i am worried it might be fraud i would like a response in writing </v>
      </c>
      <c r="E608" s="0" t="n">
        <f aca="false">SUMPRODUCT((Rules!$A$2:$A$60=E$1)*Rules!$C$2:$C$60*ISNUMBER(SEARCH(Rules!$D$2:$D$60,$D608)))</f>
        <v>3</v>
      </c>
      <c r="F608" s="0" t="n">
        <f aca="false">SUMPRODUCT((Rules!$A$2:$A$60=F$1)*Rules!$C$2:$C$60*ISNUMBER(SEARCH(Rules!$D$2:$D$60,$D608)))</f>
        <v>0</v>
      </c>
      <c r="G608" s="0" t="n">
        <f aca="false">SUMPRODUCT((Rules!$A$2:$A$60=G$1)*Rules!$C$2:$C$60*ISNUMBER(SEARCH(Rules!$D$2:$D$60,$D608)))</f>
        <v>0</v>
      </c>
      <c r="H608" s="0" t="n">
        <f aca="false">SUMPRODUCT((Rules!$A$2:$A$60=H$1)*Rules!$C$2:$C$60*ISNUMBER(SEARCH(Rules!$D$2:$D$60,$D608)))</f>
        <v>1</v>
      </c>
      <c r="I608" s="0" t="n">
        <f aca="false">SUMPRODUCT((Rules!$A$2:$A$60=I$1)*Rules!$C$2:$C$60*ISNUMBER(SEARCH(Rules!$D$2:$D$60,$D608)))</f>
        <v>0</v>
      </c>
      <c r="J608" s="0" t="n">
        <f aca="false">SUMPRODUCT((Rules!$A$2:$A$60=J$1)*Rules!$C$2:$C$60*ISNUMBER(SEARCH(Rules!$D$2:$D$60,$D608)))</f>
        <v>0</v>
      </c>
      <c r="K608" s="0" t="str">
        <f aca="false">IF(OR(MAX(E608:J608)&lt;Rules!$H$1,MAX(E608:J608)-LARGE(E608:J608,2)&lt;Rules!$H$2),"No label",INDEX($E$1:$J$1,MATCH(MAX(E608:J608),E608:J608,0)))</f>
        <v>Fraud &amp; Scams</v>
      </c>
      <c r="L608" s="0" t="n">
        <f aca="false">SUMPRODUCT((Rules!$A$2:$A$60=L$1)*Rules!$C$2:$C$60*ISNUMBER(SEARCH(Rules!$E$2:$E$60,$D608)))</f>
        <v>3</v>
      </c>
      <c r="M608" s="0" t="n">
        <f aca="false">SUMPRODUCT((Rules!$A$2:$A$60=M$1)*Rules!$C$2:$C$60*ISNUMBER(SEARCH(Rules!$E$2:$E$60,$D608)))</f>
        <v>0</v>
      </c>
      <c r="N608" s="0" t="n">
        <f aca="false">SUMPRODUCT((Rules!$A$2:$A$60=N$1)*Rules!$C$2:$C$60*ISNUMBER(SEARCH(Rules!$E$2:$E$60,$D608)))</f>
        <v>0</v>
      </c>
      <c r="O608" s="0" t="n">
        <f aca="false">SUMPRODUCT((Rules!$A$2:$A$60=O$1)*Rules!$C$2:$C$60*ISNUMBER(SEARCH(Rules!$E$2:$E$60,$D608)))</f>
        <v>1</v>
      </c>
      <c r="P608" s="0" t="n">
        <f aca="false">SUMPRODUCT((Rules!$A$2:$A$60=P$1)*Rules!$C$2:$C$60*ISNUMBER(SEARCH(Rules!$E$2:$E$60,$D608)))</f>
        <v>0</v>
      </c>
      <c r="Q608" s="0" t="n">
        <f aca="false">SUMPRODUCT((Rules!$A$2:$A$60=Q$1)*Rules!$C$2:$C$60*ISNUMBER(SEARCH(Rules!$E$2:$E$60,$D608)))</f>
        <v>0</v>
      </c>
      <c r="R608" s="0" t="str">
        <f aca="false">IF(OR(MAX(L608:Q608)&lt;Rules!$H$1,MAX(L608:Q608)-LARGE(L608:Q608,2)&lt;Rules!$H$2),"No label",INDEX($L$1:$Q$1,MATCH(MAX(L608:Q608),L608:Q608,0)))</f>
        <v>Fraud &amp; Scams</v>
      </c>
      <c r="S608" s="0" t="n">
        <f aca="false">SUMPRODUCT(ISNUMBER(SEARCH(" "&amp;Terms!$A$3:$A$821&amp;" ",$D608))*Terms!B$3:B$821)+Terms!B$2</f>
        <v>1.14353410802429</v>
      </c>
      <c r="T608" s="0" t="n">
        <f aca="false">SUMPRODUCT(ISNUMBER(SEARCH(" "&amp;Terms!$A$3:$A$821&amp;" ",$D608))*Terms!C$3:C$821)+Terms!C$2</f>
        <v>-1.59784221459065</v>
      </c>
      <c r="U608" s="0" t="n">
        <f aca="false">SUMPRODUCT(ISNUMBER(SEARCH(" "&amp;Terms!$A$3:$A$821&amp;" ",$D608))*Terms!D$3:D$821)+Terms!D$2</f>
        <v>-2.54324595986622</v>
      </c>
      <c r="V608" s="0" t="n">
        <f aca="false">SUMPRODUCT(ISNUMBER(SEARCH(" "&amp;Terms!$A$3:$A$821&amp;" ",$D608))*Terms!E$3:E$821)+Terms!E$2</f>
        <v>5.26376854722589</v>
      </c>
      <c r="W608" s="0" t="n">
        <f aca="false">SUMPRODUCT(ISNUMBER(SEARCH(" "&amp;Terms!$A$3:$A$821&amp;" ",$D608))*Terms!F$3:F$821)+Terms!F$2</f>
        <v>-1.26754431772516</v>
      </c>
      <c r="X608" s="0" t="n">
        <f aca="false">SUMPRODUCT(ISNUMBER(SEARCH(" "&amp;Terms!$A$3:$A$821&amp;" ",$D608))*Terms!G$3:G$821)+Terms!G$2</f>
        <v>-0.99867016306805</v>
      </c>
      <c r="Y608" s="0" t="str">
        <f aca="false">INDEX($S$1:$X$1,MATCH(MAX(S608:X608),S608:X608,0))</f>
        <v>Fees &amp; Charges</v>
      </c>
      <c r="Z608" s="0" t="s">
        <v>2607</v>
      </c>
    </row>
    <row r="609" customFormat="false" ht="15" hidden="false" customHeight="false" outlineLevel="0" collapsed="false">
      <c r="A609" s="0" t="str">
        <f aca="false">Complaints!A609</f>
        <v>C0608</v>
      </c>
      <c r="B609" s="0" t="str">
        <f aca="false">Complaints!B609</f>
        <v>I sent the form twice and it seems to have been lost in the system.</v>
      </c>
      <c r="C609" s="0" t="str">
        <f aca="false">Complaints!C609</f>
        <v>Delays &amp; Processing</v>
      </c>
      <c r="D609" s="0" t="str">
        <f aca="false">" "&amp;TRIM(SUBSTITUTE(SUBSTITUTE(SUBSTITUTE(SUBSTITUTE(SUBSTITUTE(SUBSTITUTE(SUBSTITUTE(SUBSTITUTE(SUBSTITUTE(SUBSTITUTE(SUBSTITUTE(SUBSTITUTE(SUBSTITUTE(SUBSTITUTE(SUBSTITUTE(SUBSTITUTE(LOWER(B609),"."," "),","," "),"'"," "),"’"," "),"!"," "),"?"," "),";"," "),":"," "),"-"," "),"("," "),")"," "),"""", " "),"£"," "),"&amp;"," "),"/"," "),"%"," "))&amp;" "</f>
        <v> i sent the form twice and it seems to have been lost in the system </v>
      </c>
      <c r="E609" s="0" t="n">
        <f aca="false">SUMPRODUCT((Rules!$A$2:$A$60=E$1)*Rules!$C$2:$C$60*ISNUMBER(SEARCH(Rules!$D$2:$D$60,$D609)))</f>
        <v>0</v>
      </c>
      <c r="F609" s="0" t="n">
        <f aca="false">SUMPRODUCT((Rules!$A$2:$A$60=F$1)*Rules!$C$2:$C$60*ISNUMBER(SEARCH(Rules!$D$2:$D$60,$D609)))</f>
        <v>0</v>
      </c>
      <c r="G609" s="0" t="n">
        <f aca="false">SUMPRODUCT((Rules!$A$2:$A$60=G$1)*Rules!$C$2:$C$60*ISNUMBER(SEARCH(Rules!$D$2:$D$60,$D609)))</f>
        <v>0</v>
      </c>
      <c r="H609" s="0" t="n">
        <f aca="false">SUMPRODUCT((Rules!$A$2:$A$60=H$1)*Rules!$C$2:$C$60*ISNUMBER(SEARCH(Rules!$D$2:$D$60,$D609)))</f>
        <v>0</v>
      </c>
      <c r="I609" s="0" t="n">
        <f aca="false">SUMPRODUCT((Rules!$A$2:$A$60=I$1)*Rules!$C$2:$C$60*ISNUMBER(SEARCH(Rules!$D$2:$D$60,$D609)))</f>
        <v>0</v>
      </c>
      <c r="J609" s="0" t="n">
        <f aca="false">SUMPRODUCT((Rules!$A$2:$A$60=J$1)*Rules!$C$2:$C$60*ISNUMBER(SEARCH(Rules!$D$2:$D$60,$D609)))</f>
        <v>0</v>
      </c>
      <c r="K609" s="0" t="str">
        <f aca="false">IF(OR(MAX(E609:J609)&lt;Rules!$H$1,MAX(E609:J609)-LARGE(E609:J609,2)&lt;Rules!$H$2),"No label",INDEX($E$1:$J$1,MATCH(MAX(E609:J609),E609:J609,0)))</f>
        <v>No label</v>
      </c>
      <c r="L609" s="0" t="n">
        <f aca="false">SUMPRODUCT((Rules!$A$2:$A$60=L$1)*Rules!$C$2:$C$60*ISNUMBER(SEARCH(Rules!$E$2:$E$60,$D609)))</f>
        <v>0</v>
      </c>
      <c r="M609" s="0" t="n">
        <f aca="false">SUMPRODUCT((Rules!$A$2:$A$60=M$1)*Rules!$C$2:$C$60*ISNUMBER(SEARCH(Rules!$E$2:$E$60,$D609)))</f>
        <v>0</v>
      </c>
      <c r="N609" s="0" t="n">
        <f aca="false">SUMPRODUCT((Rules!$A$2:$A$60=N$1)*Rules!$C$2:$C$60*ISNUMBER(SEARCH(Rules!$E$2:$E$60,$D609)))</f>
        <v>0</v>
      </c>
      <c r="O609" s="0" t="n">
        <f aca="false">SUMPRODUCT((Rules!$A$2:$A$60=O$1)*Rules!$C$2:$C$60*ISNUMBER(SEARCH(Rules!$E$2:$E$60,$D609)))</f>
        <v>0</v>
      </c>
      <c r="P609" s="0" t="n">
        <f aca="false">SUMPRODUCT((Rules!$A$2:$A$60=P$1)*Rules!$C$2:$C$60*ISNUMBER(SEARCH(Rules!$E$2:$E$60,$D609)))</f>
        <v>0</v>
      </c>
      <c r="Q609" s="0" t="n">
        <f aca="false">SUMPRODUCT((Rules!$A$2:$A$60=Q$1)*Rules!$C$2:$C$60*ISNUMBER(SEARCH(Rules!$E$2:$E$60,$D609)))</f>
        <v>0</v>
      </c>
      <c r="R609" s="0" t="str">
        <f aca="false">IF(OR(MAX(L609:Q609)&lt;Rules!$H$1,MAX(L609:Q609)-LARGE(L609:Q609,2)&lt;Rules!$H$2),"No label",INDEX($L$1:$Q$1,MATCH(MAX(L609:Q609),L609:Q609,0)))</f>
        <v>No label</v>
      </c>
      <c r="S609" s="0" t="n">
        <f aca="false">SUMPRODUCT(ISNUMBER(SEARCH(" "&amp;Terms!$A$3:$A$821&amp;" ",$D609))*Terms!B$3:B$821)+Terms!B$2</f>
        <v>-3.23044087245094</v>
      </c>
      <c r="T609" s="0" t="n">
        <f aca="false">SUMPRODUCT(ISNUMBER(SEARCH(" "&amp;Terms!$A$3:$A$821&amp;" ",$D609))*Terms!C$3:C$821)+Terms!C$2</f>
        <v>-0.950144809544893</v>
      </c>
      <c r="U609" s="0" t="n">
        <f aca="false">SUMPRODUCT(ISNUMBER(SEARCH(" "&amp;Terms!$A$3:$A$821&amp;" ",$D609))*Terms!D$3:D$821)+Terms!D$2</f>
        <v>9.02776643581</v>
      </c>
      <c r="V609" s="0" t="n">
        <f aca="false">SUMPRODUCT(ISNUMBER(SEARCH(" "&amp;Terms!$A$3:$A$821&amp;" ",$D609))*Terms!E$3:E$821)+Terms!E$2</f>
        <v>0.167603510210074</v>
      </c>
      <c r="W609" s="0" t="n">
        <f aca="false">SUMPRODUCT(ISNUMBER(SEARCH(" "&amp;Terms!$A$3:$A$821&amp;" ",$D609))*Terms!F$3:F$821)+Terms!F$2</f>
        <v>-3.2489022416845</v>
      </c>
      <c r="X609" s="0" t="n">
        <f aca="false">SUMPRODUCT(ISNUMBER(SEARCH(" "&amp;Terms!$A$3:$A$821&amp;" ",$D609))*Terms!G$3:G$821)+Terms!G$2</f>
        <v>-1.76588202233965</v>
      </c>
      <c r="Y609" s="0" t="str">
        <f aca="false">INDEX($S$1:$X$1,MATCH(MAX(S609:X609),S609:X609,0))</f>
        <v>Delays &amp; Processing</v>
      </c>
      <c r="Z609" s="0" t="s">
        <v>2607</v>
      </c>
    </row>
    <row r="610" customFormat="false" ht="15" hidden="false" customHeight="false" outlineLevel="0" collapsed="false">
      <c r="A610" s="0" t="str">
        <f aca="false">Complaints!A610</f>
        <v>C0609</v>
      </c>
      <c r="B610" s="0" t="str">
        <f aca="false">Complaints!B610</f>
        <v>Frankly, The terms were very different from what I was promised at the time of sale.</v>
      </c>
      <c r="C610" s="0" t="str">
        <f aca="false">Complaints!C610</f>
        <v>Mis-selling</v>
      </c>
      <c r="D610" s="0" t="str">
        <f aca="false">" "&amp;TRIM(SUBSTITUTE(SUBSTITUTE(SUBSTITUTE(SUBSTITUTE(SUBSTITUTE(SUBSTITUTE(SUBSTITUTE(SUBSTITUTE(SUBSTITUTE(SUBSTITUTE(SUBSTITUTE(SUBSTITUTE(SUBSTITUTE(SUBSTITUTE(SUBSTITUTE(SUBSTITUTE(LOWER(B610),"."," "),","," "),"'"," "),"’"," "),"!"," "),"?"," "),";"," "),":"," "),"-"," "),"("," "),")"," "),"""", " "),"£"," "),"&amp;"," "),"/"," "),"%"," "))&amp;" "</f>
        <v> frankly the terms were very different from what i was promised at the time of sale </v>
      </c>
      <c r="E610" s="0" t="n">
        <f aca="false">SUMPRODUCT((Rules!$A$2:$A$60=E$1)*Rules!$C$2:$C$60*ISNUMBER(SEARCH(Rules!$D$2:$D$60,$D610)))</f>
        <v>0</v>
      </c>
      <c r="F610" s="0" t="n">
        <f aca="false">SUMPRODUCT((Rules!$A$2:$A$60=F$1)*Rules!$C$2:$C$60*ISNUMBER(SEARCH(Rules!$D$2:$D$60,$D610)))</f>
        <v>1</v>
      </c>
      <c r="G610" s="0" t="n">
        <f aca="false">SUMPRODUCT((Rules!$A$2:$A$60=G$1)*Rules!$C$2:$C$60*ISNUMBER(SEARCH(Rules!$D$2:$D$60,$D610)))</f>
        <v>0</v>
      </c>
      <c r="H610" s="0" t="n">
        <f aca="false">SUMPRODUCT((Rules!$A$2:$A$60=H$1)*Rules!$C$2:$C$60*ISNUMBER(SEARCH(Rules!$D$2:$D$60,$D610)))</f>
        <v>0</v>
      </c>
      <c r="I610" s="0" t="n">
        <f aca="false">SUMPRODUCT((Rules!$A$2:$A$60=I$1)*Rules!$C$2:$C$60*ISNUMBER(SEARCH(Rules!$D$2:$D$60,$D610)))</f>
        <v>0</v>
      </c>
      <c r="J610" s="0" t="n">
        <f aca="false">SUMPRODUCT((Rules!$A$2:$A$60=J$1)*Rules!$C$2:$C$60*ISNUMBER(SEARCH(Rules!$D$2:$D$60,$D610)))</f>
        <v>0</v>
      </c>
      <c r="K610" s="0" t="str">
        <f aca="false">IF(OR(MAX(E610:J610)&lt;Rules!$H$1,MAX(E610:J610)-LARGE(E610:J610,2)&lt;Rules!$H$2),"No label",INDEX($E$1:$J$1,MATCH(MAX(E610:J610),E610:J610,0)))</f>
        <v>No label</v>
      </c>
      <c r="L610" s="0" t="n">
        <f aca="false">SUMPRODUCT((Rules!$A$2:$A$60=L$1)*Rules!$C$2:$C$60*ISNUMBER(SEARCH(Rules!$E$2:$E$60,$D610)))</f>
        <v>0</v>
      </c>
      <c r="M610" s="0" t="n">
        <f aca="false">SUMPRODUCT((Rules!$A$2:$A$60=M$1)*Rules!$C$2:$C$60*ISNUMBER(SEARCH(Rules!$E$2:$E$60,$D610)))</f>
        <v>1</v>
      </c>
      <c r="N610" s="0" t="n">
        <f aca="false">SUMPRODUCT((Rules!$A$2:$A$60=N$1)*Rules!$C$2:$C$60*ISNUMBER(SEARCH(Rules!$E$2:$E$60,$D610)))</f>
        <v>0</v>
      </c>
      <c r="O610" s="0" t="n">
        <f aca="false">SUMPRODUCT((Rules!$A$2:$A$60=O$1)*Rules!$C$2:$C$60*ISNUMBER(SEARCH(Rules!$E$2:$E$60,$D610)))</f>
        <v>0</v>
      </c>
      <c r="P610" s="0" t="n">
        <f aca="false">SUMPRODUCT((Rules!$A$2:$A$60=P$1)*Rules!$C$2:$C$60*ISNUMBER(SEARCH(Rules!$E$2:$E$60,$D610)))</f>
        <v>0</v>
      </c>
      <c r="Q610" s="0" t="n">
        <f aca="false">SUMPRODUCT((Rules!$A$2:$A$60=Q$1)*Rules!$C$2:$C$60*ISNUMBER(SEARCH(Rules!$E$2:$E$60,$D610)))</f>
        <v>0</v>
      </c>
      <c r="R610" s="0" t="str">
        <f aca="false">IF(OR(MAX(L610:Q610)&lt;Rules!$H$1,MAX(L610:Q610)-LARGE(L610:Q610,2)&lt;Rules!$H$2),"No label",INDEX($L$1:$Q$1,MATCH(MAX(L610:Q610),L610:Q610,0)))</f>
        <v>No label</v>
      </c>
      <c r="S610" s="0" t="n">
        <f aca="false">SUMPRODUCT(ISNUMBER(SEARCH(" "&amp;Terms!$A$3:$A$821&amp;" ",$D610))*Terms!B$3:B$821)+Terms!B$2</f>
        <v>-1.82842293678703</v>
      </c>
      <c r="T610" s="0" t="n">
        <f aca="false">SUMPRODUCT(ISNUMBER(SEARCH(" "&amp;Terms!$A$3:$A$821&amp;" ",$D610))*Terms!C$3:C$821)+Terms!C$2</f>
        <v>-2.02521158201297</v>
      </c>
      <c r="U610" s="0" t="n">
        <f aca="false">SUMPRODUCT(ISNUMBER(SEARCH(" "&amp;Terms!$A$3:$A$821&amp;" ",$D610))*Terms!D$3:D$821)+Terms!D$2</f>
        <v>1.80070106641913</v>
      </c>
      <c r="V610" s="0" t="n">
        <f aca="false">SUMPRODUCT(ISNUMBER(SEARCH(" "&amp;Terms!$A$3:$A$821&amp;" ",$D610))*Terms!E$3:E$821)+Terms!E$2</f>
        <v>-1.63045627607725</v>
      </c>
      <c r="W610" s="0" t="n">
        <f aca="false">SUMPRODUCT(ISNUMBER(SEARCH(" "&amp;Terms!$A$3:$A$821&amp;" ",$D610))*Terms!F$3:F$821)+Terms!F$2</f>
        <v>-3.38801638996304</v>
      </c>
      <c r="X610" s="0" t="n">
        <f aca="false">SUMPRODUCT(ISNUMBER(SEARCH(" "&amp;Terms!$A$3:$A$821&amp;" ",$D610))*Terms!G$3:G$821)+Terms!G$2</f>
        <v>7.07140611842125</v>
      </c>
      <c r="Y610" s="0" t="str">
        <f aca="false">INDEX($S$1:$X$1,MATCH(MAX(S610:X610),S610:X610,0))</f>
        <v>Mis-selling</v>
      </c>
      <c r="Z610" s="0" t="s">
        <v>2607</v>
      </c>
    </row>
    <row r="611" customFormat="false" ht="15" hidden="false" customHeight="false" outlineLevel="0" collapsed="false">
      <c r="A611" s="0" t="str">
        <f aca="false">Complaints!A611</f>
        <v>C0610</v>
      </c>
      <c r="B611" s="0" t="str">
        <f aca="false">Complaints!B611</f>
        <v>The pension transfer advice I received was poor and I have lost out. I also spent ages on hold when I called about it. I want this put right.</v>
      </c>
      <c r="C611" s="0" t="str">
        <f aca="false">Complaints!C611</f>
        <v>Mis-selling</v>
      </c>
      <c r="D611" s="0" t="str">
        <f aca="false">" "&amp;TRIM(SUBSTITUTE(SUBSTITUTE(SUBSTITUTE(SUBSTITUTE(SUBSTITUTE(SUBSTITUTE(SUBSTITUTE(SUBSTITUTE(SUBSTITUTE(SUBSTITUTE(SUBSTITUTE(SUBSTITUTE(SUBSTITUTE(SUBSTITUTE(SUBSTITUTE(SUBSTITUTE(LOWER(B611),"."," "),","," "),"'"," "),"’"," "),"!"," "),"?"," "),";"," "),":"," "),"-"," "),"("," "),")"," "),"""", " "),"£"," "),"&amp;"," "),"/"," "),"%"," "))&amp;" "</f>
        <v> the pension transfer advice i received was poor and i have lost out i also spent ages on hold when i called about it i want this put right </v>
      </c>
      <c r="E611" s="0" t="n">
        <f aca="false">SUMPRODUCT((Rules!$A$2:$A$60=E$1)*Rules!$C$2:$C$60*ISNUMBER(SEARCH(Rules!$D$2:$D$60,$D611)))</f>
        <v>0</v>
      </c>
      <c r="F611" s="0" t="n">
        <f aca="false">SUMPRODUCT((Rules!$A$2:$A$60=F$1)*Rules!$C$2:$C$60*ISNUMBER(SEARCH(Rules!$D$2:$D$60,$D611)))</f>
        <v>2</v>
      </c>
      <c r="G611" s="0" t="n">
        <f aca="false">SUMPRODUCT((Rules!$A$2:$A$60=G$1)*Rules!$C$2:$C$60*ISNUMBER(SEARCH(Rules!$D$2:$D$60,$D611)))</f>
        <v>0</v>
      </c>
      <c r="H611" s="0" t="n">
        <f aca="false">SUMPRODUCT((Rules!$A$2:$A$60=H$1)*Rules!$C$2:$C$60*ISNUMBER(SEARCH(Rules!$D$2:$D$60,$D611)))</f>
        <v>0</v>
      </c>
      <c r="I611" s="0" t="n">
        <f aca="false">SUMPRODUCT((Rules!$A$2:$A$60=I$1)*Rules!$C$2:$C$60*ISNUMBER(SEARCH(Rules!$D$2:$D$60,$D611)))</f>
        <v>0</v>
      </c>
      <c r="J611" s="0" t="n">
        <f aca="false">SUMPRODUCT((Rules!$A$2:$A$60=J$1)*Rules!$C$2:$C$60*ISNUMBER(SEARCH(Rules!$D$2:$D$60,$D611)))</f>
        <v>3</v>
      </c>
      <c r="K611" s="0" t="str">
        <f aca="false">IF(OR(MAX(E611:J611)&lt;Rules!$H$1,MAX(E611:J611)-LARGE(E611:J611,2)&lt;Rules!$H$2),"No label",INDEX($E$1:$J$1,MATCH(MAX(E611:J611),E611:J611,0)))</f>
        <v>No label</v>
      </c>
      <c r="L611" s="0" t="n">
        <f aca="false">SUMPRODUCT((Rules!$A$2:$A$60=L$1)*Rules!$C$2:$C$60*ISNUMBER(SEARCH(Rules!$E$2:$E$60,$D611)))</f>
        <v>0</v>
      </c>
      <c r="M611" s="0" t="n">
        <f aca="false">SUMPRODUCT((Rules!$A$2:$A$60=M$1)*Rules!$C$2:$C$60*ISNUMBER(SEARCH(Rules!$E$2:$E$60,$D611)))</f>
        <v>2</v>
      </c>
      <c r="N611" s="0" t="n">
        <f aca="false">SUMPRODUCT((Rules!$A$2:$A$60=N$1)*Rules!$C$2:$C$60*ISNUMBER(SEARCH(Rules!$E$2:$E$60,$D611)))</f>
        <v>0</v>
      </c>
      <c r="O611" s="0" t="n">
        <f aca="false">SUMPRODUCT((Rules!$A$2:$A$60=O$1)*Rules!$C$2:$C$60*ISNUMBER(SEARCH(Rules!$E$2:$E$60,$D611)))</f>
        <v>0</v>
      </c>
      <c r="P611" s="0" t="n">
        <f aca="false">SUMPRODUCT((Rules!$A$2:$A$60=P$1)*Rules!$C$2:$C$60*ISNUMBER(SEARCH(Rules!$E$2:$E$60,$D611)))</f>
        <v>0</v>
      </c>
      <c r="Q611" s="0" t="n">
        <f aca="false">SUMPRODUCT((Rules!$A$2:$A$60=Q$1)*Rules!$C$2:$C$60*ISNUMBER(SEARCH(Rules!$E$2:$E$60,$D611)))</f>
        <v>3</v>
      </c>
      <c r="R611" s="0" t="str">
        <f aca="false">IF(OR(MAX(L611:Q611)&lt;Rules!$H$1,MAX(L611:Q611)-LARGE(L611:Q611,2)&lt;Rules!$H$2),"No label",INDEX($L$1:$Q$1,MATCH(MAX(L611:Q611),L611:Q611,0)))</f>
        <v>No label</v>
      </c>
      <c r="S611" s="0" t="n">
        <f aca="false">SUMPRODUCT(ISNUMBER(SEARCH(" "&amp;Terms!$A$3:$A$821&amp;" ",$D611))*Terms!B$3:B$821)+Terms!B$2</f>
        <v>-4.4700030727905</v>
      </c>
      <c r="T611" s="0" t="n">
        <f aca="false">SUMPRODUCT(ISNUMBER(SEARCH(" "&amp;Terms!$A$3:$A$821&amp;" ",$D611))*Terms!C$3:C$821)+Terms!C$2</f>
        <v>-3.16844281124898</v>
      </c>
      <c r="U611" s="0" t="n">
        <f aca="false">SUMPRODUCT(ISNUMBER(SEARCH(" "&amp;Terms!$A$3:$A$821&amp;" ",$D611))*Terms!D$3:D$821)+Terms!D$2</f>
        <v>0.834932099530714</v>
      </c>
      <c r="V611" s="0" t="n">
        <f aca="false">SUMPRODUCT(ISNUMBER(SEARCH(" "&amp;Terms!$A$3:$A$821&amp;" ",$D611))*Terms!E$3:E$821)+Terms!E$2</f>
        <v>-1.96234787065583</v>
      </c>
      <c r="W611" s="0" t="n">
        <f aca="false">SUMPRODUCT(ISNUMBER(SEARCH(" "&amp;Terms!$A$3:$A$821&amp;" ",$D611))*Terms!F$3:F$821)+Terms!F$2</f>
        <v>-1.28609766509781</v>
      </c>
      <c r="X611" s="0" t="n">
        <f aca="false">SUMPRODUCT(ISNUMBER(SEARCH(" "&amp;Terms!$A$3:$A$821&amp;" ",$D611))*Terms!G$3:G$821)+Terms!G$2</f>
        <v>10.0519593202625</v>
      </c>
      <c r="Y611" s="0" t="str">
        <f aca="false">INDEX($S$1:$X$1,MATCH(MAX(S611:X611),S611:X611,0))</f>
        <v>Mis-selling</v>
      </c>
      <c r="Z611" s="0" t="s">
        <v>2607</v>
      </c>
    </row>
    <row r="612" customFormat="false" ht="15" hidden="false" customHeight="false" outlineLevel="0" collapsed="false">
      <c r="A612" s="0" t="str">
        <f aca="false">Complaints!A612</f>
        <v>C0611</v>
      </c>
      <c r="B612" s="0" t="str">
        <f aca="false">Complaints!B612</f>
        <v>I am writing to complain. The payment still has not arrived in my account. I would like a response in writing.</v>
      </c>
      <c r="C612" s="0" t="str">
        <f aca="false">Complaints!C612</f>
        <v>Delays &amp; Processing</v>
      </c>
      <c r="D612" s="0" t="str">
        <f aca="false">" "&amp;TRIM(SUBSTITUTE(SUBSTITUTE(SUBSTITUTE(SUBSTITUTE(SUBSTITUTE(SUBSTITUTE(SUBSTITUTE(SUBSTITUTE(SUBSTITUTE(SUBSTITUTE(SUBSTITUTE(SUBSTITUTE(SUBSTITUTE(SUBSTITUTE(SUBSTITUTE(SUBSTITUTE(LOWER(B612),"."," "),","," "),"'"," "),"’"," "),"!"," "),"?"," "),";"," "),":"," "),"-"," "),"("," "),")"," "),"""", " "),"£"," "),"&amp;"," "),"/"," "),"%"," "))&amp;" "</f>
        <v> i am writing to complain the payment still has not arrived in my account i would like a response in writing </v>
      </c>
      <c r="E612" s="0" t="n">
        <f aca="false">SUMPRODUCT((Rules!$A$2:$A$60=E$1)*Rules!$C$2:$C$60*ISNUMBER(SEARCH(Rules!$D$2:$D$60,$D612)))</f>
        <v>0</v>
      </c>
      <c r="F612" s="0" t="n">
        <f aca="false">SUMPRODUCT((Rules!$A$2:$A$60=F$1)*Rules!$C$2:$C$60*ISNUMBER(SEARCH(Rules!$D$2:$D$60,$D612)))</f>
        <v>0</v>
      </c>
      <c r="G612" s="0" t="n">
        <f aca="false">SUMPRODUCT((Rules!$A$2:$A$60=G$1)*Rules!$C$2:$C$60*ISNUMBER(SEARCH(Rules!$D$2:$D$60,$D612)))</f>
        <v>0</v>
      </c>
      <c r="H612" s="0" t="n">
        <f aca="false">SUMPRODUCT((Rules!$A$2:$A$60=H$1)*Rules!$C$2:$C$60*ISNUMBER(SEARCH(Rules!$D$2:$D$60,$D612)))</f>
        <v>0</v>
      </c>
      <c r="I612" s="0" t="n">
        <f aca="false">SUMPRODUCT((Rules!$A$2:$A$60=I$1)*Rules!$C$2:$C$60*ISNUMBER(SEARCH(Rules!$D$2:$D$60,$D612)))</f>
        <v>2</v>
      </c>
      <c r="J612" s="0" t="n">
        <f aca="false">SUMPRODUCT((Rules!$A$2:$A$60=J$1)*Rules!$C$2:$C$60*ISNUMBER(SEARCH(Rules!$D$2:$D$60,$D612)))</f>
        <v>0</v>
      </c>
      <c r="K612" s="0" t="str">
        <f aca="false">IF(OR(MAX(E612:J612)&lt;Rules!$H$1,MAX(E612:J612)-LARGE(E612:J612,2)&lt;Rules!$H$2),"No label",INDEX($E$1:$J$1,MATCH(MAX(E612:J612),E612:J612,0)))</f>
        <v>No label</v>
      </c>
      <c r="L612" s="0" t="n">
        <f aca="false">SUMPRODUCT((Rules!$A$2:$A$60=L$1)*Rules!$C$2:$C$60*ISNUMBER(SEARCH(Rules!$E$2:$E$60,$D612)))</f>
        <v>0</v>
      </c>
      <c r="M612" s="0" t="n">
        <f aca="false">SUMPRODUCT((Rules!$A$2:$A$60=M$1)*Rules!$C$2:$C$60*ISNUMBER(SEARCH(Rules!$E$2:$E$60,$D612)))</f>
        <v>0</v>
      </c>
      <c r="N612" s="0" t="n">
        <f aca="false">SUMPRODUCT((Rules!$A$2:$A$60=N$1)*Rules!$C$2:$C$60*ISNUMBER(SEARCH(Rules!$E$2:$E$60,$D612)))</f>
        <v>0</v>
      </c>
      <c r="O612" s="0" t="n">
        <f aca="false">SUMPRODUCT((Rules!$A$2:$A$60=O$1)*Rules!$C$2:$C$60*ISNUMBER(SEARCH(Rules!$E$2:$E$60,$D612)))</f>
        <v>0</v>
      </c>
      <c r="P612" s="0" t="n">
        <f aca="false">SUMPRODUCT((Rules!$A$2:$A$60=P$1)*Rules!$C$2:$C$60*ISNUMBER(SEARCH(Rules!$E$2:$E$60,$D612)))</f>
        <v>2</v>
      </c>
      <c r="Q612" s="0" t="n">
        <f aca="false">SUMPRODUCT((Rules!$A$2:$A$60=Q$1)*Rules!$C$2:$C$60*ISNUMBER(SEARCH(Rules!$E$2:$E$60,$D612)))</f>
        <v>0</v>
      </c>
      <c r="R612" s="0" t="str">
        <f aca="false">IF(OR(MAX(L612:Q612)&lt;Rules!$H$1,MAX(L612:Q612)-LARGE(L612:Q612,2)&lt;Rules!$H$2),"No label",INDEX($L$1:$Q$1,MATCH(MAX(L612:Q612),L612:Q612,0)))</f>
        <v>No label</v>
      </c>
      <c r="S612" s="0" t="n">
        <f aca="false">SUMPRODUCT(ISNUMBER(SEARCH(" "&amp;Terms!$A$3:$A$821&amp;" ",$D612))*Terms!B$3:B$821)+Terms!B$2</f>
        <v>0.620218047473577</v>
      </c>
      <c r="T612" s="0" t="n">
        <f aca="false">SUMPRODUCT(ISNUMBER(SEARCH(" "&amp;Terms!$A$3:$A$821&amp;" ",$D612))*Terms!C$3:C$821)+Terms!C$2</f>
        <v>-2.88480683910327</v>
      </c>
      <c r="U612" s="0" t="n">
        <f aca="false">SUMPRODUCT(ISNUMBER(SEARCH(" "&amp;Terms!$A$3:$A$821&amp;" ",$D612))*Terms!D$3:D$821)+Terms!D$2</f>
        <v>7.29903373417312</v>
      </c>
      <c r="V612" s="0" t="n">
        <f aca="false">SUMPRODUCT(ISNUMBER(SEARCH(" "&amp;Terms!$A$3:$A$821&amp;" ",$D612))*Terms!E$3:E$821)+Terms!E$2</f>
        <v>-1.91763076890404</v>
      </c>
      <c r="W612" s="0" t="n">
        <f aca="false">SUMPRODUCT(ISNUMBER(SEARCH(" "&amp;Terms!$A$3:$A$821&amp;" ",$D612))*Terms!F$3:F$821)+Terms!F$2</f>
        <v>-1.25252205681951</v>
      </c>
      <c r="X612" s="0" t="n">
        <f aca="false">SUMPRODUCT(ISNUMBER(SEARCH(" "&amp;Terms!$A$3:$A$821&amp;" ",$D612))*Terms!G$3:G$821)+Terms!G$2</f>
        <v>-1.8642921168198</v>
      </c>
      <c r="Y612" s="0" t="str">
        <f aca="false">INDEX($S$1:$X$1,MATCH(MAX(S612:X612),S612:X612,0))</f>
        <v>Delays &amp; Processing</v>
      </c>
      <c r="Z612" s="0" t="s">
        <v>2607</v>
      </c>
    </row>
    <row r="613" customFormat="false" ht="15" hidden="false" customHeight="false" outlineLevel="0" collapsed="false">
      <c r="A613" s="0" t="str">
        <f aca="false">Complaints!A613</f>
        <v>C0612</v>
      </c>
      <c r="B613" s="0" t="str">
        <f aca="false">Complaints!B613</f>
        <v>To whom it may concern, The complaints handler was unhelpful and talked over me. Please escalate this.</v>
      </c>
      <c r="C613" s="0" t="str">
        <f aca="false">Complaints!C613</f>
        <v>Customer Service</v>
      </c>
      <c r="D613" s="0" t="str">
        <f aca="false">" "&amp;TRIM(SUBSTITUTE(SUBSTITUTE(SUBSTITUTE(SUBSTITUTE(SUBSTITUTE(SUBSTITUTE(SUBSTITUTE(SUBSTITUTE(SUBSTITUTE(SUBSTITUTE(SUBSTITUTE(SUBSTITUTE(SUBSTITUTE(SUBSTITUTE(SUBSTITUTE(SUBSTITUTE(LOWER(B613),"."," "),","," "),"'"," "),"’"," "),"!"," "),"?"," "),";"," "),":"," "),"-"," "),"("," "),")"," "),"""", " "),"£"," "),"&amp;"," "),"/"," "),"%"," "))&amp;" "</f>
        <v> to whom it may concern the complaints handler was unhelpful and talked over me please escalate this </v>
      </c>
      <c r="E613" s="0" t="n">
        <f aca="false">SUMPRODUCT((Rules!$A$2:$A$60=E$1)*Rules!$C$2:$C$60*ISNUMBER(SEARCH(Rules!$D$2:$D$60,$D613)))</f>
        <v>0</v>
      </c>
      <c r="F613" s="0" t="n">
        <f aca="false">SUMPRODUCT((Rules!$A$2:$A$60=F$1)*Rules!$C$2:$C$60*ISNUMBER(SEARCH(Rules!$D$2:$D$60,$D613)))</f>
        <v>0</v>
      </c>
      <c r="G613" s="0" t="n">
        <f aca="false">SUMPRODUCT((Rules!$A$2:$A$60=G$1)*Rules!$C$2:$C$60*ISNUMBER(SEARCH(Rules!$D$2:$D$60,$D613)))</f>
        <v>0</v>
      </c>
      <c r="H613" s="0" t="n">
        <f aca="false">SUMPRODUCT((Rules!$A$2:$A$60=H$1)*Rules!$C$2:$C$60*ISNUMBER(SEARCH(Rules!$D$2:$D$60,$D613)))</f>
        <v>0</v>
      </c>
      <c r="I613" s="0" t="n">
        <f aca="false">SUMPRODUCT((Rules!$A$2:$A$60=I$1)*Rules!$C$2:$C$60*ISNUMBER(SEARCH(Rules!$D$2:$D$60,$D613)))</f>
        <v>0</v>
      </c>
      <c r="J613" s="0" t="n">
        <f aca="false">SUMPRODUCT((Rules!$A$2:$A$60=J$1)*Rules!$C$2:$C$60*ISNUMBER(SEARCH(Rules!$D$2:$D$60,$D613)))</f>
        <v>2</v>
      </c>
      <c r="K613" s="0" t="str">
        <f aca="false">IF(OR(MAX(E613:J613)&lt;Rules!$H$1,MAX(E613:J613)-LARGE(E613:J613,2)&lt;Rules!$H$2),"No label",INDEX($E$1:$J$1,MATCH(MAX(E613:J613),E613:J613,0)))</f>
        <v>No label</v>
      </c>
      <c r="L613" s="0" t="n">
        <f aca="false">SUMPRODUCT((Rules!$A$2:$A$60=L$1)*Rules!$C$2:$C$60*ISNUMBER(SEARCH(Rules!$E$2:$E$60,$D613)))</f>
        <v>0</v>
      </c>
      <c r="M613" s="0" t="n">
        <f aca="false">SUMPRODUCT((Rules!$A$2:$A$60=M$1)*Rules!$C$2:$C$60*ISNUMBER(SEARCH(Rules!$E$2:$E$60,$D613)))</f>
        <v>0</v>
      </c>
      <c r="N613" s="0" t="n">
        <f aca="false">SUMPRODUCT((Rules!$A$2:$A$60=N$1)*Rules!$C$2:$C$60*ISNUMBER(SEARCH(Rules!$E$2:$E$60,$D613)))</f>
        <v>0</v>
      </c>
      <c r="O613" s="0" t="n">
        <f aca="false">SUMPRODUCT((Rules!$A$2:$A$60=O$1)*Rules!$C$2:$C$60*ISNUMBER(SEARCH(Rules!$E$2:$E$60,$D613)))</f>
        <v>0</v>
      </c>
      <c r="P613" s="0" t="n">
        <f aca="false">SUMPRODUCT((Rules!$A$2:$A$60=P$1)*Rules!$C$2:$C$60*ISNUMBER(SEARCH(Rules!$E$2:$E$60,$D613)))</f>
        <v>0</v>
      </c>
      <c r="Q613" s="0" t="n">
        <f aca="false">SUMPRODUCT((Rules!$A$2:$A$60=Q$1)*Rules!$C$2:$C$60*ISNUMBER(SEARCH(Rules!$E$2:$E$60,$D613)))</f>
        <v>2</v>
      </c>
      <c r="R613" s="0" t="str">
        <f aca="false">IF(OR(MAX(L613:Q613)&lt;Rules!$H$1,MAX(L613:Q613)-LARGE(L613:Q613,2)&lt;Rules!$H$2),"No label",INDEX($L$1:$Q$1,MATCH(MAX(L613:Q613),L613:Q613,0)))</f>
        <v>No label</v>
      </c>
      <c r="S613" s="0" t="n">
        <f aca="false">SUMPRODUCT(ISNUMBER(SEARCH(" "&amp;Terms!$A$3:$A$821&amp;" ",$D613))*Terms!B$3:B$821)+Terms!B$2</f>
        <v>-1.03761866991209</v>
      </c>
      <c r="T613" s="0" t="n">
        <f aca="false">SUMPRODUCT(ISNUMBER(SEARCH(" "&amp;Terms!$A$3:$A$821&amp;" ",$D613))*Terms!C$3:C$821)+Terms!C$2</f>
        <v>8.48411616757177</v>
      </c>
      <c r="U613" s="0" t="n">
        <f aca="false">SUMPRODUCT(ISNUMBER(SEARCH(" "&amp;Terms!$A$3:$A$821&amp;" ",$D613))*Terms!D$3:D$821)+Terms!D$2</f>
        <v>-3.94832366399067</v>
      </c>
      <c r="V613" s="0" t="n">
        <f aca="false">SUMPRODUCT(ISNUMBER(SEARCH(" "&amp;Terms!$A$3:$A$821&amp;" ",$D613))*Terms!E$3:E$821)+Terms!E$2</f>
        <v>0.560926392077644</v>
      </c>
      <c r="W613" s="0" t="n">
        <f aca="false">SUMPRODUCT(ISNUMBER(SEARCH(" "&amp;Terms!$A$3:$A$821&amp;" ",$D613))*Terms!F$3:F$821)+Terms!F$2</f>
        <v>-3.41641278303613</v>
      </c>
      <c r="X613" s="0" t="n">
        <f aca="false">SUMPRODUCT(ISNUMBER(SEARCH(" "&amp;Terms!$A$3:$A$821&amp;" ",$D613))*Terms!G$3:G$821)+Terms!G$2</f>
        <v>-0.642687442710429</v>
      </c>
      <c r="Y613" s="0" t="str">
        <f aca="false">INDEX($S$1:$X$1,MATCH(MAX(S613:X613),S613:X613,0))</f>
        <v>Customer Service</v>
      </c>
      <c r="Z613" s="0" t="s">
        <v>2607</v>
      </c>
    </row>
    <row r="614" customFormat="false" ht="15" hidden="false" customHeight="false" outlineLevel="0" collapsed="false">
      <c r="A614" s="0" t="str">
        <f aca="false">Complaints!A614</f>
        <v>C0613</v>
      </c>
      <c r="B614" s="0" t="str">
        <f aca="false">Complaints!B614</f>
        <v>I asked for a callback and it never happened. I do not think it was explained properly when I bought it.</v>
      </c>
      <c r="C614" s="0" t="str">
        <f aca="false">Complaints!C614</f>
        <v>Customer Service</v>
      </c>
      <c r="D614" s="0" t="str">
        <f aca="false">" "&amp;TRIM(SUBSTITUTE(SUBSTITUTE(SUBSTITUTE(SUBSTITUTE(SUBSTITUTE(SUBSTITUTE(SUBSTITUTE(SUBSTITUTE(SUBSTITUTE(SUBSTITUTE(SUBSTITUTE(SUBSTITUTE(SUBSTITUTE(SUBSTITUTE(SUBSTITUTE(SUBSTITUTE(LOWER(B614),"."," "),","," "),"'"," "),"’"," "),"!"," "),"?"," "),";"," "),":"," "),"-"," "),"("," "),")"," "),"""", " "),"£"," "),"&amp;"," "),"/"," "),"%"," "))&amp;" "</f>
        <v> i asked for a callback and it never happened i do not think it was explained properly when i bought it </v>
      </c>
      <c r="E614" s="0" t="n">
        <f aca="false">SUMPRODUCT((Rules!$A$2:$A$60=E$1)*Rules!$C$2:$C$60*ISNUMBER(SEARCH(Rules!$D$2:$D$60,$D614)))</f>
        <v>0</v>
      </c>
      <c r="F614" s="0" t="n">
        <f aca="false">SUMPRODUCT((Rules!$A$2:$A$60=F$1)*Rules!$C$2:$C$60*ISNUMBER(SEARCH(Rules!$D$2:$D$60,$D614)))</f>
        <v>0</v>
      </c>
      <c r="G614" s="0" t="n">
        <f aca="false">SUMPRODUCT((Rules!$A$2:$A$60=G$1)*Rules!$C$2:$C$60*ISNUMBER(SEARCH(Rules!$D$2:$D$60,$D614)))</f>
        <v>0</v>
      </c>
      <c r="H614" s="0" t="n">
        <f aca="false">SUMPRODUCT((Rules!$A$2:$A$60=H$1)*Rules!$C$2:$C$60*ISNUMBER(SEARCH(Rules!$D$2:$D$60,$D614)))</f>
        <v>0</v>
      </c>
      <c r="I614" s="0" t="n">
        <f aca="false">SUMPRODUCT((Rules!$A$2:$A$60=I$1)*Rules!$C$2:$C$60*ISNUMBER(SEARCH(Rules!$D$2:$D$60,$D614)))</f>
        <v>0</v>
      </c>
      <c r="J614" s="0" t="n">
        <f aca="false">SUMPRODUCT((Rules!$A$2:$A$60=J$1)*Rules!$C$2:$C$60*ISNUMBER(SEARCH(Rules!$D$2:$D$60,$D614)))</f>
        <v>2</v>
      </c>
      <c r="K614" s="0" t="str">
        <f aca="false">IF(OR(MAX(E614:J614)&lt;Rules!$H$1,MAX(E614:J614)-LARGE(E614:J614,2)&lt;Rules!$H$2),"No label",INDEX($E$1:$J$1,MATCH(MAX(E614:J614),E614:J614,0)))</f>
        <v>No label</v>
      </c>
      <c r="L614" s="0" t="n">
        <f aca="false">SUMPRODUCT((Rules!$A$2:$A$60=L$1)*Rules!$C$2:$C$60*ISNUMBER(SEARCH(Rules!$E$2:$E$60,$D614)))</f>
        <v>0</v>
      </c>
      <c r="M614" s="0" t="n">
        <f aca="false">SUMPRODUCT((Rules!$A$2:$A$60=M$1)*Rules!$C$2:$C$60*ISNUMBER(SEARCH(Rules!$E$2:$E$60,$D614)))</f>
        <v>0</v>
      </c>
      <c r="N614" s="0" t="n">
        <f aca="false">SUMPRODUCT((Rules!$A$2:$A$60=N$1)*Rules!$C$2:$C$60*ISNUMBER(SEARCH(Rules!$E$2:$E$60,$D614)))</f>
        <v>0</v>
      </c>
      <c r="O614" s="0" t="n">
        <f aca="false">SUMPRODUCT((Rules!$A$2:$A$60=O$1)*Rules!$C$2:$C$60*ISNUMBER(SEARCH(Rules!$E$2:$E$60,$D614)))</f>
        <v>0</v>
      </c>
      <c r="P614" s="0" t="n">
        <f aca="false">SUMPRODUCT((Rules!$A$2:$A$60=P$1)*Rules!$C$2:$C$60*ISNUMBER(SEARCH(Rules!$E$2:$E$60,$D614)))</f>
        <v>0</v>
      </c>
      <c r="Q614" s="0" t="n">
        <f aca="false">SUMPRODUCT((Rules!$A$2:$A$60=Q$1)*Rules!$C$2:$C$60*ISNUMBER(SEARCH(Rules!$E$2:$E$60,$D614)))</f>
        <v>2</v>
      </c>
      <c r="R614" s="0" t="str">
        <f aca="false">IF(OR(MAX(L614:Q614)&lt;Rules!$H$1,MAX(L614:Q614)-LARGE(L614:Q614,2)&lt;Rules!$H$2),"No label",INDEX($L$1:$Q$1,MATCH(MAX(L614:Q614),L614:Q614,0)))</f>
        <v>No label</v>
      </c>
      <c r="S614" s="0" t="n">
        <f aca="false">SUMPRODUCT(ISNUMBER(SEARCH(" "&amp;Terms!$A$3:$A$821&amp;" ",$D614))*Terms!B$3:B$821)+Terms!B$2</f>
        <v>-1.53986046901634</v>
      </c>
      <c r="T614" s="0" t="n">
        <f aca="false">SUMPRODUCT(ISNUMBER(SEARCH(" "&amp;Terms!$A$3:$A$821&amp;" ",$D614))*Terms!C$3:C$821)+Terms!C$2</f>
        <v>5.04035725071705</v>
      </c>
      <c r="U614" s="0" t="n">
        <f aca="false">SUMPRODUCT(ISNUMBER(SEARCH(" "&amp;Terms!$A$3:$A$821&amp;" ",$D614))*Terms!D$3:D$821)+Terms!D$2</f>
        <v>-3.29275784433895</v>
      </c>
      <c r="V614" s="0" t="n">
        <f aca="false">SUMPRODUCT(ISNUMBER(SEARCH(" "&amp;Terms!$A$3:$A$821&amp;" ",$D614))*Terms!E$3:E$821)+Terms!E$2</f>
        <v>1.57118872216761</v>
      </c>
      <c r="W614" s="0" t="n">
        <f aca="false">SUMPRODUCT(ISNUMBER(SEARCH(" "&amp;Terms!$A$3:$A$821&amp;" ",$D614))*Terms!F$3:F$821)+Terms!F$2</f>
        <v>1.05627776632116</v>
      </c>
      <c r="X614" s="0" t="n">
        <f aca="false">SUMPRODUCT(ISNUMBER(SEARCH(" "&amp;Terms!$A$3:$A$821&amp;" ",$D614))*Terms!G$3:G$821)+Terms!G$2</f>
        <v>-2.83520542585044</v>
      </c>
      <c r="Y614" s="0" t="str">
        <f aca="false">INDEX($S$1:$X$1,MATCH(MAX(S614:X614),S614:X614,0))</f>
        <v>Customer Service</v>
      </c>
      <c r="Z614" s="0" t="s">
        <v>2607</v>
      </c>
    </row>
    <row r="615" customFormat="false" ht="15" hidden="false" customHeight="false" outlineLevel="0" collapsed="false">
      <c r="A615" s="0" t="str">
        <f aca="false">Complaints!A615</f>
        <v>C0614</v>
      </c>
      <c r="B615" s="0" t="str">
        <f aca="false">Complaints!B615</f>
        <v>Frankly, The pension transfer advice I received was poor and I have lost out. I expect compensation.</v>
      </c>
      <c r="C615" s="0" t="str">
        <f aca="false">Complaints!C615</f>
        <v>Mis-selling</v>
      </c>
      <c r="D615" s="0" t="str">
        <f aca="false">" "&amp;TRIM(SUBSTITUTE(SUBSTITUTE(SUBSTITUTE(SUBSTITUTE(SUBSTITUTE(SUBSTITUTE(SUBSTITUTE(SUBSTITUTE(SUBSTITUTE(SUBSTITUTE(SUBSTITUTE(SUBSTITUTE(SUBSTITUTE(SUBSTITUTE(SUBSTITUTE(SUBSTITUTE(LOWER(B615),"."," "),","," "),"'"," "),"’"," "),"!"," "),"?"," "),";"," "),":"," "),"-"," "),"("," "),")"," "),"""", " "),"£"," "),"&amp;"," "),"/"," "),"%"," "))&amp;" "</f>
        <v> frankly the pension transfer advice i received was poor and i have lost out i expect compensation </v>
      </c>
      <c r="E615" s="0" t="n">
        <f aca="false">SUMPRODUCT((Rules!$A$2:$A$60=E$1)*Rules!$C$2:$C$60*ISNUMBER(SEARCH(Rules!$D$2:$D$60,$D615)))</f>
        <v>0</v>
      </c>
      <c r="F615" s="0" t="n">
        <f aca="false">SUMPRODUCT((Rules!$A$2:$A$60=F$1)*Rules!$C$2:$C$60*ISNUMBER(SEARCH(Rules!$D$2:$D$60,$D615)))</f>
        <v>2</v>
      </c>
      <c r="G615" s="0" t="n">
        <f aca="false">SUMPRODUCT((Rules!$A$2:$A$60=G$1)*Rules!$C$2:$C$60*ISNUMBER(SEARCH(Rules!$D$2:$D$60,$D615)))</f>
        <v>0</v>
      </c>
      <c r="H615" s="0" t="n">
        <f aca="false">SUMPRODUCT((Rules!$A$2:$A$60=H$1)*Rules!$C$2:$C$60*ISNUMBER(SEARCH(Rules!$D$2:$D$60,$D615)))</f>
        <v>0</v>
      </c>
      <c r="I615" s="0" t="n">
        <f aca="false">SUMPRODUCT((Rules!$A$2:$A$60=I$1)*Rules!$C$2:$C$60*ISNUMBER(SEARCH(Rules!$D$2:$D$60,$D615)))</f>
        <v>0</v>
      </c>
      <c r="J615" s="0" t="n">
        <f aca="false">SUMPRODUCT((Rules!$A$2:$A$60=J$1)*Rules!$C$2:$C$60*ISNUMBER(SEARCH(Rules!$D$2:$D$60,$D615)))</f>
        <v>0</v>
      </c>
      <c r="K615" s="0" t="str">
        <f aca="false">IF(OR(MAX(E615:J615)&lt;Rules!$H$1,MAX(E615:J615)-LARGE(E615:J615,2)&lt;Rules!$H$2),"No label",INDEX($E$1:$J$1,MATCH(MAX(E615:J615),E615:J615,0)))</f>
        <v>No label</v>
      </c>
      <c r="L615" s="0" t="n">
        <f aca="false">SUMPRODUCT((Rules!$A$2:$A$60=L$1)*Rules!$C$2:$C$60*ISNUMBER(SEARCH(Rules!$E$2:$E$60,$D615)))</f>
        <v>0</v>
      </c>
      <c r="M615" s="0" t="n">
        <f aca="false">SUMPRODUCT((Rules!$A$2:$A$60=M$1)*Rules!$C$2:$C$60*ISNUMBER(SEARCH(Rules!$E$2:$E$60,$D615)))</f>
        <v>2</v>
      </c>
      <c r="N615" s="0" t="n">
        <f aca="false">SUMPRODUCT((Rules!$A$2:$A$60=N$1)*Rules!$C$2:$C$60*ISNUMBER(SEARCH(Rules!$E$2:$E$60,$D615)))</f>
        <v>0</v>
      </c>
      <c r="O615" s="0" t="n">
        <f aca="false">SUMPRODUCT((Rules!$A$2:$A$60=O$1)*Rules!$C$2:$C$60*ISNUMBER(SEARCH(Rules!$E$2:$E$60,$D615)))</f>
        <v>0</v>
      </c>
      <c r="P615" s="0" t="n">
        <f aca="false">SUMPRODUCT((Rules!$A$2:$A$60=P$1)*Rules!$C$2:$C$60*ISNUMBER(SEARCH(Rules!$E$2:$E$60,$D615)))</f>
        <v>0</v>
      </c>
      <c r="Q615" s="0" t="n">
        <f aca="false">SUMPRODUCT((Rules!$A$2:$A$60=Q$1)*Rules!$C$2:$C$60*ISNUMBER(SEARCH(Rules!$E$2:$E$60,$D615)))</f>
        <v>0</v>
      </c>
      <c r="R615" s="0" t="str">
        <f aca="false">IF(OR(MAX(L615:Q615)&lt;Rules!$H$1,MAX(L615:Q615)-LARGE(L615:Q615,2)&lt;Rules!$H$2),"No label",INDEX($L$1:$Q$1,MATCH(MAX(L615:Q615),L615:Q615,0)))</f>
        <v>No label</v>
      </c>
      <c r="S615" s="0" t="n">
        <f aca="false">SUMPRODUCT(ISNUMBER(SEARCH(" "&amp;Terms!$A$3:$A$821&amp;" ",$D615))*Terms!B$3:B$821)+Terms!B$2</f>
        <v>-1.16920146973329</v>
      </c>
      <c r="T615" s="0" t="n">
        <f aca="false">SUMPRODUCT(ISNUMBER(SEARCH(" "&amp;Terms!$A$3:$A$821&amp;" ",$D615))*Terms!C$3:C$821)+Terms!C$2</f>
        <v>-3.74498480657032</v>
      </c>
      <c r="U615" s="0" t="n">
        <f aca="false">SUMPRODUCT(ISNUMBER(SEARCH(" "&amp;Terms!$A$3:$A$821&amp;" ",$D615))*Terms!D$3:D$821)+Terms!D$2</f>
        <v>0.693324867768888</v>
      </c>
      <c r="V615" s="0" t="n">
        <f aca="false">SUMPRODUCT(ISNUMBER(SEARCH(" "&amp;Terms!$A$3:$A$821&amp;" ",$D615))*Terms!E$3:E$821)+Terms!E$2</f>
        <v>-2.67286229410951</v>
      </c>
      <c r="W615" s="0" t="n">
        <f aca="false">SUMPRODUCT(ISNUMBER(SEARCH(" "&amp;Terms!$A$3:$A$821&amp;" ",$D615))*Terms!F$3:F$821)+Terms!F$2</f>
        <v>-1.17912867505265</v>
      </c>
      <c r="X615" s="0" t="n">
        <f aca="false">SUMPRODUCT(ISNUMBER(SEARCH(" "&amp;Terms!$A$3:$A$821&amp;" ",$D615))*Terms!G$3:G$821)+Terms!G$2</f>
        <v>8.07285237769697</v>
      </c>
      <c r="Y615" s="0" t="str">
        <f aca="false">INDEX($S$1:$X$1,MATCH(MAX(S615:X615),S615:X615,0))</f>
        <v>Mis-selling</v>
      </c>
      <c r="Z615" s="0" t="s">
        <v>2608</v>
      </c>
    </row>
    <row r="616" customFormat="false" ht="15" hidden="false" customHeight="false" outlineLevel="0" collapsed="false">
      <c r="A616" s="0" t="str">
        <f aca="false">Complaints!A616</f>
        <v>C0615</v>
      </c>
      <c r="B616" s="0" t="str">
        <f aca="false">Complaints!B616</f>
        <v>My transfer has been pending for over a week. Also, i am unable to access my account to see my balance. Please sort this out.</v>
      </c>
      <c r="C616" s="0" t="str">
        <f aca="false">Complaints!C616</f>
        <v>Delays &amp; Processing</v>
      </c>
      <c r="D616" s="0" t="str">
        <f aca="false">" "&amp;TRIM(SUBSTITUTE(SUBSTITUTE(SUBSTITUTE(SUBSTITUTE(SUBSTITUTE(SUBSTITUTE(SUBSTITUTE(SUBSTITUTE(SUBSTITUTE(SUBSTITUTE(SUBSTITUTE(SUBSTITUTE(SUBSTITUTE(SUBSTITUTE(SUBSTITUTE(SUBSTITUTE(LOWER(B616),"."," "),","," "),"'"," "),"’"," "),"!"," "),"?"," "),";"," "),":"," "),"-"," "),"("," "),")"," "),"""", " "),"£"," "),"&amp;"," "),"/"," "),"%"," "))&amp;" "</f>
        <v> my transfer has been pending for over a week also i am unable to access my account to see my balance please sort this out </v>
      </c>
      <c r="E616" s="0" t="n">
        <f aca="false">SUMPRODUCT((Rules!$A$2:$A$60=E$1)*Rules!$C$2:$C$60*ISNUMBER(SEARCH(Rules!$D$2:$D$60,$D616)))</f>
        <v>0</v>
      </c>
      <c r="F616" s="0" t="n">
        <f aca="false">SUMPRODUCT((Rules!$A$2:$A$60=F$1)*Rules!$C$2:$C$60*ISNUMBER(SEARCH(Rules!$D$2:$D$60,$D616)))</f>
        <v>0</v>
      </c>
      <c r="G616" s="0" t="n">
        <f aca="false">SUMPRODUCT((Rules!$A$2:$A$60=G$1)*Rules!$C$2:$C$60*ISNUMBER(SEARCH(Rules!$D$2:$D$60,$D616)))</f>
        <v>1</v>
      </c>
      <c r="H616" s="0" t="n">
        <f aca="false">SUMPRODUCT((Rules!$A$2:$A$60=H$1)*Rules!$C$2:$C$60*ISNUMBER(SEARCH(Rules!$D$2:$D$60,$D616)))</f>
        <v>0</v>
      </c>
      <c r="I616" s="0" t="n">
        <f aca="false">SUMPRODUCT((Rules!$A$2:$A$60=I$1)*Rules!$C$2:$C$60*ISNUMBER(SEARCH(Rules!$D$2:$D$60,$D616)))</f>
        <v>2</v>
      </c>
      <c r="J616" s="0" t="n">
        <f aca="false">SUMPRODUCT((Rules!$A$2:$A$60=J$1)*Rules!$C$2:$C$60*ISNUMBER(SEARCH(Rules!$D$2:$D$60,$D616)))</f>
        <v>0</v>
      </c>
      <c r="K616" s="0" t="str">
        <f aca="false">IF(OR(MAX(E616:J616)&lt;Rules!$H$1,MAX(E616:J616)-LARGE(E616:J616,2)&lt;Rules!$H$2),"No label",INDEX($E$1:$J$1,MATCH(MAX(E616:J616),E616:J616,0)))</f>
        <v>No label</v>
      </c>
      <c r="L616" s="0" t="n">
        <f aca="false">SUMPRODUCT((Rules!$A$2:$A$60=L$1)*Rules!$C$2:$C$60*ISNUMBER(SEARCH(Rules!$E$2:$E$60,$D616)))</f>
        <v>0</v>
      </c>
      <c r="M616" s="0" t="n">
        <f aca="false">SUMPRODUCT((Rules!$A$2:$A$60=M$1)*Rules!$C$2:$C$60*ISNUMBER(SEARCH(Rules!$E$2:$E$60,$D616)))</f>
        <v>0</v>
      </c>
      <c r="N616" s="0" t="n">
        <f aca="false">SUMPRODUCT((Rules!$A$2:$A$60=N$1)*Rules!$C$2:$C$60*ISNUMBER(SEARCH(Rules!$E$2:$E$60,$D616)))</f>
        <v>1</v>
      </c>
      <c r="O616" s="0" t="n">
        <f aca="false">SUMPRODUCT((Rules!$A$2:$A$60=O$1)*Rules!$C$2:$C$60*ISNUMBER(SEARCH(Rules!$E$2:$E$60,$D616)))</f>
        <v>0</v>
      </c>
      <c r="P616" s="0" t="n">
        <f aca="false">SUMPRODUCT((Rules!$A$2:$A$60=P$1)*Rules!$C$2:$C$60*ISNUMBER(SEARCH(Rules!$E$2:$E$60,$D616)))</f>
        <v>2</v>
      </c>
      <c r="Q616" s="0" t="n">
        <f aca="false">SUMPRODUCT((Rules!$A$2:$A$60=Q$1)*Rules!$C$2:$C$60*ISNUMBER(SEARCH(Rules!$E$2:$E$60,$D616)))</f>
        <v>0</v>
      </c>
      <c r="R616" s="0" t="str">
        <f aca="false">IF(OR(MAX(L616:Q616)&lt;Rules!$H$1,MAX(L616:Q616)-LARGE(L616:Q616,2)&lt;Rules!$H$2),"No label",INDEX($L$1:$Q$1,MATCH(MAX(L616:Q616),L616:Q616,0)))</f>
        <v>No label</v>
      </c>
      <c r="S616" s="0" t="n">
        <f aca="false">SUMPRODUCT(ISNUMBER(SEARCH(" "&amp;Terms!$A$3:$A$821&amp;" ",$D616))*Terms!B$3:B$821)+Terms!B$2</f>
        <v>2.99036759927408</v>
      </c>
      <c r="T616" s="0" t="n">
        <f aca="false">SUMPRODUCT(ISNUMBER(SEARCH(" "&amp;Terms!$A$3:$A$821&amp;" ",$D616))*Terms!C$3:C$821)+Terms!C$2</f>
        <v>-3.93424010454008</v>
      </c>
      <c r="U616" s="0" t="n">
        <f aca="false">SUMPRODUCT(ISNUMBER(SEARCH(" "&amp;Terms!$A$3:$A$821&amp;" ",$D616))*Terms!D$3:D$821)+Terms!D$2</f>
        <v>8.39176534866516</v>
      </c>
      <c r="V616" s="0" t="n">
        <f aca="false">SUMPRODUCT(ISNUMBER(SEARCH(" "&amp;Terms!$A$3:$A$821&amp;" ",$D616))*Terms!E$3:E$821)+Terms!E$2</f>
        <v>-2.31924476027557</v>
      </c>
      <c r="W616" s="0" t="n">
        <f aca="false">SUMPRODUCT(ISNUMBER(SEARCH(" "&amp;Terms!$A$3:$A$821&amp;" ",$D616))*Terms!F$3:F$821)+Terms!F$2</f>
        <v>-0.49454488236733</v>
      </c>
      <c r="X616" s="0" t="n">
        <f aca="false">SUMPRODUCT(ISNUMBER(SEARCH(" "&amp;Terms!$A$3:$A$821&amp;" ",$D616))*Terms!G$3:G$821)+Terms!G$2</f>
        <v>-4.63410320075618</v>
      </c>
      <c r="Y616" s="0" t="str">
        <f aca="false">INDEX($S$1:$X$1,MATCH(MAX(S616:X616),S616:X616,0))</f>
        <v>Delays &amp; Processing</v>
      </c>
      <c r="Z616" s="0" t="s">
        <v>2607</v>
      </c>
    </row>
    <row r="617" customFormat="false" ht="15" hidden="false" customHeight="false" outlineLevel="0" collapsed="false">
      <c r="A617" s="0" t="str">
        <f aca="false">Complaints!A617</f>
        <v>C0616</v>
      </c>
      <c r="B617" s="0" t="str">
        <f aca="false">Complaints!B617</f>
        <v>This is the second time I have raised this. Your advisor gave me different answers on two separate calls. Also, i have been billed an annual fee I never agreed to. I expect compensation.</v>
      </c>
      <c r="C617" s="0" t="str">
        <f aca="false">Complaints!C617</f>
        <v>Customer Service</v>
      </c>
      <c r="D617" s="0" t="str">
        <f aca="false">" "&amp;TRIM(SUBSTITUTE(SUBSTITUTE(SUBSTITUTE(SUBSTITUTE(SUBSTITUTE(SUBSTITUTE(SUBSTITUTE(SUBSTITUTE(SUBSTITUTE(SUBSTITUTE(SUBSTITUTE(SUBSTITUTE(SUBSTITUTE(SUBSTITUTE(SUBSTITUTE(SUBSTITUTE(LOWER(B617),"."," "),","," "),"'"," "),"’"," "),"!"," "),"?"," "),";"," "),":"," "),"-"," "),"("," "),")"," "),"""", " "),"£"," "),"&amp;"," "),"/"," "),"%"," "))&amp;" "</f>
        <v> this is the second time i have raised this your advisor gave me different answers on two separate calls also i have been billed an annual fee i never agreed to i expect compensation </v>
      </c>
      <c r="E617" s="0" t="n">
        <f aca="false">SUMPRODUCT((Rules!$A$2:$A$60=E$1)*Rules!$C$2:$C$60*ISNUMBER(SEARCH(Rules!$D$2:$D$60,$D617)))</f>
        <v>0</v>
      </c>
      <c r="F617" s="0" t="n">
        <f aca="false">SUMPRODUCT((Rules!$A$2:$A$60=F$1)*Rules!$C$2:$C$60*ISNUMBER(SEARCH(Rules!$D$2:$D$60,$D617)))</f>
        <v>0</v>
      </c>
      <c r="G617" s="0" t="n">
        <f aca="false">SUMPRODUCT((Rules!$A$2:$A$60=G$1)*Rules!$C$2:$C$60*ISNUMBER(SEARCH(Rules!$D$2:$D$60,$D617)))</f>
        <v>0</v>
      </c>
      <c r="H617" s="0" t="n">
        <f aca="false">SUMPRODUCT((Rules!$A$2:$A$60=H$1)*Rules!$C$2:$C$60*ISNUMBER(SEARCH(Rules!$D$2:$D$60,$D617)))</f>
        <v>4</v>
      </c>
      <c r="I617" s="0" t="n">
        <f aca="false">SUMPRODUCT((Rules!$A$2:$A$60=I$1)*Rules!$C$2:$C$60*ISNUMBER(SEARCH(Rules!$D$2:$D$60,$D617)))</f>
        <v>0</v>
      </c>
      <c r="J617" s="0" t="n">
        <f aca="false">SUMPRODUCT((Rules!$A$2:$A$60=J$1)*Rules!$C$2:$C$60*ISNUMBER(SEARCH(Rules!$D$2:$D$60,$D617)))</f>
        <v>1</v>
      </c>
      <c r="K617" s="0" t="str">
        <f aca="false">IF(OR(MAX(E617:J617)&lt;Rules!$H$1,MAX(E617:J617)-LARGE(E617:J617,2)&lt;Rules!$H$2),"No label",INDEX($E$1:$J$1,MATCH(MAX(E617:J617),E617:J617,0)))</f>
        <v>Fees &amp; Charges</v>
      </c>
      <c r="L617" s="0" t="n">
        <f aca="false">SUMPRODUCT((Rules!$A$2:$A$60=L$1)*Rules!$C$2:$C$60*ISNUMBER(SEARCH(Rules!$E$2:$E$60,$D617)))</f>
        <v>0</v>
      </c>
      <c r="M617" s="0" t="n">
        <f aca="false">SUMPRODUCT((Rules!$A$2:$A$60=M$1)*Rules!$C$2:$C$60*ISNUMBER(SEARCH(Rules!$E$2:$E$60,$D617)))</f>
        <v>4</v>
      </c>
      <c r="N617" s="0" t="n">
        <f aca="false">SUMPRODUCT((Rules!$A$2:$A$60=N$1)*Rules!$C$2:$C$60*ISNUMBER(SEARCH(Rules!$E$2:$E$60,$D617)))</f>
        <v>0</v>
      </c>
      <c r="O617" s="0" t="n">
        <f aca="false">SUMPRODUCT((Rules!$A$2:$A$60=O$1)*Rules!$C$2:$C$60*ISNUMBER(SEARCH(Rules!$E$2:$E$60,$D617)))</f>
        <v>4</v>
      </c>
      <c r="P617" s="0" t="n">
        <f aca="false">SUMPRODUCT((Rules!$A$2:$A$60=P$1)*Rules!$C$2:$C$60*ISNUMBER(SEARCH(Rules!$E$2:$E$60,$D617)))</f>
        <v>0</v>
      </c>
      <c r="Q617" s="0" t="n">
        <f aca="false">SUMPRODUCT((Rules!$A$2:$A$60=Q$1)*Rules!$C$2:$C$60*ISNUMBER(SEARCH(Rules!$E$2:$E$60,$D617)))</f>
        <v>1</v>
      </c>
      <c r="R617" s="0" t="str">
        <f aca="false">IF(OR(MAX(L617:Q617)&lt;Rules!$H$1,MAX(L617:Q617)-LARGE(L617:Q617,2)&lt;Rules!$H$2),"No label",INDEX($L$1:$Q$1,MATCH(MAX(L617:Q617),L617:Q617,0)))</f>
        <v>No label</v>
      </c>
      <c r="S617" s="0" t="n">
        <f aca="false">SUMPRODUCT(ISNUMBER(SEARCH(" "&amp;Terms!$A$3:$A$821&amp;" ",$D617))*Terms!B$3:B$821)+Terms!B$2</f>
        <v>-0.053663754755345</v>
      </c>
      <c r="T617" s="0" t="n">
        <f aca="false">SUMPRODUCT(ISNUMBER(SEARCH(" "&amp;Terms!$A$3:$A$821&amp;" ",$D617))*Terms!C$3:C$821)+Terms!C$2</f>
        <v>11.5773969954553</v>
      </c>
      <c r="U617" s="0" t="n">
        <f aca="false">SUMPRODUCT(ISNUMBER(SEARCH(" "&amp;Terms!$A$3:$A$821&amp;" ",$D617))*Terms!D$3:D$821)+Terms!D$2</f>
        <v>-6.60341392955246</v>
      </c>
      <c r="V617" s="0" t="n">
        <f aca="false">SUMPRODUCT(ISNUMBER(SEARCH(" "&amp;Terms!$A$3:$A$821&amp;" ",$D617))*Terms!E$3:E$821)+Terms!E$2</f>
        <v>5.95736332751291</v>
      </c>
      <c r="W617" s="0" t="n">
        <f aca="false">SUMPRODUCT(ISNUMBER(SEARCH(" "&amp;Terms!$A$3:$A$821&amp;" ",$D617))*Terms!F$3:F$821)+Terms!F$2</f>
        <v>-4.50481366258226</v>
      </c>
      <c r="X617" s="0" t="n">
        <f aca="false">SUMPRODUCT(ISNUMBER(SEARCH(" "&amp;Terms!$A$3:$A$821&amp;" ",$D617))*Terms!G$3:G$821)+Terms!G$2</f>
        <v>-6.37286897607805</v>
      </c>
      <c r="Y617" s="0" t="str">
        <f aca="false">INDEX($S$1:$X$1,MATCH(MAX(S617:X617),S617:X617,0))</f>
        <v>Customer Service</v>
      </c>
      <c r="Z617" s="0" t="s">
        <v>2607</v>
      </c>
    </row>
    <row r="618" customFormat="false" ht="15" hidden="false" customHeight="false" outlineLevel="0" collapsed="false">
      <c r="A618" s="0" t="str">
        <f aca="false">Complaints!A618</f>
        <v>C0617</v>
      </c>
      <c r="B618" s="0" t="str">
        <f aca="false">Complaints!B618</f>
        <v>The terms were very different from what I was promised at the time of sale.</v>
      </c>
      <c r="C618" s="0" t="str">
        <f aca="false">Complaints!C618</f>
        <v>Mis-selling</v>
      </c>
      <c r="D618" s="0" t="str">
        <f aca="false">" "&amp;TRIM(SUBSTITUTE(SUBSTITUTE(SUBSTITUTE(SUBSTITUTE(SUBSTITUTE(SUBSTITUTE(SUBSTITUTE(SUBSTITUTE(SUBSTITUTE(SUBSTITUTE(SUBSTITUTE(SUBSTITUTE(SUBSTITUTE(SUBSTITUTE(SUBSTITUTE(SUBSTITUTE(LOWER(B618),"."," "),","," "),"'"," "),"’"," "),"!"," "),"?"," "),";"," "),":"," "),"-"," "),"("," "),")"," "),"""", " "),"£"," "),"&amp;"," "),"/"," "),"%"," "))&amp;" "</f>
        <v> the terms were very different from what i was promised at the time of sale </v>
      </c>
      <c r="E618" s="0" t="n">
        <f aca="false">SUMPRODUCT((Rules!$A$2:$A$60=E$1)*Rules!$C$2:$C$60*ISNUMBER(SEARCH(Rules!$D$2:$D$60,$D618)))</f>
        <v>0</v>
      </c>
      <c r="F618" s="0" t="n">
        <f aca="false">SUMPRODUCT((Rules!$A$2:$A$60=F$1)*Rules!$C$2:$C$60*ISNUMBER(SEARCH(Rules!$D$2:$D$60,$D618)))</f>
        <v>1</v>
      </c>
      <c r="G618" s="0" t="n">
        <f aca="false">SUMPRODUCT((Rules!$A$2:$A$60=G$1)*Rules!$C$2:$C$60*ISNUMBER(SEARCH(Rules!$D$2:$D$60,$D618)))</f>
        <v>0</v>
      </c>
      <c r="H618" s="0" t="n">
        <f aca="false">SUMPRODUCT((Rules!$A$2:$A$60=H$1)*Rules!$C$2:$C$60*ISNUMBER(SEARCH(Rules!$D$2:$D$60,$D618)))</f>
        <v>0</v>
      </c>
      <c r="I618" s="0" t="n">
        <f aca="false">SUMPRODUCT((Rules!$A$2:$A$60=I$1)*Rules!$C$2:$C$60*ISNUMBER(SEARCH(Rules!$D$2:$D$60,$D618)))</f>
        <v>0</v>
      </c>
      <c r="J618" s="0" t="n">
        <f aca="false">SUMPRODUCT((Rules!$A$2:$A$60=J$1)*Rules!$C$2:$C$60*ISNUMBER(SEARCH(Rules!$D$2:$D$60,$D618)))</f>
        <v>0</v>
      </c>
      <c r="K618" s="0" t="str">
        <f aca="false">IF(OR(MAX(E618:J618)&lt;Rules!$H$1,MAX(E618:J618)-LARGE(E618:J618,2)&lt;Rules!$H$2),"No label",INDEX($E$1:$J$1,MATCH(MAX(E618:J618),E618:J618,0)))</f>
        <v>No label</v>
      </c>
      <c r="L618" s="0" t="n">
        <f aca="false">SUMPRODUCT((Rules!$A$2:$A$60=L$1)*Rules!$C$2:$C$60*ISNUMBER(SEARCH(Rules!$E$2:$E$60,$D618)))</f>
        <v>0</v>
      </c>
      <c r="M618" s="0" t="n">
        <f aca="false">SUMPRODUCT((Rules!$A$2:$A$60=M$1)*Rules!$C$2:$C$60*ISNUMBER(SEARCH(Rules!$E$2:$E$60,$D618)))</f>
        <v>1</v>
      </c>
      <c r="N618" s="0" t="n">
        <f aca="false">SUMPRODUCT((Rules!$A$2:$A$60=N$1)*Rules!$C$2:$C$60*ISNUMBER(SEARCH(Rules!$E$2:$E$60,$D618)))</f>
        <v>0</v>
      </c>
      <c r="O618" s="0" t="n">
        <f aca="false">SUMPRODUCT((Rules!$A$2:$A$60=O$1)*Rules!$C$2:$C$60*ISNUMBER(SEARCH(Rules!$E$2:$E$60,$D618)))</f>
        <v>0</v>
      </c>
      <c r="P618" s="0" t="n">
        <f aca="false">SUMPRODUCT((Rules!$A$2:$A$60=P$1)*Rules!$C$2:$C$60*ISNUMBER(SEARCH(Rules!$E$2:$E$60,$D618)))</f>
        <v>0</v>
      </c>
      <c r="Q618" s="0" t="n">
        <f aca="false">SUMPRODUCT((Rules!$A$2:$A$60=Q$1)*Rules!$C$2:$C$60*ISNUMBER(SEARCH(Rules!$E$2:$E$60,$D618)))</f>
        <v>0</v>
      </c>
      <c r="R618" s="0" t="str">
        <f aca="false">IF(OR(MAX(L618:Q618)&lt;Rules!$H$1,MAX(L618:Q618)-LARGE(L618:Q618,2)&lt;Rules!$H$2),"No label",INDEX($L$1:$Q$1,MATCH(MAX(L618:Q618),L618:Q618,0)))</f>
        <v>No label</v>
      </c>
      <c r="S618" s="0" t="n">
        <f aca="false">SUMPRODUCT(ISNUMBER(SEARCH(" "&amp;Terms!$A$3:$A$821&amp;" ",$D618))*Terms!B$3:B$821)+Terms!B$2</f>
        <v>-1.42302790910877</v>
      </c>
      <c r="T618" s="0" t="n">
        <f aca="false">SUMPRODUCT(ISNUMBER(SEARCH(" "&amp;Terms!$A$3:$A$821&amp;" ",$D618))*Terms!C$3:C$821)+Terms!C$2</f>
        <v>-1.97780231041928</v>
      </c>
      <c r="U618" s="0" t="n">
        <f aca="false">SUMPRODUCT(ISNUMBER(SEARCH(" "&amp;Terms!$A$3:$A$821&amp;" ",$D618))*Terms!D$3:D$821)+Terms!D$2</f>
        <v>2.20821599068291</v>
      </c>
      <c r="V618" s="0" t="n">
        <f aca="false">SUMPRODUCT(ISNUMBER(SEARCH(" "&amp;Terms!$A$3:$A$821&amp;" ",$D618))*Terms!E$3:E$821)+Terms!E$2</f>
        <v>-2.23453422211422</v>
      </c>
      <c r="W618" s="0" t="n">
        <f aca="false">SUMPRODUCT(ISNUMBER(SEARCH(" "&amp;Terms!$A$3:$A$821&amp;" ",$D618))*Terms!F$3:F$821)+Terms!F$2</f>
        <v>-3.62508353880463</v>
      </c>
      <c r="X618" s="0" t="n">
        <f aca="false">SUMPRODUCT(ISNUMBER(SEARCH(" "&amp;Terms!$A$3:$A$821&amp;" ",$D618))*Terms!G$3:G$821)+Terms!G$2</f>
        <v>7.05223198976409</v>
      </c>
      <c r="Y618" s="0" t="str">
        <f aca="false">INDEX($S$1:$X$1,MATCH(MAX(S618:X618),S618:X618,0))</f>
        <v>Mis-selling</v>
      </c>
      <c r="Z618" s="0" t="s">
        <v>2607</v>
      </c>
    </row>
    <row r="619" customFormat="false" ht="15" hidden="false" customHeight="false" outlineLevel="0" collapsed="false">
      <c r="A619" s="0" t="str">
        <f aca="false">Complaints!A619</f>
        <v>C0618</v>
      </c>
      <c r="B619" s="0" t="str">
        <f aca="false">Complaints!B619</f>
        <v>My card reader stopped working and I cannot approve payments.</v>
      </c>
      <c r="C619" s="0" t="str">
        <f aca="false">Complaints!C619</f>
        <v>Account Access</v>
      </c>
      <c r="D619" s="0" t="str">
        <f aca="false">" "&amp;TRIM(SUBSTITUTE(SUBSTITUTE(SUBSTITUTE(SUBSTITUTE(SUBSTITUTE(SUBSTITUTE(SUBSTITUTE(SUBSTITUTE(SUBSTITUTE(SUBSTITUTE(SUBSTITUTE(SUBSTITUTE(SUBSTITUTE(SUBSTITUTE(SUBSTITUTE(SUBSTITUTE(LOWER(B619),"."," "),","," "),"'"," "),"’"," "),"!"," "),"?"," "),";"," "),":"," "),"-"," "),"("," "),")"," "),"""", " "),"£"," "),"&amp;"," "),"/"," "),"%"," "))&amp;" "</f>
        <v> my card reader stopped working and i cannot approve payments </v>
      </c>
      <c r="E619" s="0" t="n">
        <f aca="false">SUMPRODUCT((Rules!$A$2:$A$60=E$1)*Rules!$C$2:$C$60*ISNUMBER(SEARCH(Rules!$D$2:$D$60,$D619)))</f>
        <v>0</v>
      </c>
      <c r="F619" s="0" t="n">
        <f aca="false">SUMPRODUCT((Rules!$A$2:$A$60=F$1)*Rules!$C$2:$C$60*ISNUMBER(SEARCH(Rules!$D$2:$D$60,$D619)))</f>
        <v>0</v>
      </c>
      <c r="G619" s="0" t="n">
        <f aca="false">SUMPRODUCT((Rules!$A$2:$A$60=G$1)*Rules!$C$2:$C$60*ISNUMBER(SEARCH(Rules!$D$2:$D$60,$D619)))</f>
        <v>0</v>
      </c>
      <c r="H619" s="0" t="n">
        <f aca="false">SUMPRODUCT((Rules!$A$2:$A$60=H$1)*Rules!$C$2:$C$60*ISNUMBER(SEARCH(Rules!$D$2:$D$60,$D619)))</f>
        <v>0</v>
      </c>
      <c r="I619" s="0" t="n">
        <f aca="false">SUMPRODUCT((Rules!$A$2:$A$60=I$1)*Rules!$C$2:$C$60*ISNUMBER(SEARCH(Rules!$D$2:$D$60,$D619)))</f>
        <v>0</v>
      </c>
      <c r="J619" s="0" t="n">
        <f aca="false">SUMPRODUCT((Rules!$A$2:$A$60=J$1)*Rules!$C$2:$C$60*ISNUMBER(SEARCH(Rules!$D$2:$D$60,$D619)))</f>
        <v>0</v>
      </c>
      <c r="K619" s="0" t="str">
        <f aca="false">IF(OR(MAX(E619:J619)&lt;Rules!$H$1,MAX(E619:J619)-LARGE(E619:J619,2)&lt;Rules!$H$2),"No label",INDEX($E$1:$J$1,MATCH(MAX(E619:J619),E619:J619,0)))</f>
        <v>No label</v>
      </c>
      <c r="L619" s="0" t="n">
        <f aca="false">SUMPRODUCT((Rules!$A$2:$A$60=L$1)*Rules!$C$2:$C$60*ISNUMBER(SEARCH(Rules!$E$2:$E$60,$D619)))</f>
        <v>0</v>
      </c>
      <c r="M619" s="0" t="n">
        <f aca="false">SUMPRODUCT((Rules!$A$2:$A$60=M$1)*Rules!$C$2:$C$60*ISNUMBER(SEARCH(Rules!$E$2:$E$60,$D619)))</f>
        <v>0</v>
      </c>
      <c r="N619" s="0" t="n">
        <f aca="false">SUMPRODUCT((Rules!$A$2:$A$60=N$1)*Rules!$C$2:$C$60*ISNUMBER(SEARCH(Rules!$E$2:$E$60,$D619)))</f>
        <v>0</v>
      </c>
      <c r="O619" s="0" t="n">
        <f aca="false">SUMPRODUCT((Rules!$A$2:$A$60=O$1)*Rules!$C$2:$C$60*ISNUMBER(SEARCH(Rules!$E$2:$E$60,$D619)))</f>
        <v>0</v>
      </c>
      <c r="P619" s="0" t="n">
        <f aca="false">SUMPRODUCT((Rules!$A$2:$A$60=P$1)*Rules!$C$2:$C$60*ISNUMBER(SEARCH(Rules!$E$2:$E$60,$D619)))</f>
        <v>0</v>
      </c>
      <c r="Q619" s="0" t="n">
        <f aca="false">SUMPRODUCT((Rules!$A$2:$A$60=Q$1)*Rules!$C$2:$C$60*ISNUMBER(SEARCH(Rules!$E$2:$E$60,$D619)))</f>
        <v>0</v>
      </c>
      <c r="R619" s="0" t="str">
        <f aca="false">IF(OR(MAX(L619:Q619)&lt;Rules!$H$1,MAX(L619:Q619)-LARGE(L619:Q619,2)&lt;Rules!$H$2),"No label",INDEX($L$1:$Q$1,MATCH(MAX(L619:Q619),L619:Q619,0)))</f>
        <v>No label</v>
      </c>
      <c r="S619" s="0" t="n">
        <f aca="false">SUMPRODUCT(ISNUMBER(SEARCH(" "&amp;Terms!$A$3:$A$821&amp;" ",$D619))*Terms!B$3:B$821)+Terms!B$2</f>
        <v>15.7674903131384</v>
      </c>
      <c r="T619" s="0" t="n">
        <f aca="false">SUMPRODUCT(ISNUMBER(SEARCH(" "&amp;Terms!$A$3:$A$821&amp;" ",$D619))*Terms!C$3:C$821)+Terms!C$2</f>
        <v>0.0367702771529349</v>
      </c>
      <c r="U619" s="0" t="n">
        <f aca="false">SUMPRODUCT(ISNUMBER(SEARCH(" "&amp;Terms!$A$3:$A$821&amp;" ",$D619))*Terms!D$3:D$821)+Terms!D$2</f>
        <v>-2.92257983861843</v>
      </c>
      <c r="V619" s="0" t="n">
        <f aca="false">SUMPRODUCT(ISNUMBER(SEARCH(" "&amp;Terms!$A$3:$A$821&amp;" ",$D619))*Terms!E$3:E$821)+Terms!E$2</f>
        <v>-4.94001252091286</v>
      </c>
      <c r="W619" s="0" t="n">
        <f aca="false">SUMPRODUCT(ISNUMBER(SEARCH(" "&amp;Terms!$A$3:$A$821&amp;" ",$D619))*Terms!F$3:F$821)+Terms!F$2</f>
        <v>-0.0673487189589702</v>
      </c>
      <c r="X619" s="0" t="n">
        <f aca="false">SUMPRODUCT(ISNUMBER(SEARCH(" "&amp;Terms!$A$3:$A$821&amp;" ",$D619))*Terms!G$3:G$821)+Terms!G$2</f>
        <v>-7.87431951180104</v>
      </c>
      <c r="Y619" s="0" t="str">
        <f aca="false">INDEX($S$1:$X$1,MATCH(MAX(S619:X619),S619:X619,0))</f>
        <v>Account Access</v>
      </c>
      <c r="Z619" s="0" t="s">
        <v>2608</v>
      </c>
    </row>
    <row r="620" customFormat="false" ht="15" hidden="false" customHeight="false" outlineLevel="0" collapsed="false">
      <c r="A620" s="0" t="str">
        <f aca="false">Complaints!A620</f>
        <v>C0619</v>
      </c>
      <c r="B620" s="0" t="str">
        <f aca="false">Complaints!B620</f>
        <v>My identity was stolen and a loan was taken out in my name. It has also been taking far too long. I would like a response in writing.</v>
      </c>
      <c r="C620" s="0" t="str">
        <f aca="false">Complaints!C620</f>
        <v>Fraud &amp; Scams</v>
      </c>
      <c r="D620" s="0" t="str">
        <f aca="false">" "&amp;TRIM(SUBSTITUTE(SUBSTITUTE(SUBSTITUTE(SUBSTITUTE(SUBSTITUTE(SUBSTITUTE(SUBSTITUTE(SUBSTITUTE(SUBSTITUTE(SUBSTITUTE(SUBSTITUTE(SUBSTITUTE(SUBSTITUTE(SUBSTITUTE(SUBSTITUTE(SUBSTITUTE(LOWER(B620),"."," "),","," "),"'"," "),"’"," "),"!"," "),"?"," "),";"," "),":"," "),"-"," "),"("," "),")"," "),"""", " "),"£"," "),"&amp;"," "),"/"," "),"%"," "))&amp;" "</f>
        <v> my identity was stolen and a loan was taken out in my name it has also been taking far too long i would like a response in writing </v>
      </c>
      <c r="E620" s="0" t="n">
        <f aca="false">SUMPRODUCT((Rules!$A$2:$A$60=E$1)*Rules!$C$2:$C$60*ISNUMBER(SEARCH(Rules!$D$2:$D$60,$D620)))</f>
        <v>2</v>
      </c>
      <c r="F620" s="0" t="n">
        <f aca="false">SUMPRODUCT((Rules!$A$2:$A$60=F$1)*Rules!$C$2:$C$60*ISNUMBER(SEARCH(Rules!$D$2:$D$60,$D620)))</f>
        <v>0</v>
      </c>
      <c r="G620" s="0" t="n">
        <f aca="false">SUMPRODUCT((Rules!$A$2:$A$60=G$1)*Rules!$C$2:$C$60*ISNUMBER(SEARCH(Rules!$D$2:$D$60,$D620)))</f>
        <v>0</v>
      </c>
      <c r="H620" s="0" t="n">
        <f aca="false">SUMPRODUCT((Rules!$A$2:$A$60=H$1)*Rules!$C$2:$C$60*ISNUMBER(SEARCH(Rules!$D$2:$D$60,$D620)))</f>
        <v>0</v>
      </c>
      <c r="I620" s="0" t="n">
        <f aca="false">SUMPRODUCT((Rules!$A$2:$A$60=I$1)*Rules!$C$2:$C$60*ISNUMBER(SEARCH(Rules!$D$2:$D$60,$D620)))</f>
        <v>0</v>
      </c>
      <c r="J620" s="0" t="n">
        <f aca="false">SUMPRODUCT((Rules!$A$2:$A$60=J$1)*Rules!$C$2:$C$60*ISNUMBER(SEARCH(Rules!$D$2:$D$60,$D620)))</f>
        <v>0</v>
      </c>
      <c r="K620" s="0" t="str">
        <f aca="false">IF(OR(MAX(E620:J620)&lt;Rules!$H$1,MAX(E620:J620)-LARGE(E620:J620,2)&lt;Rules!$H$2),"No label",INDEX($E$1:$J$1,MATCH(MAX(E620:J620),E620:J620,0)))</f>
        <v>No label</v>
      </c>
      <c r="L620" s="0" t="n">
        <f aca="false">SUMPRODUCT((Rules!$A$2:$A$60=L$1)*Rules!$C$2:$C$60*ISNUMBER(SEARCH(Rules!$E$2:$E$60,$D620)))</f>
        <v>2</v>
      </c>
      <c r="M620" s="0" t="n">
        <f aca="false">SUMPRODUCT((Rules!$A$2:$A$60=M$1)*Rules!$C$2:$C$60*ISNUMBER(SEARCH(Rules!$E$2:$E$60,$D620)))</f>
        <v>0</v>
      </c>
      <c r="N620" s="0" t="n">
        <f aca="false">SUMPRODUCT((Rules!$A$2:$A$60=N$1)*Rules!$C$2:$C$60*ISNUMBER(SEARCH(Rules!$E$2:$E$60,$D620)))</f>
        <v>0</v>
      </c>
      <c r="O620" s="0" t="n">
        <f aca="false">SUMPRODUCT((Rules!$A$2:$A$60=O$1)*Rules!$C$2:$C$60*ISNUMBER(SEARCH(Rules!$E$2:$E$60,$D620)))</f>
        <v>0</v>
      </c>
      <c r="P620" s="0" t="n">
        <f aca="false">SUMPRODUCT((Rules!$A$2:$A$60=P$1)*Rules!$C$2:$C$60*ISNUMBER(SEARCH(Rules!$E$2:$E$60,$D620)))</f>
        <v>0</v>
      </c>
      <c r="Q620" s="0" t="n">
        <f aca="false">SUMPRODUCT((Rules!$A$2:$A$60=Q$1)*Rules!$C$2:$C$60*ISNUMBER(SEARCH(Rules!$E$2:$E$60,$D620)))</f>
        <v>0</v>
      </c>
      <c r="R620" s="0" t="str">
        <f aca="false">IF(OR(MAX(L620:Q620)&lt;Rules!$H$1,MAX(L620:Q620)-LARGE(L620:Q620,2)&lt;Rules!$H$2),"No label",INDEX($L$1:$Q$1,MATCH(MAX(L620:Q620),L620:Q620,0)))</f>
        <v>No label</v>
      </c>
      <c r="S620" s="0" t="n">
        <f aca="false">SUMPRODUCT(ISNUMBER(SEARCH(" "&amp;Terms!$A$3:$A$821&amp;" ",$D620))*Terms!B$3:B$821)+Terms!B$2</f>
        <v>-1.63622412324672</v>
      </c>
      <c r="T620" s="0" t="n">
        <f aca="false">SUMPRODUCT(ISNUMBER(SEARCH(" "&amp;Terms!$A$3:$A$821&amp;" ",$D620))*Terms!C$3:C$821)+Terms!C$2</f>
        <v>-0.942437806453979</v>
      </c>
      <c r="U620" s="0" t="n">
        <f aca="false">SUMPRODUCT(ISNUMBER(SEARCH(" "&amp;Terms!$A$3:$A$821&amp;" ",$D620))*Terms!D$3:D$821)+Terms!D$2</f>
        <v>-1.94016429255856</v>
      </c>
      <c r="V620" s="0" t="n">
        <f aca="false">SUMPRODUCT(ISNUMBER(SEARCH(" "&amp;Terms!$A$3:$A$821&amp;" ",$D620))*Terms!E$3:E$821)+Terms!E$2</f>
        <v>-0.411263958835192</v>
      </c>
      <c r="W620" s="0" t="n">
        <f aca="false">SUMPRODUCT(ISNUMBER(SEARCH(" "&amp;Terms!$A$3:$A$821&amp;" ",$D620))*Terms!F$3:F$821)+Terms!F$2</f>
        <v>5.31117628216909</v>
      </c>
      <c r="X620" s="0" t="n">
        <f aca="false">SUMPRODUCT(ISNUMBER(SEARCH(" "&amp;Terms!$A$3:$A$821&amp;" ",$D620))*Terms!G$3:G$821)+Terms!G$2</f>
        <v>-0.38108610107455</v>
      </c>
      <c r="Y620" s="0" t="str">
        <f aca="false">INDEX($S$1:$X$1,MATCH(MAX(S620:X620),S620:X620,0))</f>
        <v>Fraud &amp; Scams</v>
      </c>
      <c r="Z620" s="0" t="s">
        <v>2607</v>
      </c>
    </row>
    <row r="621" customFormat="false" ht="15" hidden="false" customHeight="false" outlineLevel="0" collapsed="false">
      <c r="A621" s="0" t="str">
        <f aca="false">Complaints!A621</f>
        <v>C0620</v>
      </c>
      <c r="B621" s="0" t="str">
        <f aca="false">Complaints!B621</f>
        <v>Frankly, I feel I was treated badly because of my age. It has also been taking far too long.</v>
      </c>
      <c r="C621" s="0" t="str">
        <f aca="false">Complaints!C621</f>
        <v>Customer Service</v>
      </c>
      <c r="D621" s="0" t="str">
        <f aca="false">" "&amp;TRIM(SUBSTITUTE(SUBSTITUTE(SUBSTITUTE(SUBSTITUTE(SUBSTITUTE(SUBSTITUTE(SUBSTITUTE(SUBSTITUTE(SUBSTITUTE(SUBSTITUTE(SUBSTITUTE(SUBSTITUTE(SUBSTITUTE(SUBSTITUTE(SUBSTITUTE(SUBSTITUTE(LOWER(B621),"."," "),","," "),"'"," "),"’"," "),"!"," "),"?"," "),";"," "),":"," "),"-"," "),"("," "),")"," "),"""", " "),"£"," "),"&amp;"," "),"/"," "),"%"," "))&amp;" "</f>
        <v> frankly i feel i was treated badly because of my age it has also been taking far too long </v>
      </c>
      <c r="E621" s="0" t="n">
        <f aca="false">SUMPRODUCT((Rules!$A$2:$A$60=E$1)*Rules!$C$2:$C$60*ISNUMBER(SEARCH(Rules!$D$2:$D$60,$D621)))</f>
        <v>0</v>
      </c>
      <c r="F621" s="0" t="n">
        <f aca="false">SUMPRODUCT((Rules!$A$2:$A$60=F$1)*Rules!$C$2:$C$60*ISNUMBER(SEARCH(Rules!$D$2:$D$60,$D621)))</f>
        <v>0</v>
      </c>
      <c r="G621" s="0" t="n">
        <f aca="false">SUMPRODUCT((Rules!$A$2:$A$60=G$1)*Rules!$C$2:$C$60*ISNUMBER(SEARCH(Rules!$D$2:$D$60,$D621)))</f>
        <v>0</v>
      </c>
      <c r="H621" s="0" t="n">
        <f aca="false">SUMPRODUCT((Rules!$A$2:$A$60=H$1)*Rules!$C$2:$C$60*ISNUMBER(SEARCH(Rules!$D$2:$D$60,$D621)))</f>
        <v>0</v>
      </c>
      <c r="I621" s="0" t="n">
        <f aca="false">SUMPRODUCT((Rules!$A$2:$A$60=I$1)*Rules!$C$2:$C$60*ISNUMBER(SEARCH(Rules!$D$2:$D$60,$D621)))</f>
        <v>0</v>
      </c>
      <c r="J621" s="0" t="n">
        <f aca="false">SUMPRODUCT((Rules!$A$2:$A$60=J$1)*Rules!$C$2:$C$60*ISNUMBER(SEARCH(Rules!$D$2:$D$60,$D621)))</f>
        <v>3</v>
      </c>
      <c r="K621" s="0" t="str">
        <f aca="false">IF(OR(MAX(E621:J621)&lt;Rules!$H$1,MAX(E621:J621)-LARGE(E621:J621,2)&lt;Rules!$H$2),"No label",INDEX($E$1:$J$1,MATCH(MAX(E621:J621),E621:J621,0)))</f>
        <v>Customer Service</v>
      </c>
      <c r="L621" s="0" t="n">
        <f aca="false">SUMPRODUCT((Rules!$A$2:$A$60=L$1)*Rules!$C$2:$C$60*ISNUMBER(SEARCH(Rules!$E$2:$E$60,$D621)))</f>
        <v>0</v>
      </c>
      <c r="M621" s="0" t="n">
        <f aca="false">SUMPRODUCT((Rules!$A$2:$A$60=M$1)*Rules!$C$2:$C$60*ISNUMBER(SEARCH(Rules!$E$2:$E$60,$D621)))</f>
        <v>0</v>
      </c>
      <c r="N621" s="0" t="n">
        <f aca="false">SUMPRODUCT((Rules!$A$2:$A$60=N$1)*Rules!$C$2:$C$60*ISNUMBER(SEARCH(Rules!$E$2:$E$60,$D621)))</f>
        <v>0</v>
      </c>
      <c r="O621" s="0" t="n">
        <f aca="false">SUMPRODUCT((Rules!$A$2:$A$60=O$1)*Rules!$C$2:$C$60*ISNUMBER(SEARCH(Rules!$E$2:$E$60,$D621)))</f>
        <v>0</v>
      </c>
      <c r="P621" s="0" t="n">
        <f aca="false">SUMPRODUCT((Rules!$A$2:$A$60=P$1)*Rules!$C$2:$C$60*ISNUMBER(SEARCH(Rules!$E$2:$E$60,$D621)))</f>
        <v>0</v>
      </c>
      <c r="Q621" s="0" t="n">
        <f aca="false">SUMPRODUCT((Rules!$A$2:$A$60=Q$1)*Rules!$C$2:$C$60*ISNUMBER(SEARCH(Rules!$E$2:$E$60,$D621)))</f>
        <v>3</v>
      </c>
      <c r="R621" s="0" t="str">
        <f aca="false">IF(OR(MAX(L621:Q621)&lt;Rules!$H$1,MAX(L621:Q621)-LARGE(L621:Q621,2)&lt;Rules!$H$2),"No label",INDEX($L$1:$Q$1,MATCH(MAX(L621:Q621),L621:Q621,0)))</f>
        <v>Customer Service</v>
      </c>
      <c r="S621" s="0" t="n">
        <f aca="false">SUMPRODUCT(ISNUMBER(SEARCH(" "&amp;Terms!$A$3:$A$821&amp;" ",$D621))*Terms!B$3:B$821)+Terms!B$2</f>
        <v>-1.25020055779145</v>
      </c>
      <c r="T621" s="0" t="n">
        <f aca="false">SUMPRODUCT(ISNUMBER(SEARCH(" "&amp;Terms!$A$3:$A$821&amp;" ",$D621))*Terms!C$3:C$821)+Terms!C$2</f>
        <v>8.98045683004073</v>
      </c>
      <c r="U621" s="0" t="n">
        <f aca="false">SUMPRODUCT(ISNUMBER(SEARCH(" "&amp;Terms!$A$3:$A$821&amp;" ",$D621))*Terms!D$3:D$821)+Terms!D$2</f>
        <v>-3.09990020900048</v>
      </c>
      <c r="V621" s="0" t="n">
        <f aca="false">SUMPRODUCT(ISNUMBER(SEARCH(" "&amp;Terms!$A$3:$A$821&amp;" ",$D621))*Terms!E$3:E$821)+Terms!E$2</f>
        <v>-1.92075508703462</v>
      </c>
      <c r="W621" s="0" t="n">
        <f aca="false">SUMPRODUCT(ISNUMBER(SEARCH(" "&amp;Terms!$A$3:$A$821&amp;" ",$D621))*Terms!F$3:F$821)+Terms!F$2</f>
        <v>-1.74964267360514</v>
      </c>
      <c r="X621" s="0" t="n">
        <f aca="false">SUMPRODUCT(ISNUMBER(SEARCH(" "&amp;Terms!$A$3:$A$821&amp;" ",$D621))*Terms!G$3:G$821)+Terms!G$2</f>
        <v>-0.959958302608931</v>
      </c>
      <c r="Y621" s="0" t="str">
        <f aca="false">INDEX($S$1:$X$1,MATCH(MAX(S621:X621),S621:X621,0))</f>
        <v>Customer Service</v>
      </c>
      <c r="Z621" s="0" t="s">
        <v>2607</v>
      </c>
    </row>
    <row r="622" customFormat="false" ht="15" hidden="false" customHeight="false" outlineLevel="0" collapsed="false">
      <c r="A622" s="0" t="str">
        <f aca="false">Complaints!A622</f>
        <v>C0621</v>
      </c>
      <c r="B622" s="0" t="str">
        <f aca="false">Complaints!B622</f>
        <v>Hello, I cannot log in to the mobile app since the update. There was also a fee involved.</v>
      </c>
      <c r="C622" s="0" t="str">
        <f aca="false">Complaints!C622</f>
        <v>Account Access</v>
      </c>
      <c r="D622" s="0" t="str">
        <f aca="false">" "&amp;TRIM(SUBSTITUTE(SUBSTITUTE(SUBSTITUTE(SUBSTITUTE(SUBSTITUTE(SUBSTITUTE(SUBSTITUTE(SUBSTITUTE(SUBSTITUTE(SUBSTITUTE(SUBSTITUTE(SUBSTITUTE(SUBSTITUTE(SUBSTITUTE(SUBSTITUTE(SUBSTITUTE(LOWER(B622),"."," "),","," "),"'"," "),"’"," "),"!"," "),"?"," "),";"," "),":"," "),"-"," "),"("," "),")"," "),"""", " "),"£"," "),"&amp;"," "),"/"," "),"%"," "))&amp;" "</f>
        <v> hello i cannot log in to the mobile app since the update there was also a fee involved </v>
      </c>
      <c r="E622" s="0" t="n">
        <f aca="false">SUMPRODUCT((Rules!$A$2:$A$60=E$1)*Rules!$C$2:$C$60*ISNUMBER(SEARCH(Rules!$D$2:$D$60,$D622)))</f>
        <v>0</v>
      </c>
      <c r="F622" s="0" t="n">
        <f aca="false">SUMPRODUCT((Rules!$A$2:$A$60=F$1)*Rules!$C$2:$C$60*ISNUMBER(SEARCH(Rules!$D$2:$D$60,$D622)))</f>
        <v>0</v>
      </c>
      <c r="G622" s="0" t="n">
        <f aca="false">SUMPRODUCT((Rules!$A$2:$A$60=G$1)*Rules!$C$2:$C$60*ISNUMBER(SEARCH(Rules!$D$2:$D$60,$D622)))</f>
        <v>4</v>
      </c>
      <c r="H622" s="0" t="n">
        <f aca="false">SUMPRODUCT((Rules!$A$2:$A$60=H$1)*Rules!$C$2:$C$60*ISNUMBER(SEARCH(Rules!$D$2:$D$60,$D622)))</f>
        <v>2</v>
      </c>
      <c r="I622" s="0" t="n">
        <f aca="false">SUMPRODUCT((Rules!$A$2:$A$60=I$1)*Rules!$C$2:$C$60*ISNUMBER(SEARCH(Rules!$D$2:$D$60,$D622)))</f>
        <v>0</v>
      </c>
      <c r="J622" s="0" t="n">
        <f aca="false">SUMPRODUCT((Rules!$A$2:$A$60=J$1)*Rules!$C$2:$C$60*ISNUMBER(SEARCH(Rules!$D$2:$D$60,$D622)))</f>
        <v>0</v>
      </c>
      <c r="K622" s="0" t="str">
        <f aca="false">IF(OR(MAX(E622:J622)&lt;Rules!$H$1,MAX(E622:J622)-LARGE(E622:J622,2)&lt;Rules!$H$2),"No label",INDEX($E$1:$J$1,MATCH(MAX(E622:J622),E622:J622,0)))</f>
        <v>Account Access</v>
      </c>
      <c r="L622" s="0" t="n">
        <f aca="false">SUMPRODUCT((Rules!$A$2:$A$60=L$1)*Rules!$C$2:$C$60*ISNUMBER(SEARCH(Rules!$E$2:$E$60,$D622)))</f>
        <v>0</v>
      </c>
      <c r="M622" s="0" t="n">
        <f aca="false">SUMPRODUCT((Rules!$A$2:$A$60=M$1)*Rules!$C$2:$C$60*ISNUMBER(SEARCH(Rules!$E$2:$E$60,$D622)))</f>
        <v>0</v>
      </c>
      <c r="N622" s="0" t="n">
        <f aca="false">SUMPRODUCT((Rules!$A$2:$A$60=N$1)*Rules!$C$2:$C$60*ISNUMBER(SEARCH(Rules!$E$2:$E$60,$D622)))</f>
        <v>4</v>
      </c>
      <c r="O622" s="0" t="n">
        <f aca="false">SUMPRODUCT((Rules!$A$2:$A$60=O$1)*Rules!$C$2:$C$60*ISNUMBER(SEARCH(Rules!$E$2:$E$60,$D622)))</f>
        <v>2</v>
      </c>
      <c r="P622" s="0" t="n">
        <f aca="false">SUMPRODUCT((Rules!$A$2:$A$60=P$1)*Rules!$C$2:$C$60*ISNUMBER(SEARCH(Rules!$E$2:$E$60,$D622)))</f>
        <v>0</v>
      </c>
      <c r="Q622" s="0" t="n">
        <f aca="false">SUMPRODUCT((Rules!$A$2:$A$60=Q$1)*Rules!$C$2:$C$60*ISNUMBER(SEARCH(Rules!$E$2:$E$60,$D622)))</f>
        <v>0</v>
      </c>
      <c r="R622" s="0" t="str">
        <f aca="false">IF(OR(MAX(L622:Q622)&lt;Rules!$H$1,MAX(L622:Q622)-LARGE(L622:Q622,2)&lt;Rules!$H$2),"No label",INDEX($L$1:$Q$1,MATCH(MAX(L622:Q622),L622:Q622,0)))</f>
        <v>Account Access</v>
      </c>
      <c r="S622" s="0" t="n">
        <f aca="false">SUMPRODUCT(ISNUMBER(SEARCH(" "&amp;Terms!$A$3:$A$821&amp;" ",$D622))*Terms!B$3:B$821)+Terms!B$2</f>
        <v>9.65548285759099</v>
      </c>
      <c r="T622" s="0" t="n">
        <f aca="false">SUMPRODUCT(ISNUMBER(SEARCH(" "&amp;Terms!$A$3:$A$821&amp;" ",$D622))*Terms!C$3:C$821)+Terms!C$2</f>
        <v>-2.3801947135883</v>
      </c>
      <c r="U622" s="0" t="n">
        <f aca="false">SUMPRODUCT(ISNUMBER(SEARCH(" "&amp;Terms!$A$3:$A$821&amp;" ",$D622))*Terms!D$3:D$821)+Terms!D$2</f>
        <v>-2.93140219790999</v>
      </c>
      <c r="V622" s="0" t="n">
        <f aca="false">SUMPRODUCT(ISNUMBER(SEARCH(" "&amp;Terms!$A$3:$A$821&amp;" ",$D622))*Terms!E$3:E$821)+Terms!E$2</f>
        <v>0.327625684806687</v>
      </c>
      <c r="W622" s="0" t="n">
        <f aca="false">SUMPRODUCT(ISNUMBER(SEARCH(" "&amp;Terms!$A$3:$A$821&amp;" ",$D622))*Terms!F$3:F$821)+Terms!F$2</f>
        <v>-4.8076589300578</v>
      </c>
      <c r="X622" s="0" t="n">
        <f aca="false">SUMPRODUCT(ISNUMBER(SEARCH(" "&amp;Terms!$A$3:$A$821&amp;" ",$D622))*Terms!G$3:G$821)+Terms!G$2</f>
        <v>0.13614729915851</v>
      </c>
      <c r="Y622" s="0" t="str">
        <f aca="false">INDEX($S$1:$X$1,MATCH(MAX(S622:X622),S622:X622,0))</f>
        <v>Account Access</v>
      </c>
      <c r="Z622" s="0" t="s">
        <v>2607</v>
      </c>
    </row>
    <row r="623" customFormat="false" ht="15" hidden="false" customHeight="false" outlineLevel="0" collapsed="false">
      <c r="A623" s="0" t="str">
        <f aca="false">Complaints!A623</f>
        <v>C0622</v>
      </c>
      <c r="B623" s="0" t="str">
        <f aca="false">Complaints!B623</f>
        <v>The app crashes every time I try to open my statements. Please escalate this.</v>
      </c>
      <c r="C623" s="0" t="str">
        <f aca="false">Complaints!C623</f>
        <v>Account Access</v>
      </c>
      <c r="D623" s="0" t="str">
        <f aca="false">" "&amp;TRIM(SUBSTITUTE(SUBSTITUTE(SUBSTITUTE(SUBSTITUTE(SUBSTITUTE(SUBSTITUTE(SUBSTITUTE(SUBSTITUTE(SUBSTITUTE(SUBSTITUTE(SUBSTITUTE(SUBSTITUTE(SUBSTITUTE(SUBSTITUTE(SUBSTITUTE(SUBSTITUTE(LOWER(B623),"."," "),","," "),"'"," "),"’"," "),"!"," "),"?"," "),";"," "),":"," "),"-"," "),"("," "),")"," "),"""", " "),"£"," "),"&amp;"," "),"/"," "),"%"," "))&amp;" "</f>
        <v> the app crashes every time i try to open my statements please escalate this </v>
      </c>
      <c r="E623" s="0" t="n">
        <f aca="false">SUMPRODUCT((Rules!$A$2:$A$60=E$1)*Rules!$C$2:$C$60*ISNUMBER(SEARCH(Rules!$D$2:$D$60,$D623)))</f>
        <v>0</v>
      </c>
      <c r="F623" s="0" t="n">
        <f aca="false">SUMPRODUCT((Rules!$A$2:$A$60=F$1)*Rules!$C$2:$C$60*ISNUMBER(SEARCH(Rules!$D$2:$D$60,$D623)))</f>
        <v>0</v>
      </c>
      <c r="G623" s="0" t="n">
        <f aca="false">SUMPRODUCT((Rules!$A$2:$A$60=G$1)*Rules!$C$2:$C$60*ISNUMBER(SEARCH(Rules!$D$2:$D$60,$D623)))</f>
        <v>3</v>
      </c>
      <c r="H623" s="0" t="n">
        <f aca="false">SUMPRODUCT((Rules!$A$2:$A$60=H$1)*Rules!$C$2:$C$60*ISNUMBER(SEARCH(Rules!$D$2:$D$60,$D623)))</f>
        <v>0</v>
      </c>
      <c r="I623" s="0" t="n">
        <f aca="false">SUMPRODUCT((Rules!$A$2:$A$60=I$1)*Rules!$C$2:$C$60*ISNUMBER(SEARCH(Rules!$D$2:$D$60,$D623)))</f>
        <v>0</v>
      </c>
      <c r="J623" s="0" t="n">
        <f aca="false">SUMPRODUCT((Rules!$A$2:$A$60=J$1)*Rules!$C$2:$C$60*ISNUMBER(SEARCH(Rules!$D$2:$D$60,$D623)))</f>
        <v>0</v>
      </c>
      <c r="K623" s="0" t="str">
        <f aca="false">IF(OR(MAX(E623:J623)&lt;Rules!$H$1,MAX(E623:J623)-LARGE(E623:J623,2)&lt;Rules!$H$2),"No label",INDEX($E$1:$J$1,MATCH(MAX(E623:J623),E623:J623,0)))</f>
        <v>Account Access</v>
      </c>
      <c r="L623" s="0" t="n">
        <f aca="false">SUMPRODUCT((Rules!$A$2:$A$60=L$1)*Rules!$C$2:$C$60*ISNUMBER(SEARCH(Rules!$E$2:$E$60,$D623)))</f>
        <v>0</v>
      </c>
      <c r="M623" s="0" t="n">
        <f aca="false">SUMPRODUCT((Rules!$A$2:$A$60=M$1)*Rules!$C$2:$C$60*ISNUMBER(SEARCH(Rules!$E$2:$E$60,$D623)))</f>
        <v>0</v>
      </c>
      <c r="N623" s="0" t="n">
        <f aca="false">SUMPRODUCT((Rules!$A$2:$A$60=N$1)*Rules!$C$2:$C$60*ISNUMBER(SEARCH(Rules!$E$2:$E$60,$D623)))</f>
        <v>3</v>
      </c>
      <c r="O623" s="0" t="n">
        <f aca="false">SUMPRODUCT((Rules!$A$2:$A$60=O$1)*Rules!$C$2:$C$60*ISNUMBER(SEARCH(Rules!$E$2:$E$60,$D623)))</f>
        <v>1</v>
      </c>
      <c r="P623" s="0" t="n">
        <f aca="false">SUMPRODUCT((Rules!$A$2:$A$60=P$1)*Rules!$C$2:$C$60*ISNUMBER(SEARCH(Rules!$E$2:$E$60,$D623)))</f>
        <v>0</v>
      </c>
      <c r="Q623" s="0" t="n">
        <f aca="false">SUMPRODUCT((Rules!$A$2:$A$60=Q$1)*Rules!$C$2:$C$60*ISNUMBER(SEARCH(Rules!$E$2:$E$60,$D623)))</f>
        <v>0</v>
      </c>
      <c r="R623" s="0" t="str">
        <f aca="false">IF(OR(MAX(L623:Q623)&lt;Rules!$H$1,MAX(L623:Q623)-LARGE(L623:Q623,2)&lt;Rules!$H$2),"No label",INDEX($L$1:$Q$1,MATCH(MAX(L623:Q623),L623:Q623,0)))</f>
        <v>Account Access</v>
      </c>
      <c r="S623" s="0" t="n">
        <f aca="false">SUMPRODUCT(ISNUMBER(SEARCH(" "&amp;Terms!$A$3:$A$821&amp;" ",$D623))*Terms!B$3:B$821)+Terms!B$2</f>
        <v>8.8971124933201</v>
      </c>
      <c r="T623" s="0" t="n">
        <f aca="false">SUMPRODUCT(ISNUMBER(SEARCH(" "&amp;Terms!$A$3:$A$821&amp;" ",$D623))*Terms!C$3:C$821)+Terms!C$2</f>
        <v>-0.280498943372593</v>
      </c>
      <c r="U623" s="0" t="n">
        <f aca="false">SUMPRODUCT(ISNUMBER(SEARCH(" "&amp;Terms!$A$3:$A$821&amp;" ",$D623))*Terms!D$3:D$821)+Terms!D$2</f>
        <v>-2.59519955882259</v>
      </c>
      <c r="V623" s="0" t="n">
        <f aca="false">SUMPRODUCT(ISNUMBER(SEARCH(" "&amp;Terms!$A$3:$A$821&amp;" ",$D623))*Terms!E$3:E$821)+Terms!E$2</f>
        <v>-0.277731470965094</v>
      </c>
      <c r="W623" s="0" t="n">
        <f aca="false">SUMPRODUCT(ISNUMBER(SEARCH(" "&amp;Terms!$A$3:$A$821&amp;" ",$D623))*Terms!F$3:F$821)+Terms!F$2</f>
        <v>-3.56510665283227</v>
      </c>
      <c r="X623" s="0" t="n">
        <f aca="false">SUMPRODUCT(ISNUMBER(SEARCH(" "&amp;Terms!$A$3:$A$821&amp;" ",$D623))*Terms!G$3:G$821)+Terms!G$2</f>
        <v>-2.17857586732745</v>
      </c>
      <c r="Y623" s="0" t="str">
        <f aca="false">INDEX($S$1:$X$1,MATCH(MAX(S623:X623),S623:X623,0))</f>
        <v>Account Access</v>
      </c>
      <c r="Z623" s="0" t="s">
        <v>2607</v>
      </c>
    </row>
    <row r="624" customFormat="false" ht="15" hidden="false" customHeight="false" outlineLevel="0" collapsed="false">
      <c r="A624" s="0" t="str">
        <f aca="false">Complaints!A624</f>
        <v>C0623</v>
      </c>
      <c r="B624" s="0" t="str">
        <f aca="false">Complaints!B624</f>
        <v>I am writing to complain. A person pretending to be from your bank phoned me and I gave them details.</v>
      </c>
      <c r="C624" s="0" t="str">
        <f aca="false">Complaints!C624</f>
        <v>Fraud &amp; Scams</v>
      </c>
      <c r="D624" s="0" t="str">
        <f aca="false">" "&amp;TRIM(SUBSTITUTE(SUBSTITUTE(SUBSTITUTE(SUBSTITUTE(SUBSTITUTE(SUBSTITUTE(SUBSTITUTE(SUBSTITUTE(SUBSTITUTE(SUBSTITUTE(SUBSTITUTE(SUBSTITUTE(SUBSTITUTE(SUBSTITUTE(SUBSTITUTE(SUBSTITUTE(LOWER(B624),"."," "),","," "),"'"," "),"’"," "),"!"," "),"?"," "),";"," "),":"," "),"-"," "),"("," "),")"," "),"""", " "),"£"," "),"&amp;"," "),"/"," "),"%"," "))&amp;" "</f>
        <v> i am writing to complain a person pretending to be from your bank phoned me and i gave them details </v>
      </c>
      <c r="E624" s="0" t="n">
        <f aca="false">SUMPRODUCT((Rules!$A$2:$A$60=E$1)*Rules!$C$2:$C$60*ISNUMBER(SEARCH(Rules!$D$2:$D$60,$D624)))</f>
        <v>0</v>
      </c>
      <c r="F624" s="0" t="n">
        <f aca="false">SUMPRODUCT((Rules!$A$2:$A$60=F$1)*Rules!$C$2:$C$60*ISNUMBER(SEARCH(Rules!$D$2:$D$60,$D624)))</f>
        <v>0</v>
      </c>
      <c r="G624" s="0" t="n">
        <f aca="false">SUMPRODUCT((Rules!$A$2:$A$60=G$1)*Rules!$C$2:$C$60*ISNUMBER(SEARCH(Rules!$D$2:$D$60,$D624)))</f>
        <v>0</v>
      </c>
      <c r="H624" s="0" t="n">
        <f aca="false">SUMPRODUCT((Rules!$A$2:$A$60=H$1)*Rules!$C$2:$C$60*ISNUMBER(SEARCH(Rules!$D$2:$D$60,$D624)))</f>
        <v>0</v>
      </c>
      <c r="I624" s="0" t="n">
        <f aca="false">SUMPRODUCT((Rules!$A$2:$A$60=I$1)*Rules!$C$2:$C$60*ISNUMBER(SEARCH(Rules!$D$2:$D$60,$D624)))</f>
        <v>0</v>
      </c>
      <c r="J624" s="0" t="n">
        <f aca="false">SUMPRODUCT((Rules!$A$2:$A$60=J$1)*Rules!$C$2:$C$60*ISNUMBER(SEARCH(Rules!$D$2:$D$60,$D624)))</f>
        <v>0</v>
      </c>
      <c r="K624" s="0" t="str">
        <f aca="false">IF(OR(MAX(E624:J624)&lt;Rules!$H$1,MAX(E624:J624)-LARGE(E624:J624,2)&lt;Rules!$H$2),"No label",INDEX($E$1:$J$1,MATCH(MAX(E624:J624),E624:J624,0)))</f>
        <v>No label</v>
      </c>
      <c r="L624" s="0" t="n">
        <f aca="false">SUMPRODUCT((Rules!$A$2:$A$60=L$1)*Rules!$C$2:$C$60*ISNUMBER(SEARCH(Rules!$E$2:$E$60,$D624)))</f>
        <v>0</v>
      </c>
      <c r="M624" s="0" t="n">
        <f aca="false">SUMPRODUCT((Rules!$A$2:$A$60=M$1)*Rules!$C$2:$C$60*ISNUMBER(SEARCH(Rules!$E$2:$E$60,$D624)))</f>
        <v>0</v>
      </c>
      <c r="N624" s="0" t="n">
        <f aca="false">SUMPRODUCT((Rules!$A$2:$A$60=N$1)*Rules!$C$2:$C$60*ISNUMBER(SEARCH(Rules!$E$2:$E$60,$D624)))</f>
        <v>0</v>
      </c>
      <c r="O624" s="0" t="n">
        <f aca="false">SUMPRODUCT((Rules!$A$2:$A$60=O$1)*Rules!$C$2:$C$60*ISNUMBER(SEARCH(Rules!$E$2:$E$60,$D624)))</f>
        <v>0</v>
      </c>
      <c r="P624" s="0" t="n">
        <f aca="false">SUMPRODUCT((Rules!$A$2:$A$60=P$1)*Rules!$C$2:$C$60*ISNUMBER(SEARCH(Rules!$E$2:$E$60,$D624)))</f>
        <v>0</v>
      </c>
      <c r="Q624" s="0" t="n">
        <f aca="false">SUMPRODUCT((Rules!$A$2:$A$60=Q$1)*Rules!$C$2:$C$60*ISNUMBER(SEARCH(Rules!$E$2:$E$60,$D624)))</f>
        <v>0</v>
      </c>
      <c r="R624" s="0" t="str">
        <f aca="false">IF(OR(MAX(L624:Q624)&lt;Rules!$H$1,MAX(L624:Q624)-LARGE(L624:Q624,2)&lt;Rules!$H$2),"No label",INDEX($L$1:$Q$1,MATCH(MAX(L624:Q624),L624:Q624,0)))</f>
        <v>No label</v>
      </c>
      <c r="S624" s="0" t="n">
        <f aca="false">SUMPRODUCT(ISNUMBER(SEARCH(" "&amp;Terms!$A$3:$A$821&amp;" ",$D624))*Terms!B$3:B$821)+Terms!B$2</f>
        <v>-0.677560545392946</v>
      </c>
      <c r="T624" s="0" t="n">
        <f aca="false">SUMPRODUCT(ISNUMBER(SEARCH(" "&amp;Terms!$A$3:$A$821&amp;" ",$D624))*Terms!C$3:C$821)+Terms!C$2</f>
        <v>-1.94854279246983</v>
      </c>
      <c r="U624" s="0" t="n">
        <f aca="false">SUMPRODUCT(ISNUMBER(SEARCH(" "&amp;Terms!$A$3:$A$821&amp;" ",$D624))*Terms!D$3:D$821)+Terms!D$2</f>
        <v>-3.0766089761611</v>
      </c>
      <c r="V624" s="0" t="n">
        <f aca="false">SUMPRODUCT(ISNUMBER(SEARCH(" "&amp;Terms!$A$3:$A$821&amp;" ",$D624))*Terms!E$3:E$821)+Terms!E$2</f>
        <v>-3.64159434799654</v>
      </c>
      <c r="W624" s="0" t="n">
        <f aca="false">SUMPRODUCT(ISNUMBER(SEARCH(" "&amp;Terms!$A$3:$A$821&amp;" ",$D624))*Terms!F$3:F$821)+Terms!F$2</f>
        <v>9.6054919561777</v>
      </c>
      <c r="X624" s="0" t="n">
        <f aca="false">SUMPRODUCT(ISNUMBER(SEARCH(" "&amp;Terms!$A$3:$A$821&amp;" ",$D624))*Terms!G$3:G$821)+Terms!G$2</f>
        <v>-0.2611852941572</v>
      </c>
      <c r="Y624" s="0" t="str">
        <f aca="false">INDEX($S$1:$X$1,MATCH(MAX(S624:X624),S624:X624,0))</f>
        <v>Fraud &amp; Scams</v>
      </c>
      <c r="Z624" s="0" t="s">
        <v>2608</v>
      </c>
    </row>
    <row r="625" customFormat="false" ht="15" hidden="false" customHeight="false" outlineLevel="0" collapsed="false">
      <c r="A625" s="0" t="str">
        <f aca="false">Complaints!A625</f>
        <v>C0624</v>
      </c>
      <c r="B625" s="0" t="str">
        <f aca="false">Complaints!B625</f>
        <v>I have been a customer for years. I cannot log in to the mobile app since the update. Please escalate this.</v>
      </c>
      <c r="C625" s="0" t="str">
        <f aca="false">Complaints!C625</f>
        <v>Account Access</v>
      </c>
      <c r="D625" s="0" t="str">
        <f aca="false">" "&amp;TRIM(SUBSTITUTE(SUBSTITUTE(SUBSTITUTE(SUBSTITUTE(SUBSTITUTE(SUBSTITUTE(SUBSTITUTE(SUBSTITUTE(SUBSTITUTE(SUBSTITUTE(SUBSTITUTE(SUBSTITUTE(SUBSTITUTE(SUBSTITUTE(SUBSTITUTE(SUBSTITUTE(LOWER(B625),"."," "),","," "),"'"," "),"’"," "),"!"," "),"?"," "),";"," "),":"," "),"-"," "),"("," "),")"," "),"""", " "),"£"," "),"&amp;"," "),"/"," "),"%"," "))&amp;" "</f>
        <v> i have been a customer for years i cannot log in to the mobile app since the update please escalate this </v>
      </c>
      <c r="E625" s="0" t="n">
        <f aca="false">SUMPRODUCT((Rules!$A$2:$A$60=E$1)*Rules!$C$2:$C$60*ISNUMBER(SEARCH(Rules!$D$2:$D$60,$D625)))</f>
        <v>0</v>
      </c>
      <c r="F625" s="0" t="n">
        <f aca="false">SUMPRODUCT((Rules!$A$2:$A$60=F$1)*Rules!$C$2:$C$60*ISNUMBER(SEARCH(Rules!$D$2:$D$60,$D625)))</f>
        <v>0</v>
      </c>
      <c r="G625" s="0" t="n">
        <f aca="false">SUMPRODUCT((Rules!$A$2:$A$60=G$1)*Rules!$C$2:$C$60*ISNUMBER(SEARCH(Rules!$D$2:$D$60,$D625)))</f>
        <v>4</v>
      </c>
      <c r="H625" s="0" t="n">
        <f aca="false">SUMPRODUCT((Rules!$A$2:$A$60=H$1)*Rules!$C$2:$C$60*ISNUMBER(SEARCH(Rules!$D$2:$D$60,$D625)))</f>
        <v>0</v>
      </c>
      <c r="I625" s="0" t="n">
        <f aca="false">SUMPRODUCT((Rules!$A$2:$A$60=I$1)*Rules!$C$2:$C$60*ISNUMBER(SEARCH(Rules!$D$2:$D$60,$D625)))</f>
        <v>0</v>
      </c>
      <c r="J625" s="0" t="n">
        <f aca="false">SUMPRODUCT((Rules!$A$2:$A$60=J$1)*Rules!$C$2:$C$60*ISNUMBER(SEARCH(Rules!$D$2:$D$60,$D625)))</f>
        <v>0</v>
      </c>
      <c r="K625" s="0" t="str">
        <f aca="false">IF(OR(MAX(E625:J625)&lt;Rules!$H$1,MAX(E625:J625)-LARGE(E625:J625,2)&lt;Rules!$H$2),"No label",INDEX($E$1:$J$1,MATCH(MAX(E625:J625),E625:J625,0)))</f>
        <v>Account Access</v>
      </c>
      <c r="L625" s="0" t="n">
        <f aca="false">SUMPRODUCT((Rules!$A$2:$A$60=L$1)*Rules!$C$2:$C$60*ISNUMBER(SEARCH(Rules!$E$2:$E$60,$D625)))</f>
        <v>0</v>
      </c>
      <c r="M625" s="0" t="n">
        <f aca="false">SUMPRODUCT((Rules!$A$2:$A$60=M$1)*Rules!$C$2:$C$60*ISNUMBER(SEARCH(Rules!$E$2:$E$60,$D625)))</f>
        <v>0</v>
      </c>
      <c r="N625" s="0" t="n">
        <f aca="false">SUMPRODUCT((Rules!$A$2:$A$60=N$1)*Rules!$C$2:$C$60*ISNUMBER(SEARCH(Rules!$E$2:$E$60,$D625)))</f>
        <v>4</v>
      </c>
      <c r="O625" s="0" t="n">
        <f aca="false">SUMPRODUCT((Rules!$A$2:$A$60=O$1)*Rules!$C$2:$C$60*ISNUMBER(SEARCH(Rules!$E$2:$E$60,$D625)))</f>
        <v>0</v>
      </c>
      <c r="P625" s="0" t="n">
        <f aca="false">SUMPRODUCT((Rules!$A$2:$A$60=P$1)*Rules!$C$2:$C$60*ISNUMBER(SEARCH(Rules!$E$2:$E$60,$D625)))</f>
        <v>0</v>
      </c>
      <c r="Q625" s="0" t="n">
        <f aca="false">SUMPRODUCT((Rules!$A$2:$A$60=Q$1)*Rules!$C$2:$C$60*ISNUMBER(SEARCH(Rules!$E$2:$E$60,$D625)))</f>
        <v>0</v>
      </c>
      <c r="R625" s="0" t="str">
        <f aca="false">IF(OR(MAX(L625:Q625)&lt;Rules!$H$1,MAX(L625:Q625)-LARGE(L625:Q625,2)&lt;Rules!$H$2),"No label",INDEX($L$1:$Q$1,MATCH(MAX(L625:Q625),L625:Q625,0)))</f>
        <v>Account Access</v>
      </c>
      <c r="S625" s="0" t="n">
        <f aca="false">SUMPRODUCT(ISNUMBER(SEARCH(" "&amp;Terms!$A$3:$A$821&amp;" ",$D625))*Terms!B$3:B$821)+Terms!B$2</f>
        <v>9.42744491567427</v>
      </c>
      <c r="T625" s="0" t="n">
        <f aca="false">SUMPRODUCT(ISNUMBER(SEARCH(" "&amp;Terms!$A$3:$A$821&amp;" ",$D625))*Terms!C$3:C$821)+Terms!C$2</f>
        <v>-0.375251319984017</v>
      </c>
      <c r="U625" s="0" t="n">
        <f aca="false">SUMPRODUCT(ISNUMBER(SEARCH(" "&amp;Terms!$A$3:$A$821&amp;" ",$D625))*Terms!D$3:D$821)+Terms!D$2</f>
        <v>-0.881201257687711</v>
      </c>
      <c r="V625" s="0" t="n">
        <f aca="false">SUMPRODUCT(ISNUMBER(SEARCH(" "&amp;Terms!$A$3:$A$821&amp;" ",$D625))*Terms!E$3:E$821)+Terms!E$2</f>
        <v>-2.43188989074074</v>
      </c>
      <c r="W625" s="0" t="n">
        <f aca="false">SUMPRODUCT(ISNUMBER(SEARCH(" "&amp;Terms!$A$3:$A$821&amp;" ",$D625))*Terms!F$3:F$821)+Terms!F$2</f>
        <v>-5.52197279429914</v>
      </c>
      <c r="X625" s="0" t="n">
        <f aca="false">SUMPRODUCT(ISNUMBER(SEARCH(" "&amp;Terms!$A$3:$A$821&amp;" ",$D625))*Terms!G$3:G$821)+Terms!G$2</f>
        <v>-0.217129652962577</v>
      </c>
      <c r="Y625" s="0" t="str">
        <f aca="false">INDEX($S$1:$X$1,MATCH(MAX(S625:X625),S625:X625,0))</f>
        <v>Account Access</v>
      </c>
      <c r="Z625" s="0" t="s">
        <v>2608</v>
      </c>
    </row>
    <row r="626" customFormat="false" ht="15" hidden="false" customHeight="false" outlineLevel="0" collapsed="false">
      <c r="A626" s="0" t="str">
        <f aca="false">Complaints!A626</f>
        <v>C0625</v>
      </c>
      <c r="B626" s="0" t="str">
        <f aca="false">Complaints!B626</f>
        <v>I have had enough of the way this has gone.</v>
      </c>
      <c r="C626" s="0" t="str">
        <f aca="false">Complaints!C626</f>
        <v>Customer Service</v>
      </c>
      <c r="D626" s="0" t="str">
        <f aca="false">" "&amp;TRIM(SUBSTITUTE(SUBSTITUTE(SUBSTITUTE(SUBSTITUTE(SUBSTITUTE(SUBSTITUTE(SUBSTITUTE(SUBSTITUTE(SUBSTITUTE(SUBSTITUTE(SUBSTITUTE(SUBSTITUTE(SUBSTITUTE(SUBSTITUTE(SUBSTITUTE(SUBSTITUTE(LOWER(B626),"."," "),","," "),"'"," "),"’"," "),"!"," "),"?"," "),";"," "),":"," "),"-"," "),"("," "),")"," "),"""", " "),"£"," "),"&amp;"," "),"/"," "),"%"," "))&amp;" "</f>
        <v> i have had enough of the way this has gone </v>
      </c>
      <c r="E626" s="0" t="n">
        <f aca="false">SUMPRODUCT((Rules!$A$2:$A$60=E$1)*Rules!$C$2:$C$60*ISNUMBER(SEARCH(Rules!$D$2:$D$60,$D626)))</f>
        <v>0</v>
      </c>
      <c r="F626" s="0" t="n">
        <f aca="false">SUMPRODUCT((Rules!$A$2:$A$60=F$1)*Rules!$C$2:$C$60*ISNUMBER(SEARCH(Rules!$D$2:$D$60,$D626)))</f>
        <v>0</v>
      </c>
      <c r="G626" s="0" t="n">
        <f aca="false">SUMPRODUCT((Rules!$A$2:$A$60=G$1)*Rules!$C$2:$C$60*ISNUMBER(SEARCH(Rules!$D$2:$D$60,$D626)))</f>
        <v>0</v>
      </c>
      <c r="H626" s="0" t="n">
        <f aca="false">SUMPRODUCT((Rules!$A$2:$A$60=H$1)*Rules!$C$2:$C$60*ISNUMBER(SEARCH(Rules!$D$2:$D$60,$D626)))</f>
        <v>0</v>
      </c>
      <c r="I626" s="0" t="n">
        <f aca="false">SUMPRODUCT((Rules!$A$2:$A$60=I$1)*Rules!$C$2:$C$60*ISNUMBER(SEARCH(Rules!$D$2:$D$60,$D626)))</f>
        <v>0</v>
      </c>
      <c r="J626" s="0" t="n">
        <f aca="false">SUMPRODUCT((Rules!$A$2:$A$60=J$1)*Rules!$C$2:$C$60*ISNUMBER(SEARCH(Rules!$D$2:$D$60,$D626)))</f>
        <v>0</v>
      </c>
      <c r="K626" s="0" t="str">
        <f aca="false">IF(OR(MAX(E626:J626)&lt;Rules!$H$1,MAX(E626:J626)-LARGE(E626:J626,2)&lt;Rules!$H$2),"No label",INDEX($E$1:$J$1,MATCH(MAX(E626:J626),E626:J626,0)))</f>
        <v>No label</v>
      </c>
      <c r="L626" s="0" t="n">
        <f aca="false">SUMPRODUCT((Rules!$A$2:$A$60=L$1)*Rules!$C$2:$C$60*ISNUMBER(SEARCH(Rules!$E$2:$E$60,$D626)))</f>
        <v>0</v>
      </c>
      <c r="M626" s="0" t="n">
        <f aca="false">SUMPRODUCT((Rules!$A$2:$A$60=M$1)*Rules!$C$2:$C$60*ISNUMBER(SEARCH(Rules!$E$2:$E$60,$D626)))</f>
        <v>0</v>
      </c>
      <c r="N626" s="0" t="n">
        <f aca="false">SUMPRODUCT((Rules!$A$2:$A$60=N$1)*Rules!$C$2:$C$60*ISNUMBER(SEARCH(Rules!$E$2:$E$60,$D626)))</f>
        <v>0</v>
      </c>
      <c r="O626" s="0" t="n">
        <f aca="false">SUMPRODUCT((Rules!$A$2:$A$60=O$1)*Rules!$C$2:$C$60*ISNUMBER(SEARCH(Rules!$E$2:$E$60,$D626)))</f>
        <v>0</v>
      </c>
      <c r="P626" s="0" t="n">
        <f aca="false">SUMPRODUCT((Rules!$A$2:$A$60=P$1)*Rules!$C$2:$C$60*ISNUMBER(SEARCH(Rules!$E$2:$E$60,$D626)))</f>
        <v>0</v>
      </c>
      <c r="Q626" s="0" t="n">
        <f aca="false">SUMPRODUCT((Rules!$A$2:$A$60=Q$1)*Rules!$C$2:$C$60*ISNUMBER(SEARCH(Rules!$E$2:$E$60,$D626)))</f>
        <v>0</v>
      </c>
      <c r="R626" s="0" t="str">
        <f aca="false">IF(OR(MAX(L626:Q626)&lt;Rules!$H$1,MAX(L626:Q626)-LARGE(L626:Q626,2)&lt;Rules!$H$2),"No label",INDEX($L$1:$Q$1,MATCH(MAX(L626:Q626),L626:Q626,0)))</f>
        <v>No label</v>
      </c>
      <c r="S626" s="0" t="n">
        <f aca="false">SUMPRODUCT(ISNUMBER(SEARCH(" "&amp;Terms!$A$3:$A$821&amp;" ",$D626))*Terms!B$3:B$821)+Terms!B$2</f>
        <v>0.740162088012994</v>
      </c>
      <c r="T626" s="0" t="n">
        <f aca="false">SUMPRODUCT(ISNUMBER(SEARCH(" "&amp;Terms!$A$3:$A$821&amp;" ",$D626))*Terms!C$3:C$821)+Terms!C$2</f>
        <v>-0.0474621897017864</v>
      </c>
      <c r="U626" s="0" t="n">
        <f aca="false">SUMPRODUCT(ISNUMBER(SEARCH(" "&amp;Terms!$A$3:$A$821&amp;" ",$D626))*Terms!D$3:D$821)+Terms!D$2</f>
        <v>0.0542463246819629</v>
      </c>
      <c r="V626" s="0" t="n">
        <f aca="false">SUMPRODUCT(ISNUMBER(SEARCH(" "&amp;Terms!$A$3:$A$821&amp;" ",$D626))*Terms!E$3:E$821)+Terms!E$2</f>
        <v>1.70751695055371</v>
      </c>
      <c r="W626" s="0" t="n">
        <f aca="false">SUMPRODUCT(ISNUMBER(SEARCH(" "&amp;Terms!$A$3:$A$821&amp;" ",$D626))*Terms!F$3:F$821)+Terms!F$2</f>
        <v>-1.95579033890654</v>
      </c>
      <c r="X626" s="0" t="n">
        <f aca="false">SUMPRODUCT(ISNUMBER(SEARCH(" "&amp;Terms!$A$3:$A$821&amp;" ",$D626))*Terms!G$3:G$821)+Terms!G$2</f>
        <v>-0.498672834640244</v>
      </c>
      <c r="Y626" s="0" t="str">
        <f aca="false">INDEX($S$1:$X$1,MATCH(MAX(S626:X626),S626:X626,0))</f>
        <v>Fees &amp; Charges</v>
      </c>
      <c r="Z626" s="0" t="s">
        <v>2607</v>
      </c>
    </row>
    <row r="627" customFormat="false" ht="15" hidden="false" customHeight="false" outlineLevel="0" collapsed="false">
      <c r="A627" s="0" t="str">
        <f aca="false">Complaints!A627</f>
        <v>C0626</v>
      </c>
      <c r="B627" s="0" t="str">
        <f aca="false">Complaints!B627</f>
        <v>The website will not let me registe for online access.</v>
      </c>
      <c r="C627" s="0" t="str">
        <f aca="false">Complaints!C627</f>
        <v>Account Access</v>
      </c>
      <c r="D627" s="0" t="str">
        <f aca="false">" "&amp;TRIM(SUBSTITUTE(SUBSTITUTE(SUBSTITUTE(SUBSTITUTE(SUBSTITUTE(SUBSTITUTE(SUBSTITUTE(SUBSTITUTE(SUBSTITUTE(SUBSTITUTE(SUBSTITUTE(SUBSTITUTE(SUBSTITUTE(SUBSTITUTE(SUBSTITUTE(SUBSTITUTE(LOWER(B627),"."," "),","," "),"'"," "),"’"," "),"!"," "),"?"," "),";"," "),":"," "),"-"," "),"("," "),")"," "),"""", " "),"£"," "),"&amp;"," "),"/"," "),"%"," "))&amp;" "</f>
        <v> the website will not let me registe for online access </v>
      </c>
      <c r="E627" s="0" t="n">
        <f aca="false">SUMPRODUCT((Rules!$A$2:$A$60=E$1)*Rules!$C$2:$C$60*ISNUMBER(SEARCH(Rules!$D$2:$D$60,$D627)))</f>
        <v>0</v>
      </c>
      <c r="F627" s="0" t="n">
        <f aca="false">SUMPRODUCT((Rules!$A$2:$A$60=F$1)*Rules!$C$2:$C$60*ISNUMBER(SEARCH(Rules!$D$2:$D$60,$D627)))</f>
        <v>0</v>
      </c>
      <c r="G627" s="0" t="n">
        <f aca="false">SUMPRODUCT((Rules!$A$2:$A$60=G$1)*Rules!$C$2:$C$60*ISNUMBER(SEARCH(Rules!$D$2:$D$60,$D627)))</f>
        <v>1</v>
      </c>
      <c r="H627" s="0" t="n">
        <f aca="false">SUMPRODUCT((Rules!$A$2:$A$60=H$1)*Rules!$C$2:$C$60*ISNUMBER(SEARCH(Rules!$D$2:$D$60,$D627)))</f>
        <v>0</v>
      </c>
      <c r="I627" s="0" t="n">
        <f aca="false">SUMPRODUCT((Rules!$A$2:$A$60=I$1)*Rules!$C$2:$C$60*ISNUMBER(SEARCH(Rules!$D$2:$D$60,$D627)))</f>
        <v>0</v>
      </c>
      <c r="J627" s="0" t="n">
        <f aca="false">SUMPRODUCT((Rules!$A$2:$A$60=J$1)*Rules!$C$2:$C$60*ISNUMBER(SEARCH(Rules!$D$2:$D$60,$D627)))</f>
        <v>0</v>
      </c>
      <c r="K627" s="0" t="str">
        <f aca="false">IF(OR(MAX(E627:J627)&lt;Rules!$H$1,MAX(E627:J627)-LARGE(E627:J627,2)&lt;Rules!$H$2),"No label",INDEX($E$1:$J$1,MATCH(MAX(E627:J627),E627:J627,0)))</f>
        <v>No label</v>
      </c>
      <c r="L627" s="0" t="n">
        <f aca="false">SUMPRODUCT((Rules!$A$2:$A$60=L$1)*Rules!$C$2:$C$60*ISNUMBER(SEARCH(Rules!$E$2:$E$60,$D627)))</f>
        <v>0</v>
      </c>
      <c r="M627" s="0" t="n">
        <f aca="false">SUMPRODUCT((Rules!$A$2:$A$60=M$1)*Rules!$C$2:$C$60*ISNUMBER(SEARCH(Rules!$E$2:$E$60,$D627)))</f>
        <v>0</v>
      </c>
      <c r="N627" s="0" t="n">
        <f aca="false">SUMPRODUCT((Rules!$A$2:$A$60=N$1)*Rules!$C$2:$C$60*ISNUMBER(SEARCH(Rules!$E$2:$E$60,$D627)))</f>
        <v>1</v>
      </c>
      <c r="O627" s="0" t="n">
        <f aca="false">SUMPRODUCT((Rules!$A$2:$A$60=O$1)*Rules!$C$2:$C$60*ISNUMBER(SEARCH(Rules!$E$2:$E$60,$D627)))</f>
        <v>0</v>
      </c>
      <c r="P627" s="0" t="n">
        <f aca="false">SUMPRODUCT((Rules!$A$2:$A$60=P$1)*Rules!$C$2:$C$60*ISNUMBER(SEARCH(Rules!$E$2:$E$60,$D627)))</f>
        <v>0</v>
      </c>
      <c r="Q627" s="0" t="n">
        <f aca="false">SUMPRODUCT((Rules!$A$2:$A$60=Q$1)*Rules!$C$2:$C$60*ISNUMBER(SEARCH(Rules!$E$2:$E$60,$D627)))</f>
        <v>0</v>
      </c>
      <c r="R627" s="0" t="str">
        <f aca="false">IF(OR(MAX(L627:Q627)&lt;Rules!$H$1,MAX(L627:Q627)-LARGE(L627:Q627,2)&lt;Rules!$H$2),"No label",INDEX($L$1:$Q$1,MATCH(MAX(L627:Q627),L627:Q627,0)))</f>
        <v>No label</v>
      </c>
      <c r="S627" s="0" t="n">
        <f aca="false">SUMPRODUCT(ISNUMBER(SEARCH(" "&amp;Terms!$A$3:$A$821&amp;" ",$D627))*Terms!B$3:B$821)+Terms!B$2</f>
        <v>8.07537908611397</v>
      </c>
      <c r="T627" s="0" t="n">
        <f aca="false">SUMPRODUCT(ISNUMBER(SEARCH(" "&amp;Terms!$A$3:$A$821&amp;" ",$D627))*Terms!C$3:C$821)+Terms!C$2</f>
        <v>-3.51417491273047</v>
      </c>
      <c r="U627" s="0" t="n">
        <f aca="false">SUMPRODUCT(ISNUMBER(SEARCH(" "&amp;Terms!$A$3:$A$821&amp;" ",$D627))*Terms!D$3:D$821)+Terms!D$2</f>
        <v>-1.41353786067004</v>
      </c>
      <c r="V627" s="0" t="n">
        <f aca="false">SUMPRODUCT(ISNUMBER(SEARCH(" "&amp;Terms!$A$3:$A$821&amp;" ",$D627))*Terms!E$3:E$821)+Terms!E$2</f>
        <v>-2.29418822216711</v>
      </c>
      <c r="W627" s="0" t="n">
        <f aca="false">SUMPRODUCT(ISNUMBER(SEARCH(" "&amp;Terms!$A$3:$A$821&amp;" ",$D627))*Terms!F$3:F$821)+Terms!F$2</f>
        <v>-1.22204791852721</v>
      </c>
      <c r="X627" s="0" t="n">
        <f aca="false">SUMPRODUCT(ISNUMBER(SEARCH(" "&amp;Terms!$A$3:$A$821&amp;" ",$D627))*Terms!G$3:G$821)+Terms!G$2</f>
        <v>0.368569827980949</v>
      </c>
      <c r="Y627" s="0" t="str">
        <f aca="false">INDEX($S$1:$X$1,MATCH(MAX(S627:X627),S627:X627,0))</f>
        <v>Account Access</v>
      </c>
      <c r="Z627" s="0" t="s">
        <v>2608</v>
      </c>
    </row>
    <row r="628" customFormat="false" ht="15" hidden="false" customHeight="false" outlineLevel="0" collapsed="false">
      <c r="A628" s="0" t="str">
        <f aca="false">Complaints!A628</f>
        <v>C0627</v>
      </c>
      <c r="B628" s="0" t="str">
        <f aca="false">Complaints!B628</f>
        <v>I have been a customer for years. The payment still has not arrived in my account. Also, the fraud team closed my case without investigating properly. I want this put right.</v>
      </c>
      <c r="C628" s="0" t="str">
        <f aca="false">Complaints!C628</f>
        <v>Delays &amp; Processing</v>
      </c>
      <c r="D628" s="0" t="str">
        <f aca="false">" "&amp;TRIM(SUBSTITUTE(SUBSTITUTE(SUBSTITUTE(SUBSTITUTE(SUBSTITUTE(SUBSTITUTE(SUBSTITUTE(SUBSTITUTE(SUBSTITUTE(SUBSTITUTE(SUBSTITUTE(SUBSTITUTE(SUBSTITUTE(SUBSTITUTE(SUBSTITUTE(SUBSTITUTE(LOWER(B628),"."," "),","," "),"'"," "),"’"," "),"!"," "),"?"," "),";"," "),":"," "),"-"," "),"("," "),")"," "),"""", " "),"£"," "),"&amp;"," "),"/"," "),"%"," "))&amp;" "</f>
        <v> i have been a customer for years the payment still has not arrived in my account also the fraud team closed my case without investigating properly i want this put right </v>
      </c>
      <c r="E628" s="0" t="n">
        <f aca="false">SUMPRODUCT((Rules!$A$2:$A$60=E$1)*Rules!$C$2:$C$60*ISNUMBER(SEARCH(Rules!$D$2:$D$60,$D628)))</f>
        <v>3</v>
      </c>
      <c r="F628" s="0" t="n">
        <f aca="false">SUMPRODUCT((Rules!$A$2:$A$60=F$1)*Rules!$C$2:$C$60*ISNUMBER(SEARCH(Rules!$D$2:$D$60,$D628)))</f>
        <v>0</v>
      </c>
      <c r="G628" s="0" t="n">
        <f aca="false">SUMPRODUCT((Rules!$A$2:$A$60=G$1)*Rules!$C$2:$C$60*ISNUMBER(SEARCH(Rules!$D$2:$D$60,$D628)))</f>
        <v>0</v>
      </c>
      <c r="H628" s="0" t="n">
        <f aca="false">SUMPRODUCT((Rules!$A$2:$A$60=H$1)*Rules!$C$2:$C$60*ISNUMBER(SEARCH(Rules!$D$2:$D$60,$D628)))</f>
        <v>0</v>
      </c>
      <c r="I628" s="0" t="n">
        <f aca="false">SUMPRODUCT((Rules!$A$2:$A$60=I$1)*Rules!$C$2:$C$60*ISNUMBER(SEARCH(Rules!$D$2:$D$60,$D628)))</f>
        <v>2</v>
      </c>
      <c r="J628" s="0" t="n">
        <f aca="false">SUMPRODUCT((Rules!$A$2:$A$60=J$1)*Rules!$C$2:$C$60*ISNUMBER(SEARCH(Rules!$D$2:$D$60,$D628)))</f>
        <v>0</v>
      </c>
      <c r="K628" s="0" t="str">
        <f aca="false">IF(OR(MAX(E628:J628)&lt;Rules!$H$1,MAX(E628:J628)-LARGE(E628:J628,2)&lt;Rules!$H$2),"No label",INDEX($E$1:$J$1,MATCH(MAX(E628:J628),E628:J628,0)))</f>
        <v>No label</v>
      </c>
      <c r="L628" s="0" t="n">
        <f aca="false">SUMPRODUCT((Rules!$A$2:$A$60=L$1)*Rules!$C$2:$C$60*ISNUMBER(SEARCH(Rules!$E$2:$E$60,$D628)))</f>
        <v>3</v>
      </c>
      <c r="M628" s="0" t="n">
        <f aca="false">SUMPRODUCT((Rules!$A$2:$A$60=M$1)*Rules!$C$2:$C$60*ISNUMBER(SEARCH(Rules!$E$2:$E$60,$D628)))</f>
        <v>0</v>
      </c>
      <c r="N628" s="0" t="n">
        <f aca="false">SUMPRODUCT((Rules!$A$2:$A$60=N$1)*Rules!$C$2:$C$60*ISNUMBER(SEARCH(Rules!$E$2:$E$60,$D628)))</f>
        <v>0</v>
      </c>
      <c r="O628" s="0" t="n">
        <f aca="false">SUMPRODUCT((Rules!$A$2:$A$60=O$1)*Rules!$C$2:$C$60*ISNUMBER(SEARCH(Rules!$E$2:$E$60,$D628)))</f>
        <v>0</v>
      </c>
      <c r="P628" s="0" t="n">
        <f aca="false">SUMPRODUCT((Rules!$A$2:$A$60=P$1)*Rules!$C$2:$C$60*ISNUMBER(SEARCH(Rules!$E$2:$E$60,$D628)))</f>
        <v>2</v>
      </c>
      <c r="Q628" s="0" t="n">
        <f aca="false">SUMPRODUCT((Rules!$A$2:$A$60=Q$1)*Rules!$C$2:$C$60*ISNUMBER(SEARCH(Rules!$E$2:$E$60,$D628)))</f>
        <v>0</v>
      </c>
      <c r="R628" s="0" t="str">
        <f aca="false">IF(OR(MAX(L628:Q628)&lt;Rules!$H$1,MAX(L628:Q628)-LARGE(L628:Q628,2)&lt;Rules!$H$2),"No label",INDEX($L$1:$Q$1,MATCH(MAX(L628:Q628),L628:Q628,0)))</f>
        <v>No label</v>
      </c>
      <c r="S628" s="0" t="n">
        <f aca="false">SUMPRODUCT(ISNUMBER(SEARCH(" "&amp;Terms!$A$3:$A$821&amp;" ",$D628))*Terms!B$3:B$821)+Terms!B$2</f>
        <v>-3.29570181181251</v>
      </c>
      <c r="T628" s="0" t="n">
        <f aca="false">SUMPRODUCT(ISNUMBER(SEARCH(" "&amp;Terms!$A$3:$A$821&amp;" ",$D628))*Terms!C$3:C$821)+Terms!C$2</f>
        <v>-4.28618432301814</v>
      </c>
      <c r="U628" s="0" t="n">
        <f aca="false">SUMPRODUCT(ISNUMBER(SEARCH(" "&amp;Terms!$A$3:$A$821&amp;" ",$D628))*Terms!D$3:D$821)+Terms!D$2</f>
        <v>3.98196161969484</v>
      </c>
      <c r="V628" s="0" t="n">
        <f aca="false">SUMPRODUCT(ISNUMBER(SEARCH(" "&amp;Terms!$A$3:$A$821&amp;" ",$D628))*Terms!E$3:E$821)+Terms!E$2</f>
        <v>-3.19184792922097</v>
      </c>
      <c r="W628" s="0" t="n">
        <f aca="false">SUMPRODUCT(ISNUMBER(SEARCH(" "&amp;Terms!$A$3:$A$821&amp;" ",$D628))*Terms!F$3:F$821)+Terms!F$2</f>
        <v>12.967327349052</v>
      </c>
      <c r="X628" s="0" t="n">
        <f aca="false">SUMPRODUCT(ISNUMBER(SEARCH(" "&amp;Terms!$A$3:$A$821&amp;" ",$D628))*Terms!G$3:G$821)+Terms!G$2</f>
        <v>-6.17555490469513</v>
      </c>
      <c r="Y628" s="0" t="str">
        <f aca="false">INDEX($S$1:$X$1,MATCH(MAX(S628:X628),S628:X628,0))</f>
        <v>Fraud &amp; Scams</v>
      </c>
      <c r="Z628" s="0" t="s">
        <v>2607</v>
      </c>
    </row>
    <row r="629" customFormat="false" ht="15" hidden="false" customHeight="false" outlineLevel="0" collapsed="false">
      <c r="A629" s="0" t="str">
        <f aca="false">Complaints!A629</f>
        <v>C0628</v>
      </c>
      <c r="B629" s="0" t="str">
        <f aca="false">Complaints!B629</f>
        <v>Hello, I was sold a product that was not suitable for my circumstances. Also, my mortgage switch is taking far longer than you said it would.</v>
      </c>
      <c r="C629" s="0" t="str">
        <f aca="false">Complaints!C629</f>
        <v>Mis-selling</v>
      </c>
      <c r="D629" s="0" t="str">
        <f aca="false">" "&amp;TRIM(SUBSTITUTE(SUBSTITUTE(SUBSTITUTE(SUBSTITUTE(SUBSTITUTE(SUBSTITUTE(SUBSTITUTE(SUBSTITUTE(SUBSTITUTE(SUBSTITUTE(SUBSTITUTE(SUBSTITUTE(SUBSTITUTE(SUBSTITUTE(SUBSTITUTE(SUBSTITUTE(LOWER(B629),"."," "),","," "),"'"," "),"’"," "),"!"," "),"?"," "),";"," "),":"," "),"-"," "),"("," "),")"," "),"""", " "),"£"," "),"&amp;"," "),"/"," "),"%"," "))&amp;" "</f>
        <v> hello i was sold a product that was not suitable for my circumstances also my mortgage switch is taking far longer than you said it would </v>
      </c>
      <c r="E629" s="0" t="n">
        <f aca="false">SUMPRODUCT((Rules!$A$2:$A$60=E$1)*Rules!$C$2:$C$60*ISNUMBER(SEARCH(Rules!$D$2:$D$60,$D629)))</f>
        <v>0</v>
      </c>
      <c r="F629" s="0" t="n">
        <f aca="false">SUMPRODUCT((Rules!$A$2:$A$60=F$1)*Rules!$C$2:$C$60*ISNUMBER(SEARCH(Rules!$D$2:$D$60,$D629)))</f>
        <v>5</v>
      </c>
      <c r="G629" s="0" t="n">
        <f aca="false">SUMPRODUCT((Rules!$A$2:$A$60=G$1)*Rules!$C$2:$C$60*ISNUMBER(SEARCH(Rules!$D$2:$D$60,$D629)))</f>
        <v>0</v>
      </c>
      <c r="H629" s="0" t="n">
        <f aca="false">SUMPRODUCT((Rules!$A$2:$A$60=H$1)*Rules!$C$2:$C$60*ISNUMBER(SEARCH(Rules!$D$2:$D$60,$D629)))</f>
        <v>0</v>
      </c>
      <c r="I629" s="0" t="n">
        <f aca="false">SUMPRODUCT((Rules!$A$2:$A$60=I$1)*Rules!$C$2:$C$60*ISNUMBER(SEARCH(Rules!$D$2:$D$60,$D629)))</f>
        <v>2</v>
      </c>
      <c r="J629" s="0" t="n">
        <f aca="false">SUMPRODUCT((Rules!$A$2:$A$60=J$1)*Rules!$C$2:$C$60*ISNUMBER(SEARCH(Rules!$D$2:$D$60,$D629)))</f>
        <v>0</v>
      </c>
      <c r="K629" s="0" t="str">
        <f aca="false">IF(OR(MAX(E629:J629)&lt;Rules!$H$1,MAX(E629:J629)-LARGE(E629:J629,2)&lt;Rules!$H$2),"No label",INDEX($E$1:$J$1,MATCH(MAX(E629:J629),E629:J629,0)))</f>
        <v>Mis-selling</v>
      </c>
      <c r="L629" s="0" t="n">
        <f aca="false">SUMPRODUCT((Rules!$A$2:$A$60=L$1)*Rules!$C$2:$C$60*ISNUMBER(SEARCH(Rules!$E$2:$E$60,$D629)))</f>
        <v>0</v>
      </c>
      <c r="M629" s="0" t="n">
        <f aca="false">SUMPRODUCT((Rules!$A$2:$A$60=M$1)*Rules!$C$2:$C$60*ISNUMBER(SEARCH(Rules!$E$2:$E$60,$D629)))</f>
        <v>5</v>
      </c>
      <c r="N629" s="0" t="n">
        <f aca="false">SUMPRODUCT((Rules!$A$2:$A$60=N$1)*Rules!$C$2:$C$60*ISNUMBER(SEARCH(Rules!$E$2:$E$60,$D629)))</f>
        <v>0</v>
      </c>
      <c r="O629" s="0" t="n">
        <f aca="false">SUMPRODUCT((Rules!$A$2:$A$60=O$1)*Rules!$C$2:$C$60*ISNUMBER(SEARCH(Rules!$E$2:$E$60,$D629)))</f>
        <v>0</v>
      </c>
      <c r="P629" s="0" t="n">
        <f aca="false">SUMPRODUCT((Rules!$A$2:$A$60=P$1)*Rules!$C$2:$C$60*ISNUMBER(SEARCH(Rules!$E$2:$E$60,$D629)))</f>
        <v>2</v>
      </c>
      <c r="Q629" s="0" t="n">
        <f aca="false">SUMPRODUCT((Rules!$A$2:$A$60=Q$1)*Rules!$C$2:$C$60*ISNUMBER(SEARCH(Rules!$E$2:$E$60,$D629)))</f>
        <v>0</v>
      </c>
      <c r="R629" s="0" t="str">
        <f aca="false">IF(OR(MAX(L629:Q629)&lt;Rules!$H$1,MAX(L629:Q629)-LARGE(L629:Q629,2)&lt;Rules!$H$2),"No label",INDEX($L$1:$Q$1,MATCH(MAX(L629:Q629),L629:Q629,0)))</f>
        <v>Mis-selling</v>
      </c>
      <c r="S629" s="0" t="n">
        <f aca="false">SUMPRODUCT(ISNUMBER(SEARCH(" "&amp;Terms!$A$3:$A$821&amp;" ",$D629))*Terms!B$3:B$821)+Terms!B$2</f>
        <v>-5.03979085037519</v>
      </c>
      <c r="T629" s="0" t="n">
        <f aca="false">SUMPRODUCT(ISNUMBER(SEARCH(" "&amp;Terms!$A$3:$A$821&amp;" ",$D629))*Terms!C$3:C$821)+Terms!C$2</f>
        <v>-1.50685928285852</v>
      </c>
      <c r="U629" s="0" t="n">
        <f aca="false">SUMPRODUCT(ISNUMBER(SEARCH(" "&amp;Terms!$A$3:$A$821&amp;" ",$D629))*Terms!D$3:D$821)+Terms!D$2</f>
        <v>8.58873276333252</v>
      </c>
      <c r="V629" s="0" t="n">
        <f aca="false">SUMPRODUCT(ISNUMBER(SEARCH(" "&amp;Terms!$A$3:$A$821&amp;" ",$D629))*Terms!E$3:E$821)+Terms!E$2</f>
        <v>-3.03054107652311</v>
      </c>
      <c r="W629" s="0" t="n">
        <f aca="false">SUMPRODUCT(ISNUMBER(SEARCH(" "&amp;Terms!$A$3:$A$821&amp;" ",$D629))*Terms!F$3:F$821)+Terms!F$2</f>
        <v>-3.77349583683326</v>
      </c>
      <c r="X629" s="0" t="n">
        <f aca="false">SUMPRODUCT(ISNUMBER(SEARCH(" "&amp;Terms!$A$3:$A$821&amp;" ",$D629))*Terms!G$3:G$821)+Terms!G$2</f>
        <v>4.76195428325767</v>
      </c>
      <c r="Y629" s="0" t="str">
        <f aca="false">INDEX($S$1:$X$1,MATCH(MAX(S629:X629),S629:X629,0))</f>
        <v>Delays &amp; Processing</v>
      </c>
      <c r="Z629" s="0" t="s">
        <v>2607</v>
      </c>
    </row>
    <row r="630" customFormat="false" ht="15" hidden="false" customHeight="false" outlineLevel="0" collapsed="false">
      <c r="A630" s="0" t="str">
        <f aca="false">Complaints!A630</f>
        <v>C0629</v>
      </c>
      <c r="B630" s="0" t="str">
        <f aca="false">Complaints!B630</f>
        <v>The webchat agent ended the conversation without solving anything. I want this put right.</v>
      </c>
      <c r="C630" s="0" t="str">
        <f aca="false">Complaints!C630</f>
        <v>Customer Service</v>
      </c>
      <c r="D630" s="0" t="str">
        <f aca="false">" "&amp;TRIM(SUBSTITUTE(SUBSTITUTE(SUBSTITUTE(SUBSTITUTE(SUBSTITUTE(SUBSTITUTE(SUBSTITUTE(SUBSTITUTE(SUBSTITUTE(SUBSTITUTE(SUBSTITUTE(SUBSTITUTE(SUBSTITUTE(SUBSTITUTE(SUBSTITUTE(SUBSTITUTE(LOWER(B630),"."," "),","," "),"'"," "),"’"," "),"!"," "),"?"," "),";"," "),":"," "),"-"," "),"("," "),")"," "),"""", " "),"£"," "),"&amp;"," "),"/"," "),"%"," "))&amp;" "</f>
        <v> the webchat agent ended the conversation without solving anything i want this put right </v>
      </c>
      <c r="E630" s="0" t="n">
        <f aca="false">SUMPRODUCT((Rules!$A$2:$A$60=E$1)*Rules!$C$2:$C$60*ISNUMBER(SEARCH(Rules!$D$2:$D$60,$D630)))</f>
        <v>0</v>
      </c>
      <c r="F630" s="0" t="n">
        <f aca="false">SUMPRODUCT((Rules!$A$2:$A$60=F$1)*Rules!$C$2:$C$60*ISNUMBER(SEARCH(Rules!$D$2:$D$60,$D630)))</f>
        <v>0</v>
      </c>
      <c r="G630" s="0" t="n">
        <f aca="false">SUMPRODUCT((Rules!$A$2:$A$60=G$1)*Rules!$C$2:$C$60*ISNUMBER(SEARCH(Rules!$D$2:$D$60,$D630)))</f>
        <v>0</v>
      </c>
      <c r="H630" s="0" t="n">
        <f aca="false">SUMPRODUCT((Rules!$A$2:$A$60=H$1)*Rules!$C$2:$C$60*ISNUMBER(SEARCH(Rules!$D$2:$D$60,$D630)))</f>
        <v>0</v>
      </c>
      <c r="I630" s="0" t="n">
        <f aca="false">SUMPRODUCT((Rules!$A$2:$A$60=I$1)*Rules!$C$2:$C$60*ISNUMBER(SEARCH(Rules!$D$2:$D$60,$D630)))</f>
        <v>0</v>
      </c>
      <c r="J630" s="0" t="n">
        <f aca="false">SUMPRODUCT((Rules!$A$2:$A$60=J$1)*Rules!$C$2:$C$60*ISNUMBER(SEARCH(Rules!$D$2:$D$60,$D630)))</f>
        <v>2</v>
      </c>
      <c r="K630" s="0" t="str">
        <f aca="false">IF(OR(MAX(E630:J630)&lt;Rules!$H$1,MAX(E630:J630)-LARGE(E630:J630,2)&lt;Rules!$H$2),"No label",INDEX($E$1:$J$1,MATCH(MAX(E630:J630),E630:J630,0)))</f>
        <v>No label</v>
      </c>
      <c r="L630" s="0" t="n">
        <f aca="false">SUMPRODUCT((Rules!$A$2:$A$60=L$1)*Rules!$C$2:$C$60*ISNUMBER(SEARCH(Rules!$E$2:$E$60,$D630)))</f>
        <v>0</v>
      </c>
      <c r="M630" s="0" t="n">
        <f aca="false">SUMPRODUCT((Rules!$A$2:$A$60=M$1)*Rules!$C$2:$C$60*ISNUMBER(SEARCH(Rules!$E$2:$E$60,$D630)))</f>
        <v>0</v>
      </c>
      <c r="N630" s="0" t="n">
        <f aca="false">SUMPRODUCT((Rules!$A$2:$A$60=N$1)*Rules!$C$2:$C$60*ISNUMBER(SEARCH(Rules!$E$2:$E$60,$D630)))</f>
        <v>0</v>
      </c>
      <c r="O630" s="0" t="n">
        <f aca="false">SUMPRODUCT((Rules!$A$2:$A$60=O$1)*Rules!$C$2:$C$60*ISNUMBER(SEARCH(Rules!$E$2:$E$60,$D630)))</f>
        <v>0</v>
      </c>
      <c r="P630" s="0" t="n">
        <f aca="false">SUMPRODUCT((Rules!$A$2:$A$60=P$1)*Rules!$C$2:$C$60*ISNUMBER(SEARCH(Rules!$E$2:$E$60,$D630)))</f>
        <v>0</v>
      </c>
      <c r="Q630" s="0" t="n">
        <f aca="false">SUMPRODUCT((Rules!$A$2:$A$60=Q$1)*Rules!$C$2:$C$60*ISNUMBER(SEARCH(Rules!$E$2:$E$60,$D630)))</f>
        <v>2</v>
      </c>
      <c r="R630" s="0" t="str">
        <f aca="false">IF(OR(MAX(L630:Q630)&lt;Rules!$H$1,MAX(L630:Q630)-LARGE(L630:Q630,2)&lt;Rules!$H$2),"No label",INDEX($L$1:$Q$1,MATCH(MAX(L630:Q630),L630:Q630,0)))</f>
        <v>No label</v>
      </c>
      <c r="S630" s="0" t="n">
        <f aca="false">SUMPRODUCT(ISNUMBER(SEARCH(" "&amp;Terms!$A$3:$A$821&amp;" ",$D630))*Terms!B$3:B$821)+Terms!B$2</f>
        <v>-2.33711622617966</v>
      </c>
      <c r="T630" s="0" t="n">
        <f aca="false">SUMPRODUCT(ISNUMBER(SEARCH(" "&amp;Terms!$A$3:$A$821&amp;" ",$D630))*Terms!C$3:C$821)+Terms!C$2</f>
        <v>8.08395660855823</v>
      </c>
      <c r="U630" s="0" t="n">
        <f aca="false">SUMPRODUCT(ISNUMBER(SEARCH(" "&amp;Terms!$A$3:$A$821&amp;" ",$D630))*Terms!D$3:D$821)+Terms!D$2</f>
        <v>-3.13057579597486</v>
      </c>
      <c r="V630" s="0" t="n">
        <f aca="false">SUMPRODUCT(ISNUMBER(SEARCH(" "&amp;Terms!$A$3:$A$821&amp;" ",$D630))*Terms!E$3:E$821)+Terms!E$2</f>
        <v>-1.06417357109846</v>
      </c>
      <c r="W630" s="0" t="n">
        <f aca="false">SUMPRODUCT(ISNUMBER(SEARCH(" "&amp;Terms!$A$3:$A$821&amp;" ",$D630))*Terms!F$3:F$821)+Terms!F$2</f>
        <v>0.132258070068824</v>
      </c>
      <c r="X630" s="0" t="n">
        <f aca="false">SUMPRODUCT(ISNUMBER(SEARCH(" "&amp;Terms!$A$3:$A$821&amp;" ",$D630))*Terms!G$3:G$821)+Terms!G$2</f>
        <v>-1.68434908537397</v>
      </c>
      <c r="Y630" s="0" t="str">
        <f aca="false">INDEX($S$1:$X$1,MATCH(MAX(S630:X630),S630:X630,0))</f>
        <v>Customer Service</v>
      </c>
      <c r="Z630" s="0" t="s">
        <v>2607</v>
      </c>
    </row>
    <row r="631" customFormat="false" ht="15" hidden="false" customHeight="false" outlineLevel="0" collapsed="false">
      <c r="A631" s="0" t="str">
        <f aca="false">Complaints!A631</f>
        <v>C0630</v>
      </c>
      <c r="B631" s="0" t="str">
        <f aca="false">Complaints!B631</f>
        <v>I am writing to complain. I sent the form twice and it seems to have been lost in the system. I would like a response in writing.</v>
      </c>
      <c r="C631" s="0" t="str">
        <f aca="false">Complaints!C631</f>
        <v>Delays &amp; Processing</v>
      </c>
      <c r="D631" s="0" t="str">
        <f aca="false">" "&amp;TRIM(SUBSTITUTE(SUBSTITUTE(SUBSTITUTE(SUBSTITUTE(SUBSTITUTE(SUBSTITUTE(SUBSTITUTE(SUBSTITUTE(SUBSTITUTE(SUBSTITUTE(SUBSTITUTE(SUBSTITUTE(SUBSTITUTE(SUBSTITUTE(SUBSTITUTE(SUBSTITUTE(LOWER(B631),"."," "),","," "),"'"," "),"’"," "),"!"," "),"?"," "),";"," "),":"," "),"-"," "),"("," "),")"," "),"""", " "),"£"," "),"&amp;"," "),"/"," "),"%"," "))&amp;" "</f>
        <v> i am writing to complain i sent the form twice and it seems to have been lost in the system i would like a response in writing </v>
      </c>
      <c r="E631" s="0" t="n">
        <f aca="false">SUMPRODUCT((Rules!$A$2:$A$60=E$1)*Rules!$C$2:$C$60*ISNUMBER(SEARCH(Rules!$D$2:$D$60,$D631)))</f>
        <v>0</v>
      </c>
      <c r="F631" s="0" t="n">
        <f aca="false">SUMPRODUCT((Rules!$A$2:$A$60=F$1)*Rules!$C$2:$C$60*ISNUMBER(SEARCH(Rules!$D$2:$D$60,$D631)))</f>
        <v>0</v>
      </c>
      <c r="G631" s="0" t="n">
        <f aca="false">SUMPRODUCT((Rules!$A$2:$A$60=G$1)*Rules!$C$2:$C$60*ISNUMBER(SEARCH(Rules!$D$2:$D$60,$D631)))</f>
        <v>0</v>
      </c>
      <c r="H631" s="0" t="n">
        <f aca="false">SUMPRODUCT((Rules!$A$2:$A$60=H$1)*Rules!$C$2:$C$60*ISNUMBER(SEARCH(Rules!$D$2:$D$60,$D631)))</f>
        <v>0</v>
      </c>
      <c r="I631" s="0" t="n">
        <f aca="false">SUMPRODUCT((Rules!$A$2:$A$60=I$1)*Rules!$C$2:$C$60*ISNUMBER(SEARCH(Rules!$D$2:$D$60,$D631)))</f>
        <v>0</v>
      </c>
      <c r="J631" s="0" t="n">
        <f aca="false">SUMPRODUCT((Rules!$A$2:$A$60=J$1)*Rules!$C$2:$C$60*ISNUMBER(SEARCH(Rules!$D$2:$D$60,$D631)))</f>
        <v>0</v>
      </c>
      <c r="K631" s="0" t="str">
        <f aca="false">IF(OR(MAX(E631:J631)&lt;Rules!$H$1,MAX(E631:J631)-LARGE(E631:J631,2)&lt;Rules!$H$2),"No label",INDEX($E$1:$J$1,MATCH(MAX(E631:J631),E631:J631,0)))</f>
        <v>No label</v>
      </c>
      <c r="L631" s="0" t="n">
        <f aca="false">SUMPRODUCT((Rules!$A$2:$A$60=L$1)*Rules!$C$2:$C$60*ISNUMBER(SEARCH(Rules!$E$2:$E$60,$D631)))</f>
        <v>0</v>
      </c>
      <c r="M631" s="0" t="n">
        <f aca="false">SUMPRODUCT((Rules!$A$2:$A$60=M$1)*Rules!$C$2:$C$60*ISNUMBER(SEARCH(Rules!$E$2:$E$60,$D631)))</f>
        <v>0</v>
      </c>
      <c r="N631" s="0" t="n">
        <f aca="false">SUMPRODUCT((Rules!$A$2:$A$60=N$1)*Rules!$C$2:$C$60*ISNUMBER(SEARCH(Rules!$E$2:$E$60,$D631)))</f>
        <v>0</v>
      </c>
      <c r="O631" s="0" t="n">
        <f aca="false">SUMPRODUCT((Rules!$A$2:$A$60=O$1)*Rules!$C$2:$C$60*ISNUMBER(SEARCH(Rules!$E$2:$E$60,$D631)))</f>
        <v>0</v>
      </c>
      <c r="P631" s="0" t="n">
        <f aca="false">SUMPRODUCT((Rules!$A$2:$A$60=P$1)*Rules!$C$2:$C$60*ISNUMBER(SEARCH(Rules!$E$2:$E$60,$D631)))</f>
        <v>0</v>
      </c>
      <c r="Q631" s="0" t="n">
        <f aca="false">SUMPRODUCT((Rules!$A$2:$A$60=Q$1)*Rules!$C$2:$C$60*ISNUMBER(SEARCH(Rules!$E$2:$E$60,$D631)))</f>
        <v>0</v>
      </c>
      <c r="R631" s="0" t="str">
        <f aca="false">IF(OR(MAX(L631:Q631)&lt;Rules!$H$1,MAX(L631:Q631)-LARGE(L631:Q631,2)&lt;Rules!$H$2),"No label",INDEX($L$1:$Q$1,MATCH(MAX(L631:Q631),L631:Q631,0)))</f>
        <v>No label</v>
      </c>
      <c r="S631" s="0" t="n">
        <f aca="false">SUMPRODUCT(ISNUMBER(SEARCH(" "&amp;Terms!$A$3:$A$821&amp;" ",$D631))*Terms!B$3:B$821)+Terms!B$2</f>
        <v>-3.19300239620764</v>
      </c>
      <c r="T631" s="0" t="n">
        <f aca="false">SUMPRODUCT(ISNUMBER(SEARCH(" "&amp;Terms!$A$3:$A$821&amp;" ",$D631))*Terms!C$3:C$821)+Terms!C$2</f>
        <v>-0.766918028654966</v>
      </c>
      <c r="U631" s="0" t="n">
        <f aca="false">SUMPRODUCT(ISNUMBER(SEARCH(" "&amp;Terms!$A$3:$A$821&amp;" ",$D631))*Terms!D$3:D$821)+Terms!D$2</f>
        <v>9.927400774993</v>
      </c>
      <c r="V631" s="0" t="n">
        <f aca="false">SUMPRODUCT(ISNUMBER(SEARCH(" "&amp;Terms!$A$3:$A$821&amp;" ",$D631))*Terms!E$3:E$821)+Terms!E$2</f>
        <v>-1.14886717017215</v>
      </c>
      <c r="W631" s="0" t="n">
        <f aca="false">SUMPRODUCT(ISNUMBER(SEARCH(" "&amp;Terms!$A$3:$A$821&amp;" ",$D631))*Terms!F$3:F$821)+Terms!F$2</f>
        <v>-4.59343832067771</v>
      </c>
      <c r="X631" s="0" t="n">
        <f aca="false">SUMPRODUCT(ISNUMBER(SEARCH(" "&amp;Terms!$A$3:$A$821&amp;" ",$D631))*Terms!G$3:G$821)+Terms!G$2</f>
        <v>-0.225174859280442</v>
      </c>
      <c r="Y631" s="0" t="str">
        <f aca="false">INDEX($S$1:$X$1,MATCH(MAX(S631:X631),S631:X631,0))</f>
        <v>Delays &amp; Processing</v>
      </c>
      <c r="Z631" s="0" t="s">
        <v>2607</v>
      </c>
    </row>
    <row r="632" customFormat="false" ht="15" hidden="false" customHeight="false" outlineLevel="0" collapsed="false">
      <c r="A632" s="0" t="str">
        <f aca="false">Complaints!A632</f>
        <v>C0631</v>
      </c>
      <c r="B632" s="0" t="str">
        <f aca="false">Complaints!B632</f>
        <v>I have been a customer for years. There is an unexpected charge on my statement of £60.</v>
      </c>
      <c r="C632" s="0" t="str">
        <f aca="false">Complaints!C632</f>
        <v>Fees &amp; Charges</v>
      </c>
      <c r="D632" s="0" t="str">
        <f aca="false">" "&amp;TRIM(SUBSTITUTE(SUBSTITUTE(SUBSTITUTE(SUBSTITUTE(SUBSTITUTE(SUBSTITUTE(SUBSTITUTE(SUBSTITUTE(SUBSTITUTE(SUBSTITUTE(SUBSTITUTE(SUBSTITUTE(SUBSTITUTE(SUBSTITUTE(SUBSTITUTE(SUBSTITUTE(LOWER(B632),"."," "),","," "),"'"," "),"’"," "),"!"," "),"?"," "),";"," "),":"," "),"-"," "),"("," "),")"," "),"""", " "),"£"," "),"&amp;"," "),"/"," "),"%"," "))&amp;" "</f>
        <v> i have been a customer for years there is an unexpected charge on my statement of 60 </v>
      </c>
      <c r="E632" s="0" t="n">
        <f aca="false">SUMPRODUCT((Rules!$A$2:$A$60=E$1)*Rules!$C$2:$C$60*ISNUMBER(SEARCH(Rules!$D$2:$D$60,$D632)))</f>
        <v>0</v>
      </c>
      <c r="F632" s="0" t="n">
        <f aca="false">SUMPRODUCT((Rules!$A$2:$A$60=F$1)*Rules!$C$2:$C$60*ISNUMBER(SEARCH(Rules!$D$2:$D$60,$D632)))</f>
        <v>0</v>
      </c>
      <c r="G632" s="0" t="n">
        <f aca="false">SUMPRODUCT((Rules!$A$2:$A$60=G$1)*Rules!$C$2:$C$60*ISNUMBER(SEARCH(Rules!$D$2:$D$60,$D632)))</f>
        <v>0</v>
      </c>
      <c r="H632" s="0" t="n">
        <f aca="false">SUMPRODUCT((Rules!$A$2:$A$60=H$1)*Rules!$C$2:$C$60*ISNUMBER(SEARCH(Rules!$D$2:$D$60,$D632)))</f>
        <v>3</v>
      </c>
      <c r="I632" s="0" t="n">
        <f aca="false">SUMPRODUCT((Rules!$A$2:$A$60=I$1)*Rules!$C$2:$C$60*ISNUMBER(SEARCH(Rules!$D$2:$D$60,$D632)))</f>
        <v>0</v>
      </c>
      <c r="J632" s="0" t="n">
        <f aca="false">SUMPRODUCT((Rules!$A$2:$A$60=J$1)*Rules!$C$2:$C$60*ISNUMBER(SEARCH(Rules!$D$2:$D$60,$D632)))</f>
        <v>0</v>
      </c>
      <c r="K632" s="0" t="str">
        <f aca="false">IF(OR(MAX(E632:J632)&lt;Rules!$H$1,MAX(E632:J632)-LARGE(E632:J632,2)&lt;Rules!$H$2),"No label",INDEX($E$1:$J$1,MATCH(MAX(E632:J632),E632:J632,0)))</f>
        <v>Fees &amp; Charges</v>
      </c>
      <c r="L632" s="0" t="n">
        <f aca="false">SUMPRODUCT((Rules!$A$2:$A$60=L$1)*Rules!$C$2:$C$60*ISNUMBER(SEARCH(Rules!$E$2:$E$60,$D632)))</f>
        <v>0</v>
      </c>
      <c r="M632" s="0" t="n">
        <f aca="false">SUMPRODUCT((Rules!$A$2:$A$60=M$1)*Rules!$C$2:$C$60*ISNUMBER(SEARCH(Rules!$E$2:$E$60,$D632)))</f>
        <v>0</v>
      </c>
      <c r="N632" s="0" t="n">
        <f aca="false">SUMPRODUCT((Rules!$A$2:$A$60=N$1)*Rules!$C$2:$C$60*ISNUMBER(SEARCH(Rules!$E$2:$E$60,$D632)))</f>
        <v>0</v>
      </c>
      <c r="O632" s="0" t="n">
        <f aca="false">SUMPRODUCT((Rules!$A$2:$A$60=O$1)*Rules!$C$2:$C$60*ISNUMBER(SEARCH(Rules!$E$2:$E$60,$D632)))</f>
        <v>5</v>
      </c>
      <c r="P632" s="0" t="n">
        <f aca="false">SUMPRODUCT((Rules!$A$2:$A$60=P$1)*Rules!$C$2:$C$60*ISNUMBER(SEARCH(Rules!$E$2:$E$60,$D632)))</f>
        <v>0</v>
      </c>
      <c r="Q632" s="0" t="n">
        <f aca="false">SUMPRODUCT((Rules!$A$2:$A$60=Q$1)*Rules!$C$2:$C$60*ISNUMBER(SEARCH(Rules!$E$2:$E$60,$D632)))</f>
        <v>0</v>
      </c>
      <c r="R632" s="0" t="str">
        <f aca="false">IF(OR(MAX(L632:Q632)&lt;Rules!$H$1,MAX(L632:Q632)-LARGE(L632:Q632,2)&lt;Rules!$H$2),"No label",INDEX($L$1:$Q$1,MATCH(MAX(L632:Q632),L632:Q632,0)))</f>
        <v>Fees &amp; Charges</v>
      </c>
      <c r="S632" s="0" t="n">
        <f aca="false">SUMPRODUCT(ISNUMBER(SEARCH(" "&amp;Terms!$A$3:$A$821&amp;" ",$D632))*Terms!B$3:B$821)+Terms!B$2</f>
        <v>-2.20883972054193</v>
      </c>
      <c r="T632" s="0" t="n">
        <f aca="false">SUMPRODUCT(ISNUMBER(SEARCH(" "&amp;Terms!$A$3:$A$821&amp;" ",$D632))*Terms!C$3:C$821)+Terms!C$2</f>
        <v>-0.930211428880256</v>
      </c>
      <c r="U632" s="0" t="n">
        <f aca="false">SUMPRODUCT(ISNUMBER(SEARCH(" "&amp;Terms!$A$3:$A$821&amp;" ",$D632))*Terms!D$3:D$821)+Terms!D$2</f>
        <v>-1.42896219559025</v>
      </c>
      <c r="V632" s="0" t="n">
        <f aca="false">SUMPRODUCT(ISNUMBER(SEARCH(" "&amp;Terms!$A$3:$A$821&amp;" ",$D632))*Terms!E$3:E$821)+Terms!E$2</f>
        <v>8.85864002015095</v>
      </c>
      <c r="W632" s="0" t="n">
        <f aca="false">SUMPRODUCT(ISNUMBER(SEARCH(" "&amp;Terms!$A$3:$A$821&amp;" ",$D632))*Terms!F$3:F$821)+Terms!F$2</f>
        <v>-1.49247880475356</v>
      </c>
      <c r="X632" s="0" t="n">
        <f aca="false">SUMPRODUCT(ISNUMBER(SEARCH(" "&amp;Terms!$A$3:$A$821&amp;" ",$D632))*Terms!G$3:G$821)+Terms!G$2</f>
        <v>-2.79814787038487</v>
      </c>
      <c r="Y632" s="0" t="str">
        <f aca="false">INDEX($S$1:$X$1,MATCH(MAX(S632:X632),S632:X632,0))</f>
        <v>Fees &amp; Charges</v>
      </c>
      <c r="Z632" s="0" t="s">
        <v>2608</v>
      </c>
    </row>
    <row r="633" customFormat="false" ht="15" hidden="false" customHeight="false" outlineLevel="0" collapsed="false">
      <c r="A633" s="0" t="str">
        <f aca="false">Complaints!A633</f>
        <v>C0632</v>
      </c>
      <c r="B633" s="0" t="str">
        <f aca="false">Complaints!B633</f>
        <v>A fake text message led me to a website and my money disappeared. I would like a response in writing.</v>
      </c>
      <c r="C633" s="0" t="str">
        <f aca="false">Complaints!C633</f>
        <v>Fraud &amp; Scams</v>
      </c>
      <c r="D633" s="0" t="str">
        <f aca="false">" "&amp;TRIM(SUBSTITUTE(SUBSTITUTE(SUBSTITUTE(SUBSTITUTE(SUBSTITUTE(SUBSTITUTE(SUBSTITUTE(SUBSTITUTE(SUBSTITUTE(SUBSTITUTE(SUBSTITUTE(SUBSTITUTE(SUBSTITUTE(SUBSTITUTE(SUBSTITUTE(SUBSTITUTE(LOWER(B633),"."," "),","," "),"'"," "),"’"," "),"!"," "),"?"," "),";"," "),":"," "),"-"," "),"("," "),")"," "),"""", " "),"£"," "),"&amp;"," "),"/"," "),"%"," "))&amp;" "</f>
        <v> a fake text message led me to a website and my money disappeared i would like a response in writing </v>
      </c>
      <c r="E633" s="0" t="n">
        <f aca="false">SUMPRODUCT((Rules!$A$2:$A$60=E$1)*Rules!$C$2:$C$60*ISNUMBER(SEARCH(Rules!$D$2:$D$60,$D633)))</f>
        <v>2</v>
      </c>
      <c r="F633" s="0" t="n">
        <f aca="false">SUMPRODUCT((Rules!$A$2:$A$60=F$1)*Rules!$C$2:$C$60*ISNUMBER(SEARCH(Rules!$D$2:$D$60,$D633)))</f>
        <v>0</v>
      </c>
      <c r="G633" s="0" t="n">
        <f aca="false">SUMPRODUCT((Rules!$A$2:$A$60=G$1)*Rules!$C$2:$C$60*ISNUMBER(SEARCH(Rules!$D$2:$D$60,$D633)))</f>
        <v>0</v>
      </c>
      <c r="H633" s="0" t="n">
        <f aca="false">SUMPRODUCT((Rules!$A$2:$A$60=H$1)*Rules!$C$2:$C$60*ISNUMBER(SEARCH(Rules!$D$2:$D$60,$D633)))</f>
        <v>0</v>
      </c>
      <c r="I633" s="0" t="n">
        <f aca="false">SUMPRODUCT((Rules!$A$2:$A$60=I$1)*Rules!$C$2:$C$60*ISNUMBER(SEARCH(Rules!$D$2:$D$60,$D633)))</f>
        <v>0</v>
      </c>
      <c r="J633" s="0" t="n">
        <f aca="false">SUMPRODUCT((Rules!$A$2:$A$60=J$1)*Rules!$C$2:$C$60*ISNUMBER(SEARCH(Rules!$D$2:$D$60,$D633)))</f>
        <v>0</v>
      </c>
      <c r="K633" s="0" t="str">
        <f aca="false">IF(OR(MAX(E633:J633)&lt;Rules!$H$1,MAX(E633:J633)-LARGE(E633:J633,2)&lt;Rules!$H$2),"No label",INDEX($E$1:$J$1,MATCH(MAX(E633:J633),E633:J633,0)))</f>
        <v>No label</v>
      </c>
      <c r="L633" s="0" t="n">
        <f aca="false">SUMPRODUCT((Rules!$A$2:$A$60=L$1)*Rules!$C$2:$C$60*ISNUMBER(SEARCH(Rules!$E$2:$E$60,$D633)))</f>
        <v>2</v>
      </c>
      <c r="M633" s="0" t="n">
        <f aca="false">SUMPRODUCT((Rules!$A$2:$A$60=M$1)*Rules!$C$2:$C$60*ISNUMBER(SEARCH(Rules!$E$2:$E$60,$D633)))</f>
        <v>0</v>
      </c>
      <c r="N633" s="0" t="n">
        <f aca="false">SUMPRODUCT((Rules!$A$2:$A$60=N$1)*Rules!$C$2:$C$60*ISNUMBER(SEARCH(Rules!$E$2:$E$60,$D633)))</f>
        <v>0</v>
      </c>
      <c r="O633" s="0" t="n">
        <f aca="false">SUMPRODUCT((Rules!$A$2:$A$60=O$1)*Rules!$C$2:$C$60*ISNUMBER(SEARCH(Rules!$E$2:$E$60,$D633)))</f>
        <v>0</v>
      </c>
      <c r="P633" s="0" t="n">
        <f aca="false">SUMPRODUCT((Rules!$A$2:$A$60=P$1)*Rules!$C$2:$C$60*ISNUMBER(SEARCH(Rules!$E$2:$E$60,$D633)))</f>
        <v>0</v>
      </c>
      <c r="Q633" s="0" t="n">
        <f aca="false">SUMPRODUCT((Rules!$A$2:$A$60=Q$1)*Rules!$C$2:$C$60*ISNUMBER(SEARCH(Rules!$E$2:$E$60,$D633)))</f>
        <v>0</v>
      </c>
      <c r="R633" s="0" t="str">
        <f aca="false">IF(OR(MAX(L633:Q633)&lt;Rules!$H$1,MAX(L633:Q633)-LARGE(L633:Q633,2)&lt;Rules!$H$2),"No label",INDEX($L$1:$Q$1,MATCH(MAX(L633:Q633),L633:Q633,0)))</f>
        <v>No label</v>
      </c>
      <c r="S633" s="0" t="n">
        <f aca="false">SUMPRODUCT(ISNUMBER(SEARCH(" "&amp;Terms!$A$3:$A$821&amp;" ",$D633))*Terms!B$3:B$821)+Terms!B$2</f>
        <v>0.560332875739351</v>
      </c>
      <c r="T633" s="0" t="n">
        <f aca="false">SUMPRODUCT(ISNUMBER(SEARCH(" "&amp;Terms!$A$3:$A$821&amp;" ",$D633))*Terms!C$3:C$821)+Terms!C$2</f>
        <v>-3.20732277459501</v>
      </c>
      <c r="U633" s="0" t="n">
        <f aca="false">SUMPRODUCT(ISNUMBER(SEARCH(" "&amp;Terms!$A$3:$A$821&amp;" ",$D633))*Terms!D$3:D$821)+Terms!D$2</f>
        <v>-1.74257544171515</v>
      </c>
      <c r="V633" s="0" t="n">
        <f aca="false">SUMPRODUCT(ISNUMBER(SEARCH(" "&amp;Terms!$A$3:$A$821&amp;" ",$D633))*Terms!E$3:E$821)+Terms!E$2</f>
        <v>-7.0992710768009</v>
      </c>
      <c r="W633" s="0" t="n">
        <f aca="false">SUMPRODUCT(ISNUMBER(SEARCH(" "&amp;Terms!$A$3:$A$821&amp;" ",$D633))*Terms!F$3:F$821)+Terms!F$2</f>
        <v>9.5357292531488</v>
      </c>
      <c r="X633" s="0" t="n">
        <f aca="false">SUMPRODUCT(ISNUMBER(SEARCH(" "&amp;Terms!$A$3:$A$821&amp;" ",$D633))*Terms!G$3:G$821)+Terms!G$2</f>
        <v>1.95310716422299</v>
      </c>
      <c r="Y633" s="0" t="str">
        <f aca="false">INDEX($S$1:$X$1,MATCH(MAX(S633:X633),S633:X633,0))</f>
        <v>Fraud &amp; Scams</v>
      </c>
      <c r="Z633" s="0" t="s">
        <v>2607</v>
      </c>
    </row>
    <row r="634" customFormat="false" ht="15" hidden="false" customHeight="false" outlineLevel="0" collapsed="false">
      <c r="A634" s="0" t="str">
        <f aca="false">Complaints!A634</f>
        <v>C0633</v>
      </c>
      <c r="B634" s="0" t="str">
        <f aca="false">Complaints!B634</f>
        <v>I am writing to complain. The webchat agent ended the conversation without solving anything. I want this put right.</v>
      </c>
      <c r="C634" s="0" t="str">
        <f aca="false">Complaints!C634</f>
        <v>Customer Service</v>
      </c>
      <c r="D634" s="0" t="str">
        <f aca="false">" "&amp;TRIM(SUBSTITUTE(SUBSTITUTE(SUBSTITUTE(SUBSTITUTE(SUBSTITUTE(SUBSTITUTE(SUBSTITUTE(SUBSTITUTE(SUBSTITUTE(SUBSTITUTE(SUBSTITUTE(SUBSTITUTE(SUBSTITUTE(SUBSTITUTE(SUBSTITUTE(SUBSTITUTE(LOWER(B634),"."," "),","," "),"'"," "),"’"," "),"!"," "),"?"," "),";"," "),":"," "),"-"," "),"("," "),")"," "),"""", " "),"£"," "),"&amp;"," "),"/"," "),"%"," "))&amp;" "</f>
        <v> i am writing to complain the webchat agent ended the conversation without solving anything i want this put right </v>
      </c>
      <c r="E634" s="0" t="n">
        <f aca="false">SUMPRODUCT((Rules!$A$2:$A$60=E$1)*Rules!$C$2:$C$60*ISNUMBER(SEARCH(Rules!$D$2:$D$60,$D634)))</f>
        <v>0</v>
      </c>
      <c r="F634" s="0" t="n">
        <f aca="false">SUMPRODUCT((Rules!$A$2:$A$60=F$1)*Rules!$C$2:$C$60*ISNUMBER(SEARCH(Rules!$D$2:$D$60,$D634)))</f>
        <v>0</v>
      </c>
      <c r="G634" s="0" t="n">
        <f aca="false">SUMPRODUCT((Rules!$A$2:$A$60=G$1)*Rules!$C$2:$C$60*ISNUMBER(SEARCH(Rules!$D$2:$D$60,$D634)))</f>
        <v>0</v>
      </c>
      <c r="H634" s="0" t="n">
        <f aca="false">SUMPRODUCT((Rules!$A$2:$A$60=H$1)*Rules!$C$2:$C$60*ISNUMBER(SEARCH(Rules!$D$2:$D$60,$D634)))</f>
        <v>0</v>
      </c>
      <c r="I634" s="0" t="n">
        <f aca="false">SUMPRODUCT((Rules!$A$2:$A$60=I$1)*Rules!$C$2:$C$60*ISNUMBER(SEARCH(Rules!$D$2:$D$60,$D634)))</f>
        <v>0</v>
      </c>
      <c r="J634" s="0" t="n">
        <f aca="false">SUMPRODUCT((Rules!$A$2:$A$60=J$1)*Rules!$C$2:$C$60*ISNUMBER(SEARCH(Rules!$D$2:$D$60,$D634)))</f>
        <v>2</v>
      </c>
      <c r="K634" s="0" t="str">
        <f aca="false">IF(OR(MAX(E634:J634)&lt;Rules!$H$1,MAX(E634:J634)-LARGE(E634:J634,2)&lt;Rules!$H$2),"No label",INDEX($E$1:$J$1,MATCH(MAX(E634:J634),E634:J634,0)))</f>
        <v>No label</v>
      </c>
      <c r="L634" s="0" t="n">
        <f aca="false">SUMPRODUCT((Rules!$A$2:$A$60=L$1)*Rules!$C$2:$C$60*ISNUMBER(SEARCH(Rules!$E$2:$E$60,$D634)))</f>
        <v>0</v>
      </c>
      <c r="M634" s="0" t="n">
        <f aca="false">SUMPRODUCT((Rules!$A$2:$A$60=M$1)*Rules!$C$2:$C$60*ISNUMBER(SEARCH(Rules!$E$2:$E$60,$D634)))</f>
        <v>0</v>
      </c>
      <c r="N634" s="0" t="n">
        <f aca="false">SUMPRODUCT((Rules!$A$2:$A$60=N$1)*Rules!$C$2:$C$60*ISNUMBER(SEARCH(Rules!$E$2:$E$60,$D634)))</f>
        <v>0</v>
      </c>
      <c r="O634" s="0" t="n">
        <f aca="false">SUMPRODUCT((Rules!$A$2:$A$60=O$1)*Rules!$C$2:$C$60*ISNUMBER(SEARCH(Rules!$E$2:$E$60,$D634)))</f>
        <v>0</v>
      </c>
      <c r="P634" s="0" t="n">
        <f aca="false">SUMPRODUCT((Rules!$A$2:$A$60=P$1)*Rules!$C$2:$C$60*ISNUMBER(SEARCH(Rules!$E$2:$E$60,$D634)))</f>
        <v>0</v>
      </c>
      <c r="Q634" s="0" t="n">
        <f aca="false">SUMPRODUCT((Rules!$A$2:$A$60=Q$1)*Rules!$C$2:$C$60*ISNUMBER(SEARCH(Rules!$E$2:$E$60,$D634)))</f>
        <v>2</v>
      </c>
      <c r="R634" s="0" t="str">
        <f aca="false">IF(OR(MAX(L634:Q634)&lt;Rules!$H$1,MAX(L634:Q634)-LARGE(L634:Q634,2)&lt;Rules!$H$2),"No label",INDEX($L$1:$Q$1,MATCH(MAX(L634:Q634),L634:Q634,0)))</f>
        <v>No label</v>
      </c>
      <c r="S634" s="0" t="n">
        <f aca="false">SUMPRODUCT(ISNUMBER(SEARCH(" "&amp;Terms!$A$3:$A$821&amp;" ",$D634))*Terms!B$3:B$821)+Terms!B$2</f>
        <v>-2.49311686371125</v>
      </c>
      <c r="T634" s="0" t="n">
        <f aca="false">SUMPRODUCT(ISNUMBER(SEARCH(" "&amp;Terms!$A$3:$A$821&amp;" ",$D634))*Terms!C$3:C$821)+Terms!C$2</f>
        <v>8.77280750633207</v>
      </c>
      <c r="U634" s="0" t="n">
        <f aca="false">SUMPRODUCT(ISNUMBER(SEARCH(" "&amp;Terms!$A$3:$A$821&amp;" ",$D634))*Terms!D$3:D$821)+Terms!D$2</f>
        <v>-1.54004146161562</v>
      </c>
      <c r="V634" s="0" t="n">
        <f aca="false">SUMPRODUCT(ISNUMBER(SEARCH(" "&amp;Terms!$A$3:$A$821&amp;" ",$D634))*Terms!E$3:E$821)+Terms!E$2</f>
        <v>-2.23572586119861</v>
      </c>
      <c r="W634" s="0" t="n">
        <f aca="false">SUMPRODUCT(ISNUMBER(SEARCH(" "&amp;Terms!$A$3:$A$821&amp;" ",$D634))*Terms!F$3:F$821)+Terms!F$2</f>
        <v>-0.511683346746287</v>
      </c>
      <c r="X634" s="0" t="n">
        <f aca="false">SUMPRODUCT(ISNUMBER(SEARCH(" "&amp;Terms!$A$3:$A$821&amp;" ",$D634))*Terms!G$3:G$821)+Terms!G$2</f>
        <v>-1.9922399730602</v>
      </c>
      <c r="Y634" s="0" t="str">
        <f aca="false">INDEX($S$1:$X$1,MATCH(MAX(S634:X634),S634:X634,0))</f>
        <v>Customer Service</v>
      </c>
      <c r="Z634" s="0" t="s">
        <v>2607</v>
      </c>
    </row>
    <row r="635" customFormat="false" ht="15" hidden="false" customHeight="false" outlineLevel="0" collapsed="false">
      <c r="A635" s="0" t="str">
        <f aca="false">Complaints!A635</f>
        <v>C0634</v>
      </c>
      <c r="B635" s="0" t="str">
        <f aca="false">Complaints!B635</f>
        <v>The paperwork was submitted a month ago and I am still waiting. There was also a fee involved. This is not acceptable.</v>
      </c>
      <c r="C635" s="0" t="str">
        <f aca="false">Complaints!C635</f>
        <v>Delays &amp; Processing</v>
      </c>
      <c r="D635" s="0" t="str">
        <f aca="false">" "&amp;TRIM(SUBSTITUTE(SUBSTITUTE(SUBSTITUTE(SUBSTITUTE(SUBSTITUTE(SUBSTITUTE(SUBSTITUTE(SUBSTITUTE(SUBSTITUTE(SUBSTITUTE(SUBSTITUTE(SUBSTITUTE(SUBSTITUTE(SUBSTITUTE(SUBSTITUTE(SUBSTITUTE(LOWER(B635),"."," "),","," "),"'"," "),"’"," "),"!"," "),"?"," "),";"," "),":"," "),"-"," "),"("," "),")"," "),"""", " "),"£"," "),"&amp;"," "),"/"," "),"%"," "))&amp;" "</f>
        <v> the paperwork was submitted a month ago and i am still waiting there was also a fee involved this is not acceptable </v>
      </c>
      <c r="E635" s="0" t="n">
        <f aca="false">SUMPRODUCT((Rules!$A$2:$A$60=E$1)*Rules!$C$2:$C$60*ISNUMBER(SEARCH(Rules!$D$2:$D$60,$D635)))</f>
        <v>0</v>
      </c>
      <c r="F635" s="0" t="n">
        <f aca="false">SUMPRODUCT((Rules!$A$2:$A$60=F$1)*Rules!$C$2:$C$60*ISNUMBER(SEARCH(Rules!$D$2:$D$60,$D635)))</f>
        <v>0</v>
      </c>
      <c r="G635" s="0" t="n">
        <f aca="false">SUMPRODUCT((Rules!$A$2:$A$60=G$1)*Rules!$C$2:$C$60*ISNUMBER(SEARCH(Rules!$D$2:$D$60,$D635)))</f>
        <v>0</v>
      </c>
      <c r="H635" s="0" t="n">
        <f aca="false">SUMPRODUCT((Rules!$A$2:$A$60=H$1)*Rules!$C$2:$C$60*ISNUMBER(SEARCH(Rules!$D$2:$D$60,$D635)))</f>
        <v>2</v>
      </c>
      <c r="I635" s="0" t="n">
        <f aca="false">SUMPRODUCT((Rules!$A$2:$A$60=I$1)*Rules!$C$2:$C$60*ISNUMBER(SEARCH(Rules!$D$2:$D$60,$D635)))</f>
        <v>2</v>
      </c>
      <c r="J635" s="0" t="n">
        <f aca="false">SUMPRODUCT((Rules!$A$2:$A$60=J$1)*Rules!$C$2:$C$60*ISNUMBER(SEARCH(Rules!$D$2:$D$60,$D635)))</f>
        <v>0</v>
      </c>
      <c r="K635" s="0" t="str">
        <f aca="false">IF(OR(MAX(E635:J635)&lt;Rules!$H$1,MAX(E635:J635)-LARGE(E635:J635,2)&lt;Rules!$H$2),"No label",INDEX($E$1:$J$1,MATCH(MAX(E635:J635),E635:J635,0)))</f>
        <v>No label</v>
      </c>
      <c r="L635" s="0" t="n">
        <f aca="false">SUMPRODUCT((Rules!$A$2:$A$60=L$1)*Rules!$C$2:$C$60*ISNUMBER(SEARCH(Rules!$E$2:$E$60,$D635)))</f>
        <v>0</v>
      </c>
      <c r="M635" s="0" t="n">
        <f aca="false">SUMPRODUCT((Rules!$A$2:$A$60=M$1)*Rules!$C$2:$C$60*ISNUMBER(SEARCH(Rules!$E$2:$E$60,$D635)))</f>
        <v>0</v>
      </c>
      <c r="N635" s="0" t="n">
        <f aca="false">SUMPRODUCT((Rules!$A$2:$A$60=N$1)*Rules!$C$2:$C$60*ISNUMBER(SEARCH(Rules!$E$2:$E$60,$D635)))</f>
        <v>1</v>
      </c>
      <c r="O635" s="0" t="n">
        <f aca="false">SUMPRODUCT((Rules!$A$2:$A$60=O$1)*Rules!$C$2:$C$60*ISNUMBER(SEARCH(Rules!$E$2:$E$60,$D635)))</f>
        <v>2</v>
      </c>
      <c r="P635" s="0" t="n">
        <f aca="false">SUMPRODUCT((Rules!$A$2:$A$60=P$1)*Rules!$C$2:$C$60*ISNUMBER(SEARCH(Rules!$E$2:$E$60,$D635)))</f>
        <v>2</v>
      </c>
      <c r="Q635" s="0" t="n">
        <f aca="false">SUMPRODUCT((Rules!$A$2:$A$60=Q$1)*Rules!$C$2:$C$60*ISNUMBER(SEARCH(Rules!$E$2:$E$60,$D635)))</f>
        <v>0</v>
      </c>
      <c r="R635" s="0" t="str">
        <f aca="false">IF(OR(MAX(L635:Q635)&lt;Rules!$H$1,MAX(L635:Q635)-LARGE(L635:Q635,2)&lt;Rules!$H$2),"No label",INDEX($L$1:$Q$1,MATCH(MAX(L635:Q635),L635:Q635,0)))</f>
        <v>No label</v>
      </c>
      <c r="S635" s="0" t="n">
        <f aca="false">SUMPRODUCT(ISNUMBER(SEARCH(" "&amp;Terms!$A$3:$A$821&amp;" ",$D635))*Terms!B$3:B$821)+Terms!B$2</f>
        <v>1.12633654305757</v>
      </c>
      <c r="T635" s="0" t="n">
        <f aca="false">SUMPRODUCT(ISNUMBER(SEARCH(" "&amp;Terms!$A$3:$A$821&amp;" ",$D635))*Terms!C$3:C$821)+Terms!C$2</f>
        <v>-3.61503090876226</v>
      </c>
      <c r="U635" s="0" t="n">
        <f aca="false">SUMPRODUCT(ISNUMBER(SEARCH(" "&amp;Terms!$A$3:$A$821&amp;" ",$D635))*Terms!D$3:D$821)+Terms!D$2</f>
        <v>7.02673535074493</v>
      </c>
      <c r="V635" s="0" t="n">
        <f aca="false">SUMPRODUCT(ISNUMBER(SEARCH(" "&amp;Terms!$A$3:$A$821&amp;" ",$D635))*Terms!E$3:E$821)+Terms!E$2</f>
        <v>0.532909737864714</v>
      </c>
      <c r="W635" s="0" t="n">
        <f aca="false">SUMPRODUCT(ISNUMBER(SEARCH(" "&amp;Terms!$A$3:$A$821&amp;" ",$D635))*Terms!F$3:F$821)+Terms!F$2</f>
        <v>-3.64880899166088</v>
      </c>
      <c r="X635" s="0" t="n">
        <f aca="false">SUMPRODUCT(ISNUMBER(SEARCH(" "&amp;Terms!$A$3:$A$821&amp;" ",$D635))*Terms!G$3:G$821)+Terms!G$2</f>
        <v>-1.42214173124398</v>
      </c>
      <c r="Y635" s="0" t="str">
        <f aca="false">INDEX($S$1:$X$1,MATCH(MAX(S635:X635),S635:X635,0))</f>
        <v>Delays &amp; Processing</v>
      </c>
      <c r="Z635" s="0" t="s">
        <v>2607</v>
      </c>
    </row>
    <row r="636" customFormat="false" ht="15" hidden="false" customHeight="false" outlineLevel="0" collapsed="false">
      <c r="A636" s="0" t="str">
        <f aca="false">Complaints!A636</f>
        <v>C0635</v>
      </c>
      <c r="B636" s="0" t="str">
        <f aca="false">Complaints!B636</f>
        <v>I was tricked into moving savings to a safe account that was not safe. I do not think it was explained properly when I bought it.</v>
      </c>
      <c r="C636" s="0" t="str">
        <f aca="false">Complaints!C636</f>
        <v>Fraud &amp; Scams</v>
      </c>
      <c r="D636" s="0" t="str">
        <f aca="false">" "&amp;TRIM(SUBSTITUTE(SUBSTITUTE(SUBSTITUTE(SUBSTITUTE(SUBSTITUTE(SUBSTITUTE(SUBSTITUTE(SUBSTITUTE(SUBSTITUTE(SUBSTITUTE(SUBSTITUTE(SUBSTITUTE(SUBSTITUTE(SUBSTITUTE(SUBSTITUTE(SUBSTITUTE(LOWER(B636),"."," "),","," "),"'"," "),"’"," "),"!"," "),"?"," "),";"," "),":"," "),"-"," "),"("," "),")"," "),"""", " "),"£"," "),"&amp;"," "),"/"," "),"%"," "))&amp;" "</f>
        <v> i was tricked into moving savings to a safe account that was not safe i do not think it was explained properly when i bought it </v>
      </c>
      <c r="E636" s="0" t="n">
        <f aca="false">SUMPRODUCT((Rules!$A$2:$A$60=E$1)*Rules!$C$2:$C$60*ISNUMBER(SEARCH(Rules!$D$2:$D$60,$D636)))</f>
        <v>2</v>
      </c>
      <c r="F636" s="0" t="n">
        <f aca="false">SUMPRODUCT((Rules!$A$2:$A$60=F$1)*Rules!$C$2:$C$60*ISNUMBER(SEARCH(Rules!$D$2:$D$60,$D636)))</f>
        <v>0</v>
      </c>
      <c r="G636" s="0" t="n">
        <f aca="false">SUMPRODUCT((Rules!$A$2:$A$60=G$1)*Rules!$C$2:$C$60*ISNUMBER(SEARCH(Rules!$D$2:$D$60,$D636)))</f>
        <v>0</v>
      </c>
      <c r="H636" s="0" t="n">
        <f aca="false">SUMPRODUCT((Rules!$A$2:$A$60=H$1)*Rules!$C$2:$C$60*ISNUMBER(SEARCH(Rules!$D$2:$D$60,$D636)))</f>
        <v>0</v>
      </c>
      <c r="I636" s="0" t="n">
        <f aca="false">SUMPRODUCT((Rules!$A$2:$A$60=I$1)*Rules!$C$2:$C$60*ISNUMBER(SEARCH(Rules!$D$2:$D$60,$D636)))</f>
        <v>0</v>
      </c>
      <c r="J636" s="0" t="n">
        <f aca="false">SUMPRODUCT((Rules!$A$2:$A$60=J$1)*Rules!$C$2:$C$60*ISNUMBER(SEARCH(Rules!$D$2:$D$60,$D636)))</f>
        <v>0</v>
      </c>
      <c r="K636" s="0" t="str">
        <f aca="false">IF(OR(MAX(E636:J636)&lt;Rules!$H$1,MAX(E636:J636)-LARGE(E636:J636,2)&lt;Rules!$H$2),"No label",INDEX($E$1:$J$1,MATCH(MAX(E636:J636),E636:J636,0)))</f>
        <v>No label</v>
      </c>
      <c r="L636" s="0" t="n">
        <f aca="false">SUMPRODUCT((Rules!$A$2:$A$60=L$1)*Rules!$C$2:$C$60*ISNUMBER(SEARCH(Rules!$E$2:$E$60,$D636)))</f>
        <v>2</v>
      </c>
      <c r="M636" s="0" t="n">
        <f aca="false">SUMPRODUCT((Rules!$A$2:$A$60=M$1)*Rules!$C$2:$C$60*ISNUMBER(SEARCH(Rules!$E$2:$E$60,$D636)))</f>
        <v>0</v>
      </c>
      <c r="N636" s="0" t="n">
        <f aca="false">SUMPRODUCT((Rules!$A$2:$A$60=N$1)*Rules!$C$2:$C$60*ISNUMBER(SEARCH(Rules!$E$2:$E$60,$D636)))</f>
        <v>0</v>
      </c>
      <c r="O636" s="0" t="n">
        <f aca="false">SUMPRODUCT((Rules!$A$2:$A$60=O$1)*Rules!$C$2:$C$60*ISNUMBER(SEARCH(Rules!$E$2:$E$60,$D636)))</f>
        <v>0</v>
      </c>
      <c r="P636" s="0" t="n">
        <f aca="false">SUMPRODUCT((Rules!$A$2:$A$60=P$1)*Rules!$C$2:$C$60*ISNUMBER(SEARCH(Rules!$E$2:$E$60,$D636)))</f>
        <v>0</v>
      </c>
      <c r="Q636" s="0" t="n">
        <f aca="false">SUMPRODUCT((Rules!$A$2:$A$60=Q$1)*Rules!$C$2:$C$60*ISNUMBER(SEARCH(Rules!$E$2:$E$60,$D636)))</f>
        <v>0</v>
      </c>
      <c r="R636" s="0" t="str">
        <f aca="false">IF(OR(MAX(L636:Q636)&lt;Rules!$H$1,MAX(L636:Q636)-LARGE(L636:Q636,2)&lt;Rules!$H$2),"No label",INDEX($L$1:$Q$1,MATCH(MAX(L636:Q636),L636:Q636,0)))</f>
        <v>No label</v>
      </c>
      <c r="S636" s="0" t="n">
        <f aca="false">SUMPRODUCT(ISNUMBER(SEARCH(" "&amp;Terms!$A$3:$A$821&amp;" ",$D636))*Terms!B$3:B$821)+Terms!B$2</f>
        <v>-1.59338780405838</v>
      </c>
      <c r="T636" s="0" t="n">
        <f aca="false">SUMPRODUCT(ISNUMBER(SEARCH(" "&amp;Terms!$A$3:$A$821&amp;" ",$D636))*Terms!C$3:C$821)+Terms!C$2</f>
        <v>-5.80759758214512</v>
      </c>
      <c r="U636" s="0" t="n">
        <f aca="false">SUMPRODUCT(ISNUMBER(SEARCH(" "&amp;Terms!$A$3:$A$821&amp;" ",$D636))*Terms!D$3:D$821)+Terms!D$2</f>
        <v>1.35711804885327</v>
      </c>
      <c r="V636" s="0" t="n">
        <f aca="false">SUMPRODUCT(ISNUMBER(SEARCH(" "&amp;Terms!$A$3:$A$821&amp;" ",$D636))*Terms!E$3:E$821)+Terms!E$2</f>
        <v>1.17868558962514</v>
      </c>
      <c r="W636" s="0" t="n">
        <f aca="false">SUMPRODUCT(ISNUMBER(SEARCH(" "&amp;Terms!$A$3:$A$821&amp;" ",$D636))*Terms!F$3:F$821)+Terms!F$2</f>
        <v>11.5136689354883</v>
      </c>
      <c r="X636" s="0" t="n">
        <f aca="false">SUMPRODUCT(ISNUMBER(SEARCH(" "&amp;Terms!$A$3:$A$821&amp;" ",$D636))*Terms!G$3:G$821)+Terms!G$2</f>
        <v>-6.64848718776309</v>
      </c>
      <c r="Y636" s="0" t="str">
        <f aca="false">INDEX($S$1:$X$1,MATCH(MAX(S636:X636),S636:X636,0))</f>
        <v>Fraud &amp; Scams</v>
      </c>
      <c r="Z636" s="0" t="s">
        <v>2607</v>
      </c>
    </row>
    <row r="637" customFormat="false" ht="15" hidden="false" customHeight="false" outlineLevel="0" collapsed="false">
      <c r="A637" s="0" t="str">
        <f aca="false">Complaints!A637</f>
        <v>C0636</v>
      </c>
      <c r="B637" s="0" t="str">
        <f aca="false">Complaints!B637</f>
        <v>To whom it may concern, The direct debit setup was delayed and I missed a bill because of it. I also spent ages on hold when I called about it.</v>
      </c>
      <c r="C637" s="0" t="str">
        <f aca="false">Complaints!C637</f>
        <v>Delays &amp; Processing</v>
      </c>
      <c r="D637" s="0" t="str">
        <f aca="false">" "&amp;TRIM(SUBSTITUTE(SUBSTITUTE(SUBSTITUTE(SUBSTITUTE(SUBSTITUTE(SUBSTITUTE(SUBSTITUTE(SUBSTITUTE(SUBSTITUTE(SUBSTITUTE(SUBSTITUTE(SUBSTITUTE(SUBSTITUTE(SUBSTITUTE(SUBSTITUTE(SUBSTITUTE(LOWER(B637),"."," "),","," "),"'"," "),"’"," "),"!"," "),"?"," "),";"," "),":"," "),"-"," "),"("," "),")"," "),"""", " "),"£"," "),"&amp;"," "),"/"," "),"%"," "))&amp;" "</f>
        <v> to whom it may concern the direct debit setup was delayed and i missed a bill because of it i also spent ages on hold when i called about it </v>
      </c>
      <c r="E637" s="0" t="n">
        <f aca="false">SUMPRODUCT((Rules!$A$2:$A$60=E$1)*Rules!$C$2:$C$60*ISNUMBER(SEARCH(Rules!$D$2:$D$60,$D637)))</f>
        <v>0</v>
      </c>
      <c r="F637" s="0" t="n">
        <f aca="false">SUMPRODUCT((Rules!$A$2:$A$60=F$1)*Rules!$C$2:$C$60*ISNUMBER(SEARCH(Rules!$D$2:$D$60,$D637)))</f>
        <v>0</v>
      </c>
      <c r="G637" s="0" t="n">
        <f aca="false">SUMPRODUCT((Rules!$A$2:$A$60=G$1)*Rules!$C$2:$C$60*ISNUMBER(SEARCH(Rules!$D$2:$D$60,$D637)))</f>
        <v>0</v>
      </c>
      <c r="H637" s="0" t="n">
        <f aca="false">SUMPRODUCT((Rules!$A$2:$A$60=H$1)*Rules!$C$2:$C$60*ISNUMBER(SEARCH(Rules!$D$2:$D$60,$D637)))</f>
        <v>0</v>
      </c>
      <c r="I637" s="0" t="n">
        <f aca="false">SUMPRODUCT((Rules!$A$2:$A$60=I$1)*Rules!$C$2:$C$60*ISNUMBER(SEARCH(Rules!$D$2:$D$60,$D637)))</f>
        <v>2</v>
      </c>
      <c r="J637" s="0" t="n">
        <f aca="false">SUMPRODUCT((Rules!$A$2:$A$60=J$1)*Rules!$C$2:$C$60*ISNUMBER(SEARCH(Rules!$D$2:$D$60,$D637)))</f>
        <v>3</v>
      </c>
      <c r="K637" s="0" t="str">
        <f aca="false">IF(OR(MAX(E637:J637)&lt;Rules!$H$1,MAX(E637:J637)-LARGE(E637:J637,2)&lt;Rules!$H$2),"No label",INDEX($E$1:$J$1,MATCH(MAX(E637:J637),E637:J637,0)))</f>
        <v>No label</v>
      </c>
      <c r="L637" s="0" t="n">
        <f aca="false">SUMPRODUCT((Rules!$A$2:$A$60=L$1)*Rules!$C$2:$C$60*ISNUMBER(SEARCH(Rules!$E$2:$E$60,$D637)))</f>
        <v>0</v>
      </c>
      <c r="M637" s="0" t="n">
        <f aca="false">SUMPRODUCT((Rules!$A$2:$A$60=M$1)*Rules!$C$2:$C$60*ISNUMBER(SEARCH(Rules!$E$2:$E$60,$D637)))</f>
        <v>0</v>
      </c>
      <c r="N637" s="0" t="n">
        <f aca="false">SUMPRODUCT((Rules!$A$2:$A$60=N$1)*Rules!$C$2:$C$60*ISNUMBER(SEARCH(Rules!$E$2:$E$60,$D637)))</f>
        <v>0</v>
      </c>
      <c r="O637" s="0" t="n">
        <f aca="false">SUMPRODUCT((Rules!$A$2:$A$60=O$1)*Rules!$C$2:$C$60*ISNUMBER(SEARCH(Rules!$E$2:$E$60,$D637)))</f>
        <v>2</v>
      </c>
      <c r="P637" s="0" t="n">
        <f aca="false">SUMPRODUCT((Rules!$A$2:$A$60=P$1)*Rules!$C$2:$C$60*ISNUMBER(SEARCH(Rules!$E$2:$E$60,$D637)))</f>
        <v>2</v>
      </c>
      <c r="Q637" s="0" t="n">
        <f aca="false">SUMPRODUCT((Rules!$A$2:$A$60=Q$1)*Rules!$C$2:$C$60*ISNUMBER(SEARCH(Rules!$E$2:$E$60,$D637)))</f>
        <v>3</v>
      </c>
      <c r="R637" s="0" t="str">
        <f aca="false">IF(OR(MAX(L637:Q637)&lt;Rules!$H$1,MAX(L637:Q637)-LARGE(L637:Q637,2)&lt;Rules!$H$2),"No label",INDEX($L$1:$Q$1,MATCH(MAX(L637:Q637),L637:Q637,0)))</f>
        <v>No label</v>
      </c>
      <c r="S637" s="0" t="n">
        <f aca="false">SUMPRODUCT(ISNUMBER(SEARCH(" "&amp;Terms!$A$3:$A$821&amp;" ",$D637))*Terms!B$3:B$821)+Terms!B$2</f>
        <v>-3.61876787977916</v>
      </c>
      <c r="T637" s="0" t="n">
        <f aca="false">SUMPRODUCT(ISNUMBER(SEARCH(" "&amp;Terms!$A$3:$A$821&amp;" ",$D637))*Terms!C$3:C$821)+Terms!C$2</f>
        <v>-0.745473463558615</v>
      </c>
      <c r="U637" s="0" t="n">
        <f aca="false">SUMPRODUCT(ISNUMBER(SEARCH(" "&amp;Terms!$A$3:$A$821&amp;" ",$D637))*Terms!D$3:D$821)+Terms!D$2</f>
        <v>10.402196920175</v>
      </c>
      <c r="V637" s="0" t="n">
        <f aca="false">SUMPRODUCT(ISNUMBER(SEARCH(" "&amp;Terms!$A$3:$A$821&amp;" ",$D637))*Terms!E$3:E$821)+Terms!E$2</f>
        <v>-2.71113643299033</v>
      </c>
      <c r="W637" s="0" t="n">
        <f aca="false">SUMPRODUCT(ISNUMBER(SEARCH(" "&amp;Terms!$A$3:$A$821&amp;" ",$D637))*Terms!F$3:F$821)+Terms!F$2</f>
        <v>-1.22006141327258</v>
      </c>
      <c r="X637" s="0" t="n">
        <f aca="false">SUMPRODUCT(ISNUMBER(SEARCH(" "&amp;Terms!$A$3:$A$821&amp;" ",$D637))*Terms!G$3:G$821)+Terms!G$2</f>
        <v>-2.10675773057422</v>
      </c>
      <c r="Y637" s="0" t="str">
        <f aca="false">INDEX($S$1:$X$1,MATCH(MAX(S637:X637),S637:X637,0))</f>
        <v>Delays &amp; Processing</v>
      </c>
      <c r="Z637" s="0" t="s">
        <v>2607</v>
      </c>
    </row>
    <row r="638" customFormat="false" ht="15" hidden="false" customHeight="false" outlineLevel="0" collapsed="false">
      <c r="A638" s="0" t="str">
        <f aca="false">Complaints!A638</f>
        <v>C0637</v>
      </c>
      <c r="B638" s="0" t="str">
        <f aca="false">Complaints!B638</f>
        <v>There are transactions on my card I do not recognise.</v>
      </c>
      <c r="C638" s="0" t="str">
        <f aca="false">Complaints!C638</f>
        <v>Fraud &amp; Scams</v>
      </c>
      <c r="D638" s="0" t="str">
        <f aca="false">" "&amp;TRIM(SUBSTITUTE(SUBSTITUTE(SUBSTITUTE(SUBSTITUTE(SUBSTITUTE(SUBSTITUTE(SUBSTITUTE(SUBSTITUTE(SUBSTITUTE(SUBSTITUTE(SUBSTITUTE(SUBSTITUTE(SUBSTITUTE(SUBSTITUTE(SUBSTITUTE(SUBSTITUTE(LOWER(B638),"."," "),","," "),"'"," "),"’"," "),"!"," "),"?"," "),";"," "),":"," "),"-"," "),"("," "),")"," "),"""", " "),"£"," "),"&amp;"," "),"/"," "),"%"," "))&amp;" "</f>
        <v> there are transactions on my card i do not recognise </v>
      </c>
      <c r="E638" s="0" t="n">
        <f aca="false">SUMPRODUCT((Rules!$A$2:$A$60=E$1)*Rules!$C$2:$C$60*ISNUMBER(SEARCH(Rules!$D$2:$D$60,$D638)))</f>
        <v>2</v>
      </c>
      <c r="F638" s="0" t="n">
        <f aca="false">SUMPRODUCT((Rules!$A$2:$A$60=F$1)*Rules!$C$2:$C$60*ISNUMBER(SEARCH(Rules!$D$2:$D$60,$D638)))</f>
        <v>0</v>
      </c>
      <c r="G638" s="0" t="n">
        <f aca="false">SUMPRODUCT((Rules!$A$2:$A$60=G$1)*Rules!$C$2:$C$60*ISNUMBER(SEARCH(Rules!$D$2:$D$60,$D638)))</f>
        <v>0</v>
      </c>
      <c r="H638" s="0" t="n">
        <f aca="false">SUMPRODUCT((Rules!$A$2:$A$60=H$1)*Rules!$C$2:$C$60*ISNUMBER(SEARCH(Rules!$D$2:$D$60,$D638)))</f>
        <v>0</v>
      </c>
      <c r="I638" s="0" t="n">
        <f aca="false">SUMPRODUCT((Rules!$A$2:$A$60=I$1)*Rules!$C$2:$C$60*ISNUMBER(SEARCH(Rules!$D$2:$D$60,$D638)))</f>
        <v>0</v>
      </c>
      <c r="J638" s="0" t="n">
        <f aca="false">SUMPRODUCT((Rules!$A$2:$A$60=J$1)*Rules!$C$2:$C$60*ISNUMBER(SEARCH(Rules!$D$2:$D$60,$D638)))</f>
        <v>0</v>
      </c>
      <c r="K638" s="0" t="str">
        <f aca="false">IF(OR(MAX(E638:J638)&lt;Rules!$H$1,MAX(E638:J638)-LARGE(E638:J638,2)&lt;Rules!$H$2),"No label",INDEX($E$1:$J$1,MATCH(MAX(E638:J638),E638:J638,0)))</f>
        <v>No label</v>
      </c>
      <c r="L638" s="0" t="n">
        <f aca="false">SUMPRODUCT((Rules!$A$2:$A$60=L$1)*Rules!$C$2:$C$60*ISNUMBER(SEARCH(Rules!$E$2:$E$60,$D638)))</f>
        <v>2</v>
      </c>
      <c r="M638" s="0" t="n">
        <f aca="false">SUMPRODUCT((Rules!$A$2:$A$60=M$1)*Rules!$C$2:$C$60*ISNUMBER(SEARCH(Rules!$E$2:$E$60,$D638)))</f>
        <v>0</v>
      </c>
      <c r="N638" s="0" t="n">
        <f aca="false">SUMPRODUCT((Rules!$A$2:$A$60=N$1)*Rules!$C$2:$C$60*ISNUMBER(SEARCH(Rules!$E$2:$E$60,$D638)))</f>
        <v>0</v>
      </c>
      <c r="O638" s="0" t="n">
        <f aca="false">SUMPRODUCT((Rules!$A$2:$A$60=O$1)*Rules!$C$2:$C$60*ISNUMBER(SEARCH(Rules!$E$2:$E$60,$D638)))</f>
        <v>0</v>
      </c>
      <c r="P638" s="0" t="n">
        <f aca="false">SUMPRODUCT((Rules!$A$2:$A$60=P$1)*Rules!$C$2:$C$60*ISNUMBER(SEARCH(Rules!$E$2:$E$60,$D638)))</f>
        <v>0</v>
      </c>
      <c r="Q638" s="0" t="n">
        <f aca="false">SUMPRODUCT((Rules!$A$2:$A$60=Q$1)*Rules!$C$2:$C$60*ISNUMBER(SEARCH(Rules!$E$2:$E$60,$D638)))</f>
        <v>0</v>
      </c>
      <c r="R638" s="0" t="str">
        <f aca="false">IF(OR(MAX(L638:Q638)&lt;Rules!$H$1,MAX(L638:Q638)-LARGE(L638:Q638,2)&lt;Rules!$H$2),"No label",INDEX($L$1:$Q$1,MATCH(MAX(L638:Q638),L638:Q638,0)))</f>
        <v>No label</v>
      </c>
      <c r="S638" s="0" t="n">
        <f aca="false">SUMPRODUCT(ISNUMBER(SEARCH(" "&amp;Terms!$A$3:$A$821&amp;" ",$D638))*Terms!B$3:B$821)+Terms!B$2</f>
        <v>0.42457249182828</v>
      </c>
      <c r="T638" s="0" t="n">
        <f aca="false">SUMPRODUCT(ISNUMBER(SEARCH(" "&amp;Terms!$A$3:$A$821&amp;" ",$D638))*Terms!C$3:C$821)+Terms!C$2</f>
        <v>-0.390802248249178</v>
      </c>
      <c r="U638" s="0" t="n">
        <f aca="false">SUMPRODUCT(ISNUMBER(SEARCH(" "&amp;Terms!$A$3:$A$821&amp;" ",$D638))*Terms!D$3:D$821)+Terms!D$2</f>
        <v>-1.7471399205092</v>
      </c>
      <c r="V638" s="0" t="n">
        <f aca="false">SUMPRODUCT(ISNUMBER(SEARCH(" "&amp;Terms!$A$3:$A$821&amp;" ",$D638))*Terms!E$3:E$821)+Terms!E$2</f>
        <v>-2.28949104799131</v>
      </c>
      <c r="W638" s="0" t="n">
        <f aca="false">SUMPRODUCT(ISNUMBER(SEARCH(" "&amp;Terms!$A$3:$A$821&amp;" ",$D638))*Terms!F$3:F$821)+Terms!F$2</f>
        <v>5.77532619696787</v>
      </c>
      <c r="X638" s="0" t="n">
        <f aca="false">SUMPRODUCT(ISNUMBER(SEARCH(" "&amp;Terms!$A$3:$A$821&amp;" ",$D638))*Terms!G$3:G$821)+Terms!G$2</f>
        <v>-1.77246547204637</v>
      </c>
      <c r="Y638" s="0" t="str">
        <f aca="false">INDEX($S$1:$X$1,MATCH(MAX(S638:X638),S638:X638,0))</f>
        <v>Fraud &amp; Scams</v>
      </c>
      <c r="Z638" s="0" t="s">
        <v>2607</v>
      </c>
    </row>
    <row r="639" customFormat="false" ht="15" hidden="false" customHeight="false" outlineLevel="0" collapsed="false">
      <c r="A639" s="0" t="str">
        <f aca="false">Complaints!A639</f>
        <v>C0638</v>
      </c>
      <c r="B639" s="0" t="str">
        <f aca="false">Complaints!B639</f>
        <v>Frankly, Nobody explained the foreign transaction charges before my holiday.</v>
      </c>
      <c r="C639" s="0" t="str">
        <f aca="false">Complaints!C639</f>
        <v>Fees &amp; Charges</v>
      </c>
      <c r="D639" s="0" t="str">
        <f aca="false">" "&amp;TRIM(SUBSTITUTE(SUBSTITUTE(SUBSTITUTE(SUBSTITUTE(SUBSTITUTE(SUBSTITUTE(SUBSTITUTE(SUBSTITUTE(SUBSTITUTE(SUBSTITUTE(SUBSTITUTE(SUBSTITUTE(SUBSTITUTE(SUBSTITUTE(SUBSTITUTE(SUBSTITUTE(LOWER(B639),"."," "),","," "),"'"," "),"’"," "),"!"," "),"?"," "),";"," "),":"," "),"-"," "),"("," "),")"," "),"""", " "),"£"," "),"&amp;"," "),"/"," "),"%"," "))&amp;" "</f>
        <v> frankly nobody explained the foreign transaction charges before my holiday </v>
      </c>
      <c r="E639" s="0" t="n">
        <f aca="false">SUMPRODUCT((Rules!$A$2:$A$60=E$1)*Rules!$C$2:$C$60*ISNUMBER(SEARCH(Rules!$D$2:$D$60,$D639)))</f>
        <v>0</v>
      </c>
      <c r="F639" s="0" t="n">
        <f aca="false">SUMPRODUCT((Rules!$A$2:$A$60=F$1)*Rules!$C$2:$C$60*ISNUMBER(SEARCH(Rules!$D$2:$D$60,$D639)))</f>
        <v>0</v>
      </c>
      <c r="G639" s="0" t="n">
        <f aca="false">SUMPRODUCT((Rules!$A$2:$A$60=G$1)*Rules!$C$2:$C$60*ISNUMBER(SEARCH(Rules!$D$2:$D$60,$D639)))</f>
        <v>0</v>
      </c>
      <c r="H639" s="0" t="n">
        <f aca="false">SUMPRODUCT((Rules!$A$2:$A$60=H$1)*Rules!$C$2:$C$60*ISNUMBER(SEARCH(Rules!$D$2:$D$60,$D639)))</f>
        <v>0</v>
      </c>
      <c r="I639" s="0" t="n">
        <f aca="false">SUMPRODUCT((Rules!$A$2:$A$60=I$1)*Rules!$C$2:$C$60*ISNUMBER(SEARCH(Rules!$D$2:$D$60,$D639)))</f>
        <v>0</v>
      </c>
      <c r="J639" s="0" t="n">
        <f aca="false">SUMPRODUCT((Rules!$A$2:$A$60=J$1)*Rules!$C$2:$C$60*ISNUMBER(SEARCH(Rules!$D$2:$D$60,$D639)))</f>
        <v>0</v>
      </c>
      <c r="K639" s="0" t="str">
        <f aca="false">IF(OR(MAX(E639:J639)&lt;Rules!$H$1,MAX(E639:J639)-LARGE(E639:J639,2)&lt;Rules!$H$2),"No label",INDEX($E$1:$J$1,MATCH(MAX(E639:J639),E639:J639,0)))</f>
        <v>No label</v>
      </c>
      <c r="L639" s="0" t="n">
        <f aca="false">SUMPRODUCT((Rules!$A$2:$A$60=L$1)*Rules!$C$2:$C$60*ISNUMBER(SEARCH(Rules!$E$2:$E$60,$D639)))</f>
        <v>0</v>
      </c>
      <c r="M639" s="0" t="n">
        <f aca="false">SUMPRODUCT((Rules!$A$2:$A$60=M$1)*Rules!$C$2:$C$60*ISNUMBER(SEARCH(Rules!$E$2:$E$60,$D639)))</f>
        <v>0</v>
      </c>
      <c r="N639" s="0" t="n">
        <f aca="false">SUMPRODUCT((Rules!$A$2:$A$60=N$1)*Rules!$C$2:$C$60*ISNUMBER(SEARCH(Rules!$E$2:$E$60,$D639)))</f>
        <v>0</v>
      </c>
      <c r="O639" s="0" t="n">
        <f aca="false">SUMPRODUCT((Rules!$A$2:$A$60=O$1)*Rules!$C$2:$C$60*ISNUMBER(SEARCH(Rules!$E$2:$E$60,$D639)))</f>
        <v>4</v>
      </c>
      <c r="P639" s="0" t="n">
        <f aca="false">SUMPRODUCT((Rules!$A$2:$A$60=P$1)*Rules!$C$2:$C$60*ISNUMBER(SEARCH(Rules!$E$2:$E$60,$D639)))</f>
        <v>0</v>
      </c>
      <c r="Q639" s="0" t="n">
        <f aca="false">SUMPRODUCT((Rules!$A$2:$A$60=Q$1)*Rules!$C$2:$C$60*ISNUMBER(SEARCH(Rules!$E$2:$E$60,$D639)))</f>
        <v>0</v>
      </c>
      <c r="R639" s="0" t="str">
        <f aca="false">IF(OR(MAX(L639:Q639)&lt;Rules!$H$1,MAX(L639:Q639)-LARGE(L639:Q639,2)&lt;Rules!$H$2),"No label",INDEX($L$1:$Q$1,MATCH(MAX(L639:Q639),L639:Q639,0)))</f>
        <v>Fees &amp; Charges</v>
      </c>
      <c r="S639" s="0" t="n">
        <f aca="false">SUMPRODUCT(ISNUMBER(SEARCH(" "&amp;Terms!$A$3:$A$821&amp;" ",$D639))*Terms!B$3:B$821)+Terms!B$2</f>
        <v>-1.60833517218413</v>
      </c>
      <c r="T639" s="0" t="n">
        <f aca="false">SUMPRODUCT(ISNUMBER(SEARCH(" "&amp;Terms!$A$3:$A$821&amp;" ",$D639))*Terms!C$3:C$821)+Terms!C$2</f>
        <v>-1.21668894909203</v>
      </c>
      <c r="U639" s="0" t="n">
        <f aca="false">SUMPRODUCT(ISNUMBER(SEARCH(" "&amp;Terms!$A$3:$A$821&amp;" ",$D639))*Terms!D$3:D$821)+Terms!D$2</f>
        <v>-3.10228946911605</v>
      </c>
      <c r="V639" s="0" t="n">
        <f aca="false">SUMPRODUCT(ISNUMBER(SEARCH(" "&amp;Terms!$A$3:$A$821&amp;" ",$D639))*Terms!E$3:E$821)+Terms!E$2</f>
        <v>12.0520928322669</v>
      </c>
      <c r="W639" s="0" t="n">
        <f aca="false">SUMPRODUCT(ISNUMBER(SEARCH(" "&amp;Terms!$A$3:$A$821&amp;" ",$D639))*Terms!F$3:F$821)+Terms!F$2</f>
        <v>-3.09633782395726</v>
      </c>
      <c r="X639" s="0" t="n">
        <f aca="false">SUMPRODUCT(ISNUMBER(SEARCH(" "&amp;Terms!$A$3:$A$821&amp;" ",$D639))*Terms!G$3:G$821)+Terms!G$2</f>
        <v>-3.02844141791735</v>
      </c>
      <c r="Y639" s="0" t="str">
        <f aca="false">INDEX($S$1:$X$1,MATCH(MAX(S639:X639),S639:X639,0))</f>
        <v>Fees &amp; Charges</v>
      </c>
      <c r="Z639" s="0" t="s">
        <v>2607</v>
      </c>
    </row>
    <row r="640" customFormat="false" ht="15" hidden="false" customHeight="false" outlineLevel="0" collapsed="false">
      <c r="A640" s="0" t="str">
        <f aca="false">Complaints!A640</f>
        <v>C0639</v>
      </c>
      <c r="B640" s="0" t="str">
        <f aca="false">Complaints!B640</f>
        <v>You promised the money within three working days and it is still outstanding. Also, the webchat agent ended the conversation without solving anything. Please escalate this.</v>
      </c>
      <c r="C640" s="0" t="str">
        <f aca="false">Complaints!C640</f>
        <v>Delays &amp; Processing</v>
      </c>
      <c r="D640" s="0" t="str">
        <f aca="false">" "&amp;TRIM(SUBSTITUTE(SUBSTITUTE(SUBSTITUTE(SUBSTITUTE(SUBSTITUTE(SUBSTITUTE(SUBSTITUTE(SUBSTITUTE(SUBSTITUTE(SUBSTITUTE(SUBSTITUTE(SUBSTITUTE(SUBSTITUTE(SUBSTITUTE(SUBSTITUTE(SUBSTITUTE(LOWER(B640),"."," "),","," "),"'"," "),"’"," "),"!"," "),"?"," "),";"," "),":"," "),"-"," "),"("," "),")"," "),"""", " "),"£"," "),"&amp;"," "),"/"," "),"%"," "))&amp;" "</f>
        <v> you promised the money within three working days and it is still outstanding also the webchat agent ended the conversation without solving anything please escalate this </v>
      </c>
      <c r="E640" s="0" t="n">
        <f aca="false">SUMPRODUCT((Rules!$A$2:$A$60=E$1)*Rules!$C$2:$C$60*ISNUMBER(SEARCH(Rules!$D$2:$D$60,$D640)))</f>
        <v>0</v>
      </c>
      <c r="F640" s="0" t="n">
        <f aca="false">SUMPRODUCT((Rules!$A$2:$A$60=F$1)*Rules!$C$2:$C$60*ISNUMBER(SEARCH(Rules!$D$2:$D$60,$D640)))</f>
        <v>1</v>
      </c>
      <c r="G640" s="0" t="n">
        <f aca="false">SUMPRODUCT((Rules!$A$2:$A$60=G$1)*Rules!$C$2:$C$60*ISNUMBER(SEARCH(Rules!$D$2:$D$60,$D640)))</f>
        <v>0</v>
      </c>
      <c r="H640" s="0" t="n">
        <f aca="false">SUMPRODUCT((Rules!$A$2:$A$60=H$1)*Rules!$C$2:$C$60*ISNUMBER(SEARCH(Rules!$D$2:$D$60,$D640)))</f>
        <v>0</v>
      </c>
      <c r="I640" s="0" t="n">
        <f aca="false">SUMPRODUCT((Rules!$A$2:$A$60=I$1)*Rules!$C$2:$C$60*ISNUMBER(SEARCH(Rules!$D$2:$D$60,$D640)))</f>
        <v>2</v>
      </c>
      <c r="J640" s="0" t="n">
        <f aca="false">SUMPRODUCT((Rules!$A$2:$A$60=J$1)*Rules!$C$2:$C$60*ISNUMBER(SEARCH(Rules!$D$2:$D$60,$D640)))</f>
        <v>2</v>
      </c>
      <c r="K640" s="0" t="str">
        <f aca="false">IF(OR(MAX(E640:J640)&lt;Rules!$H$1,MAX(E640:J640)-LARGE(E640:J640,2)&lt;Rules!$H$2),"No label",INDEX($E$1:$J$1,MATCH(MAX(E640:J640),E640:J640,0)))</f>
        <v>No label</v>
      </c>
      <c r="L640" s="0" t="n">
        <f aca="false">SUMPRODUCT((Rules!$A$2:$A$60=L$1)*Rules!$C$2:$C$60*ISNUMBER(SEARCH(Rules!$E$2:$E$60,$D640)))</f>
        <v>0</v>
      </c>
      <c r="M640" s="0" t="n">
        <f aca="false">SUMPRODUCT((Rules!$A$2:$A$60=M$1)*Rules!$C$2:$C$60*ISNUMBER(SEARCH(Rules!$E$2:$E$60,$D640)))</f>
        <v>1</v>
      </c>
      <c r="N640" s="0" t="n">
        <f aca="false">SUMPRODUCT((Rules!$A$2:$A$60=N$1)*Rules!$C$2:$C$60*ISNUMBER(SEARCH(Rules!$E$2:$E$60,$D640)))</f>
        <v>0</v>
      </c>
      <c r="O640" s="0" t="n">
        <f aca="false">SUMPRODUCT((Rules!$A$2:$A$60=O$1)*Rules!$C$2:$C$60*ISNUMBER(SEARCH(Rules!$E$2:$E$60,$D640)))</f>
        <v>0</v>
      </c>
      <c r="P640" s="0" t="n">
        <f aca="false">SUMPRODUCT((Rules!$A$2:$A$60=P$1)*Rules!$C$2:$C$60*ISNUMBER(SEARCH(Rules!$E$2:$E$60,$D640)))</f>
        <v>2</v>
      </c>
      <c r="Q640" s="0" t="n">
        <f aca="false">SUMPRODUCT((Rules!$A$2:$A$60=Q$1)*Rules!$C$2:$C$60*ISNUMBER(SEARCH(Rules!$E$2:$E$60,$D640)))</f>
        <v>2</v>
      </c>
      <c r="R640" s="0" t="str">
        <f aca="false">IF(OR(MAX(L640:Q640)&lt;Rules!$H$1,MAX(L640:Q640)-LARGE(L640:Q640,2)&lt;Rules!$H$2),"No label",INDEX($L$1:$Q$1,MATCH(MAX(L640:Q640),L640:Q640,0)))</f>
        <v>No label</v>
      </c>
      <c r="S640" s="0" t="n">
        <f aca="false">SUMPRODUCT(ISNUMBER(SEARCH(" "&amp;Terms!$A$3:$A$821&amp;" ",$D640))*Terms!B$3:B$821)+Terms!B$2</f>
        <v>0.000700202222314317</v>
      </c>
      <c r="T640" s="0" t="n">
        <f aca="false">SUMPRODUCT(ISNUMBER(SEARCH(" "&amp;Terms!$A$3:$A$821&amp;" ",$D640))*Terms!C$3:C$821)+Terms!C$2</f>
        <v>5.93463785092761</v>
      </c>
      <c r="U640" s="0" t="n">
        <f aca="false">SUMPRODUCT(ISNUMBER(SEARCH(" "&amp;Terms!$A$3:$A$821&amp;" ",$D640))*Terms!D$3:D$821)+Terms!D$2</f>
        <v>4.22650785445795</v>
      </c>
      <c r="V640" s="0" t="n">
        <f aca="false">SUMPRODUCT(ISNUMBER(SEARCH(" "&amp;Terms!$A$3:$A$821&amp;" ",$D640))*Terms!E$3:E$821)+Terms!E$2</f>
        <v>-3.92486097946191</v>
      </c>
      <c r="W640" s="0" t="n">
        <f aca="false">SUMPRODUCT(ISNUMBER(SEARCH(" "&amp;Terms!$A$3:$A$821&amp;" ",$D640))*Terms!F$3:F$821)+Terms!F$2</f>
        <v>-4.01348669557457</v>
      </c>
      <c r="X640" s="0" t="n">
        <f aca="false">SUMPRODUCT(ISNUMBER(SEARCH(" "&amp;Terms!$A$3:$A$821&amp;" ",$D640))*Terms!G$3:G$821)+Terms!G$2</f>
        <v>-2.2234982325713</v>
      </c>
      <c r="Y640" s="0" t="str">
        <f aca="false">INDEX($S$1:$X$1,MATCH(MAX(S640:X640),S640:X640,0))</f>
        <v>Customer Service</v>
      </c>
      <c r="Z640" s="0" t="s">
        <v>2607</v>
      </c>
    </row>
    <row r="641" customFormat="false" ht="15" hidden="false" customHeight="false" outlineLevel="0" collapsed="false">
      <c r="A641" s="0" t="str">
        <f aca="false">Complaints!A641</f>
        <v>C0640</v>
      </c>
      <c r="B641" s="0" t="str">
        <f aca="false">Complaints!B641</f>
        <v>Two factor codes are not being sent to my phone. There was also a fee involved. I would like a response in writing.</v>
      </c>
      <c r="C641" s="0" t="str">
        <f aca="false">Complaints!C641</f>
        <v>Account Access</v>
      </c>
      <c r="D641" s="0" t="str">
        <f aca="false">" "&amp;TRIM(SUBSTITUTE(SUBSTITUTE(SUBSTITUTE(SUBSTITUTE(SUBSTITUTE(SUBSTITUTE(SUBSTITUTE(SUBSTITUTE(SUBSTITUTE(SUBSTITUTE(SUBSTITUTE(SUBSTITUTE(SUBSTITUTE(SUBSTITUTE(SUBSTITUTE(SUBSTITUTE(LOWER(B641),"."," "),","," "),"'"," "),"’"," "),"!"," "),"?"," "),";"," "),":"," "),"-"," "),"("," "),")"," "),"""", " "),"£"," "),"&amp;"," "),"/"," "),"%"," "))&amp;" "</f>
        <v> two factor codes are not being sent to my phone there was also a fee involved i would like a response in writing </v>
      </c>
      <c r="E641" s="0" t="n">
        <f aca="false">SUMPRODUCT((Rules!$A$2:$A$60=E$1)*Rules!$C$2:$C$60*ISNUMBER(SEARCH(Rules!$D$2:$D$60,$D641)))</f>
        <v>0</v>
      </c>
      <c r="F641" s="0" t="n">
        <f aca="false">SUMPRODUCT((Rules!$A$2:$A$60=F$1)*Rules!$C$2:$C$60*ISNUMBER(SEARCH(Rules!$D$2:$D$60,$D641)))</f>
        <v>0</v>
      </c>
      <c r="G641" s="0" t="n">
        <f aca="false">SUMPRODUCT((Rules!$A$2:$A$60=G$1)*Rules!$C$2:$C$60*ISNUMBER(SEARCH(Rules!$D$2:$D$60,$D641)))</f>
        <v>3</v>
      </c>
      <c r="H641" s="0" t="n">
        <f aca="false">SUMPRODUCT((Rules!$A$2:$A$60=H$1)*Rules!$C$2:$C$60*ISNUMBER(SEARCH(Rules!$D$2:$D$60,$D641)))</f>
        <v>2</v>
      </c>
      <c r="I641" s="0" t="n">
        <f aca="false">SUMPRODUCT((Rules!$A$2:$A$60=I$1)*Rules!$C$2:$C$60*ISNUMBER(SEARCH(Rules!$D$2:$D$60,$D641)))</f>
        <v>0</v>
      </c>
      <c r="J641" s="0" t="n">
        <f aca="false">SUMPRODUCT((Rules!$A$2:$A$60=J$1)*Rules!$C$2:$C$60*ISNUMBER(SEARCH(Rules!$D$2:$D$60,$D641)))</f>
        <v>0</v>
      </c>
      <c r="K641" s="0" t="str">
        <f aca="false">IF(OR(MAX(E641:J641)&lt;Rules!$H$1,MAX(E641:J641)-LARGE(E641:J641,2)&lt;Rules!$H$2),"No label",INDEX($E$1:$J$1,MATCH(MAX(E641:J641),E641:J641,0)))</f>
        <v>No label</v>
      </c>
      <c r="L641" s="0" t="n">
        <f aca="false">SUMPRODUCT((Rules!$A$2:$A$60=L$1)*Rules!$C$2:$C$60*ISNUMBER(SEARCH(Rules!$E$2:$E$60,$D641)))</f>
        <v>0</v>
      </c>
      <c r="M641" s="0" t="n">
        <f aca="false">SUMPRODUCT((Rules!$A$2:$A$60=M$1)*Rules!$C$2:$C$60*ISNUMBER(SEARCH(Rules!$E$2:$E$60,$D641)))</f>
        <v>0</v>
      </c>
      <c r="N641" s="0" t="n">
        <f aca="false">SUMPRODUCT((Rules!$A$2:$A$60=N$1)*Rules!$C$2:$C$60*ISNUMBER(SEARCH(Rules!$E$2:$E$60,$D641)))</f>
        <v>3</v>
      </c>
      <c r="O641" s="0" t="n">
        <f aca="false">SUMPRODUCT((Rules!$A$2:$A$60=O$1)*Rules!$C$2:$C$60*ISNUMBER(SEARCH(Rules!$E$2:$E$60,$D641)))</f>
        <v>2</v>
      </c>
      <c r="P641" s="0" t="n">
        <f aca="false">SUMPRODUCT((Rules!$A$2:$A$60=P$1)*Rules!$C$2:$C$60*ISNUMBER(SEARCH(Rules!$E$2:$E$60,$D641)))</f>
        <v>0</v>
      </c>
      <c r="Q641" s="0" t="n">
        <f aca="false">SUMPRODUCT((Rules!$A$2:$A$60=Q$1)*Rules!$C$2:$C$60*ISNUMBER(SEARCH(Rules!$E$2:$E$60,$D641)))</f>
        <v>0</v>
      </c>
      <c r="R641" s="0" t="str">
        <f aca="false">IF(OR(MAX(L641:Q641)&lt;Rules!$H$1,MAX(L641:Q641)-LARGE(L641:Q641,2)&lt;Rules!$H$2),"No label",INDEX($L$1:$Q$1,MATCH(MAX(L641:Q641),L641:Q641,0)))</f>
        <v>No label</v>
      </c>
      <c r="S641" s="0" t="n">
        <f aca="false">SUMPRODUCT(ISNUMBER(SEARCH(" "&amp;Terms!$A$3:$A$821&amp;" ",$D641))*Terms!B$3:B$821)+Terms!B$2</f>
        <v>9.75872805975321</v>
      </c>
      <c r="T641" s="0" t="n">
        <f aca="false">SUMPRODUCT(ISNUMBER(SEARCH(" "&amp;Terms!$A$3:$A$821&amp;" ",$D641))*Terms!C$3:C$821)+Terms!C$2</f>
        <v>-5.06458237677583</v>
      </c>
      <c r="U641" s="0" t="n">
        <f aca="false">SUMPRODUCT(ISNUMBER(SEARCH(" "&amp;Terms!$A$3:$A$821&amp;" ",$D641))*Terms!D$3:D$821)+Terms!D$2</f>
        <v>2.31330861690262</v>
      </c>
      <c r="V641" s="0" t="n">
        <f aca="false">SUMPRODUCT(ISNUMBER(SEARCH(" "&amp;Terms!$A$3:$A$821&amp;" ",$D641))*Terms!E$3:E$821)+Terms!E$2</f>
        <v>-0.64891440335439</v>
      </c>
      <c r="W641" s="0" t="n">
        <f aca="false">SUMPRODUCT(ISNUMBER(SEARCH(" "&amp;Terms!$A$3:$A$821&amp;" ",$D641))*Terms!F$3:F$821)+Terms!F$2</f>
        <v>-5.97716835427852</v>
      </c>
      <c r="X641" s="0" t="n">
        <f aca="false">SUMPRODUCT(ISNUMBER(SEARCH(" "&amp;Terms!$A$3:$A$821&amp;" ",$D641))*Terms!G$3:G$821)+Terms!G$2</f>
        <v>-0.381371542247014</v>
      </c>
      <c r="Y641" s="0" t="str">
        <f aca="false">INDEX($S$1:$X$1,MATCH(MAX(S641:X641),S641:X641,0))</f>
        <v>Account Access</v>
      </c>
      <c r="Z641" s="0" t="s">
        <v>2607</v>
      </c>
    </row>
    <row r="642" customFormat="false" ht="15" hidden="false" customHeight="false" outlineLevel="0" collapsed="false">
      <c r="A642" s="0" t="str">
        <f aca="false">Complaints!A642</f>
        <v>C0641</v>
      </c>
      <c r="B642" s="0" t="str">
        <f aca="false">Complaints!B642</f>
        <v>I am extremely disappointed and want this resolved. I want this put right.</v>
      </c>
      <c r="C642" s="0" t="str">
        <f aca="false">Complaints!C642</f>
        <v>Customer Service</v>
      </c>
      <c r="D642" s="0" t="str">
        <f aca="false">" "&amp;TRIM(SUBSTITUTE(SUBSTITUTE(SUBSTITUTE(SUBSTITUTE(SUBSTITUTE(SUBSTITUTE(SUBSTITUTE(SUBSTITUTE(SUBSTITUTE(SUBSTITUTE(SUBSTITUTE(SUBSTITUTE(SUBSTITUTE(SUBSTITUTE(SUBSTITUTE(SUBSTITUTE(LOWER(B642),"."," "),","," "),"'"," "),"’"," "),"!"," "),"?"," "),";"," "),":"," "),"-"," "),"("," "),")"," "),"""", " "),"£"," "),"&amp;"," "),"/"," "),"%"," "))&amp;" "</f>
        <v> i am extremely disappointed and want this resolved i want this put right </v>
      </c>
      <c r="E642" s="0" t="n">
        <f aca="false">SUMPRODUCT((Rules!$A$2:$A$60=E$1)*Rules!$C$2:$C$60*ISNUMBER(SEARCH(Rules!$D$2:$D$60,$D642)))</f>
        <v>0</v>
      </c>
      <c r="F642" s="0" t="n">
        <f aca="false">SUMPRODUCT((Rules!$A$2:$A$60=F$1)*Rules!$C$2:$C$60*ISNUMBER(SEARCH(Rules!$D$2:$D$60,$D642)))</f>
        <v>0</v>
      </c>
      <c r="G642" s="0" t="n">
        <f aca="false">SUMPRODUCT((Rules!$A$2:$A$60=G$1)*Rules!$C$2:$C$60*ISNUMBER(SEARCH(Rules!$D$2:$D$60,$D642)))</f>
        <v>0</v>
      </c>
      <c r="H642" s="0" t="n">
        <f aca="false">SUMPRODUCT((Rules!$A$2:$A$60=H$1)*Rules!$C$2:$C$60*ISNUMBER(SEARCH(Rules!$D$2:$D$60,$D642)))</f>
        <v>0</v>
      </c>
      <c r="I642" s="0" t="n">
        <f aca="false">SUMPRODUCT((Rules!$A$2:$A$60=I$1)*Rules!$C$2:$C$60*ISNUMBER(SEARCH(Rules!$D$2:$D$60,$D642)))</f>
        <v>0</v>
      </c>
      <c r="J642" s="0" t="n">
        <f aca="false">SUMPRODUCT((Rules!$A$2:$A$60=J$1)*Rules!$C$2:$C$60*ISNUMBER(SEARCH(Rules!$D$2:$D$60,$D642)))</f>
        <v>0</v>
      </c>
      <c r="K642" s="0" t="str">
        <f aca="false">IF(OR(MAX(E642:J642)&lt;Rules!$H$1,MAX(E642:J642)-LARGE(E642:J642,2)&lt;Rules!$H$2),"No label",INDEX($E$1:$J$1,MATCH(MAX(E642:J642),E642:J642,0)))</f>
        <v>No label</v>
      </c>
      <c r="L642" s="0" t="n">
        <f aca="false">SUMPRODUCT((Rules!$A$2:$A$60=L$1)*Rules!$C$2:$C$60*ISNUMBER(SEARCH(Rules!$E$2:$E$60,$D642)))</f>
        <v>0</v>
      </c>
      <c r="M642" s="0" t="n">
        <f aca="false">SUMPRODUCT((Rules!$A$2:$A$60=M$1)*Rules!$C$2:$C$60*ISNUMBER(SEARCH(Rules!$E$2:$E$60,$D642)))</f>
        <v>0</v>
      </c>
      <c r="N642" s="0" t="n">
        <f aca="false">SUMPRODUCT((Rules!$A$2:$A$60=N$1)*Rules!$C$2:$C$60*ISNUMBER(SEARCH(Rules!$E$2:$E$60,$D642)))</f>
        <v>0</v>
      </c>
      <c r="O642" s="0" t="n">
        <f aca="false">SUMPRODUCT((Rules!$A$2:$A$60=O$1)*Rules!$C$2:$C$60*ISNUMBER(SEARCH(Rules!$E$2:$E$60,$D642)))</f>
        <v>0</v>
      </c>
      <c r="P642" s="0" t="n">
        <f aca="false">SUMPRODUCT((Rules!$A$2:$A$60=P$1)*Rules!$C$2:$C$60*ISNUMBER(SEARCH(Rules!$E$2:$E$60,$D642)))</f>
        <v>0</v>
      </c>
      <c r="Q642" s="0" t="n">
        <f aca="false">SUMPRODUCT((Rules!$A$2:$A$60=Q$1)*Rules!$C$2:$C$60*ISNUMBER(SEARCH(Rules!$E$2:$E$60,$D642)))</f>
        <v>0</v>
      </c>
      <c r="R642" s="0" t="str">
        <f aca="false">IF(OR(MAX(L642:Q642)&lt;Rules!$H$1,MAX(L642:Q642)-LARGE(L642:Q642,2)&lt;Rules!$H$2),"No label",INDEX($L$1:$Q$1,MATCH(MAX(L642:Q642),L642:Q642,0)))</f>
        <v>No label</v>
      </c>
      <c r="S642" s="0" t="n">
        <f aca="false">SUMPRODUCT(ISNUMBER(SEARCH(" "&amp;Terms!$A$3:$A$821&amp;" ",$D642))*Terms!B$3:B$821)+Terms!B$2</f>
        <v>-0.466111825501783</v>
      </c>
      <c r="T642" s="0" t="n">
        <f aca="false">SUMPRODUCT(ISNUMBER(SEARCH(" "&amp;Terms!$A$3:$A$821&amp;" ",$D642))*Terms!C$3:C$821)+Terms!C$2</f>
        <v>-0.531336418861151</v>
      </c>
      <c r="U642" s="0" t="n">
        <f aca="false">SUMPRODUCT(ISNUMBER(SEARCH(" "&amp;Terms!$A$3:$A$821&amp;" ",$D642))*Terms!D$3:D$821)+Terms!D$2</f>
        <v>-2.59963063426894</v>
      </c>
      <c r="V642" s="0" t="n">
        <f aca="false">SUMPRODUCT(ISNUMBER(SEARCH(" "&amp;Terms!$A$3:$A$821&amp;" ",$D642))*Terms!E$3:E$821)+Terms!E$2</f>
        <v>-0.983328408000375</v>
      </c>
      <c r="W642" s="0" t="n">
        <f aca="false">SUMPRODUCT(ISNUMBER(SEARCH(" "&amp;Terms!$A$3:$A$821&amp;" ",$D642))*Terms!F$3:F$821)+Terms!F$2</f>
        <v>3.23794084647526</v>
      </c>
      <c r="X642" s="0" t="n">
        <f aca="false">SUMPRODUCT(ISNUMBER(SEARCH(" "&amp;Terms!$A$3:$A$821&amp;" ",$D642))*Terms!G$3:G$821)+Terms!G$2</f>
        <v>1.34246644015709</v>
      </c>
      <c r="Y642" s="0" t="str">
        <f aca="false">INDEX($S$1:$X$1,MATCH(MAX(S642:X642),S642:X642,0))</f>
        <v>Fraud &amp; Scams</v>
      </c>
      <c r="Z642" s="0" t="s">
        <v>2608</v>
      </c>
    </row>
    <row r="643" customFormat="false" ht="15" hidden="false" customHeight="false" outlineLevel="0" collapsed="false">
      <c r="A643" s="0" t="str">
        <f aca="false">Complaints!A643</f>
        <v>C0642</v>
      </c>
      <c r="B643" s="0" t="str">
        <f aca="false">Complaints!B643</f>
        <v>Someone has made payments from my account that I did not authorise. I do not think it was explained properly when I bought it. I want this put right.</v>
      </c>
      <c r="C643" s="0" t="str">
        <f aca="false">Complaints!C643</f>
        <v>Fraud &amp; Scams</v>
      </c>
      <c r="D643" s="0" t="str">
        <f aca="false">" "&amp;TRIM(SUBSTITUTE(SUBSTITUTE(SUBSTITUTE(SUBSTITUTE(SUBSTITUTE(SUBSTITUTE(SUBSTITUTE(SUBSTITUTE(SUBSTITUTE(SUBSTITUTE(SUBSTITUTE(SUBSTITUTE(SUBSTITUTE(SUBSTITUTE(SUBSTITUTE(SUBSTITUTE(LOWER(B643),"."," "),","," "),"'"," "),"’"," "),"!"," "),"?"," "),";"," "),":"," "),"-"," "),"("," "),")"," "),"""", " "),"£"," "),"&amp;"," "),"/"," "),"%"," "))&amp;" "</f>
        <v> someone has made payments from my account that i did not authorise i do not think it was explained properly when i bought it i want this put right </v>
      </c>
      <c r="E643" s="0" t="n">
        <f aca="false">SUMPRODUCT((Rules!$A$2:$A$60=E$1)*Rules!$C$2:$C$60*ISNUMBER(SEARCH(Rules!$D$2:$D$60,$D643)))</f>
        <v>3</v>
      </c>
      <c r="F643" s="0" t="n">
        <f aca="false">SUMPRODUCT((Rules!$A$2:$A$60=F$1)*Rules!$C$2:$C$60*ISNUMBER(SEARCH(Rules!$D$2:$D$60,$D643)))</f>
        <v>0</v>
      </c>
      <c r="G643" s="0" t="n">
        <f aca="false">SUMPRODUCT((Rules!$A$2:$A$60=G$1)*Rules!$C$2:$C$60*ISNUMBER(SEARCH(Rules!$D$2:$D$60,$D643)))</f>
        <v>0</v>
      </c>
      <c r="H643" s="0" t="n">
        <f aca="false">SUMPRODUCT((Rules!$A$2:$A$60=H$1)*Rules!$C$2:$C$60*ISNUMBER(SEARCH(Rules!$D$2:$D$60,$D643)))</f>
        <v>0</v>
      </c>
      <c r="I643" s="0" t="n">
        <f aca="false">SUMPRODUCT((Rules!$A$2:$A$60=I$1)*Rules!$C$2:$C$60*ISNUMBER(SEARCH(Rules!$D$2:$D$60,$D643)))</f>
        <v>0</v>
      </c>
      <c r="J643" s="0" t="n">
        <f aca="false">SUMPRODUCT((Rules!$A$2:$A$60=J$1)*Rules!$C$2:$C$60*ISNUMBER(SEARCH(Rules!$D$2:$D$60,$D643)))</f>
        <v>0</v>
      </c>
      <c r="K643" s="0" t="str">
        <f aca="false">IF(OR(MAX(E643:J643)&lt;Rules!$H$1,MAX(E643:J643)-LARGE(E643:J643,2)&lt;Rules!$H$2),"No label",INDEX($E$1:$J$1,MATCH(MAX(E643:J643),E643:J643,0)))</f>
        <v>Fraud &amp; Scams</v>
      </c>
      <c r="L643" s="0" t="n">
        <f aca="false">SUMPRODUCT((Rules!$A$2:$A$60=L$1)*Rules!$C$2:$C$60*ISNUMBER(SEARCH(Rules!$E$2:$E$60,$D643)))</f>
        <v>3</v>
      </c>
      <c r="M643" s="0" t="n">
        <f aca="false">SUMPRODUCT((Rules!$A$2:$A$60=M$1)*Rules!$C$2:$C$60*ISNUMBER(SEARCH(Rules!$E$2:$E$60,$D643)))</f>
        <v>0</v>
      </c>
      <c r="N643" s="0" t="n">
        <f aca="false">SUMPRODUCT((Rules!$A$2:$A$60=N$1)*Rules!$C$2:$C$60*ISNUMBER(SEARCH(Rules!$E$2:$E$60,$D643)))</f>
        <v>0</v>
      </c>
      <c r="O643" s="0" t="n">
        <f aca="false">SUMPRODUCT((Rules!$A$2:$A$60=O$1)*Rules!$C$2:$C$60*ISNUMBER(SEARCH(Rules!$E$2:$E$60,$D643)))</f>
        <v>0</v>
      </c>
      <c r="P643" s="0" t="n">
        <f aca="false">SUMPRODUCT((Rules!$A$2:$A$60=P$1)*Rules!$C$2:$C$60*ISNUMBER(SEARCH(Rules!$E$2:$E$60,$D643)))</f>
        <v>0</v>
      </c>
      <c r="Q643" s="0" t="n">
        <f aca="false">SUMPRODUCT((Rules!$A$2:$A$60=Q$1)*Rules!$C$2:$C$60*ISNUMBER(SEARCH(Rules!$E$2:$E$60,$D643)))</f>
        <v>0</v>
      </c>
      <c r="R643" s="0" t="str">
        <f aca="false">IF(OR(MAX(L643:Q643)&lt;Rules!$H$1,MAX(L643:Q643)-LARGE(L643:Q643,2)&lt;Rules!$H$2),"No label",INDEX($L$1:$Q$1,MATCH(MAX(L643:Q643),L643:Q643,0)))</f>
        <v>Fraud &amp; Scams</v>
      </c>
      <c r="S643" s="0" t="n">
        <f aca="false">SUMPRODUCT(ISNUMBER(SEARCH(" "&amp;Terms!$A$3:$A$821&amp;" ",$D643))*Terms!B$3:B$821)+Terms!B$2</f>
        <v>0.0407895815844522</v>
      </c>
      <c r="T643" s="0" t="n">
        <f aca="false">SUMPRODUCT(ISNUMBER(SEARCH(" "&amp;Terms!$A$3:$A$821&amp;" ",$D643))*Terms!C$3:C$821)+Terms!C$2</f>
        <v>-3.85097251589445</v>
      </c>
      <c r="U643" s="0" t="n">
        <f aca="false">SUMPRODUCT(ISNUMBER(SEARCH(" "&amp;Terms!$A$3:$A$821&amp;" ",$D643))*Terms!D$3:D$821)+Terms!D$2</f>
        <v>-1.66089663231002</v>
      </c>
      <c r="V643" s="0" t="n">
        <f aca="false">SUMPRODUCT(ISNUMBER(SEARCH(" "&amp;Terms!$A$3:$A$821&amp;" ",$D643))*Terms!E$3:E$821)+Terms!E$2</f>
        <v>1.26172431252637</v>
      </c>
      <c r="W643" s="0" t="n">
        <f aca="false">SUMPRODUCT(ISNUMBER(SEARCH(" "&amp;Terms!$A$3:$A$821&amp;" ",$D643))*Terms!F$3:F$821)+Terms!F$2</f>
        <v>8.69119150923605</v>
      </c>
      <c r="X643" s="0" t="n">
        <f aca="false">SUMPRODUCT(ISNUMBER(SEARCH(" "&amp;Terms!$A$3:$A$821&amp;" ",$D643))*Terms!G$3:G$821)+Terms!G$2</f>
        <v>-4.48183625514233</v>
      </c>
      <c r="Y643" s="0" t="str">
        <f aca="false">INDEX($S$1:$X$1,MATCH(MAX(S643:X643),S643:X643,0))</f>
        <v>Fraud &amp; Scams</v>
      </c>
      <c r="Z643" s="0" t="s">
        <v>2607</v>
      </c>
    </row>
    <row r="644" customFormat="false" ht="15" hidden="false" customHeight="false" outlineLevel="0" collapsed="false">
      <c r="A644" s="0" t="str">
        <f aca="false">Complaints!A644</f>
        <v>C0643</v>
      </c>
      <c r="B644" s="0" t="str">
        <f aca="false">Complaints!B644</f>
        <v>I was tricked into moving savings to a safe account that was not safe. I would like a response in writing.</v>
      </c>
      <c r="C644" s="0" t="str">
        <f aca="false">Complaints!C644</f>
        <v>Fraud &amp; Scams</v>
      </c>
      <c r="D644" s="0" t="str">
        <f aca="false">" "&amp;TRIM(SUBSTITUTE(SUBSTITUTE(SUBSTITUTE(SUBSTITUTE(SUBSTITUTE(SUBSTITUTE(SUBSTITUTE(SUBSTITUTE(SUBSTITUTE(SUBSTITUTE(SUBSTITUTE(SUBSTITUTE(SUBSTITUTE(SUBSTITUTE(SUBSTITUTE(SUBSTITUTE(LOWER(B644),"."," "),","," "),"'"," "),"’"," "),"!"," "),"?"," "),";"," "),":"," "),"-"," "),"("," "),")"," "),"""", " "),"£"," "),"&amp;"," "),"/"," "),"%"," "))&amp;" "</f>
        <v> i was tricked into moving savings to a safe account that was not safe i would like a response in writing </v>
      </c>
      <c r="E644" s="0" t="n">
        <f aca="false">SUMPRODUCT((Rules!$A$2:$A$60=E$1)*Rules!$C$2:$C$60*ISNUMBER(SEARCH(Rules!$D$2:$D$60,$D644)))</f>
        <v>2</v>
      </c>
      <c r="F644" s="0" t="n">
        <f aca="false">SUMPRODUCT((Rules!$A$2:$A$60=F$1)*Rules!$C$2:$C$60*ISNUMBER(SEARCH(Rules!$D$2:$D$60,$D644)))</f>
        <v>0</v>
      </c>
      <c r="G644" s="0" t="n">
        <f aca="false">SUMPRODUCT((Rules!$A$2:$A$60=G$1)*Rules!$C$2:$C$60*ISNUMBER(SEARCH(Rules!$D$2:$D$60,$D644)))</f>
        <v>0</v>
      </c>
      <c r="H644" s="0" t="n">
        <f aca="false">SUMPRODUCT((Rules!$A$2:$A$60=H$1)*Rules!$C$2:$C$60*ISNUMBER(SEARCH(Rules!$D$2:$D$60,$D644)))</f>
        <v>0</v>
      </c>
      <c r="I644" s="0" t="n">
        <f aca="false">SUMPRODUCT((Rules!$A$2:$A$60=I$1)*Rules!$C$2:$C$60*ISNUMBER(SEARCH(Rules!$D$2:$D$60,$D644)))</f>
        <v>0</v>
      </c>
      <c r="J644" s="0" t="n">
        <f aca="false">SUMPRODUCT((Rules!$A$2:$A$60=J$1)*Rules!$C$2:$C$60*ISNUMBER(SEARCH(Rules!$D$2:$D$60,$D644)))</f>
        <v>0</v>
      </c>
      <c r="K644" s="0" t="str">
        <f aca="false">IF(OR(MAX(E644:J644)&lt;Rules!$H$1,MAX(E644:J644)-LARGE(E644:J644,2)&lt;Rules!$H$2),"No label",INDEX($E$1:$J$1,MATCH(MAX(E644:J644),E644:J644,0)))</f>
        <v>No label</v>
      </c>
      <c r="L644" s="0" t="n">
        <f aca="false">SUMPRODUCT((Rules!$A$2:$A$60=L$1)*Rules!$C$2:$C$60*ISNUMBER(SEARCH(Rules!$E$2:$E$60,$D644)))</f>
        <v>2</v>
      </c>
      <c r="M644" s="0" t="n">
        <f aca="false">SUMPRODUCT((Rules!$A$2:$A$60=M$1)*Rules!$C$2:$C$60*ISNUMBER(SEARCH(Rules!$E$2:$E$60,$D644)))</f>
        <v>0</v>
      </c>
      <c r="N644" s="0" t="n">
        <f aca="false">SUMPRODUCT((Rules!$A$2:$A$60=N$1)*Rules!$C$2:$C$60*ISNUMBER(SEARCH(Rules!$E$2:$E$60,$D644)))</f>
        <v>0</v>
      </c>
      <c r="O644" s="0" t="n">
        <f aca="false">SUMPRODUCT((Rules!$A$2:$A$60=O$1)*Rules!$C$2:$C$60*ISNUMBER(SEARCH(Rules!$E$2:$E$60,$D644)))</f>
        <v>0</v>
      </c>
      <c r="P644" s="0" t="n">
        <f aca="false">SUMPRODUCT((Rules!$A$2:$A$60=P$1)*Rules!$C$2:$C$60*ISNUMBER(SEARCH(Rules!$E$2:$E$60,$D644)))</f>
        <v>0</v>
      </c>
      <c r="Q644" s="0" t="n">
        <f aca="false">SUMPRODUCT((Rules!$A$2:$A$60=Q$1)*Rules!$C$2:$C$60*ISNUMBER(SEARCH(Rules!$E$2:$E$60,$D644)))</f>
        <v>0</v>
      </c>
      <c r="R644" s="0" t="str">
        <f aca="false">IF(OR(MAX(L644:Q644)&lt;Rules!$H$1,MAX(L644:Q644)-LARGE(L644:Q644,2)&lt;Rules!$H$2),"No label",INDEX($L$1:$Q$1,MATCH(MAX(L644:Q644),L644:Q644,0)))</f>
        <v>No label</v>
      </c>
      <c r="S644" s="0" t="n">
        <f aca="false">SUMPRODUCT(ISNUMBER(SEARCH(" "&amp;Terms!$A$3:$A$821&amp;" ",$D644))*Terms!B$3:B$821)+Terms!B$2</f>
        <v>-1.2353926945186</v>
      </c>
      <c r="T644" s="0" t="n">
        <f aca="false">SUMPRODUCT(ISNUMBER(SEARCH(" "&amp;Terms!$A$3:$A$821&amp;" ",$D644))*Terms!C$3:C$821)+Terms!C$2</f>
        <v>-5.9117895165539</v>
      </c>
      <c r="U644" s="0" t="n">
        <f aca="false">SUMPRODUCT(ISNUMBER(SEARCH(" "&amp;Terms!$A$3:$A$821&amp;" ",$D644))*Terms!D$3:D$821)+Terms!D$2</f>
        <v>2.17061063993854</v>
      </c>
      <c r="V644" s="0" t="n">
        <f aca="false">SUMPRODUCT(ISNUMBER(SEARCH(" "&amp;Terms!$A$3:$A$821&amp;" ",$D644))*Terms!E$3:E$821)+Terms!E$2</f>
        <v>-1.70639511408487</v>
      </c>
      <c r="W644" s="0" t="n">
        <f aca="false">SUMPRODUCT(ISNUMBER(SEARCH(" "&amp;Terms!$A$3:$A$821&amp;" ",$D644))*Terms!F$3:F$821)+Terms!F$2</f>
        <v>8.54521333071014</v>
      </c>
      <c r="X644" s="0" t="n">
        <f aca="false">SUMPRODUCT(ISNUMBER(SEARCH(" "&amp;Terms!$A$3:$A$821&amp;" ",$D644))*Terms!G$3:G$821)+Terms!G$2</f>
        <v>-1.86224664549123</v>
      </c>
      <c r="Y644" s="0" t="str">
        <f aca="false">INDEX($S$1:$X$1,MATCH(MAX(S644:X644),S644:X644,0))</f>
        <v>Fraud &amp; Scams</v>
      </c>
      <c r="Z644" s="0" t="s">
        <v>2608</v>
      </c>
    </row>
    <row r="645" customFormat="false" ht="15" hidden="false" customHeight="false" outlineLevel="0" collapsed="false">
      <c r="A645" s="0" t="str">
        <f aca="false">Complaints!A645</f>
        <v>C0644</v>
      </c>
      <c r="B645" s="0" t="str">
        <f aca="false">Complaints!B645</f>
        <v>Frankly, You took an overdraft fee even though I was within my limit. Also, i was tricked into moving savings to a safe account that was not safe. Please escalate this.</v>
      </c>
      <c r="C645" s="0" t="str">
        <f aca="false">Complaints!C645</f>
        <v>Fees &amp; Charges</v>
      </c>
      <c r="D645" s="0" t="str">
        <f aca="false">" "&amp;TRIM(SUBSTITUTE(SUBSTITUTE(SUBSTITUTE(SUBSTITUTE(SUBSTITUTE(SUBSTITUTE(SUBSTITUTE(SUBSTITUTE(SUBSTITUTE(SUBSTITUTE(SUBSTITUTE(SUBSTITUTE(SUBSTITUTE(SUBSTITUTE(SUBSTITUTE(SUBSTITUTE(LOWER(B645),"."," "),","," "),"'"," "),"’"," "),"!"," "),"?"," "),";"," "),":"," "),"-"," "),"("," "),")"," "),"""", " "),"£"," "),"&amp;"," "),"/"," "),"%"," "))&amp;" "</f>
        <v> frankly you took an overdraft fee even though i was within my limit also i was tricked into moving savings to a safe account that was not safe please escalate this </v>
      </c>
      <c r="E645" s="0" t="n">
        <f aca="false">SUMPRODUCT((Rules!$A$2:$A$60=E$1)*Rules!$C$2:$C$60*ISNUMBER(SEARCH(Rules!$D$2:$D$60,$D645)))</f>
        <v>2</v>
      </c>
      <c r="F645" s="0" t="n">
        <f aca="false">SUMPRODUCT((Rules!$A$2:$A$60=F$1)*Rules!$C$2:$C$60*ISNUMBER(SEARCH(Rules!$D$2:$D$60,$D645)))</f>
        <v>0</v>
      </c>
      <c r="G645" s="0" t="n">
        <f aca="false">SUMPRODUCT((Rules!$A$2:$A$60=G$1)*Rules!$C$2:$C$60*ISNUMBER(SEARCH(Rules!$D$2:$D$60,$D645)))</f>
        <v>0</v>
      </c>
      <c r="H645" s="0" t="n">
        <f aca="false">SUMPRODUCT((Rules!$A$2:$A$60=H$1)*Rules!$C$2:$C$60*ISNUMBER(SEARCH(Rules!$D$2:$D$60,$D645)))</f>
        <v>2</v>
      </c>
      <c r="I645" s="0" t="n">
        <f aca="false">SUMPRODUCT((Rules!$A$2:$A$60=I$1)*Rules!$C$2:$C$60*ISNUMBER(SEARCH(Rules!$D$2:$D$60,$D645)))</f>
        <v>0</v>
      </c>
      <c r="J645" s="0" t="n">
        <f aca="false">SUMPRODUCT((Rules!$A$2:$A$60=J$1)*Rules!$C$2:$C$60*ISNUMBER(SEARCH(Rules!$D$2:$D$60,$D645)))</f>
        <v>0</v>
      </c>
      <c r="K645" s="0" t="str">
        <f aca="false">IF(OR(MAX(E645:J645)&lt;Rules!$H$1,MAX(E645:J645)-LARGE(E645:J645,2)&lt;Rules!$H$2),"No label",INDEX($E$1:$J$1,MATCH(MAX(E645:J645),E645:J645,0)))</f>
        <v>No label</v>
      </c>
      <c r="L645" s="0" t="n">
        <f aca="false">SUMPRODUCT((Rules!$A$2:$A$60=L$1)*Rules!$C$2:$C$60*ISNUMBER(SEARCH(Rules!$E$2:$E$60,$D645)))</f>
        <v>2</v>
      </c>
      <c r="M645" s="0" t="n">
        <f aca="false">SUMPRODUCT((Rules!$A$2:$A$60=M$1)*Rules!$C$2:$C$60*ISNUMBER(SEARCH(Rules!$E$2:$E$60,$D645)))</f>
        <v>0</v>
      </c>
      <c r="N645" s="0" t="n">
        <f aca="false">SUMPRODUCT((Rules!$A$2:$A$60=N$1)*Rules!$C$2:$C$60*ISNUMBER(SEARCH(Rules!$E$2:$E$60,$D645)))</f>
        <v>0</v>
      </c>
      <c r="O645" s="0" t="n">
        <f aca="false">SUMPRODUCT((Rules!$A$2:$A$60=O$1)*Rules!$C$2:$C$60*ISNUMBER(SEARCH(Rules!$E$2:$E$60,$D645)))</f>
        <v>2</v>
      </c>
      <c r="P645" s="0" t="n">
        <f aca="false">SUMPRODUCT((Rules!$A$2:$A$60=P$1)*Rules!$C$2:$C$60*ISNUMBER(SEARCH(Rules!$E$2:$E$60,$D645)))</f>
        <v>0</v>
      </c>
      <c r="Q645" s="0" t="n">
        <f aca="false">SUMPRODUCT((Rules!$A$2:$A$60=Q$1)*Rules!$C$2:$C$60*ISNUMBER(SEARCH(Rules!$E$2:$E$60,$D645)))</f>
        <v>0</v>
      </c>
      <c r="R645" s="0" t="str">
        <f aca="false">IF(OR(MAX(L645:Q645)&lt;Rules!$H$1,MAX(L645:Q645)-LARGE(L645:Q645,2)&lt;Rules!$H$2),"No label",INDEX($L$1:$Q$1,MATCH(MAX(L645:Q645),L645:Q645,0)))</f>
        <v>No label</v>
      </c>
      <c r="S645" s="0" t="n">
        <f aca="false">SUMPRODUCT(ISNUMBER(SEARCH(" "&amp;Terms!$A$3:$A$821&amp;" ",$D645))*Terms!B$3:B$821)+Terms!B$2</f>
        <v>-4.41220164967706</v>
      </c>
      <c r="T645" s="0" t="n">
        <f aca="false">SUMPRODUCT(ISNUMBER(SEARCH(" "&amp;Terms!$A$3:$A$821&amp;" ",$D645))*Terms!C$3:C$821)+Terms!C$2</f>
        <v>-6.49021626310577</v>
      </c>
      <c r="U645" s="0" t="n">
        <f aca="false">SUMPRODUCT(ISNUMBER(SEARCH(" "&amp;Terms!$A$3:$A$821&amp;" ",$D645))*Terms!D$3:D$821)+Terms!D$2</f>
        <v>-1.91831531751038</v>
      </c>
      <c r="V645" s="0" t="n">
        <f aca="false">SUMPRODUCT(ISNUMBER(SEARCH(" "&amp;Terms!$A$3:$A$821&amp;" ",$D645))*Terms!E$3:E$821)+Terms!E$2</f>
        <v>10.6908957246102</v>
      </c>
      <c r="W645" s="0" t="n">
        <f aca="false">SUMPRODUCT(ISNUMBER(SEARCH(" "&amp;Terms!$A$3:$A$821&amp;" ",$D645))*Terms!F$3:F$821)+Terms!F$2</f>
        <v>7.92559620441615</v>
      </c>
      <c r="X645" s="0" t="n">
        <f aca="false">SUMPRODUCT(ISNUMBER(SEARCH(" "&amp;Terms!$A$3:$A$821&amp;" ",$D645))*Terms!G$3:G$821)+Terms!G$2</f>
        <v>-5.7957586987331</v>
      </c>
      <c r="Y645" s="0" t="str">
        <f aca="false">INDEX($S$1:$X$1,MATCH(MAX(S645:X645),S645:X645,0))</f>
        <v>Fees &amp; Charges</v>
      </c>
      <c r="Z645" s="0" t="s">
        <v>2607</v>
      </c>
    </row>
    <row r="646" customFormat="false" ht="15" hidden="false" customHeight="false" outlineLevel="0" collapsed="false">
      <c r="A646" s="0" t="str">
        <f aca="false">Complaints!A646</f>
        <v>C0645</v>
      </c>
      <c r="B646" s="0" t="str">
        <f aca="false">Complaints!B646</f>
        <v>My card reader stopped working and I cannot approve payments. I expect compensation.</v>
      </c>
      <c r="C646" s="0" t="str">
        <f aca="false">Complaints!C646</f>
        <v>Account Access</v>
      </c>
      <c r="D646" s="0" t="str">
        <f aca="false">" "&amp;TRIM(SUBSTITUTE(SUBSTITUTE(SUBSTITUTE(SUBSTITUTE(SUBSTITUTE(SUBSTITUTE(SUBSTITUTE(SUBSTITUTE(SUBSTITUTE(SUBSTITUTE(SUBSTITUTE(SUBSTITUTE(SUBSTITUTE(SUBSTITUTE(SUBSTITUTE(SUBSTITUTE(LOWER(B646),"."," "),","," "),"'"," "),"’"," "),"!"," "),"?"," "),";"," "),":"," "),"-"," "),"("," "),")"," "),"""", " "),"£"," "),"&amp;"," "),"/"," "),"%"," "))&amp;" "</f>
        <v> my card reader stopped working and i cannot approve payments i expect compensation </v>
      </c>
      <c r="E646" s="0" t="n">
        <f aca="false">SUMPRODUCT((Rules!$A$2:$A$60=E$1)*Rules!$C$2:$C$60*ISNUMBER(SEARCH(Rules!$D$2:$D$60,$D646)))</f>
        <v>0</v>
      </c>
      <c r="F646" s="0" t="n">
        <f aca="false">SUMPRODUCT((Rules!$A$2:$A$60=F$1)*Rules!$C$2:$C$60*ISNUMBER(SEARCH(Rules!$D$2:$D$60,$D646)))</f>
        <v>0</v>
      </c>
      <c r="G646" s="0" t="n">
        <f aca="false">SUMPRODUCT((Rules!$A$2:$A$60=G$1)*Rules!$C$2:$C$60*ISNUMBER(SEARCH(Rules!$D$2:$D$60,$D646)))</f>
        <v>0</v>
      </c>
      <c r="H646" s="0" t="n">
        <f aca="false">SUMPRODUCT((Rules!$A$2:$A$60=H$1)*Rules!$C$2:$C$60*ISNUMBER(SEARCH(Rules!$D$2:$D$60,$D646)))</f>
        <v>0</v>
      </c>
      <c r="I646" s="0" t="n">
        <f aca="false">SUMPRODUCT((Rules!$A$2:$A$60=I$1)*Rules!$C$2:$C$60*ISNUMBER(SEARCH(Rules!$D$2:$D$60,$D646)))</f>
        <v>0</v>
      </c>
      <c r="J646" s="0" t="n">
        <f aca="false">SUMPRODUCT((Rules!$A$2:$A$60=J$1)*Rules!$C$2:$C$60*ISNUMBER(SEARCH(Rules!$D$2:$D$60,$D646)))</f>
        <v>0</v>
      </c>
      <c r="K646" s="0" t="str">
        <f aca="false">IF(OR(MAX(E646:J646)&lt;Rules!$H$1,MAX(E646:J646)-LARGE(E646:J646,2)&lt;Rules!$H$2),"No label",INDEX($E$1:$J$1,MATCH(MAX(E646:J646),E646:J646,0)))</f>
        <v>No label</v>
      </c>
      <c r="L646" s="0" t="n">
        <f aca="false">SUMPRODUCT((Rules!$A$2:$A$60=L$1)*Rules!$C$2:$C$60*ISNUMBER(SEARCH(Rules!$E$2:$E$60,$D646)))</f>
        <v>0</v>
      </c>
      <c r="M646" s="0" t="n">
        <f aca="false">SUMPRODUCT((Rules!$A$2:$A$60=M$1)*Rules!$C$2:$C$60*ISNUMBER(SEARCH(Rules!$E$2:$E$60,$D646)))</f>
        <v>0</v>
      </c>
      <c r="N646" s="0" t="n">
        <f aca="false">SUMPRODUCT((Rules!$A$2:$A$60=N$1)*Rules!$C$2:$C$60*ISNUMBER(SEARCH(Rules!$E$2:$E$60,$D646)))</f>
        <v>0</v>
      </c>
      <c r="O646" s="0" t="n">
        <f aca="false">SUMPRODUCT((Rules!$A$2:$A$60=O$1)*Rules!$C$2:$C$60*ISNUMBER(SEARCH(Rules!$E$2:$E$60,$D646)))</f>
        <v>0</v>
      </c>
      <c r="P646" s="0" t="n">
        <f aca="false">SUMPRODUCT((Rules!$A$2:$A$60=P$1)*Rules!$C$2:$C$60*ISNUMBER(SEARCH(Rules!$E$2:$E$60,$D646)))</f>
        <v>0</v>
      </c>
      <c r="Q646" s="0" t="n">
        <f aca="false">SUMPRODUCT((Rules!$A$2:$A$60=Q$1)*Rules!$C$2:$C$60*ISNUMBER(SEARCH(Rules!$E$2:$E$60,$D646)))</f>
        <v>0</v>
      </c>
      <c r="R646" s="0" t="str">
        <f aca="false">IF(OR(MAX(L646:Q646)&lt;Rules!$H$1,MAX(L646:Q646)-LARGE(L646:Q646,2)&lt;Rules!$H$2),"No label",INDEX($L$1:$Q$1,MATCH(MAX(L646:Q646),L646:Q646,0)))</f>
        <v>No label</v>
      </c>
      <c r="S646" s="0" t="n">
        <f aca="false">SUMPRODUCT(ISNUMBER(SEARCH(" "&amp;Terms!$A$3:$A$821&amp;" ",$D646))*Terms!B$3:B$821)+Terms!B$2</f>
        <v>18.19393478497</v>
      </c>
      <c r="T646" s="0" t="n">
        <f aca="false">SUMPRODUCT(ISNUMBER(SEARCH(" "&amp;Terms!$A$3:$A$821&amp;" ",$D646))*Terms!C$3:C$821)+Terms!C$2</f>
        <v>-0.754018800787343</v>
      </c>
      <c r="U646" s="0" t="n">
        <f aca="false">SUMPRODUCT(ISNUMBER(SEARCH(" "&amp;Terms!$A$3:$A$821&amp;" ",$D646))*Terms!D$3:D$821)+Terms!D$2</f>
        <v>-3.89802845544542</v>
      </c>
      <c r="V646" s="0" t="n">
        <f aca="false">SUMPRODUCT(ISNUMBER(SEARCH(" "&amp;Terms!$A$3:$A$821&amp;" ",$D646))*Terms!E$3:E$821)+Terms!E$2</f>
        <v>-5.58315085629</v>
      </c>
      <c r="W646" s="0" t="n">
        <f aca="false">SUMPRODUCT(ISNUMBER(SEARCH(" "&amp;Terms!$A$3:$A$821&amp;" ",$D646))*Terms!F$3:F$821)+Terms!F$2</f>
        <v>1.36201130827039</v>
      </c>
      <c r="X646" s="0" t="n">
        <f aca="false">SUMPRODUCT(ISNUMBER(SEARCH(" "&amp;Terms!$A$3:$A$821&amp;" ",$D646))*Terms!G$3:G$821)+Terms!G$2</f>
        <v>-9.32074798071752</v>
      </c>
      <c r="Y646" s="0" t="str">
        <f aca="false">INDEX($S$1:$X$1,MATCH(MAX(S646:X646),S646:X646,0))</f>
        <v>Account Access</v>
      </c>
      <c r="Z646" s="0" t="s">
        <v>2607</v>
      </c>
    </row>
    <row r="647" customFormat="false" ht="15" hidden="false" customHeight="false" outlineLevel="0" collapsed="false">
      <c r="A647" s="0" t="str">
        <f aca="false">Complaints!A647</f>
        <v>C0646</v>
      </c>
      <c r="B647" s="0" t="str">
        <f aca="false">Complaints!B647</f>
        <v>I have been a customer for years. Nobody explained the foreign transaction charges before my holiday. I would like a response in writing.</v>
      </c>
      <c r="C647" s="0" t="str">
        <f aca="false">Complaints!C647</f>
        <v>Fees &amp; Charges</v>
      </c>
      <c r="D647" s="0" t="str">
        <f aca="false">" "&amp;TRIM(SUBSTITUTE(SUBSTITUTE(SUBSTITUTE(SUBSTITUTE(SUBSTITUTE(SUBSTITUTE(SUBSTITUTE(SUBSTITUTE(SUBSTITUTE(SUBSTITUTE(SUBSTITUTE(SUBSTITUTE(SUBSTITUTE(SUBSTITUTE(SUBSTITUTE(SUBSTITUTE(LOWER(B647),"."," "),","," "),"'"," "),"’"," "),"!"," "),"?"," "),";"," "),":"," "),"-"," "),"("," "),")"," "),"""", " "),"£"," "),"&amp;"," "),"/"," "),"%"," "))&amp;" "</f>
        <v> i have been a customer for years nobody explained the foreign transaction charges before my holiday i would like a response in writing </v>
      </c>
      <c r="E647" s="0" t="n">
        <f aca="false">SUMPRODUCT((Rules!$A$2:$A$60=E$1)*Rules!$C$2:$C$60*ISNUMBER(SEARCH(Rules!$D$2:$D$60,$D647)))</f>
        <v>0</v>
      </c>
      <c r="F647" s="0" t="n">
        <f aca="false">SUMPRODUCT((Rules!$A$2:$A$60=F$1)*Rules!$C$2:$C$60*ISNUMBER(SEARCH(Rules!$D$2:$D$60,$D647)))</f>
        <v>0</v>
      </c>
      <c r="G647" s="0" t="n">
        <f aca="false">SUMPRODUCT((Rules!$A$2:$A$60=G$1)*Rules!$C$2:$C$60*ISNUMBER(SEARCH(Rules!$D$2:$D$60,$D647)))</f>
        <v>0</v>
      </c>
      <c r="H647" s="0" t="n">
        <f aca="false">SUMPRODUCT((Rules!$A$2:$A$60=H$1)*Rules!$C$2:$C$60*ISNUMBER(SEARCH(Rules!$D$2:$D$60,$D647)))</f>
        <v>0</v>
      </c>
      <c r="I647" s="0" t="n">
        <f aca="false">SUMPRODUCT((Rules!$A$2:$A$60=I$1)*Rules!$C$2:$C$60*ISNUMBER(SEARCH(Rules!$D$2:$D$60,$D647)))</f>
        <v>0</v>
      </c>
      <c r="J647" s="0" t="n">
        <f aca="false">SUMPRODUCT((Rules!$A$2:$A$60=J$1)*Rules!$C$2:$C$60*ISNUMBER(SEARCH(Rules!$D$2:$D$60,$D647)))</f>
        <v>0</v>
      </c>
      <c r="K647" s="0" t="str">
        <f aca="false">IF(OR(MAX(E647:J647)&lt;Rules!$H$1,MAX(E647:J647)-LARGE(E647:J647,2)&lt;Rules!$H$2),"No label",INDEX($E$1:$J$1,MATCH(MAX(E647:J647),E647:J647,0)))</f>
        <v>No label</v>
      </c>
      <c r="L647" s="0" t="n">
        <f aca="false">SUMPRODUCT((Rules!$A$2:$A$60=L$1)*Rules!$C$2:$C$60*ISNUMBER(SEARCH(Rules!$E$2:$E$60,$D647)))</f>
        <v>0</v>
      </c>
      <c r="M647" s="0" t="n">
        <f aca="false">SUMPRODUCT((Rules!$A$2:$A$60=M$1)*Rules!$C$2:$C$60*ISNUMBER(SEARCH(Rules!$E$2:$E$60,$D647)))</f>
        <v>0</v>
      </c>
      <c r="N647" s="0" t="n">
        <f aca="false">SUMPRODUCT((Rules!$A$2:$A$60=N$1)*Rules!$C$2:$C$60*ISNUMBER(SEARCH(Rules!$E$2:$E$60,$D647)))</f>
        <v>0</v>
      </c>
      <c r="O647" s="0" t="n">
        <f aca="false">SUMPRODUCT((Rules!$A$2:$A$60=O$1)*Rules!$C$2:$C$60*ISNUMBER(SEARCH(Rules!$E$2:$E$60,$D647)))</f>
        <v>4</v>
      </c>
      <c r="P647" s="0" t="n">
        <f aca="false">SUMPRODUCT((Rules!$A$2:$A$60=P$1)*Rules!$C$2:$C$60*ISNUMBER(SEARCH(Rules!$E$2:$E$60,$D647)))</f>
        <v>0</v>
      </c>
      <c r="Q647" s="0" t="n">
        <f aca="false">SUMPRODUCT((Rules!$A$2:$A$60=Q$1)*Rules!$C$2:$C$60*ISNUMBER(SEARCH(Rules!$E$2:$E$60,$D647)))</f>
        <v>0</v>
      </c>
      <c r="R647" s="0" t="str">
        <f aca="false">IF(OR(MAX(L647:Q647)&lt;Rules!$H$1,MAX(L647:Q647)-LARGE(L647:Q647,2)&lt;Rules!$H$2),"No label",INDEX($L$1:$Q$1,MATCH(MAX(L647:Q647),L647:Q647,0)))</f>
        <v>Fees &amp; Charges</v>
      </c>
      <c r="S647" s="0" t="n">
        <f aca="false">SUMPRODUCT(ISNUMBER(SEARCH(" "&amp;Terms!$A$3:$A$821&amp;" ",$D647))*Terms!B$3:B$821)+Terms!B$2</f>
        <v>-0.267730900936097</v>
      </c>
      <c r="T647" s="0" t="n">
        <f aca="false">SUMPRODUCT(ISNUMBER(SEARCH(" "&amp;Terms!$A$3:$A$821&amp;" ",$D647))*Terms!C$3:C$821)+Terms!C$2</f>
        <v>-0.646172264843616</v>
      </c>
      <c r="U647" s="0" t="n">
        <f aca="false">SUMPRODUCT(ISNUMBER(SEARCH(" "&amp;Terms!$A$3:$A$821&amp;" ",$D647))*Terms!D$3:D$821)+Terms!D$2</f>
        <v>-2.02767591651313</v>
      </c>
      <c r="V647" s="0" t="n">
        <f aca="false">SUMPRODUCT(ISNUMBER(SEARCH(" "&amp;Terms!$A$3:$A$821&amp;" ",$D647))*Terms!E$3:E$821)+Terms!E$2</f>
        <v>9.9764798788925</v>
      </c>
      <c r="W647" s="0" t="n">
        <f aca="false">SUMPRODUCT(ISNUMBER(SEARCH(" "&amp;Terms!$A$3:$A$821&amp;" ",$D647))*Terms!F$3:F$821)+Terms!F$2</f>
        <v>-5.32184638964353</v>
      </c>
      <c r="X647" s="0" t="n">
        <f aca="false">SUMPRODUCT(ISNUMBER(SEARCH(" "&amp;Terms!$A$3:$A$821&amp;" ",$D647))*Terms!G$3:G$821)+Terms!G$2</f>
        <v>-1.71305440695604</v>
      </c>
      <c r="Y647" s="0" t="str">
        <f aca="false">INDEX($S$1:$X$1,MATCH(MAX(S647:X647),S647:X647,0))</f>
        <v>Fees &amp; Charges</v>
      </c>
      <c r="Z647" s="0" t="s">
        <v>2607</v>
      </c>
    </row>
    <row r="648" customFormat="false" ht="15" hidden="false" customHeight="false" outlineLevel="0" collapsed="false">
      <c r="A648" s="0" t="str">
        <f aca="false">Complaints!A648</f>
        <v>C0647</v>
      </c>
      <c r="B648" s="0" t="str">
        <f aca="false">Complaints!B648</f>
        <v>I have been a customer for years. The website will not let me register for online access. Please sort this out.</v>
      </c>
      <c r="C648" s="0" t="str">
        <f aca="false">Complaints!C648</f>
        <v>Account Access</v>
      </c>
      <c r="D648" s="0" t="str">
        <f aca="false">" "&amp;TRIM(SUBSTITUTE(SUBSTITUTE(SUBSTITUTE(SUBSTITUTE(SUBSTITUTE(SUBSTITUTE(SUBSTITUTE(SUBSTITUTE(SUBSTITUTE(SUBSTITUTE(SUBSTITUTE(SUBSTITUTE(SUBSTITUTE(SUBSTITUTE(SUBSTITUTE(SUBSTITUTE(LOWER(B648),"."," "),","," "),"'"," "),"’"," "),"!"," "),"?"," "),";"," "),":"," "),"-"," "),"("," "),")"," "),"""", " "),"£"," "),"&amp;"," "),"/"," "),"%"," "))&amp;" "</f>
        <v> i have been a customer for years the website will not let me register for online access please sort this out </v>
      </c>
      <c r="E648" s="0" t="n">
        <f aca="false">SUMPRODUCT((Rules!$A$2:$A$60=E$1)*Rules!$C$2:$C$60*ISNUMBER(SEARCH(Rules!$D$2:$D$60,$D648)))</f>
        <v>0</v>
      </c>
      <c r="F648" s="0" t="n">
        <f aca="false">SUMPRODUCT((Rules!$A$2:$A$60=F$1)*Rules!$C$2:$C$60*ISNUMBER(SEARCH(Rules!$D$2:$D$60,$D648)))</f>
        <v>0</v>
      </c>
      <c r="G648" s="0" t="n">
        <f aca="false">SUMPRODUCT((Rules!$A$2:$A$60=G$1)*Rules!$C$2:$C$60*ISNUMBER(SEARCH(Rules!$D$2:$D$60,$D648)))</f>
        <v>1</v>
      </c>
      <c r="H648" s="0" t="n">
        <f aca="false">SUMPRODUCT((Rules!$A$2:$A$60=H$1)*Rules!$C$2:$C$60*ISNUMBER(SEARCH(Rules!$D$2:$D$60,$D648)))</f>
        <v>0</v>
      </c>
      <c r="I648" s="0" t="n">
        <f aca="false">SUMPRODUCT((Rules!$A$2:$A$60=I$1)*Rules!$C$2:$C$60*ISNUMBER(SEARCH(Rules!$D$2:$D$60,$D648)))</f>
        <v>0</v>
      </c>
      <c r="J648" s="0" t="n">
        <f aca="false">SUMPRODUCT((Rules!$A$2:$A$60=J$1)*Rules!$C$2:$C$60*ISNUMBER(SEARCH(Rules!$D$2:$D$60,$D648)))</f>
        <v>0</v>
      </c>
      <c r="K648" s="0" t="str">
        <f aca="false">IF(OR(MAX(E648:J648)&lt;Rules!$H$1,MAX(E648:J648)-LARGE(E648:J648,2)&lt;Rules!$H$2),"No label",INDEX($E$1:$J$1,MATCH(MAX(E648:J648),E648:J648,0)))</f>
        <v>No label</v>
      </c>
      <c r="L648" s="0" t="n">
        <f aca="false">SUMPRODUCT((Rules!$A$2:$A$60=L$1)*Rules!$C$2:$C$60*ISNUMBER(SEARCH(Rules!$E$2:$E$60,$D648)))</f>
        <v>0</v>
      </c>
      <c r="M648" s="0" t="n">
        <f aca="false">SUMPRODUCT((Rules!$A$2:$A$60=M$1)*Rules!$C$2:$C$60*ISNUMBER(SEARCH(Rules!$E$2:$E$60,$D648)))</f>
        <v>0</v>
      </c>
      <c r="N648" s="0" t="n">
        <f aca="false">SUMPRODUCT((Rules!$A$2:$A$60=N$1)*Rules!$C$2:$C$60*ISNUMBER(SEARCH(Rules!$E$2:$E$60,$D648)))</f>
        <v>1</v>
      </c>
      <c r="O648" s="0" t="n">
        <f aca="false">SUMPRODUCT((Rules!$A$2:$A$60=O$1)*Rules!$C$2:$C$60*ISNUMBER(SEARCH(Rules!$E$2:$E$60,$D648)))</f>
        <v>0</v>
      </c>
      <c r="P648" s="0" t="n">
        <f aca="false">SUMPRODUCT((Rules!$A$2:$A$60=P$1)*Rules!$C$2:$C$60*ISNUMBER(SEARCH(Rules!$E$2:$E$60,$D648)))</f>
        <v>0</v>
      </c>
      <c r="Q648" s="0" t="n">
        <f aca="false">SUMPRODUCT((Rules!$A$2:$A$60=Q$1)*Rules!$C$2:$C$60*ISNUMBER(SEARCH(Rules!$E$2:$E$60,$D648)))</f>
        <v>0</v>
      </c>
      <c r="R648" s="0" t="str">
        <f aca="false">IF(OR(MAX(L648:Q648)&lt;Rules!$H$1,MAX(L648:Q648)-LARGE(L648:Q648,2)&lt;Rules!$H$2),"No label",INDEX($L$1:$Q$1,MATCH(MAX(L648:Q648),L648:Q648,0)))</f>
        <v>No label</v>
      </c>
      <c r="S648" s="0" t="n">
        <f aca="false">SUMPRODUCT(ISNUMBER(SEARCH(" "&amp;Terms!$A$3:$A$821&amp;" ",$D648))*Terms!B$3:B$821)+Terms!B$2</f>
        <v>8.19704349594187</v>
      </c>
      <c r="T648" s="0" t="n">
        <f aca="false">SUMPRODUCT(ISNUMBER(SEARCH(" "&amp;Terms!$A$3:$A$821&amp;" ",$D648))*Terms!C$3:C$821)+Terms!C$2</f>
        <v>-2.48514102172645</v>
      </c>
      <c r="U648" s="0" t="n">
        <f aca="false">SUMPRODUCT(ISNUMBER(SEARCH(" "&amp;Terms!$A$3:$A$821&amp;" ",$D648))*Terms!D$3:D$821)+Terms!D$2</f>
        <v>-0.632022350774252</v>
      </c>
      <c r="V648" s="0" t="n">
        <f aca="false">SUMPRODUCT(ISNUMBER(SEARCH(" "&amp;Terms!$A$3:$A$821&amp;" ",$D648))*Terms!E$3:E$821)+Terms!E$2</f>
        <v>-1.9929350300482</v>
      </c>
      <c r="W648" s="0" t="n">
        <f aca="false">SUMPRODUCT(ISNUMBER(SEARCH(" "&amp;Terms!$A$3:$A$821&amp;" ",$D648))*Terms!F$3:F$821)+Terms!F$2</f>
        <v>-2.23013499456071</v>
      </c>
      <c r="X648" s="0" t="n">
        <f aca="false">SUMPRODUCT(ISNUMBER(SEARCH(" "&amp;Terms!$A$3:$A$821&amp;" ",$D648))*Terms!G$3:G$821)+Terms!G$2</f>
        <v>-0.856810098832177</v>
      </c>
      <c r="Y648" s="0" t="str">
        <f aca="false">INDEX($S$1:$X$1,MATCH(MAX(S648:X648),S648:X648,0))</f>
        <v>Account Access</v>
      </c>
      <c r="Z648" s="0" t="s">
        <v>2608</v>
      </c>
    </row>
    <row r="649" customFormat="false" ht="15" hidden="false" customHeight="false" outlineLevel="0" collapsed="false">
      <c r="A649" s="0" t="str">
        <f aca="false">Complaints!A649</f>
        <v>C0648</v>
      </c>
      <c r="B649" s="0" t="str">
        <f aca="false">Complaints!B649</f>
        <v>A fake text message led me to a website and my money disappeared. I would like a response in writing.</v>
      </c>
      <c r="C649" s="0" t="str">
        <f aca="false">Complaints!C649</f>
        <v>Fraud &amp; Scams</v>
      </c>
      <c r="D649" s="0" t="str">
        <f aca="false">" "&amp;TRIM(SUBSTITUTE(SUBSTITUTE(SUBSTITUTE(SUBSTITUTE(SUBSTITUTE(SUBSTITUTE(SUBSTITUTE(SUBSTITUTE(SUBSTITUTE(SUBSTITUTE(SUBSTITUTE(SUBSTITUTE(SUBSTITUTE(SUBSTITUTE(SUBSTITUTE(SUBSTITUTE(LOWER(B649),"."," "),","," "),"'"," "),"’"," "),"!"," "),"?"," "),";"," "),":"," "),"-"," "),"("," "),")"," "),"""", " "),"£"," "),"&amp;"," "),"/"," "),"%"," "))&amp;" "</f>
        <v> a fake text message led me to a website and my money disappeared i would like a response in writing </v>
      </c>
      <c r="E649" s="0" t="n">
        <f aca="false">SUMPRODUCT((Rules!$A$2:$A$60=E$1)*Rules!$C$2:$C$60*ISNUMBER(SEARCH(Rules!$D$2:$D$60,$D649)))</f>
        <v>2</v>
      </c>
      <c r="F649" s="0" t="n">
        <f aca="false">SUMPRODUCT((Rules!$A$2:$A$60=F$1)*Rules!$C$2:$C$60*ISNUMBER(SEARCH(Rules!$D$2:$D$60,$D649)))</f>
        <v>0</v>
      </c>
      <c r="G649" s="0" t="n">
        <f aca="false">SUMPRODUCT((Rules!$A$2:$A$60=G$1)*Rules!$C$2:$C$60*ISNUMBER(SEARCH(Rules!$D$2:$D$60,$D649)))</f>
        <v>0</v>
      </c>
      <c r="H649" s="0" t="n">
        <f aca="false">SUMPRODUCT((Rules!$A$2:$A$60=H$1)*Rules!$C$2:$C$60*ISNUMBER(SEARCH(Rules!$D$2:$D$60,$D649)))</f>
        <v>0</v>
      </c>
      <c r="I649" s="0" t="n">
        <f aca="false">SUMPRODUCT((Rules!$A$2:$A$60=I$1)*Rules!$C$2:$C$60*ISNUMBER(SEARCH(Rules!$D$2:$D$60,$D649)))</f>
        <v>0</v>
      </c>
      <c r="J649" s="0" t="n">
        <f aca="false">SUMPRODUCT((Rules!$A$2:$A$60=J$1)*Rules!$C$2:$C$60*ISNUMBER(SEARCH(Rules!$D$2:$D$60,$D649)))</f>
        <v>0</v>
      </c>
      <c r="K649" s="0" t="str">
        <f aca="false">IF(OR(MAX(E649:J649)&lt;Rules!$H$1,MAX(E649:J649)-LARGE(E649:J649,2)&lt;Rules!$H$2),"No label",INDEX($E$1:$J$1,MATCH(MAX(E649:J649),E649:J649,0)))</f>
        <v>No label</v>
      </c>
      <c r="L649" s="0" t="n">
        <f aca="false">SUMPRODUCT((Rules!$A$2:$A$60=L$1)*Rules!$C$2:$C$60*ISNUMBER(SEARCH(Rules!$E$2:$E$60,$D649)))</f>
        <v>2</v>
      </c>
      <c r="M649" s="0" t="n">
        <f aca="false">SUMPRODUCT((Rules!$A$2:$A$60=M$1)*Rules!$C$2:$C$60*ISNUMBER(SEARCH(Rules!$E$2:$E$60,$D649)))</f>
        <v>0</v>
      </c>
      <c r="N649" s="0" t="n">
        <f aca="false">SUMPRODUCT((Rules!$A$2:$A$60=N$1)*Rules!$C$2:$C$60*ISNUMBER(SEARCH(Rules!$E$2:$E$60,$D649)))</f>
        <v>0</v>
      </c>
      <c r="O649" s="0" t="n">
        <f aca="false">SUMPRODUCT((Rules!$A$2:$A$60=O$1)*Rules!$C$2:$C$60*ISNUMBER(SEARCH(Rules!$E$2:$E$60,$D649)))</f>
        <v>0</v>
      </c>
      <c r="P649" s="0" t="n">
        <f aca="false">SUMPRODUCT((Rules!$A$2:$A$60=P$1)*Rules!$C$2:$C$60*ISNUMBER(SEARCH(Rules!$E$2:$E$60,$D649)))</f>
        <v>0</v>
      </c>
      <c r="Q649" s="0" t="n">
        <f aca="false">SUMPRODUCT((Rules!$A$2:$A$60=Q$1)*Rules!$C$2:$C$60*ISNUMBER(SEARCH(Rules!$E$2:$E$60,$D649)))</f>
        <v>0</v>
      </c>
      <c r="R649" s="0" t="str">
        <f aca="false">IF(OR(MAX(L649:Q649)&lt;Rules!$H$1,MAX(L649:Q649)-LARGE(L649:Q649,2)&lt;Rules!$H$2),"No label",INDEX($L$1:$Q$1,MATCH(MAX(L649:Q649),L649:Q649,0)))</f>
        <v>No label</v>
      </c>
      <c r="S649" s="0" t="n">
        <f aca="false">SUMPRODUCT(ISNUMBER(SEARCH(" "&amp;Terms!$A$3:$A$821&amp;" ",$D649))*Terms!B$3:B$821)+Terms!B$2</f>
        <v>0.560332875739351</v>
      </c>
      <c r="T649" s="0" t="n">
        <f aca="false">SUMPRODUCT(ISNUMBER(SEARCH(" "&amp;Terms!$A$3:$A$821&amp;" ",$D649))*Terms!C$3:C$821)+Terms!C$2</f>
        <v>-3.20732277459501</v>
      </c>
      <c r="U649" s="0" t="n">
        <f aca="false">SUMPRODUCT(ISNUMBER(SEARCH(" "&amp;Terms!$A$3:$A$821&amp;" ",$D649))*Terms!D$3:D$821)+Terms!D$2</f>
        <v>-1.74257544171515</v>
      </c>
      <c r="V649" s="0" t="n">
        <f aca="false">SUMPRODUCT(ISNUMBER(SEARCH(" "&amp;Terms!$A$3:$A$821&amp;" ",$D649))*Terms!E$3:E$821)+Terms!E$2</f>
        <v>-7.0992710768009</v>
      </c>
      <c r="W649" s="0" t="n">
        <f aca="false">SUMPRODUCT(ISNUMBER(SEARCH(" "&amp;Terms!$A$3:$A$821&amp;" ",$D649))*Terms!F$3:F$821)+Terms!F$2</f>
        <v>9.5357292531488</v>
      </c>
      <c r="X649" s="0" t="n">
        <f aca="false">SUMPRODUCT(ISNUMBER(SEARCH(" "&amp;Terms!$A$3:$A$821&amp;" ",$D649))*Terms!G$3:G$821)+Terms!G$2</f>
        <v>1.95310716422299</v>
      </c>
      <c r="Y649" s="0" t="str">
        <f aca="false">INDEX($S$1:$X$1,MATCH(MAX(S649:X649),S649:X649,0))</f>
        <v>Fraud &amp; Scams</v>
      </c>
      <c r="Z649" s="0" t="s">
        <v>2607</v>
      </c>
    </row>
    <row r="650" customFormat="false" ht="15" hidden="false" customHeight="false" outlineLevel="0" collapsed="false">
      <c r="A650" s="0" t="str">
        <f aca="false">Complaints!A650</f>
        <v>C0649</v>
      </c>
      <c r="B650" s="0" t="str">
        <f aca="false">Complaints!B650</f>
        <v>I think I was the victim of a scam and sent money to a fraudster.</v>
      </c>
      <c r="C650" s="0" t="str">
        <f aca="false">Complaints!C650</f>
        <v>Fraud &amp; Scams</v>
      </c>
      <c r="D650" s="0" t="str">
        <f aca="false">" "&amp;TRIM(SUBSTITUTE(SUBSTITUTE(SUBSTITUTE(SUBSTITUTE(SUBSTITUTE(SUBSTITUTE(SUBSTITUTE(SUBSTITUTE(SUBSTITUTE(SUBSTITUTE(SUBSTITUTE(SUBSTITUTE(SUBSTITUTE(SUBSTITUTE(SUBSTITUTE(SUBSTITUTE(LOWER(B650),"."," "),","," "),"'"," "),"’"," "),"!"," "),"?"," "),";"," "),":"," "),"-"," "),"("," "),")"," "),"""", " "),"£"," "),"&amp;"," "),"/"," "),"%"," "))&amp;" "</f>
        <v> i think i was the victim of a scam and sent money to a fraudster </v>
      </c>
      <c r="E650" s="0" t="n">
        <f aca="false">SUMPRODUCT((Rules!$A$2:$A$60=E$1)*Rules!$C$2:$C$60*ISNUMBER(SEARCH(Rules!$D$2:$D$60,$D650)))</f>
        <v>6</v>
      </c>
      <c r="F650" s="0" t="n">
        <f aca="false">SUMPRODUCT((Rules!$A$2:$A$60=F$1)*Rules!$C$2:$C$60*ISNUMBER(SEARCH(Rules!$D$2:$D$60,$D650)))</f>
        <v>0</v>
      </c>
      <c r="G650" s="0" t="n">
        <f aca="false">SUMPRODUCT((Rules!$A$2:$A$60=G$1)*Rules!$C$2:$C$60*ISNUMBER(SEARCH(Rules!$D$2:$D$60,$D650)))</f>
        <v>0</v>
      </c>
      <c r="H650" s="0" t="n">
        <f aca="false">SUMPRODUCT((Rules!$A$2:$A$60=H$1)*Rules!$C$2:$C$60*ISNUMBER(SEARCH(Rules!$D$2:$D$60,$D650)))</f>
        <v>0</v>
      </c>
      <c r="I650" s="0" t="n">
        <f aca="false">SUMPRODUCT((Rules!$A$2:$A$60=I$1)*Rules!$C$2:$C$60*ISNUMBER(SEARCH(Rules!$D$2:$D$60,$D650)))</f>
        <v>0</v>
      </c>
      <c r="J650" s="0" t="n">
        <f aca="false">SUMPRODUCT((Rules!$A$2:$A$60=J$1)*Rules!$C$2:$C$60*ISNUMBER(SEARCH(Rules!$D$2:$D$60,$D650)))</f>
        <v>0</v>
      </c>
      <c r="K650" s="0" t="str">
        <f aca="false">IF(OR(MAX(E650:J650)&lt;Rules!$H$1,MAX(E650:J650)-LARGE(E650:J650,2)&lt;Rules!$H$2),"No label",INDEX($E$1:$J$1,MATCH(MAX(E650:J650),E650:J650,0)))</f>
        <v>Fraud &amp; Scams</v>
      </c>
      <c r="L650" s="0" t="n">
        <f aca="false">SUMPRODUCT((Rules!$A$2:$A$60=L$1)*Rules!$C$2:$C$60*ISNUMBER(SEARCH(Rules!$E$2:$E$60,$D650)))</f>
        <v>6</v>
      </c>
      <c r="M650" s="0" t="n">
        <f aca="false">SUMPRODUCT((Rules!$A$2:$A$60=M$1)*Rules!$C$2:$C$60*ISNUMBER(SEARCH(Rules!$E$2:$E$60,$D650)))</f>
        <v>0</v>
      </c>
      <c r="N650" s="0" t="n">
        <f aca="false">SUMPRODUCT((Rules!$A$2:$A$60=N$1)*Rules!$C$2:$C$60*ISNUMBER(SEARCH(Rules!$E$2:$E$60,$D650)))</f>
        <v>0</v>
      </c>
      <c r="O650" s="0" t="n">
        <f aca="false">SUMPRODUCT((Rules!$A$2:$A$60=O$1)*Rules!$C$2:$C$60*ISNUMBER(SEARCH(Rules!$E$2:$E$60,$D650)))</f>
        <v>0</v>
      </c>
      <c r="P650" s="0" t="n">
        <f aca="false">SUMPRODUCT((Rules!$A$2:$A$60=P$1)*Rules!$C$2:$C$60*ISNUMBER(SEARCH(Rules!$E$2:$E$60,$D650)))</f>
        <v>0</v>
      </c>
      <c r="Q650" s="0" t="n">
        <f aca="false">SUMPRODUCT((Rules!$A$2:$A$60=Q$1)*Rules!$C$2:$C$60*ISNUMBER(SEARCH(Rules!$E$2:$E$60,$D650)))</f>
        <v>0</v>
      </c>
      <c r="R650" s="0" t="str">
        <f aca="false">IF(OR(MAX(L650:Q650)&lt;Rules!$H$1,MAX(L650:Q650)-LARGE(L650:Q650,2)&lt;Rules!$H$2),"No label",INDEX($L$1:$Q$1,MATCH(MAX(L650:Q650),L650:Q650,0)))</f>
        <v>Fraud &amp; Scams</v>
      </c>
      <c r="S650" s="0" t="n">
        <f aca="false">SUMPRODUCT(ISNUMBER(SEARCH(" "&amp;Terms!$A$3:$A$821&amp;" ",$D650))*Terms!B$3:B$821)+Terms!B$2</f>
        <v>-0.0753879311780343</v>
      </c>
      <c r="T650" s="0" t="n">
        <f aca="false">SUMPRODUCT(ISNUMBER(SEARCH(" "&amp;Terms!$A$3:$A$821&amp;" ",$D650))*Terms!C$3:C$821)+Terms!C$2</f>
        <v>-4.04765553281817</v>
      </c>
      <c r="U650" s="0" t="n">
        <f aca="false">SUMPRODUCT(ISNUMBER(SEARCH(" "&amp;Terms!$A$3:$A$821&amp;" ",$D650))*Terms!D$3:D$821)+Terms!D$2</f>
        <v>-0.498111054495196</v>
      </c>
      <c r="V650" s="0" t="n">
        <f aca="false">SUMPRODUCT(ISNUMBER(SEARCH(" "&amp;Terms!$A$3:$A$821&amp;" ",$D650))*Terms!E$3:E$821)+Terms!E$2</f>
        <v>-2.46242812171506</v>
      </c>
      <c r="W650" s="0" t="n">
        <f aca="false">SUMPRODUCT(ISNUMBER(SEARCH(" "&amp;Terms!$A$3:$A$821&amp;" ",$D650))*Terms!F$3:F$821)+Terms!F$2</f>
        <v>9.21829001937073</v>
      </c>
      <c r="X650" s="0" t="n">
        <f aca="false">SUMPRODUCT(ISNUMBER(SEARCH(" "&amp;Terms!$A$3:$A$821&amp;" ",$D650))*Terms!G$3:G$821)+Terms!G$2</f>
        <v>-2.13470737916418</v>
      </c>
      <c r="Y650" s="0" t="str">
        <f aca="false">INDEX($S$1:$X$1,MATCH(MAX(S650:X650),S650:X650,0))</f>
        <v>Fraud &amp; Scams</v>
      </c>
      <c r="Z650" s="0" t="s">
        <v>2607</v>
      </c>
    </row>
    <row r="651" customFormat="false" ht="15" hidden="false" customHeight="false" outlineLevel="0" collapsed="false">
      <c r="A651" s="0" t="str">
        <f aca="false">Complaints!A651</f>
        <v>C0650</v>
      </c>
      <c r="B651" s="0" t="str">
        <f aca="false">Complaints!B651</f>
        <v>I was charged a monthly fee that nobody told me about. I would like a response in writing.</v>
      </c>
      <c r="C651" s="0" t="str">
        <f aca="false">Complaints!C651</f>
        <v>Fees &amp; Charges</v>
      </c>
      <c r="D651" s="0" t="str">
        <f aca="false">" "&amp;TRIM(SUBSTITUTE(SUBSTITUTE(SUBSTITUTE(SUBSTITUTE(SUBSTITUTE(SUBSTITUTE(SUBSTITUTE(SUBSTITUTE(SUBSTITUTE(SUBSTITUTE(SUBSTITUTE(SUBSTITUTE(SUBSTITUTE(SUBSTITUTE(SUBSTITUTE(SUBSTITUTE(LOWER(B651),"."," "),","," "),"'"," "),"’"," "),"!"," "),"?"," "),";"," "),":"," "),"-"," "),"("," "),")"," "),"""", " "),"£"," "),"&amp;"," "),"/"," "),"%"," "))&amp;" "</f>
        <v> i was charged a monthly fee that nobody told me about i would like a response in writing </v>
      </c>
      <c r="E651" s="0" t="n">
        <f aca="false">SUMPRODUCT((Rules!$A$2:$A$60=E$1)*Rules!$C$2:$C$60*ISNUMBER(SEARCH(Rules!$D$2:$D$60,$D651)))</f>
        <v>0</v>
      </c>
      <c r="F651" s="0" t="n">
        <f aca="false">SUMPRODUCT((Rules!$A$2:$A$60=F$1)*Rules!$C$2:$C$60*ISNUMBER(SEARCH(Rules!$D$2:$D$60,$D651)))</f>
        <v>0</v>
      </c>
      <c r="G651" s="0" t="n">
        <f aca="false">SUMPRODUCT((Rules!$A$2:$A$60=G$1)*Rules!$C$2:$C$60*ISNUMBER(SEARCH(Rules!$D$2:$D$60,$D651)))</f>
        <v>0</v>
      </c>
      <c r="H651" s="0" t="n">
        <f aca="false">SUMPRODUCT((Rules!$A$2:$A$60=H$1)*Rules!$C$2:$C$60*ISNUMBER(SEARCH(Rules!$D$2:$D$60,$D651)))</f>
        <v>4</v>
      </c>
      <c r="I651" s="0" t="n">
        <f aca="false">SUMPRODUCT((Rules!$A$2:$A$60=I$1)*Rules!$C$2:$C$60*ISNUMBER(SEARCH(Rules!$D$2:$D$60,$D651)))</f>
        <v>0</v>
      </c>
      <c r="J651" s="0" t="n">
        <f aca="false">SUMPRODUCT((Rules!$A$2:$A$60=J$1)*Rules!$C$2:$C$60*ISNUMBER(SEARCH(Rules!$D$2:$D$60,$D651)))</f>
        <v>0</v>
      </c>
      <c r="K651" s="0" t="str">
        <f aca="false">IF(OR(MAX(E651:J651)&lt;Rules!$H$1,MAX(E651:J651)-LARGE(E651:J651,2)&lt;Rules!$H$2),"No label",INDEX($E$1:$J$1,MATCH(MAX(E651:J651),E651:J651,0)))</f>
        <v>Fees &amp; Charges</v>
      </c>
      <c r="L651" s="0" t="n">
        <f aca="false">SUMPRODUCT((Rules!$A$2:$A$60=L$1)*Rules!$C$2:$C$60*ISNUMBER(SEARCH(Rules!$E$2:$E$60,$D651)))</f>
        <v>0</v>
      </c>
      <c r="M651" s="0" t="n">
        <f aca="false">SUMPRODUCT((Rules!$A$2:$A$60=M$1)*Rules!$C$2:$C$60*ISNUMBER(SEARCH(Rules!$E$2:$E$60,$D651)))</f>
        <v>0</v>
      </c>
      <c r="N651" s="0" t="n">
        <f aca="false">SUMPRODUCT((Rules!$A$2:$A$60=N$1)*Rules!$C$2:$C$60*ISNUMBER(SEARCH(Rules!$E$2:$E$60,$D651)))</f>
        <v>0</v>
      </c>
      <c r="O651" s="0" t="n">
        <f aca="false">SUMPRODUCT((Rules!$A$2:$A$60=O$1)*Rules!$C$2:$C$60*ISNUMBER(SEARCH(Rules!$E$2:$E$60,$D651)))</f>
        <v>6</v>
      </c>
      <c r="P651" s="0" t="n">
        <f aca="false">SUMPRODUCT((Rules!$A$2:$A$60=P$1)*Rules!$C$2:$C$60*ISNUMBER(SEARCH(Rules!$E$2:$E$60,$D651)))</f>
        <v>0</v>
      </c>
      <c r="Q651" s="0" t="n">
        <f aca="false">SUMPRODUCT((Rules!$A$2:$A$60=Q$1)*Rules!$C$2:$C$60*ISNUMBER(SEARCH(Rules!$E$2:$E$60,$D651)))</f>
        <v>0</v>
      </c>
      <c r="R651" s="0" t="str">
        <f aca="false">IF(OR(MAX(L651:Q651)&lt;Rules!$H$1,MAX(L651:Q651)-LARGE(L651:Q651,2)&lt;Rules!$H$2),"No label",INDEX($L$1:$Q$1,MATCH(MAX(L651:Q651),L651:Q651,0)))</f>
        <v>Fees &amp; Charges</v>
      </c>
      <c r="S651" s="0" t="n">
        <f aca="false">SUMPRODUCT(ISNUMBER(SEARCH(" "&amp;Terms!$A$3:$A$821&amp;" ",$D651))*Terms!B$3:B$821)+Terms!B$2</f>
        <v>-1.75722073190455</v>
      </c>
      <c r="T651" s="0" t="n">
        <f aca="false">SUMPRODUCT(ISNUMBER(SEARCH(" "&amp;Terms!$A$3:$A$821&amp;" ",$D651))*Terms!C$3:C$821)+Terms!C$2</f>
        <v>-4.74541782918549</v>
      </c>
      <c r="U651" s="0" t="n">
        <f aca="false">SUMPRODUCT(ISNUMBER(SEARCH(" "&amp;Terms!$A$3:$A$821&amp;" ",$D651))*Terms!D$3:D$821)+Terms!D$2</f>
        <v>-2.15331543374118</v>
      </c>
      <c r="V651" s="0" t="n">
        <f aca="false">SUMPRODUCT(ISNUMBER(SEARCH(" "&amp;Terms!$A$3:$A$821&amp;" ",$D651))*Terms!E$3:E$821)+Terms!E$2</f>
        <v>10.3365557906885</v>
      </c>
      <c r="W651" s="0" t="n">
        <f aca="false">SUMPRODUCT(ISNUMBER(SEARCH(" "&amp;Terms!$A$3:$A$821&amp;" ",$D651))*Terms!F$3:F$821)+Terms!F$2</f>
        <v>-3.54583598141598</v>
      </c>
      <c r="X651" s="0" t="n">
        <f aca="false">SUMPRODUCT(ISNUMBER(SEARCH(" "&amp;Terms!$A$3:$A$821&amp;" ",$D651))*Terms!G$3:G$821)+Terms!G$2</f>
        <v>1.86523418555877</v>
      </c>
      <c r="Y651" s="0" t="str">
        <f aca="false">INDEX($S$1:$X$1,MATCH(MAX(S651:X651),S651:X651,0))</f>
        <v>Fees &amp; Charges</v>
      </c>
      <c r="Z651" s="0" t="s">
        <v>2608</v>
      </c>
    </row>
    <row r="652" customFormat="false" ht="15" hidden="false" customHeight="false" outlineLevel="0" collapsed="false">
      <c r="A652" s="0" t="str">
        <f aca="false">Complaints!A652</f>
        <v>C0651</v>
      </c>
      <c r="B652" s="0" t="str">
        <f aca="false">Complaints!B652</f>
        <v>This is the second time I have raised this. The password reset keeps failing and I am locked out. Also, the terms were very different from what I was promised at the time of sale.</v>
      </c>
      <c r="C652" s="0" t="str">
        <f aca="false">Complaints!C652</f>
        <v>Account Access</v>
      </c>
      <c r="D652" s="0" t="str">
        <f aca="false">" "&amp;TRIM(SUBSTITUTE(SUBSTITUTE(SUBSTITUTE(SUBSTITUTE(SUBSTITUTE(SUBSTITUTE(SUBSTITUTE(SUBSTITUTE(SUBSTITUTE(SUBSTITUTE(SUBSTITUTE(SUBSTITUTE(SUBSTITUTE(SUBSTITUTE(SUBSTITUTE(SUBSTITUTE(LOWER(B652),"."," "),","," "),"'"," "),"’"," "),"!"," "),"?"," "),";"," "),":"," "),"-"," "),"("," "),")"," "),"""", " "),"£"," "),"&amp;"," "),"/"," "),"%"," "))&amp;" "</f>
        <v> this is the second time i have raised this the password reset keeps failing and i am locked out also the terms were very different from what i was promised at the time of sale </v>
      </c>
      <c r="E652" s="0" t="n">
        <f aca="false">SUMPRODUCT((Rules!$A$2:$A$60=E$1)*Rules!$C$2:$C$60*ISNUMBER(SEARCH(Rules!$D$2:$D$60,$D652)))</f>
        <v>0</v>
      </c>
      <c r="F652" s="0" t="n">
        <f aca="false">SUMPRODUCT((Rules!$A$2:$A$60=F$1)*Rules!$C$2:$C$60*ISNUMBER(SEARCH(Rules!$D$2:$D$60,$D652)))</f>
        <v>1</v>
      </c>
      <c r="G652" s="0" t="n">
        <f aca="false">SUMPRODUCT((Rules!$A$2:$A$60=G$1)*Rules!$C$2:$C$60*ISNUMBER(SEARCH(Rules!$D$2:$D$60,$D652)))</f>
        <v>8</v>
      </c>
      <c r="H652" s="0" t="n">
        <f aca="false">SUMPRODUCT((Rules!$A$2:$A$60=H$1)*Rules!$C$2:$C$60*ISNUMBER(SEARCH(Rules!$D$2:$D$60,$D652)))</f>
        <v>0</v>
      </c>
      <c r="I652" s="0" t="n">
        <f aca="false">SUMPRODUCT((Rules!$A$2:$A$60=I$1)*Rules!$C$2:$C$60*ISNUMBER(SEARCH(Rules!$D$2:$D$60,$D652)))</f>
        <v>0</v>
      </c>
      <c r="J652" s="0" t="n">
        <f aca="false">SUMPRODUCT((Rules!$A$2:$A$60=J$1)*Rules!$C$2:$C$60*ISNUMBER(SEARCH(Rules!$D$2:$D$60,$D652)))</f>
        <v>0</v>
      </c>
      <c r="K652" s="0" t="str">
        <f aca="false">IF(OR(MAX(E652:J652)&lt;Rules!$H$1,MAX(E652:J652)-LARGE(E652:J652,2)&lt;Rules!$H$2),"No label",INDEX($E$1:$J$1,MATCH(MAX(E652:J652),E652:J652,0)))</f>
        <v>Account Access</v>
      </c>
      <c r="L652" s="0" t="n">
        <f aca="false">SUMPRODUCT((Rules!$A$2:$A$60=L$1)*Rules!$C$2:$C$60*ISNUMBER(SEARCH(Rules!$E$2:$E$60,$D652)))</f>
        <v>0</v>
      </c>
      <c r="M652" s="0" t="n">
        <f aca="false">SUMPRODUCT((Rules!$A$2:$A$60=M$1)*Rules!$C$2:$C$60*ISNUMBER(SEARCH(Rules!$E$2:$E$60,$D652)))</f>
        <v>1</v>
      </c>
      <c r="N652" s="0" t="n">
        <f aca="false">SUMPRODUCT((Rules!$A$2:$A$60=N$1)*Rules!$C$2:$C$60*ISNUMBER(SEARCH(Rules!$E$2:$E$60,$D652)))</f>
        <v>8</v>
      </c>
      <c r="O652" s="0" t="n">
        <f aca="false">SUMPRODUCT((Rules!$A$2:$A$60=O$1)*Rules!$C$2:$C$60*ISNUMBER(SEARCH(Rules!$E$2:$E$60,$D652)))</f>
        <v>0</v>
      </c>
      <c r="P652" s="0" t="n">
        <f aca="false">SUMPRODUCT((Rules!$A$2:$A$60=P$1)*Rules!$C$2:$C$60*ISNUMBER(SEARCH(Rules!$E$2:$E$60,$D652)))</f>
        <v>0</v>
      </c>
      <c r="Q652" s="0" t="n">
        <f aca="false">SUMPRODUCT((Rules!$A$2:$A$60=Q$1)*Rules!$C$2:$C$60*ISNUMBER(SEARCH(Rules!$E$2:$E$60,$D652)))</f>
        <v>0</v>
      </c>
      <c r="R652" s="0" t="str">
        <f aca="false">IF(OR(MAX(L652:Q652)&lt;Rules!$H$1,MAX(L652:Q652)-LARGE(L652:Q652,2)&lt;Rules!$H$2),"No label",INDEX($L$1:$Q$1,MATCH(MAX(L652:Q652),L652:Q652,0)))</f>
        <v>Account Access</v>
      </c>
      <c r="S652" s="0" t="n">
        <f aca="false">SUMPRODUCT(ISNUMBER(SEARCH(" "&amp;Terms!$A$3:$A$821&amp;" ",$D652))*Terms!B$3:B$821)+Terms!B$2</f>
        <v>8.11695120639097</v>
      </c>
      <c r="T652" s="0" t="n">
        <f aca="false">SUMPRODUCT(ISNUMBER(SEARCH(" "&amp;Terms!$A$3:$A$821&amp;" ",$D652))*Terms!C$3:C$821)+Terms!C$2</f>
        <v>-5.25427131683542</v>
      </c>
      <c r="U652" s="0" t="n">
        <f aca="false">SUMPRODUCT(ISNUMBER(SEARCH(" "&amp;Terms!$A$3:$A$821&amp;" ",$D652))*Terms!D$3:D$821)+Terms!D$2</f>
        <v>-0.355085503168976</v>
      </c>
      <c r="V652" s="0" t="n">
        <f aca="false">SUMPRODUCT(ISNUMBER(SEARCH(" "&amp;Terms!$A$3:$A$821&amp;" ",$D652))*Terms!E$3:E$821)+Terms!E$2</f>
        <v>-3.91525327877391</v>
      </c>
      <c r="W652" s="0" t="n">
        <f aca="false">SUMPRODUCT(ISNUMBER(SEARCH(" "&amp;Terms!$A$3:$A$821&amp;" ",$D652))*Terms!F$3:F$821)+Terms!F$2</f>
        <v>-4.29064172466582</v>
      </c>
      <c r="X652" s="0" t="n">
        <f aca="false">SUMPRODUCT(ISNUMBER(SEARCH(" "&amp;Terms!$A$3:$A$821&amp;" ",$D652))*Terms!G$3:G$821)+Terms!G$2</f>
        <v>5.69830061705327</v>
      </c>
      <c r="Y652" s="0" t="str">
        <f aca="false">INDEX($S$1:$X$1,MATCH(MAX(S652:X652),S652:X652,0))</f>
        <v>Account Access</v>
      </c>
      <c r="Z652" s="0" t="s">
        <v>2608</v>
      </c>
    </row>
    <row r="653" customFormat="false" ht="15" hidden="false" customHeight="false" outlineLevel="0" collapsed="false">
      <c r="A653" s="0" t="str">
        <f aca="false">Complaints!A653</f>
        <v>C0652</v>
      </c>
      <c r="B653" s="0" t="str">
        <f aca="false">Complaints!B653</f>
        <v>I am writing to complain. I keep getting an error message when I sign in. I would like a response in writing.</v>
      </c>
      <c r="C653" s="0" t="str">
        <f aca="false">Complaints!C653</f>
        <v>Account Access</v>
      </c>
      <c r="D653" s="0" t="str">
        <f aca="false">" "&amp;TRIM(SUBSTITUTE(SUBSTITUTE(SUBSTITUTE(SUBSTITUTE(SUBSTITUTE(SUBSTITUTE(SUBSTITUTE(SUBSTITUTE(SUBSTITUTE(SUBSTITUTE(SUBSTITUTE(SUBSTITUTE(SUBSTITUTE(SUBSTITUTE(SUBSTITUTE(SUBSTITUTE(LOWER(B653),"."," "),","," "),"'"," "),"’"," "),"!"," "),"?"," "),";"," "),":"," "),"-"," "),"("," "),")"," "),"""", " "),"£"," "),"&amp;"," "),"/"," "),"%"," "))&amp;" "</f>
        <v> i am writing to complain i keep getting an error message when i sign in i would like a response in writing </v>
      </c>
      <c r="E653" s="0" t="n">
        <f aca="false">SUMPRODUCT((Rules!$A$2:$A$60=E$1)*Rules!$C$2:$C$60*ISNUMBER(SEARCH(Rules!$D$2:$D$60,$D653)))</f>
        <v>0</v>
      </c>
      <c r="F653" s="0" t="n">
        <f aca="false">SUMPRODUCT((Rules!$A$2:$A$60=F$1)*Rules!$C$2:$C$60*ISNUMBER(SEARCH(Rules!$D$2:$D$60,$D653)))</f>
        <v>0</v>
      </c>
      <c r="G653" s="0" t="n">
        <f aca="false">SUMPRODUCT((Rules!$A$2:$A$60=G$1)*Rules!$C$2:$C$60*ISNUMBER(SEARCH(Rules!$D$2:$D$60,$D653)))</f>
        <v>3</v>
      </c>
      <c r="H653" s="0" t="n">
        <f aca="false">SUMPRODUCT((Rules!$A$2:$A$60=H$1)*Rules!$C$2:$C$60*ISNUMBER(SEARCH(Rules!$D$2:$D$60,$D653)))</f>
        <v>0</v>
      </c>
      <c r="I653" s="0" t="n">
        <f aca="false">SUMPRODUCT((Rules!$A$2:$A$60=I$1)*Rules!$C$2:$C$60*ISNUMBER(SEARCH(Rules!$D$2:$D$60,$D653)))</f>
        <v>0</v>
      </c>
      <c r="J653" s="0" t="n">
        <f aca="false">SUMPRODUCT((Rules!$A$2:$A$60=J$1)*Rules!$C$2:$C$60*ISNUMBER(SEARCH(Rules!$D$2:$D$60,$D653)))</f>
        <v>0</v>
      </c>
      <c r="K653" s="0" t="str">
        <f aca="false">IF(OR(MAX(E653:J653)&lt;Rules!$H$1,MAX(E653:J653)-LARGE(E653:J653,2)&lt;Rules!$H$2),"No label",INDEX($E$1:$J$1,MATCH(MAX(E653:J653),E653:J653,0)))</f>
        <v>Account Access</v>
      </c>
      <c r="L653" s="0" t="n">
        <f aca="false">SUMPRODUCT((Rules!$A$2:$A$60=L$1)*Rules!$C$2:$C$60*ISNUMBER(SEARCH(Rules!$E$2:$E$60,$D653)))</f>
        <v>0</v>
      </c>
      <c r="M653" s="0" t="n">
        <f aca="false">SUMPRODUCT((Rules!$A$2:$A$60=M$1)*Rules!$C$2:$C$60*ISNUMBER(SEARCH(Rules!$E$2:$E$60,$D653)))</f>
        <v>0</v>
      </c>
      <c r="N653" s="0" t="n">
        <f aca="false">SUMPRODUCT((Rules!$A$2:$A$60=N$1)*Rules!$C$2:$C$60*ISNUMBER(SEARCH(Rules!$E$2:$E$60,$D653)))</f>
        <v>3</v>
      </c>
      <c r="O653" s="0" t="n">
        <f aca="false">SUMPRODUCT((Rules!$A$2:$A$60=O$1)*Rules!$C$2:$C$60*ISNUMBER(SEARCH(Rules!$E$2:$E$60,$D653)))</f>
        <v>0</v>
      </c>
      <c r="P653" s="0" t="n">
        <f aca="false">SUMPRODUCT((Rules!$A$2:$A$60=P$1)*Rules!$C$2:$C$60*ISNUMBER(SEARCH(Rules!$E$2:$E$60,$D653)))</f>
        <v>0</v>
      </c>
      <c r="Q653" s="0" t="n">
        <f aca="false">SUMPRODUCT((Rules!$A$2:$A$60=Q$1)*Rules!$C$2:$C$60*ISNUMBER(SEARCH(Rules!$E$2:$E$60,$D653)))</f>
        <v>0</v>
      </c>
      <c r="R653" s="0" t="str">
        <f aca="false">IF(OR(MAX(L653:Q653)&lt;Rules!$H$1,MAX(L653:Q653)-LARGE(L653:Q653,2)&lt;Rules!$H$2),"No label",INDEX($L$1:$Q$1,MATCH(MAX(L653:Q653),L653:Q653,0)))</f>
        <v>Account Access</v>
      </c>
      <c r="S653" s="0" t="n">
        <f aca="false">SUMPRODUCT(ISNUMBER(SEARCH(" "&amp;Terms!$A$3:$A$821&amp;" ",$D653))*Terms!B$3:B$821)+Terms!B$2</f>
        <v>10.1778210705622</v>
      </c>
      <c r="T653" s="0" t="n">
        <f aca="false">SUMPRODUCT(ISNUMBER(SEARCH(" "&amp;Terms!$A$3:$A$821&amp;" ",$D653))*Terms!C$3:C$821)+Terms!C$2</f>
        <v>1.26052973684317</v>
      </c>
      <c r="U653" s="0" t="n">
        <f aca="false">SUMPRODUCT(ISNUMBER(SEARCH(" "&amp;Terms!$A$3:$A$821&amp;" ",$D653))*Terms!D$3:D$821)+Terms!D$2</f>
        <v>-1.26044818979535</v>
      </c>
      <c r="V653" s="0" t="n">
        <f aca="false">SUMPRODUCT(ISNUMBER(SEARCH(" "&amp;Terms!$A$3:$A$821&amp;" ",$D653))*Terms!E$3:E$821)+Terms!E$2</f>
        <v>-6.34476781561316</v>
      </c>
      <c r="W653" s="0" t="n">
        <f aca="false">SUMPRODUCT(ISNUMBER(SEARCH(" "&amp;Terms!$A$3:$A$821&amp;" ",$D653))*Terms!F$3:F$821)+Terms!F$2</f>
        <v>-1.9630285908991</v>
      </c>
      <c r="X653" s="0" t="n">
        <f aca="false">SUMPRODUCT(ISNUMBER(SEARCH(" "&amp;Terms!$A$3:$A$821&amp;" ",$D653))*Terms!G$3:G$821)+Terms!G$2</f>
        <v>-1.87010621109768</v>
      </c>
      <c r="Y653" s="0" t="str">
        <f aca="false">INDEX($S$1:$X$1,MATCH(MAX(S653:X653),S653:X653,0))</f>
        <v>Account Access</v>
      </c>
      <c r="Z653" s="0" t="s">
        <v>2607</v>
      </c>
    </row>
    <row r="654" customFormat="false" ht="15" hidden="false" customHeight="false" outlineLevel="0" collapsed="false">
      <c r="A654" s="0" t="str">
        <f aca="false">Complaints!A654</f>
        <v>C0653</v>
      </c>
      <c r="B654" s="0" t="str">
        <f aca="false">Complaints!B654</f>
        <v>Frankly, My card reader stopped working and I cannot approve payments. I want this put right.</v>
      </c>
      <c r="C654" s="0" t="str">
        <f aca="false">Complaints!C654</f>
        <v>Account Access</v>
      </c>
      <c r="D654" s="0" t="str">
        <f aca="false">" "&amp;TRIM(SUBSTITUTE(SUBSTITUTE(SUBSTITUTE(SUBSTITUTE(SUBSTITUTE(SUBSTITUTE(SUBSTITUTE(SUBSTITUTE(SUBSTITUTE(SUBSTITUTE(SUBSTITUTE(SUBSTITUTE(SUBSTITUTE(SUBSTITUTE(SUBSTITUTE(SUBSTITUTE(LOWER(B654),"."," "),","," "),"'"," "),"’"," "),"!"," "),"?"," "),";"," "),":"," "),"-"," "),"("," "),")"," "),"""", " "),"£"," "),"&amp;"," "),"/"," "),"%"," "))&amp;" "</f>
        <v> frankly my card reader stopped working and i cannot approve payments i want this put right </v>
      </c>
      <c r="E654" s="0" t="n">
        <f aca="false">SUMPRODUCT((Rules!$A$2:$A$60=E$1)*Rules!$C$2:$C$60*ISNUMBER(SEARCH(Rules!$D$2:$D$60,$D654)))</f>
        <v>0</v>
      </c>
      <c r="F654" s="0" t="n">
        <f aca="false">SUMPRODUCT((Rules!$A$2:$A$60=F$1)*Rules!$C$2:$C$60*ISNUMBER(SEARCH(Rules!$D$2:$D$60,$D654)))</f>
        <v>0</v>
      </c>
      <c r="G654" s="0" t="n">
        <f aca="false">SUMPRODUCT((Rules!$A$2:$A$60=G$1)*Rules!$C$2:$C$60*ISNUMBER(SEARCH(Rules!$D$2:$D$60,$D654)))</f>
        <v>0</v>
      </c>
      <c r="H654" s="0" t="n">
        <f aca="false">SUMPRODUCT((Rules!$A$2:$A$60=H$1)*Rules!$C$2:$C$60*ISNUMBER(SEARCH(Rules!$D$2:$D$60,$D654)))</f>
        <v>0</v>
      </c>
      <c r="I654" s="0" t="n">
        <f aca="false">SUMPRODUCT((Rules!$A$2:$A$60=I$1)*Rules!$C$2:$C$60*ISNUMBER(SEARCH(Rules!$D$2:$D$60,$D654)))</f>
        <v>0</v>
      </c>
      <c r="J654" s="0" t="n">
        <f aca="false">SUMPRODUCT((Rules!$A$2:$A$60=J$1)*Rules!$C$2:$C$60*ISNUMBER(SEARCH(Rules!$D$2:$D$60,$D654)))</f>
        <v>0</v>
      </c>
      <c r="K654" s="0" t="str">
        <f aca="false">IF(OR(MAX(E654:J654)&lt;Rules!$H$1,MAX(E654:J654)-LARGE(E654:J654,2)&lt;Rules!$H$2),"No label",INDEX($E$1:$J$1,MATCH(MAX(E654:J654),E654:J654,0)))</f>
        <v>No label</v>
      </c>
      <c r="L654" s="0" t="n">
        <f aca="false">SUMPRODUCT((Rules!$A$2:$A$60=L$1)*Rules!$C$2:$C$60*ISNUMBER(SEARCH(Rules!$E$2:$E$60,$D654)))</f>
        <v>0</v>
      </c>
      <c r="M654" s="0" t="n">
        <f aca="false">SUMPRODUCT((Rules!$A$2:$A$60=M$1)*Rules!$C$2:$C$60*ISNUMBER(SEARCH(Rules!$E$2:$E$60,$D654)))</f>
        <v>0</v>
      </c>
      <c r="N654" s="0" t="n">
        <f aca="false">SUMPRODUCT((Rules!$A$2:$A$60=N$1)*Rules!$C$2:$C$60*ISNUMBER(SEARCH(Rules!$E$2:$E$60,$D654)))</f>
        <v>0</v>
      </c>
      <c r="O654" s="0" t="n">
        <f aca="false">SUMPRODUCT((Rules!$A$2:$A$60=O$1)*Rules!$C$2:$C$60*ISNUMBER(SEARCH(Rules!$E$2:$E$60,$D654)))</f>
        <v>0</v>
      </c>
      <c r="P654" s="0" t="n">
        <f aca="false">SUMPRODUCT((Rules!$A$2:$A$60=P$1)*Rules!$C$2:$C$60*ISNUMBER(SEARCH(Rules!$E$2:$E$60,$D654)))</f>
        <v>0</v>
      </c>
      <c r="Q654" s="0" t="n">
        <f aca="false">SUMPRODUCT((Rules!$A$2:$A$60=Q$1)*Rules!$C$2:$C$60*ISNUMBER(SEARCH(Rules!$E$2:$E$60,$D654)))</f>
        <v>0</v>
      </c>
      <c r="R654" s="0" t="str">
        <f aca="false">IF(OR(MAX(L654:Q654)&lt;Rules!$H$1,MAX(L654:Q654)-LARGE(L654:Q654,2)&lt;Rules!$H$2),"No label",INDEX($L$1:$Q$1,MATCH(MAX(L654:Q654),L654:Q654,0)))</f>
        <v>No label</v>
      </c>
      <c r="S654" s="0" t="n">
        <f aca="false">SUMPRODUCT(ISNUMBER(SEARCH(" "&amp;Terms!$A$3:$A$821&amp;" ",$D654))*Terms!B$3:B$821)+Terms!B$2</f>
        <v>14.3618702040778</v>
      </c>
      <c r="T654" s="0" t="n">
        <f aca="false">SUMPRODUCT(ISNUMBER(SEARCH(" "&amp;Terms!$A$3:$A$821&amp;" ",$D654))*Terms!C$3:C$821)+Terms!C$2</f>
        <v>-1.73970646724562</v>
      </c>
      <c r="U654" s="0" t="n">
        <f aca="false">SUMPRODUCT(ISNUMBER(SEARCH(" "&amp;Terms!$A$3:$A$821&amp;" ",$D654))*Terms!D$3:D$821)+Terms!D$2</f>
        <v>-4.07077291358201</v>
      </c>
      <c r="V654" s="0" t="n">
        <f aca="false">SUMPRODUCT(ISNUMBER(SEARCH(" "&amp;Terms!$A$3:$A$821&amp;" ",$D654))*Terms!E$3:E$821)+Terms!E$2</f>
        <v>-3.0621439888103</v>
      </c>
      <c r="W654" s="0" t="n">
        <f aca="false">SUMPRODUCT(ISNUMBER(SEARCH(" "&amp;Terms!$A$3:$A$821&amp;" ",$D654))*Terms!F$3:F$821)+Terms!F$2</f>
        <v>2.35843202748829</v>
      </c>
      <c r="X654" s="0" t="n">
        <f aca="false">SUMPRODUCT(ISNUMBER(SEARCH(" "&amp;Terms!$A$3:$A$821&amp;" ",$D654))*Terms!G$3:G$821)+Terms!G$2</f>
        <v>-7.84767886192805</v>
      </c>
      <c r="Y654" s="0" t="str">
        <f aca="false">INDEX($S$1:$X$1,MATCH(MAX(S654:X654),S654:X654,0))</f>
        <v>Account Access</v>
      </c>
      <c r="Z654" s="0" t="s">
        <v>2607</v>
      </c>
    </row>
    <row r="655" customFormat="false" ht="15" hidden="false" customHeight="false" outlineLevel="0" collapsed="false">
      <c r="A655" s="0" t="str">
        <f aca="false">Complaints!A655</f>
        <v>C0654</v>
      </c>
      <c r="B655" s="0" t="str">
        <f aca="false">Complaints!B655</f>
        <v>To whom it may concern, My card was cloned and used abroad. I could not log in to check either.</v>
      </c>
      <c r="C655" s="0" t="str">
        <f aca="false">Complaints!C655</f>
        <v>Fraud &amp; Scams</v>
      </c>
      <c r="D655" s="0" t="str">
        <f aca="false">" "&amp;TRIM(SUBSTITUTE(SUBSTITUTE(SUBSTITUTE(SUBSTITUTE(SUBSTITUTE(SUBSTITUTE(SUBSTITUTE(SUBSTITUTE(SUBSTITUTE(SUBSTITUTE(SUBSTITUTE(SUBSTITUTE(SUBSTITUTE(SUBSTITUTE(SUBSTITUTE(SUBSTITUTE(LOWER(B655),"."," "),","," "),"'"," "),"’"," "),"!"," "),"?"," "),";"," "),":"," "),"-"," "),"("," "),")"," "),"""", " "),"£"," "),"&amp;"," "),"/"," "),"%"," "))&amp;" "</f>
        <v> to whom it may concern my card was cloned and used abroad i could not log in to check either </v>
      </c>
      <c r="E655" s="0" t="n">
        <f aca="false">SUMPRODUCT((Rules!$A$2:$A$60=E$1)*Rules!$C$2:$C$60*ISNUMBER(SEARCH(Rules!$D$2:$D$60,$D655)))</f>
        <v>3</v>
      </c>
      <c r="F655" s="0" t="n">
        <f aca="false">SUMPRODUCT((Rules!$A$2:$A$60=F$1)*Rules!$C$2:$C$60*ISNUMBER(SEARCH(Rules!$D$2:$D$60,$D655)))</f>
        <v>0</v>
      </c>
      <c r="G655" s="0" t="n">
        <f aca="false">SUMPRODUCT((Rules!$A$2:$A$60=G$1)*Rules!$C$2:$C$60*ISNUMBER(SEARCH(Rules!$D$2:$D$60,$D655)))</f>
        <v>3</v>
      </c>
      <c r="H655" s="0" t="n">
        <f aca="false">SUMPRODUCT((Rules!$A$2:$A$60=H$1)*Rules!$C$2:$C$60*ISNUMBER(SEARCH(Rules!$D$2:$D$60,$D655)))</f>
        <v>0</v>
      </c>
      <c r="I655" s="0" t="n">
        <f aca="false">SUMPRODUCT((Rules!$A$2:$A$60=I$1)*Rules!$C$2:$C$60*ISNUMBER(SEARCH(Rules!$D$2:$D$60,$D655)))</f>
        <v>0</v>
      </c>
      <c r="J655" s="0" t="n">
        <f aca="false">SUMPRODUCT((Rules!$A$2:$A$60=J$1)*Rules!$C$2:$C$60*ISNUMBER(SEARCH(Rules!$D$2:$D$60,$D655)))</f>
        <v>0</v>
      </c>
      <c r="K655" s="0" t="str">
        <f aca="false">IF(OR(MAX(E655:J655)&lt;Rules!$H$1,MAX(E655:J655)-LARGE(E655:J655,2)&lt;Rules!$H$2),"No label",INDEX($E$1:$J$1,MATCH(MAX(E655:J655),E655:J655,0)))</f>
        <v>No label</v>
      </c>
      <c r="L655" s="0" t="n">
        <f aca="false">SUMPRODUCT((Rules!$A$2:$A$60=L$1)*Rules!$C$2:$C$60*ISNUMBER(SEARCH(Rules!$E$2:$E$60,$D655)))</f>
        <v>3</v>
      </c>
      <c r="M655" s="0" t="n">
        <f aca="false">SUMPRODUCT((Rules!$A$2:$A$60=M$1)*Rules!$C$2:$C$60*ISNUMBER(SEARCH(Rules!$E$2:$E$60,$D655)))</f>
        <v>0</v>
      </c>
      <c r="N655" s="0" t="n">
        <f aca="false">SUMPRODUCT((Rules!$A$2:$A$60=N$1)*Rules!$C$2:$C$60*ISNUMBER(SEARCH(Rules!$E$2:$E$60,$D655)))</f>
        <v>3</v>
      </c>
      <c r="O655" s="0" t="n">
        <f aca="false">SUMPRODUCT((Rules!$A$2:$A$60=O$1)*Rules!$C$2:$C$60*ISNUMBER(SEARCH(Rules!$E$2:$E$60,$D655)))</f>
        <v>0</v>
      </c>
      <c r="P655" s="0" t="n">
        <f aca="false">SUMPRODUCT((Rules!$A$2:$A$60=P$1)*Rules!$C$2:$C$60*ISNUMBER(SEARCH(Rules!$E$2:$E$60,$D655)))</f>
        <v>0</v>
      </c>
      <c r="Q655" s="0" t="n">
        <f aca="false">SUMPRODUCT((Rules!$A$2:$A$60=Q$1)*Rules!$C$2:$C$60*ISNUMBER(SEARCH(Rules!$E$2:$E$60,$D655)))</f>
        <v>0</v>
      </c>
      <c r="R655" s="0" t="str">
        <f aca="false">IF(OR(MAX(L655:Q655)&lt;Rules!$H$1,MAX(L655:Q655)-LARGE(L655:Q655,2)&lt;Rules!$H$2),"No label",INDEX($L$1:$Q$1,MATCH(MAX(L655:Q655),L655:Q655,0)))</f>
        <v>No label</v>
      </c>
      <c r="S655" s="0" t="n">
        <f aca="false">SUMPRODUCT(ISNUMBER(SEARCH(" "&amp;Terms!$A$3:$A$821&amp;" ",$D655))*Terms!B$3:B$821)+Terms!B$2</f>
        <v>-0.721678880610864</v>
      </c>
      <c r="T655" s="0" t="n">
        <f aca="false">SUMPRODUCT(ISNUMBER(SEARCH(" "&amp;Terms!$A$3:$A$821&amp;" ",$D655))*Terms!C$3:C$821)+Terms!C$2</f>
        <v>-1.33503013257262</v>
      </c>
      <c r="U655" s="0" t="n">
        <f aca="false">SUMPRODUCT(ISNUMBER(SEARCH(" "&amp;Terms!$A$3:$A$821&amp;" ",$D655))*Terms!D$3:D$821)+Terms!D$2</f>
        <v>-3.66214935177614</v>
      </c>
      <c r="V655" s="0" t="n">
        <f aca="false">SUMPRODUCT(ISNUMBER(SEARCH(" "&amp;Terms!$A$3:$A$821&amp;" ",$D655))*Terms!E$3:E$821)+Terms!E$2</f>
        <v>-0.460958884056</v>
      </c>
      <c r="W655" s="0" t="n">
        <f aca="false">SUMPRODUCT(ISNUMBER(SEARCH(" "&amp;Terms!$A$3:$A$821&amp;" ",$D655))*Terms!F$3:F$821)+Terms!F$2</f>
        <v>8.73050822962394</v>
      </c>
      <c r="X655" s="0" t="n">
        <f aca="false">SUMPRODUCT(ISNUMBER(SEARCH(" "&amp;Terms!$A$3:$A$821&amp;" ",$D655))*Terms!G$3:G$821)+Terms!G$2</f>
        <v>-2.55069098060822</v>
      </c>
      <c r="Y655" s="0" t="str">
        <f aca="false">INDEX($S$1:$X$1,MATCH(MAX(S655:X655),S655:X655,0))</f>
        <v>Fraud &amp; Scams</v>
      </c>
      <c r="Z655" s="0" t="s">
        <v>2607</v>
      </c>
    </row>
    <row r="656" customFormat="false" ht="15" hidden="false" customHeight="false" outlineLevel="0" collapsed="false">
      <c r="A656" s="0" t="str">
        <f aca="false">Complaints!A656</f>
        <v>C0655</v>
      </c>
      <c r="B656" s="0" t="str">
        <f aca="false">Complaints!B656</f>
        <v>I have been a customer for years. My account was frozen and I cannot get in to move money. I would like a response in writing.</v>
      </c>
      <c r="C656" s="0" t="str">
        <f aca="false">Complaints!C656</f>
        <v>Account Access</v>
      </c>
      <c r="D656" s="0" t="str">
        <f aca="false">" "&amp;TRIM(SUBSTITUTE(SUBSTITUTE(SUBSTITUTE(SUBSTITUTE(SUBSTITUTE(SUBSTITUTE(SUBSTITUTE(SUBSTITUTE(SUBSTITUTE(SUBSTITUTE(SUBSTITUTE(SUBSTITUTE(SUBSTITUTE(SUBSTITUTE(SUBSTITUTE(SUBSTITUTE(LOWER(B656),"."," "),","," "),"'"," "),"’"," "),"!"," "),"?"," "),";"," "),":"," "),"-"," "),"("," "),")"," "),"""", " "),"£"," "),"&amp;"," "),"/"," "),"%"," "))&amp;" "</f>
        <v> i have been a customer for years my account was frozen and i cannot get in to move money i would like a response in writing </v>
      </c>
      <c r="E656" s="0" t="n">
        <f aca="false">SUMPRODUCT((Rules!$A$2:$A$60=E$1)*Rules!$C$2:$C$60*ISNUMBER(SEARCH(Rules!$D$2:$D$60,$D656)))</f>
        <v>0</v>
      </c>
      <c r="F656" s="0" t="n">
        <f aca="false">SUMPRODUCT((Rules!$A$2:$A$60=F$1)*Rules!$C$2:$C$60*ISNUMBER(SEARCH(Rules!$D$2:$D$60,$D656)))</f>
        <v>0</v>
      </c>
      <c r="G656" s="0" t="n">
        <f aca="false">SUMPRODUCT((Rules!$A$2:$A$60=G$1)*Rules!$C$2:$C$60*ISNUMBER(SEARCH(Rules!$D$2:$D$60,$D656)))</f>
        <v>0</v>
      </c>
      <c r="H656" s="0" t="n">
        <f aca="false">SUMPRODUCT((Rules!$A$2:$A$60=H$1)*Rules!$C$2:$C$60*ISNUMBER(SEARCH(Rules!$D$2:$D$60,$D656)))</f>
        <v>0</v>
      </c>
      <c r="I656" s="0" t="n">
        <f aca="false">SUMPRODUCT((Rules!$A$2:$A$60=I$1)*Rules!$C$2:$C$60*ISNUMBER(SEARCH(Rules!$D$2:$D$60,$D656)))</f>
        <v>0</v>
      </c>
      <c r="J656" s="0" t="n">
        <f aca="false">SUMPRODUCT((Rules!$A$2:$A$60=J$1)*Rules!$C$2:$C$60*ISNUMBER(SEARCH(Rules!$D$2:$D$60,$D656)))</f>
        <v>0</v>
      </c>
      <c r="K656" s="0" t="str">
        <f aca="false">IF(OR(MAX(E656:J656)&lt;Rules!$H$1,MAX(E656:J656)-LARGE(E656:J656,2)&lt;Rules!$H$2),"No label",INDEX($E$1:$J$1,MATCH(MAX(E656:J656),E656:J656,0)))</f>
        <v>No label</v>
      </c>
      <c r="L656" s="0" t="n">
        <f aca="false">SUMPRODUCT((Rules!$A$2:$A$60=L$1)*Rules!$C$2:$C$60*ISNUMBER(SEARCH(Rules!$E$2:$E$60,$D656)))</f>
        <v>0</v>
      </c>
      <c r="M656" s="0" t="n">
        <f aca="false">SUMPRODUCT((Rules!$A$2:$A$60=M$1)*Rules!$C$2:$C$60*ISNUMBER(SEARCH(Rules!$E$2:$E$60,$D656)))</f>
        <v>0</v>
      </c>
      <c r="N656" s="0" t="n">
        <f aca="false">SUMPRODUCT((Rules!$A$2:$A$60=N$1)*Rules!$C$2:$C$60*ISNUMBER(SEARCH(Rules!$E$2:$E$60,$D656)))</f>
        <v>0</v>
      </c>
      <c r="O656" s="0" t="n">
        <f aca="false">SUMPRODUCT((Rules!$A$2:$A$60=O$1)*Rules!$C$2:$C$60*ISNUMBER(SEARCH(Rules!$E$2:$E$60,$D656)))</f>
        <v>0</v>
      </c>
      <c r="P656" s="0" t="n">
        <f aca="false">SUMPRODUCT((Rules!$A$2:$A$60=P$1)*Rules!$C$2:$C$60*ISNUMBER(SEARCH(Rules!$E$2:$E$60,$D656)))</f>
        <v>0</v>
      </c>
      <c r="Q656" s="0" t="n">
        <f aca="false">SUMPRODUCT((Rules!$A$2:$A$60=Q$1)*Rules!$C$2:$C$60*ISNUMBER(SEARCH(Rules!$E$2:$E$60,$D656)))</f>
        <v>0</v>
      </c>
      <c r="R656" s="0" t="str">
        <f aca="false">IF(OR(MAX(L656:Q656)&lt;Rules!$H$1,MAX(L656:Q656)-LARGE(L656:Q656,2)&lt;Rules!$H$2),"No label",INDEX($L$1:$Q$1,MATCH(MAX(L656:Q656),L656:Q656,0)))</f>
        <v>No label</v>
      </c>
      <c r="S656" s="0" t="n">
        <f aca="false">SUMPRODUCT(ISNUMBER(SEARCH(" "&amp;Terms!$A$3:$A$821&amp;" ",$D656))*Terms!B$3:B$821)+Terms!B$2</f>
        <v>5.75304761982369</v>
      </c>
      <c r="T656" s="0" t="n">
        <f aca="false">SUMPRODUCT(ISNUMBER(SEARCH(" "&amp;Terms!$A$3:$A$821&amp;" ",$D656))*Terms!C$3:C$821)+Terms!C$2</f>
        <v>-2.89789878468216</v>
      </c>
      <c r="U656" s="0" t="n">
        <f aca="false">SUMPRODUCT(ISNUMBER(SEARCH(" "&amp;Terms!$A$3:$A$821&amp;" ",$D656))*Terms!D$3:D$821)+Terms!D$2</f>
        <v>1.18413395738452</v>
      </c>
      <c r="V656" s="0" t="n">
        <f aca="false">SUMPRODUCT(ISNUMBER(SEARCH(" "&amp;Terms!$A$3:$A$821&amp;" ",$D656))*Terms!E$3:E$821)+Terms!E$2</f>
        <v>-3.2205686370469</v>
      </c>
      <c r="W656" s="0" t="n">
        <f aca="false">SUMPRODUCT(ISNUMBER(SEARCH(" "&amp;Terms!$A$3:$A$821&amp;" ",$D656))*Terms!F$3:F$821)+Terms!F$2</f>
        <v>-1.09357899070801</v>
      </c>
      <c r="X656" s="0" t="n">
        <f aca="false">SUMPRODUCT(ISNUMBER(SEARCH(" "&amp;Terms!$A$3:$A$821&amp;" ",$D656))*Terms!G$3:G$821)+Terms!G$2</f>
        <v>0.274864835228933</v>
      </c>
      <c r="Y656" s="0" t="str">
        <f aca="false">INDEX($S$1:$X$1,MATCH(MAX(S656:X656),S656:X656,0))</f>
        <v>Account Access</v>
      </c>
      <c r="Z656" s="0" t="s">
        <v>2607</v>
      </c>
    </row>
    <row r="657" customFormat="false" ht="15" hidden="false" customHeight="false" outlineLevel="0" collapsed="false">
      <c r="A657" s="0" t="str">
        <f aca="false">Complaints!A657</f>
        <v>C0656</v>
      </c>
      <c r="B657" s="0" t="str">
        <f aca="false">Complaints!B657</f>
        <v>The account maintenance fee was taken twice this month. Also, i asked for a callback and it never happened. This is not acceptable.</v>
      </c>
      <c r="C657" s="0" t="str">
        <f aca="false">Complaints!C657</f>
        <v>Fees &amp; Charges</v>
      </c>
      <c r="D657" s="0" t="str">
        <f aca="false">" "&amp;TRIM(SUBSTITUTE(SUBSTITUTE(SUBSTITUTE(SUBSTITUTE(SUBSTITUTE(SUBSTITUTE(SUBSTITUTE(SUBSTITUTE(SUBSTITUTE(SUBSTITUTE(SUBSTITUTE(SUBSTITUTE(SUBSTITUTE(SUBSTITUTE(SUBSTITUTE(SUBSTITUTE(LOWER(B657),"."," "),","," "),"'"," "),"’"," "),"!"," "),"?"," "),";"," "),":"," "),"-"," "),"("," "),")"," "),"""", " "),"£"," "),"&amp;"," "),"/"," "),"%"," "))&amp;" "</f>
        <v> the account maintenance fee was taken twice this month also i asked for a callback and it never happened this is not acceptable </v>
      </c>
      <c r="E657" s="0" t="n">
        <f aca="false">SUMPRODUCT((Rules!$A$2:$A$60=E$1)*Rules!$C$2:$C$60*ISNUMBER(SEARCH(Rules!$D$2:$D$60,$D657)))</f>
        <v>0</v>
      </c>
      <c r="F657" s="0" t="n">
        <f aca="false">SUMPRODUCT((Rules!$A$2:$A$60=F$1)*Rules!$C$2:$C$60*ISNUMBER(SEARCH(Rules!$D$2:$D$60,$D657)))</f>
        <v>0</v>
      </c>
      <c r="G657" s="0" t="n">
        <f aca="false">SUMPRODUCT((Rules!$A$2:$A$60=G$1)*Rules!$C$2:$C$60*ISNUMBER(SEARCH(Rules!$D$2:$D$60,$D657)))</f>
        <v>0</v>
      </c>
      <c r="H657" s="0" t="n">
        <f aca="false">SUMPRODUCT((Rules!$A$2:$A$60=H$1)*Rules!$C$2:$C$60*ISNUMBER(SEARCH(Rules!$D$2:$D$60,$D657)))</f>
        <v>2</v>
      </c>
      <c r="I657" s="0" t="n">
        <f aca="false">SUMPRODUCT((Rules!$A$2:$A$60=I$1)*Rules!$C$2:$C$60*ISNUMBER(SEARCH(Rules!$D$2:$D$60,$D657)))</f>
        <v>0</v>
      </c>
      <c r="J657" s="0" t="n">
        <f aca="false">SUMPRODUCT((Rules!$A$2:$A$60=J$1)*Rules!$C$2:$C$60*ISNUMBER(SEARCH(Rules!$D$2:$D$60,$D657)))</f>
        <v>2</v>
      </c>
      <c r="K657" s="0" t="str">
        <f aca="false">IF(OR(MAX(E657:J657)&lt;Rules!$H$1,MAX(E657:J657)-LARGE(E657:J657,2)&lt;Rules!$H$2),"No label",INDEX($E$1:$J$1,MATCH(MAX(E657:J657),E657:J657,0)))</f>
        <v>No label</v>
      </c>
      <c r="L657" s="0" t="n">
        <f aca="false">SUMPRODUCT((Rules!$A$2:$A$60=L$1)*Rules!$C$2:$C$60*ISNUMBER(SEARCH(Rules!$E$2:$E$60,$D657)))</f>
        <v>0</v>
      </c>
      <c r="M657" s="0" t="n">
        <f aca="false">SUMPRODUCT((Rules!$A$2:$A$60=M$1)*Rules!$C$2:$C$60*ISNUMBER(SEARCH(Rules!$E$2:$E$60,$D657)))</f>
        <v>0</v>
      </c>
      <c r="N657" s="0" t="n">
        <f aca="false">SUMPRODUCT((Rules!$A$2:$A$60=N$1)*Rules!$C$2:$C$60*ISNUMBER(SEARCH(Rules!$E$2:$E$60,$D657)))</f>
        <v>1</v>
      </c>
      <c r="O657" s="0" t="n">
        <f aca="false">SUMPRODUCT((Rules!$A$2:$A$60=O$1)*Rules!$C$2:$C$60*ISNUMBER(SEARCH(Rules!$E$2:$E$60,$D657)))</f>
        <v>2</v>
      </c>
      <c r="P657" s="0" t="n">
        <f aca="false">SUMPRODUCT((Rules!$A$2:$A$60=P$1)*Rules!$C$2:$C$60*ISNUMBER(SEARCH(Rules!$E$2:$E$60,$D657)))</f>
        <v>0</v>
      </c>
      <c r="Q657" s="0" t="n">
        <f aca="false">SUMPRODUCT((Rules!$A$2:$A$60=Q$1)*Rules!$C$2:$C$60*ISNUMBER(SEARCH(Rules!$E$2:$E$60,$D657)))</f>
        <v>2</v>
      </c>
      <c r="R657" s="0" t="str">
        <f aca="false">IF(OR(MAX(L657:Q657)&lt;Rules!$H$1,MAX(L657:Q657)-LARGE(L657:Q657,2)&lt;Rules!$H$2),"No label",INDEX($L$1:$Q$1,MATCH(MAX(L657:Q657),L657:Q657,0)))</f>
        <v>No label</v>
      </c>
      <c r="S657" s="0" t="n">
        <f aca="false">SUMPRODUCT(ISNUMBER(SEARCH(" "&amp;Terms!$A$3:$A$821&amp;" ",$D657))*Terms!B$3:B$821)+Terms!B$2</f>
        <v>-1.72413768713994</v>
      </c>
      <c r="T657" s="0" t="n">
        <f aca="false">SUMPRODUCT(ISNUMBER(SEARCH(" "&amp;Terms!$A$3:$A$821&amp;" ",$D657))*Terms!C$3:C$821)+Terms!C$2</f>
        <v>1.09048244854586</v>
      </c>
      <c r="U657" s="0" t="n">
        <f aca="false">SUMPRODUCT(ISNUMBER(SEARCH(" "&amp;Terms!$A$3:$A$821&amp;" ",$D657))*Terms!D$3:D$821)+Terms!D$2</f>
        <v>-1.58853100276687</v>
      </c>
      <c r="V657" s="0" t="n">
        <f aca="false">SUMPRODUCT(ISNUMBER(SEARCH(" "&amp;Terms!$A$3:$A$821&amp;" ",$D657))*Terms!E$3:E$821)+Terms!E$2</f>
        <v>10.4344934986093</v>
      </c>
      <c r="W657" s="0" t="n">
        <f aca="false">SUMPRODUCT(ISNUMBER(SEARCH(" "&amp;Terms!$A$3:$A$821&amp;" ",$D657))*Terms!F$3:F$821)+Terms!F$2</f>
        <v>-2.6994809490845</v>
      </c>
      <c r="X657" s="0" t="n">
        <f aca="false">SUMPRODUCT(ISNUMBER(SEARCH(" "&amp;Terms!$A$3:$A$821&amp;" ",$D657))*Terms!G$3:G$821)+Terms!G$2</f>
        <v>-5.51282630816378</v>
      </c>
      <c r="Y657" s="0" t="str">
        <f aca="false">INDEX($S$1:$X$1,MATCH(MAX(S657:X657),S657:X657,0))</f>
        <v>Fees &amp; Charges</v>
      </c>
      <c r="Z657" s="0" t="s">
        <v>2608</v>
      </c>
    </row>
    <row r="658" customFormat="false" ht="15" hidden="false" customHeight="false" outlineLevel="0" collapsed="false">
      <c r="A658" s="0" t="str">
        <f aca="false">Complaints!A658</f>
        <v>C0657</v>
      </c>
      <c r="B658" s="0" t="str">
        <f aca="false">Complaints!B658</f>
        <v>This is the second time I have raised this. The payment still has not arrived in my account.</v>
      </c>
      <c r="C658" s="0" t="str">
        <f aca="false">Complaints!C658</f>
        <v>Delays &amp; Processing</v>
      </c>
      <c r="D658" s="0" t="str">
        <f aca="false">" "&amp;TRIM(SUBSTITUTE(SUBSTITUTE(SUBSTITUTE(SUBSTITUTE(SUBSTITUTE(SUBSTITUTE(SUBSTITUTE(SUBSTITUTE(SUBSTITUTE(SUBSTITUTE(SUBSTITUTE(SUBSTITUTE(SUBSTITUTE(SUBSTITUTE(SUBSTITUTE(SUBSTITUTE(LOWER(B658),"."," "),","," "),"'"," "),"’"," "),"!"," "),"?"," "),";"," "),":"," "),"-"," "),"("," "),")"," "),"""", " "),"£"," "),"&amp;"," "),"/"," "),"%"," "))&amp;" "</f>
        <v> this is the second time i have raised this the payment still has not arrived in my account </v>
      </c>
      <c r="E658" s="0" t="n">
        <f aca="false">SUMPRODUCT((Rules!$A$2:$A$60=E$1)*Rules!$C$2:$C$60*ISNUMBER(SEARCH(Rules!$D$2:$D$60,$D658)))</f>
        <v>0</v>
      </c>
      <c r="F658" s="0" t="n">
        <f aca="false">SUMPRODUCT((Rules!$A$2:$A$60=F$1)*Rules!$C$2:$C$60*ISNUMBER(SEARCH(Rules!$D$2:$D$60,$D658)))</f>
        <v>0</v>
      </c>
      <c r="G658" s="0" t="n">
        <f aca="false">SUMPRODUCT((Rules!$A$2:$A$60=G$1)*Rules!$C$2:$C$60*ISNUMBER(SEARCH(Rules!$D$2:$D$60,$D658)))</f>
        <v>0</v>
      </c>
      <c r="H658" s="0" t="n">
        <f aca="false">SUMPRODUCT((Rules!$A$2:$A$60=H$1)*Rules!$C$2:$C$60*ISNUMBER(SEARCH(Rules!$D$2:$D$60,$D658)))</f>
        <v>0</v>
      </c>
      <c r="I658" s="0" t="n">
        <f aca="false">SUMPRODUCT((Rules!$A$2:$A$60=I$1)*Rules!$C$2:$C$60*ISNUMBER(SEARCH(Rules!$D$2:$D$60,$D658)))</f>
        <v>2</v>
      </c>
      <c r="J658" s="0" t="n">
        <f aca="false">SUMPRODUCT((Rules!$A$2:$A$60=J$1)*Rules!$C$2:$C$60*ISNUMBER(SEARCH(Rules!$D$2:$D$60,$D658)))</f>
        <v>0</v>
      </c>
      <c r="K658" s="0" t="str">
        <f aca="false">IF(OR(MAX(E658:J658)&lt;Rules!$H$1,MAX(E658:J658)-LARGE(E658:J658,2)&lt;Rules!$H$2),"No label",INDEX($E$1:$J$1,MATCH(MAX(E658:J658),E658:J658,0)))</f>
        <v>No label</v>
      </c>
      <c r="L658" s="0" t="n">
        <f aca="false">SUMPRODUCT((Rules!$A$2:$A$60=L$1)*Rules!$C$2:$C$60*ISNUMBER(SEARCH(Rules!$E$2:$E$60,$D658)))</f>
        <v>0</v>
      </c>
      <c r="M658" s="0" t="n">
        <f aca="false">SUMPRODUCT((Rules!$A$2:$A$60=M$1)*Rules!$C$2:$C$60*ISNUMBER(SEARCH(Rules!$E$2:$E$60,$D658)))</f>
        <v>0</v>
      </c>
      <c r="N658" s="0" t="n">
        <f aca="false">SUMPRODUCT((Rules!$A$2:$A$60=N$1)*Rules!$C$2:$C$60*ISNUMBER(SEARCH(Rules!$E$2:$E$60,$D658)))</f>
        <v>0</v>
      </c>
      <c r="O658" s="0" t="n">
        <f aca="false">SUMPRODUCT((Rules!$A$2:$A$60=O$1)*Rules!$C$2:$C$60*ISNUMBER(SEARCH(Rules!$E$2:$E$60,$D658)))</f>
        <v>0</v>
      </c>
      <c r="P658" s="0" t="n">
        <f aca="false">SUMPRODUCT((Rules!$A$2:$A$60=P$1)*Rules!$C$2:$C$60*ISNUMBER(SEARCH(Rules!$E$2:$E$60,$D658)))</f>
        <v>2</v>
      </c>
      <c r="Q658" s="0" t="n">
        <f aca="false">SUMPRODUCT((Rules!$A$2:$A$60=Q$1)*Rules!$C$2:$C$60*ISNUMBER(SEARCH(Rules!$E$2:$E$60,$D658)))</f>
        <v>0</v>
      </c>
      <c r="R658" s="0" t="str">
        <f aca="false">IF(OR(MAX(L658:Q658)&lt;Rules!$H$1,MAX(L658:Q658)-LARGE(L658:Q658,2)&lt;Rules!$H$2),"No label",INDEX($L$1:$Q$1,MATCH(MAX(L658:Q658),L658:Q658,0)))</f>
        <v>No label</v>
      </c>
      <c r="S658" s="0" t="n">
        <f aca="false">SUMPRODUCT(ISNUMBER(SEARCH(" "&amp;Terms!$A$3:$A$821&amp;" ",$D658))*Terms!B$3:B$821)+Terms!B$2</f>
        <v>-1.22937952592787</v>
      </c>
      <c r="T658" s="0" t="n">
        <f aca="false">SUMPRODUCT(ISNUMBER(SEARCH(" "&amp;Terms!$A$3:$A$821&amp;" ",$D658))*Terms!C$3:C$821)+Terms!C$2</f>
        <v>-1.18612636981835</v>
      </c>
      <c r="U658" s="0" t="n">
        <f aca="false">SUMPRODUCT(ISNUMBER(SEARCH(" "&amp;Terms!$A$3:$A$821&amp;" ",$D658))*Terms!D$3:D$821)+Terms!D$2</f>
        <v>5.77303934377399</v>
      </c>
      <c r="V658" s="0" t="n">
        <f aca="false">SUMPRODUCT(ISNUMBER(SEARCH(" "&amp;Terms!$A$3:$A$821&amp;" ",$D658))*Terms!E$3:E$821)+Terms!E$2</f>
        <v>-0.10632736456823</v>
      </c>
      <c r="W658" s="0" t="n">
        <f aca="false">SUMPRODUCT(ISNUMBER(SEARCH(" "&amp;Terms!$A$3:$A$821&amp;" ",$D658))*Terms!F$3:F$821)+Terms!F$2</f>
        <v>0.901282312970083</v>
      </c>
      <c r="X658" s="0" t="n">
        <f aca="false">SUMPRODUCT(ISNUMBER(SEARCH(" "&amp;Terms!$A$3:$A$821&amp;" ",$D658))*Terms!G$3:G$821)+Terms!G$2</f>
        <v>-4.15248839642953</v>
      </c>
      <c r="Y658" s="0" t="str">
        <f aca="false">INDEX($S$1:$X$1,MATCH(MAX(S658:X658),S658:X658,0))</f>
        <v>Delays &amp; Processing</v>
      </c>
      <c r="Z658" s="0" t="s">
        <v>2607</v>
      </c>
    </row>
    <row r="659" customFormat="false" ht="15" hidden="false" customHeight="false" outlineLevel="0" collapsed="false">
      <c r="A659" s="0" t="str">
        <f aca="false">Complaints!A659</f>
        <v>C0658</v>
      </c>
      <c r="B659" s="0" t="str">
        <f aca="false">Complaints!B659</f>
        <v>I was tricked into moving savings to a safe account that was not safe. Please sort this out.</v>
      </c>
      <c r="C659" s="0" t="str">
        <f aca="false">Complaints!C659</f>
        <v>Fraud &amp; Scams</v>
      </c>
      <c r="D659" s="0" t="str">
        <f aca="false">" "&amp;TRIM(SUBSTITUTE(SUBSTITUTE(SUBSTITUTE(SUBSTITUTE(SUBSTITUTE(SUBSTITUTE(SUBSTITUTE(SUBSTITUTE(SUBSTITUTE(SUBSTITUTE(SUBSTITUTE(SUBSTITUTE(SUBSTITUTE(SUBSTITUTE(SUBSTITUTE(SUBSTITUTE(LOWER(B659),"."," "),","," "),"'"," "),"’"," "),"!"," "),"?"," "),";"," "),":"," "),"-"," "),"("," "),")"," "),"""", " "),"£"," "),"&amp;"," "),"/"," "),"%"," "))&amp;" "</f>
        <v> i was tricked into moving savings to a safe account that was not safe please sort this out </v>
      </c>
      <c r="E659" s="0" t="n">
        <f aca="false">SUMPRODUCT((Rules!$A$2:$A$60=E$1)*Rules!$C$2:$C$60*ISNUMBER(SEARCH(Rules!$D$2:$D$60,$D659)))</f>
        <v>2</v>
      </c>
      <c r="F659" s="0" t="n">
        <f aca="false">SUMPRODUCT((Rules!$A$2:$A$60=F$1)*Rules!$C$2:$C$60*ISNUMBER(SEARCH(Rules!$D$2:$D$60,$D659)))</f>
        <v>0</v>
      </c>
      <c r="G659" s="0" t="n">
        <f aca="false">SUMPRODUCT((Rules!$A$2:$A$60=G$1)*Rules!$C$2:$C$60*ISNUMBER(SEARCH(Rules!$D$2:$D$60,$D659)))</f>
        <v>0</v>
      </c>
      <c r="H659" s="0" t="n">
        <f aca="false">SUMPRODUCT((Rules!$A$2:$A$60=H$1)*Rules!$C$2:$C$60*ISNUMBER(SEARCH(Rules!$D$2:$D$60,$D659)))</f>
        <v>0</v>
      </c>
      <c r="I659" s="0" t="n">
        <f aca="false">SUMPRODUCT((Rules!$A$2:$A$60=I$1)*Rules!$C$2:$C$60*ISNUMBER(SEARCH(Rules!$D$2:$D$60,$D659)))</f>
        <v>0</v>
      </c>
      <c r="J659" s="0" t="n">
        <f aca="false">SUMPRODUCT((Rules!$A$2:$A$60=J$1)*Rules!$C$2:$C$60*ISNUMBER(SEARCH(Rules!$D$2:$D$60,$D659)))</f>
        <v>0</v>
      </c>
      <c r="K659" s="0" t="str">
        <f aca="false">IF(OR(MAX(E659:J659)&lt;Rules!$H$1,MAX(E659:J659)-LARGE(E659:J659,2)&lt;Rules!$H$2),"No label",INDEX($E$1:$J$1,MATCH(MAX(E659:J659),E659:J659,0)))</f>
        <v>No label</v>
      </c>
      <c r="L659" s="0" t="n">
        <f aca="false">SUMPRODUCT((Rules!$A$2:$A$60=L$1)*Rules!$C$2:$C$60*ISNUMBER(SEARCH(Rules!$E$2:$E$60,$D659)))</f>
        <v>2</v>
      </c>
      <c r="M659" s="0" t="n">
        <f aca="false">SUMPRODUCT((Rules!$A$2:$A$60=M$1)*Rules!$C$2:$C$60*ISNUMBER(SEARCH(Rules!$E$2:$E$60,$D659)))</f>
        <v>0</v>
      </c>
      <c r="N659" s="0" t="n">
        <f aca="false">SUMPRODUCT((Rules!$A$2:$A$60=N$1)*Rules!$C$2:$C$60*ISNUMBER(SEARCH(Rules!$E$2:$E$60,$D659)))</f>
        <v>0</v>
      </c>
      <c r="O659" s="0" t="n">
        <f aca="false">SUMPRODUCT((Rules!$A$2:$A$60=O$1)*Rules!$C$2:$C$60*ISNUMBER(SEARCH(Rules!$E$2:$E$60,$D659)))</f>
        <v>0</v>
      </c>
      <c r="P659" s="0" t="n">
        <f aca="false">SUMPRODUCT((Rules!$A$2:$A$60=P$1)*Rules!$C$2:$C$60*ISNUMBER(SEARCH(Rules!$E$2:$E$60,$D659)))</f>
        <v>0</v>
      </c>
      <c r="Q659" s="0" t="n">
        <f aca="false">SUMPRODUCT((Rules!$A$2:$A$60=Q$1)*Rules!$C$2:$C$60*ISNUMBER(SEARCH(Rules!$E$2:$E$60,$D659)))</f>
        <v>0</v>
      </c>
      <c r="R659" s="0" t="str">
        <f aca="false">IF(OR(MAX(L659:Q659)&lt;Rules!$H$1,MAX(L659:Q659)-LARGE(L659:Q659,2)&lt;Rules!$H$2),"No label",INDEX($L$1:$Q$1,MATCH(MAX(L659:Q659),L659:Q659,0)))</f>
        <v>No label</v>
      </c>
      <c r="S659" s="0" t="n">
        <f aca="false">SUMPRODUCT(ISNUMBER(SEARCH(" "&amp;Terms!$A$3:$A$821&amp;" ",$D659))*Terms!B$3:B$821)+Terms!B$2</f>
        <v>-3.4723730374745</v>
      </c>
      <c r="T659" s="0" t="n">
        <f aca="false">SUMPRODUCT(ISNUMBER(SEARCH(" "&amp;Terms!$A$3:$A$821&amp;" ",$D659))*Terms!C$3:C$821)+Terms!C$2</f>
        <v>-4.83389068228897</v>
      </c>
      <c r="U659" s="0" t="n">
        <f aca="false">SUMPRODUCT(ISNUMBER(SEARCH(" "&amp;Terms!$A$3:$A$821&amp;" ",$D659))*Terms!D$3:D$821)+Terms!D$2</f>
        <v>2.55234517016591</v>
      </c>
      <c r="V659" s="0" t="n">
        <f aca="false">SUMPRODUCT(ISNUMBER(SEARCH(" "&amp;Terms!$A$3:$A$821&amp;" ",$D659))*Terms!E$3:E$821)+Terms!E$2</f>
        <v>0.383384901432797</v>
      </c>
      <c r="W659" s="0" t="n">
        <f aca="false">SUMPRODUCT(ISNUMBER(SEARCH(" "&amp;Terms!$A$3:$A$821&amp;" ",$D659))*Terms!F$3:F$821)+Terms!F$2</f>
        <v>9.83992510564454</v>
      </c>
      <c r="X659" s="0" t="n">
        <f aca="false">SUMPRODUCT(ISNUMBER(SEARCH(" "&amp;Terms!$A$3:$A$821&amp;" ",$D659))*Terms!G$3:G$821)+Terms!G$2</f>
        <v>-4.4693914574797</v>
      </c>
      <c r="Y659" s="0" t="str">
        <f aca="false">INDEX($S$1:$X$1,MATCH(MAX(S659:X659),S659:X659,0))</f>
        <v>Fraud &amp; Scams</v>
      </c>
      <c r="Z659" s="0" t="s">
        <v>2608</v>
      </c>
    </row>
    <row r="660" customFormat="false" ht="15" hidden="false" customHeight="false" outlineLevel="0" collapsed="false">
      <c r="A660" s="0" t="str">
        <f aca="false">Complaints!A660</f>
        <v>C0659</v>
      </c>
      <c r="B660" s="0" t="str">
        <f aca="false">Complaints!B660</f>
        <v>To whom it may concern, My application has been stuck for weeks with no progress.</v>
      </c>
      <c r="C660" s="0" t="str">
        <f aca="false">Complaints!C660</f>
        <v>Delays &amp; Processing</v>
      </c>
      <c r="D660" s="0" t="str">
        <f aca="false">" "&amp;TRIM(SUBSTITUTE(SUBSTITUTE(SUBSTITUTE(SUBSTITUTE(SUBSTITUTE(SUBSTITUTE(SUBSTITUTE(SUBSTITUTE(SUBSTITUTE(SUBSTITUTE(SUBSTITUTE(SUBSTITUTE(SUBSTITUTE(SUBSTITUTE(SUBSTITUTE(SUBSTITUTE(LOWER(B660),"."," "),","," "),"'"," "),"’"," "),"!"," "),"?"," "),";"," "),":"," "),"-"," "),"("," "),")"," "),"""", " "),"£"," "),"&amp;"," "),"/"," "),"%"," "))&amp;" "</f>
        <v> to whom it may concern my application has been stuck for weeks with no progress </v>
      </c>
      <c r="E660" s="0" t="n">
        <f aca="false">SUMPRODUCT((Rules!$A$2:$A$60=E$1)*Rules!$C$2:$C$60*ISNUMBER(SEARCH(Rules!$D$2:$D$60,$D660)))</f>
        <v>0</v>
      </c>
      <c r="F660" s="0" t="n">
        <f aca="false">SUMPRODUCT((Rules!$A$2:$A$60=F$1)*Rules!$C$2:$C$60*ISNUMBER(SEARCH(Rules!$D$2:$D$60,$D660)))</f>
        <v>0</v>
      </c>
      <c r="G660" s="0" t="n">
        <f aca="false">SUMPRODUCT((Rules!$A$2:$A$60=G$1)*Rules!$C$2:$C$60*ISNUMBER(SEARCH(Rules!$D$2:$D$60,$D660)))</f>
        <v>0</v>
      </c>
      <c r="H660" s="0" t="n">
        <f aca="false">SUMPRODUCT((Rules!$A$2:$A$60=H$1)*Rules!$C$2:$C$60*ISNUMBER(SEARCH(Rules!$D$2:$D$60,$D660)))</f>
        <v>0</v>
      </c>
      <c r="I660" s="0" t="n">
        <f aca="false">SUMPRODUCT((Rules!$A$2:$A$60=I$1)*Rules!$C$2:$C$60*ISNUMBER(SEARCH(Rules!$D$2:$D$60,$D660)))</f>
        <v>3</v>
      </c>
      <c r="J660" s="0" t="n">
        <f aca="false">SUMPRODUCT((Rules!$A$2:$A$60=J$1)*Rules!$C$2:$C$60*ISNUMBER(SEARCH(Rules!$D$2:$D$60,$D660)))</f>
        <v>0</v>
      </c>
      <c r="K660" s="0" t="str">
        <f aca="false">IF(OR(MAX(E660:J660)&lt;Rules!$H$1,MAX(E660:J660)-LARGE(E660:J660,2)&lt;Rules!$H$2),"No label",INDEX($E$1:$J$1,MATCH(MAX(E660:J660),E660:J660,0)))</f>
        <v>Delays &amp; Processing</v>
      </c>
      <c r="L660" s="0" t="n">
        <f aca="false">SUMPRODUCT((Rules!$A$2:$A$60=L$1)*Rules!$C$2:$C$60*ISNUMBER(SEARCH(Rules!$E$2:$E$60,$D660)))</f>
        <v>0</v>
      </c>
      <c r="M660" s="0" t="n">
        <f aca="false">SUMPRODUCT((Rules!$A$2:$A$60=M$1)*Rules!$C$2:$C$60*ISNUMBER(SEARCH(Rules!$E$2:$E$60,$D660)))</f>
        <v>0</v>
      </c>
      <c r="N660" s="0" t="n">
        <f aca="false">SUMPRODUCT((Rules!$A$2:$A$60=N$1)*Rules!$C$2:$C$60*ISNUMBER(SEARCH(Rules!$E$2:$E$60,$D660)))</f>
        <v>0</v>
      </c>
      <c r="O660" s="0" t="n">
        <f aca="false">SUMPRODUCT((Rules!$A$2:$A$60=O$1)*Rules!$C$2:$C$60*ISNUMBER(SEARCH(Rules!$E$2:$E$60,$D660)))</f>
        <v>0</v>
      </c>
      <c r="P660" s="0" t="n">
        <f aca="false">SUMPRODUCT((Rules!$A$2:$A$60=P$1)*Rules!$C$2:$C$60*ISNUMBER(SEARCH(Rules!$E$2:$E$60,$D660)))</f>
        <v>3</v>
      </c>
      <c r="Q660" s="0" t="n">
        <f aca="false">SUMPRODUCT((Rules!$A$2:$A$60=Q$1)*Rules!$C$2:$C$60*ISNUMBER(SEARCH(Rules!$E$2:$E$60,$D660)))</f>
        <v>0</v>
      </c>
      <c r="R660" s="0" t="str">
        <f aca="false">IF(OR(MAX(L660:Q660)&lt;Rules!$H$1,MAX(L660:Q660)-LARGE(L660:Q660,2)&lt;Rules!$H$2),"No label",INDEX($L$1:$Q$1,MATCH(MAX(L660:Q660),L660:Q660,0)))</f>
        <v>Delays &amp; Processing</v>
      </c>
      <c r="S660" s="0" t="n">
        <f aca="false">SUMPRODUCT(ISNUMBER(SEARCH(" "&amp;Terms!$A$3:$A$821&amp;" ",$D660))*Terms!B$3:B$821)+Terms!B$2</f>
        <v>-2.78948140227066</v>
      </c>
      <c r="T660" s="0" t="n">
        <f aca="false">SUMPRODUCT(ISNUMBER(SEARCH(" "&amp;Terms!$A$3:$A$821&amp;" ",$D660))*Terms!C$3:C$821)+Terms!C$2</f>
        <v>0.218189746948359</v>
      </c>
      <c r="U660" s="0" t="n">
        <f aca="false">SUMPRODUCT(ISNUMBER(SEARCH(" "&amp;Terms!$A$3:$A$821&amp;" ",$D660))*Terms!D$3:D$821)+Terms!D$2</f>
        <v>7.93266941699958</v>
      </c>
      <c r="V660" s="0" t="n">
        <f aca="false">SUMPRODUCT(ISNUMBER(SEARCH(" "&amp;Terms!$A$3:$A$821&amp;" ",$D660))*Terms!E$3:E$821)+Terms!E$2</f>
        <v>-0.346245856956971</v>
      </c>
      <c r="W660" s="0" t="n">
        <f aca="false">SUMPRODUCT(ISNUMBER(SEARCH(" "&amp;Terms!$A$3:$A$821&amp;" ",$D660))*Terms!F$3:F$821)+Terms!F$2</f>
        <v>-3.06474249307538</v>
      </c>
      <c r="X660" s="0" t="n">
        <f aca="false">SUMPRODUCT(ISNUMBER(SEARCH(" "&amp;Terms!$A$3:$A$821&amp;" ",$D660))*Terms!G$3:G$821)+Terms!G$2</f>
        <v>-1.95038941164484</v>
      </c>
      <c r="Y660" s="0" t="str">
        <f aca="false">INDEX($S$1:$X$1,MATCH(MAX(S660:X660),S660:X660,0))</f>
        <v>Delays &amp; Processing</v>
      </c>
      <c r="Z660" s="0" t="s">
        <v>2608</v>
      </c>
    </row>
    <row r="661" customFormat="false" ht="15" hidden="false" customHeight="false" outlineLevel="0" collapsed="false">
      <c r="A661" s="0" t="str">
        <f aca="false">Complaints!A661</f>
        <v>C0660</v>
      </c>
      <c r="B661" s="0" t="str">
        <f aca="false">Complaints!B661</f>
        <v>I am writing to complain. I feel I was treated badly because of my age. I want this put right.</v>
      </c>
      <c r="C661" s="0" t="str">
        <f aca="false">Complaints!C661</f>
        <v>Customer Service</v>
      </c>
      <c r="D661" s="0" t="str">
        <f aca="false">" "&amp;TRIM(SUBSTITUTE(SUBSTITUTE(SUBSTITUTE(SUBSTITUTE(SUBSTITUTE(SUBSTITUTE(SUBSTITUTE(SUBSTITUTE(SUBSTITUTE(SUBSTITUTE(SUBSTITUTE(SUBSTITUTE(SUBSTITUTE(SUBSTITUTE(SUBSTITUTE(SUBSTITUTE(LOWER(B661),"."," "),","," "),"'"," "),"’"," "),"!"," "),"?"," "),";"," "),":"," "),"-"," "),"("," "),")"," "),"""", " "),"£"," "),"&amp;"," "),"/"," "),"%"," "))&amp;" "</f>
        <v> i am writing to complain i feel i was treated badly because of my age i want this put right </v>
      </c>
      <c r="E661" s="0" t="n">
        <f aca="false">SUMPRODUCT((Rules!$A$2:$A$60=E$1)*Rules!$C$2:$C$60*ISNUMBER(SEARCH(Rules!$D$2:$D$60,$D661)))</f>
        <v>0</v>
      </c>
      <c r="F661" s="0" t="n">
        <f aca="false">SUMPRODUCT((Rules!$A$2:$A$60=F$1)*Rules!$C$2:$C$60*ISNUMBER(SEARCH(Rules!$D$2:$D$60,$D661)))</f>
        <v>0</v>
      </c>
      <c r="G661" s="0" t="n">
        <f aca="false">SUMPRODUCT((Rules!$A$2:$A$60=G$1)*Rules!$C$2:$C$60*ISNUMBER(SEARCH(Rules!$D$2:$D$60,$D661)))</f>
        <v>0</v>
      </c>
      <c r="H661" s="0" t="n">
        <f aca="false">SUMPRODUCT((Rules!$A$2:$A$60=H$1)*Rules!$C$2:$C$60*ISNUMBER(SEARCH(Rules!$D$2:$D$60,$D661)))</f>
        <v>0</v>
      </c>
      <c r="I661" s="0" t="n">
        <f aca="false">SUMPRODUCT((Rules!$A$2:$A$60=I$1)*Rules!$C$2:$C$60*ISNUMBER(SEARCH(Rules!$D$2:$D$60,$D661)))</f>
        <v>0</v>
      </c>
      <c r="J661" s="0" t="n">
        <f aca="false">SUMPRODUCT((Rules!$A$2:$A$60=J$1)*Rules!$C$2:$C$60*ISNUMBER(SEARCH(Rules!$D$2:$D$60,$D661)))</f>
        <v>3</v>
      </c>
      <c r="K661" s="0" t="str">
        <f aca="false">IF(OR(MAX(E661:J661)&lt;Rules!$H$1,MAX(E661:J661)-LARGE(E661:J661,2)&lt;Rules!$H$2),"No label",INDEX($E$1:$J$1,MATCH(MAX(E661:J661),E661:J661,0)))</f>
        <v>Customer Service</v>
      </c>
      <c r="L661" s="0" t="n">
        <f aca="false">SUMPRODUCT((Rules!$A$2:$A$60=L$1)*Rules!$C$2:$C$60*ISNUMBER(SEARCH(Rules!$E$2:$E$60,$D661)))</f>
        <v>0</v>
      </c>
      <c r="M661" s="0" t="n">
        <f aca="false">SUMPRODUCT((Rules!$A$2:$A$60=M$1)*Rules!$C$2:$C$60*ISNUMBER(SEARCH(Rules!$E$2:$E$60,$D661)))</f>
        <v>0</v>
      </c>
      <c r="N661" s="0" t="n">
        <f aca="false">SUMPRODUCT((Rules!$A$2:$A$60=N$1)*Rules!$C$2:$C$60*ISNUMBER(SEARCH(Rules!$E$2:$E$60,$D661)))</f>
        <v>0</v>
      </c>
      <c r="O661" s="0" t="n">
        <f aca="false">SUMPRODUCT((Rules!$A$2:$A$60=O$1)*Rules!$C$2:$C$60*ISNUMBER(SEARCH(Rules!$E$2:$E$60,$D661)))</f>
        <v>0</v>
      </c>
      <c r="P661" s="0" t="n">
        <f aca="false">SUMPRODUCT((Rules!$A$2:$A$60=P$1)*Rules!$C$2:$C$60*ISNUMBER(SEARCH(Rules!$E$2:$E$60,$D661)))</f>
        <v>0</v>
      </c>
      <c r="Q661" s="0" t="n">
        <f aca="false">SUMPRODUCT((Rules!$A$2:$A$60=Q$1)*Rules!$C$2:$C$60*ISNUMBER(SEARCH(Rules!$E$2:$E$60,$D661)))</f>
        <v>3</v>
      </c>
      <c r="R661" s="0" t="str">
        <f aca="false">IF(OR(MAX(L661:Q661)&lt;Rules!$H$1,MAX(L661:Q661)-LARGE(L661:Q661,2)&lt;Rules!$H$2),"No label",INDEX($L$1:$Q$1,MATCH(MAX(L661:Q661),L661:Q661,0)))</f>
        <v>Customer Service</v>
      </c>
      <c r="S661" s="0" t="n">
        <f aca="false">SUMPRODUCT(ISNUMBER(SEARCH(" "&amp;Terms!$A$3:$A$821&amp;" ",$D661))*Terms!B$3:B$821)+Terms!B$2</f>
        <v>-1.24692914094442</v>
      </c>
      <c r="T661" s="0" t="n">
        <f aca="false">SUMPRODUCT(ISNUMBER(SEARCH(" "&amp;Terms!$A$3:$A$821&amp;" ",$D661))*Terms!C$3:C$821)+Terms!C$2</f>
        <v>7.82875807254917</v>
      </c>
      <c r="U661" s="0" t="n">
        <f aca="false">SUMPRODUCT(ISNUMBER(SEARCH(" "&amp;Terms!$A$3:$A$821&amp;" ",$D661))*Terms!D$3:D$821)+Terms!D$2</f>
        <v>-2.3874097529975</v>
      </c>
      <c r="V661" s="0" t="n">
        <f aca="false">SUMPRODUCT(ISNUMBER(SEARCH(" "&amp;Terms!$A$3:$A$821&amp;" ",$D661))*Terms!E$3:E$821)+Terms!E$2</f>
        <v>-3.11622151388883</v>
      </c>
      <c r="W661" s="0" t="n">
        <f aca="false">SUMPRODUCT(ISNUMBER(SEARCH(" "&amp;Terms!$A$3:$A$821&amp;" ",$D661))*Terms!F$3:F$821)+Terms!F$2</f>
        <v>-0.353263659843161</v>
      </c>
      <c r="X661" s="0" t="n">
        <f aca="false">SUMPRODUCT(ISNUMBER(SEARCH(" "&amp;Terms!$A$3:$A$821&amp;" ",$D661))*Terms!G$3:G$821)+Terms!G$2</f>
        <v>-0.724934004875151</v>
      </c>
      <c r="Y661" s="0" t="str">
        <f aca="false">INDEX($S$1:$X$1,MATCH(MAX(S661:X661),S661:X661,0))</f>
        <v>Customer Service</v>
      </c>
      <c r="Z661" s="0" t="s">
        <v>2607</v>
      </c>
    </row>
    <row r="662" customFormat="false" ht="15" hidden="false" customHeight="false" outlineLevel="0" collapsed="false">
      <c r="A662" s="0" t="str">
        <f aca="false">Complaints!A662</f>
        <v>C0661</v>
      </c>
      <c r="B662" s="0" t="str">
        <f aca="false">Complaints!B662</f>
        <v>I have had enough of the way this has gone. Please escalae this.</v>
      </c>
      <c r="C662" s="0" t="str">
        <f aca="false">Complaints!C662</f>
        <v>Mis-selling</v>
      </c>
      <c r="D662" s="0" t="str">
        <f aca="false">" "&amp;TRIM(SUBSTITUTE(SUBSTITUTE(SUBSTITUTE(SUBSTITUTE(SUBSTITUTE(SUBSTITUTE(SUBSTITUTE(SUBSTITUTE(SUBSTITUTE(SUBSTITUTE(SUBSTITUTE(SUBSTITUTE(SUBSTITUTE(SUBSTITUTE(SUBSTITUTE(SUBSTITUTE(LOWER(B662),"."," "),","," "),"'"," "),"’"," "),"!"," "),"?"," "),";"," "),":"," "),"-"," "),"("," "),")"," "),"""", " "),"£"," "),"&amp;"," "),"/"," "),"%"," "))&amp;" "</f>
        <v> i have had enough of the way this has gone please escalae this </v>
      </c>
      <c r="E662" s="0" t="n">
        <f aca="false">SUMPRODUCT((Rules!$A$2:$A$60=E$1)*Rules!$C$2:$C$60*ISNUMBER(SEARCH(Rules!$D$2:$D$60,$D662)))</f>
        <v>0</v>
      </c>
      <c r="F662" s="0" t="n">
        <f aca="false">SUMPRODUCT((Rules!$A$2:$A$60=F$1)*Rules!$C$2:$C$60*ISNUMBER(SEARCH(Rules!$D$2:$D$60,$D662)))</f>
        <v>0</v>
      </c>
      <c r="G662" s="0" t="n">
        <f aca="false">SUMPRODUCT((Rules!$A$2:$A$60=G$1)*Rules!$C$2:$C$60*ISNUMBER(SEARCH(Rules!$D$2:$D$60,$D662)))</f>
        <v>0</v>
      </c>
      <c r="H662" s="0" t="n">
        <f aca="false">SUMPRODUCT((Rules!$A$2:$A$60=H$1)*Rules!$C$2:$C$60*ISNUMBER(SEARCH(Rules!$D$2:$D$60,$D662)))</f>
        <v>0</v>
      </c>
      <c r="I662" s="0" t="n">
        <f aca="false">SUMPRODUCT((Rules!$A$2:$A$60=I$1)*Rules!$C$2:$C$60*ISNUMBER(SEARCH(Rules!$D$2:$D$60,$D662)))</f>
        <v>0</v>
      </c>
      <c r="J662" s="0" t="n">
        <f aca="false">SUMPRODUCT((Rules!$A$2:$A$60=J$1)*Rules!$C$2:$C$60*ISNUMBER(SEARCH(Rules!$D$2:$D$60,$D662)))</f>
        <v>0</v>
      </c>
      <c r="K662" s="0" t="str">
        <f aca="false">IF(OR(MAX(E662:J662)&lt;Rules!$H$1,MAX(E662:J662)-LARGE(E662:J662,2)&lt;Rules!$H$2),"No label",INDEX($E$1:$J$1,MATCH(MAX(E662:J662),E662:J662,0)))</f>
        <v>No label</v>
      </c>
      <c r="L662" s="0" t="n">
        <f aca="false">SUMPRODUCT((Rules!$A$2:$A$60=L$1)*Rules!$C$2:$C$60*ISNUMBER(SEARCH(Rules!$E$2:$E$60,$D662)))</f>
        <v>0</v>
      </c>
      <c r="M662" s="0" t="n">
        <f aca="false">SUMPRODUCT((Rules!$A$2:$A$60=M$1)*Rules!$C$2:$C$60*ISNUMBER(SEARCH(Rules!$E$2:$E$60,$D662)))</f>
        <v>0</v>
      </c>
      <c r="N662" s="0" t="n">
        <f aca="false">SUMPRODUCT((Rules!$A$2:$A$60=N$1)*Rules!$C$2:$C$60*ISNUMBER(SEARCH(Rules!$E$2:$E$60,$D662)))</f>
        <v>0</v>
      </c>
      <c r="O662" s="0" t="n">
        <f aca="false">SUMPRODUCT((Rules!$A$2:$A$60=O$1)*Rules!$C$2:$C$60*ISNUMBER(SEARCH(Rules!$E$2:$E$60,$D662)))</f>
        <v>0</v>
      </c>
      <c r="P662" s="0" t="n">
        <f aca="false">SUMPRODUCT((Rules!$A$2:$A$60=P$1)*Rules!$C$2:$C$60*ISNUMBER(SEARCH(Rules!$E$2:$E$60,$D662)))</f>
        <v>0</v>
      </c>
      <c r="Q662" s="0" t="n">
        <f aca="false">SUMPRODUCT((Rules!$A$2:$A$60=Q$1)*Rules!$C$2:$C$60*ISNUMBER(SEARCH(Rules!$E$2:$E$60,$D662)))</f>
        <v>0</v>
      </c>
      <c r="R662" s="0" t="str">
        <f aca="false">IF(OR(MAX(L662:Q662)&lt;Rules!$H$1,MAX(L662:Q662)-LARGE(L662:Q662,2)&lt;Rules!$H$2),"No label",INDEX($L$1:$Q$1,MATCH(MAX(L662:Q662),L662:Q662,0)))</f>
        <v>No label</v>
      </c>
      <c r="S662" s="0" t="n">
        <f aca="false">SUMPRODUCT(ISNUMBER(SEARCH(" "&amp;Terms!$A$3:$A$821&amp;" ",$D662))*Terms!B$3:B$821)+Terms!B$2</f>
        <v>0.740162088012994</v>
      </c>
      <c r="T662" s="0" t="n">
        <f aca="false">SUMPRODUCT(ISNUMBER(SEARCH(" "&amp;Terms!$A$3:$A$821&amp;" ",$D662))*Terms!C$3:C$821)+Terms!C$2</f>
        <v>-0.0474621897017864</v>
      </c>
      <c r="U662" s="0" t="n">
        <f aca="false">SUMPRODUCT(ISNUMBER(SEARCH(" "&amp;Terms!$A$3:$A$821&amp;" ",$D662))*Terms!D$3:D$821)+Terms!D$2</f>
        <v>0.0542463246819629</v>
      </c>
      <c r="V662" s="0" t="n">
        <f aca="false">SUMPRODUCT(ISNUMBER(SEARCH(" "&amp;Terms!$A$3:$A$821&amp;" ",$D662))*Terms!E$3:E$821)+Terms!E$2</f>
        <v>1.70751695055371</v>
      </c>
      <c r="W662" s="0" t="n">
        <f aca="false">SUMPRODUCT(ISNUMBER(SEARCH(" "&amp;Terms!$A$3:$A$821&amp;" ",$D662))*Terms!F$3:F$821)+Terms!F$2</f>
        <v>-1.95579033890654</v>
      </c>
      <c r="X662" s="0" t="n">
        <f aca="false">SUMPRODUCT(ISNUMBER(SEARCH(" "&amp;Terms!$A$3:$A$821&amp;" ",$D662))*Terms!G$3:G$821)+Terms!G$2</f>
        <v>-0.498672834640244</v>
      </c>
      <c r="Y662" s="0" t="str">
        <f aca="false">INDEX($S$1:$X$1,MATCH(MAX(S662:X662),S662:X662,0))</f>
        <v>Fees &amp; Charges</v>
      </c>
      <c r="Z662" s="0" t="s">
        <v>2608</v>
      </c>
    </row>
    <row r="663" customFormat="false" ht="15" hidden="false" customHeight="false" outlineLevel="0" collapsed="false">
      <c r="A663" s="0" t="str">
        <f aca="false">Complaints!A663</f>
        <v>C0662</v>
      </c>
      <c r="B663" s="0" t="str">
        <f aca="false">Complaints!B663</f>
        <v>The paperwork was submitted a month ago and I am still waiting.</v>
      </c>
      <c r="C663" s="0" t="str">
        <f aca="false">Complaints!C663</f>
        <v>Delays &amp; Processing</v>
      </c>
      <c r="D663" s="0" t="str">
        <f aca="false">" "&amp;TRIM(SUBSTITUTE(SUBSTITUTE(SUBSTITUTE(SUBSTITUTE(SUBSTITUTE(SUBSTITUTE(SUBSTITUTE(SUBSTITUTE(SUBSTITUTE(SUBSTITUTE(SUBSTITUTE(SUBSTITUTE(SUBSTITUTE(SUBSTITUTE(SUBSTITUTE(SUBSTITUTE(LOWER(B663),"."," "),","," "),"'"," "),"’"," "),"!"," "),"?"," "),";"," "),":"," "),"-"," "),"("," "),")"," "),"""", " "),"£"," "),"&amp;"," "),"/"," "),"%"," "))&amp;" "</f>
        <v> the paperwork was submitted a month ago and i am still waiting </v>
      </c>
      <c r="E663" s="0" t="n">
        <f aca="false">SUMPRODUCT((Rules!$A$2:$A$60=E$1)*Rules!$C$2:$C$60*ISNUMBER(SEARCH(Rules!$D$2:$D$60,$D663)))</f>
        <v>0</v>
      </c>
      <c r="F663" s="0" t="n">
        <f aca="false">SUMPRODUCT((Rules!$A$2:$A$60=F$1)*Rules!$C$2:$C$60*ISNUMBER(SEARCH(Rules!$D$2:$D$60,$D663)))</f>
        <v>0</v>
      </c>
      <c r="G663" s="0" t="n">
        <f aca="false">SUMPRODUCT((Rules!$A$2:$A$60=G$1)*Rules!$C$2:$C$60*ISNUMBER(SEARCH(Rules!$D$2:$D$60,$D663)))</f>
        <v>0</v>
      </c>
      <c r="H663" s="0" t="n">
        <f aca="false">SUMPRODUCT((Rules!$A$2:$A$60=H$1)*Rules!$C$2:$C$60*ISNUMBER(SEARCH(Rules!$D$2:$D$60,$D663)))</f>
        <v>0</v>
      </c>
      <c r="I663" s="0" t="n">
        <f aca="false">SUMPRODUCT((Rules!$A$2:$A$60=I$1)*Rules!$C$2:$C$60*ISNUMBER(SEARCH(Rules!$D$2:$D$60,$D663)))</f>
        <v>2</v>
      </c>
      <c r="J663" s="0" t="n">
        <f aca="false">SUMPRODUCT((Rules!$A$2:$A$60=J$1)*Rules!$C$2:$C$60*ISNUMBER(SEARCH(Rules!$D$2:$D$60,$D663)))</f>
        <v>0</v>
      </c>
      <c r="K663" s="0" t="str">
        <f aca="false">IF(OR(MAX(E663:J663)&lt;Rules!$H$1,MAX(E663:J663)-LARGE(E663:J663,2)&lt;Rules!$H$2),"No label",INDEX($E$1:$J$1,MATCH(MAX(E663:J663),E663:J663,0)))</f>
        <v>No label</v>
      </c>
      <c r="L663" s="0" t="n">
        <f aca="false">SUMPRODUCT((Rules!$A$2:$A$60=L$1)*Rules!$C$2:$C$60*ISNUMBER(SEARCH(Rules!$E$2:$E$60,$D663)))</f>
        <v>0</v>
      </c>
      <c r="M663" s="0" t="n">
        <f aca="false">SUMPRODUCT((Rules!$A$2:$A$60=M$1)*Rules!$C$2:$C$60*ISNUMBER(SEARCH(Rules!$E$2:$E$60,$D663)))</f>
        <v>0</v>
      </c>
      <c r="N663" s="0" t="n">
        <f aca="false">SUMPRODUCT((Rules!$A$2:$A$60=N$1)*Rules!$C$2:$C$60*ISNUMBER(SEARCH(Rules!$E$2:$E$60,$D663)))</f>
        <v>0</v>
      </c>
      <c r="O663" s="0" t="n">
        <f aca="false">SUMPRODUCT((Rules!$A$2:$A$60=O$1)*Rules!$C$2:$C$60*ISNUMBER(SEARCH(Rules!$E$2:$E$60,$D663)))</f>
        <v>0</v>
      </c>
      <c r="P663" s="0" t="n">
        <f aca="false">SUMPRODUCT((Rules!$A$2:$A$60=P$1)*Rules!$C$2:$C$60*ISNUMBER(SEARCH(Rules!$E$2:$E$60,$D663)))</f>
        <v>2</v>
      </c>
      <c r="Q663" s="0" t="n">
        <f aca="false">SUMPRODUCT((Rules!$A$2:$A$60=Q$1)*Rules!$C$2:$C$60*ISNUMBER(SEARCH(Rules!$E$2:$E$60,$D663)))</f>
        <v>0</v>
      </c>
      <c r="R663" s="0" t="str">
        <f aca="false">IF(OR(MAX(L663:Q663)&lt;Rules!$H$1,MAX(L663:Q663)-LARGE(L663:Q663,2)&lt;Rules!$H$2),"No label",INDEX($L$1:$Q$1,MATCH(MAX(L663:Q663),L663:Q663,0)))</f>
        <v>No label</v>
      </c>
      <c r="S663" s="0" t="n">
        <f aca="false">SUMPRODUCT(ISNUMBER(SEARCH(" "&amp;Terms!$A$3:$A$821&amp;" ",$D663))*Terms!B$3:B$821)+Terms!B$2</f>
        <v>-0.390254322428133</v>
      </c>
      <c r="T663" s="0" t="n">
        <f aca="false">SUMPRODUCT(ISNUMBER(SEARCH(" "&amp;Terms!$A$3:$A$821&amp;" ",$D663))*Terms!C$3:C$821)+Terms!C$2</f>
        <v>-0.965520287742284</v>
      </c>
      <c r="U663" s="0" t="n">
        <f aca="false">SUMPRODUCT(ISNUMBER(SEARCH(" "&amp;Terms!$A$3:$A$821&amp;" ",$D663))*Terms!D$3:D$821)+Terms!D$2</f>
        <v>6.6793400832038</v>
      </c>
      <c r="V663" s="0" t="n">
        <f aca="false">SUMPRODUCT(ISNUMBER(SEARCH(" "&amp;Terms!$A$3:$A$821&amp;" ",$D663))*Terms!E$3:E$821)+Terms!E$2</f>
        <v>-0.562099808097066</v>
      </c>
      <c r="W663" s="0" t="n">
        <f aca="false">SUMPRODUCT(ISNUMBER(SEARCH(" "&amp;Terms!$A$3:$A$821&amp;" ",$D663))*Terms!F$3:F$821)+Terms!F$2</f>
        <v>-3.37307615267904</v>
      </c>
      <c r="X663" s="0" t="n">
        <f aca="false">SUMPRODUCT(ISNUMBER(SEARCH(" "&amp;Terms!$A$3:$A$821&amp;" ",$D663))*Terms!G$3:G$821)+Terms!G$2</f>
        <v>-1.3883895122572</v>
      </c>
      <c r="Y663" s="0" t="str">
        <f aca="false">INDEX($S$1:$X$1,MATCH(MAX(S663:X663),S663:X663,0))</f>
        <v>Delays &amp; Processing</v>
      </c>
      <c r="Z663" s="0" t="s">
        <v>2607</v>
      </c>
    </row>
    <row r="664" customFormat="false" ht="15" hidden="false" customHeight="false" outlineLevel="0" collapsed="false">
      <c r="A664" s="0" t="str">
        <f aca="false">Complaints!A664</f>
        <v>C0663</v>
      </c>
      <c r="B664" s="0" t="str">
        <f aca="false">Complaints!B664</f>
        <v>Hello, I was told this policy covered e but my claim was rejected. There was also a fee involved. I would like a response in writing.</v>
      </c>
      <c r="C664" s="0" t="str">
        <f aca="false">Complaints!C664</f>
        <v>Mis-selling</v>
      </c>
      <c r="D664" s="0" t="str">
        <f aca="false">" "&amp;TRIM(SUBSTITUTE(SUBSTITUTE(SUBSTITUTE(SUBSTITUTE(SUBSTITUTE(SUBSTITUTE(SUBSTITUTE(SUBSTITUTE(SUBSTITUTE(SUBSTITUTE(SUBSTITUTE(SUBSTITUTE(SUBSTITUTE(SUBSTITUTE(SUBSTITUTE(SUBSTITUTE(LOWER(B664),"."," "),","," "),"'"," "),"’"," "),"!"," "),"?"," "),";"," "),":"," "),"-"," "),"("," "),")"," "),"""", " "),"£"," "),"&amp;"," "),"/"," "),"%"," "))&amp;" "</f>
        <v> hello i was told this policy covered e but my claim was rejected there was also a fee involved i would like a response in writing </v>
      </c>
      <c r="E664" s="0" t="n">
        <f aca="false">SUMPRODUCT((Rules!$A$2:$A$60=E$1)*Rules!$C$2:$C$60*ISNUMBER(SEARCH(Rules!$D$2:$D$60,$D664)))</f>
        <v>0</v>
      </c>
      <c r="F664" s="0" t="n">
        <f aca="false">SUMPRODUCT((Rules!$A$2:$A$60=F$1)*Rules!$C$2:$C$60*ISNUMBER(SEARCH(Rules!$D$2:$D$60,$D664)))</f>
        <v>1</v>
      </c>
      <c r="G664" s="0" t="n">
        <f aca="false">SUMPRODUCT((Rules!$A$2:$A$60=G$1)*Rules!$C$2:$C$60*ISNUMBER(SEARCH(Rules!$D$2:$D$60,$D664)))</f>
        <v>0</v>
      </c>
      <c r="H664" s="0" t="n">
        <f aca="false">SUMPRODUCT((Rules!$A$2:$A$60=H$1)*Rules!$C$2:$C$60*ISNUMBER(SEARCH(Rules!$D$2:$D$60,$D664)))</f>
        <v>2</v>
      </c>
      <c r="I664" s="0" t="n">
        <f aca="false">SUMPRODUCT((Rules!$A$2:$A$60=I$1)*Rules!$C$2:$C$60*ISNUMBER(SEARCH(Rules!$D$2:$D$60,$D664)))</f>
        <v>0</v>
      </c>
      <c r="J664" s="0" t="n">
        <f aca="false">SUMPRODUCT((Rules!$A$2:$A$60=J$1)*Rules!$C$2:$C$60*ISNUMBER(SEARCH(Rules!$D$2:$D$60,$D664)))</f>
        <v>0</v>
      </c>
      <c r="K664" s="0" t="str">
        <f aca="false">IF(OR(MAX(E664:J664)&lt;Rules!$H$1,MAX(E664:J664)-LARGE(E664:J664,2)&lt;Rules!$H$2),"No label",INDEX($E$1:$J$1,MATCH(MAX(E664:J664),E664:J664,0)))</f>
        <v>No label</v>
      </c>
      <c r="L664" s="0" t="n">
        <f aca="false">SUMPRODUCT((Rules!$A$2:$A$60=L$1)*Rules!$C$2:$C$60*ISNUMBER(SEARCH(Rules!$E$2:$E$60,$D664)))</f>
        <v>0</v>
      </c>
      <c r="M664" s="0" t="n">
        <f aca="false">SUMPRODUCT((Rules!$A$2:$A$60=M$1)*Rules!$C$2:$C$60*ISNUMBER(SEARCH(Rules!$E$2:$E$60,$D664)))</f>
        <v>1</v>
      </c>
      <c r="N664" s="0" t="n">
        <f aca="false">SUMPRODUCT((Rules!$A$2:$A$60=N$1)*Rules!$C$2:$C$60*ISNUMBER(SEARCH(Rules!$E$2:$E$60,$D664)))</f>
        <v>0</v>
      </c>
      <c r="O664" s="0" t="n">
        <f aca="false">SUMPRODUCT((Rules!$A$2:$A$60=O$1)*Rules!$C$2:$C$60*ISNUMBER(SEARCH(Rules!$E$2:$E$60,$D664)))</f>
        <v>2</v>
      </c>
      <c r="P664" s="0" t="n">
        <f aca="false">SUMPRODUCT((Rules!$A$2:$A$60=P$1)*Rules!$C$2:$C$60*ISNUMBER(SEARCH(Rules!$E$2:$E$60,$D664)))</f>
        <v>0</v>
      </c>
      <c r="Q664" s="0" t="n">
        <f aca="false">SUMPRODUCT((Rules!$A$2:$A$60=Q$1)*Rules!$C$2:$C$60*ISNUMBER(SEARCH(Rules!$E$2:$E$60,$D664)))</f>
        <v>0</v>
      </c>
      <c r="R664" s="0" t="str">
        <f aca="false">IF(OR(MAX(L664:Q664)&lt;Rules!$H$1,MAX(L664:Q664)-LARGE(L664:Q664,2)&lt;Rules!$H$2),"No label",INDEX($L$1:$Q$1,MATCH(MAX(L664:Q664),L664:Q664,0)))</f>
        <v>No label</v>
      </c>
      <c r="S664" s="0" t="n">
        <f aca="false">SUMPRODUCT(ISNUMBER(SEARCH(" "&amp;Terms!$A$3:$A$821&amp;" ",$D664))*Terms!B$3:B$821)+Terms!B$2</f>
        <v>-0.98444990416892</v>
      </c>
      <c r="T664" s="0" t="n">
        <f aca="false">SUMPRODUCT(ISNUMBER(SEARCH(" "&amp;Terms!$A$3:$A$821&amp;" ",$D664))*Terms!C$3:C$821)+Terms!C$2</f>
        <v>-5.48930923115611</v>
      </c>
      <c r="U664" s="0" t="n">
        <f aca="false">SUMPRODUCT(ISNUMBER(SEARCH(" "&amp;Terms!$A$3:$A$821&amp;" ",$D664))*Terms!D$3:D$821)+Terms!D$2</f>
        <v>-1.09706789973764</v>
      </c>
      <c r="V664" s="0" t="n">
        <f aca="false">SUMPRODUCT(ISNUMBER(SEARCH(" "&amp;Terms!$A$3:$A$821&amp;" ",$D664))*Terms!E$3:E$821)+Terms!E$2</f>
        <v>0.771023539736391</v>
      </c>
      <c r="W664" s="0" t="n">
        <f aca="false">SUMPRODUCT(ISNUMBER(SEARCH(" "&amp;Terms!$A$3:$A$821&amp;" ",$D664))*Terms!F$3:F$821)+Terms!F$2</f>
        <v>-3.92840931857946</v>
      </c>
      <c r="X664" s="0" t="n">
        <f aca="false">SUMPRODUCT(ISNUMBER(SEARCH(" "&amp;Terms!$A$3:$A$821&amp;" ",$D664))*Terms!G$3:G$821)+Terms!G$2</f>
        <v>10.7282128139058</v>
      </c>
      <c r="Y664" s="0" t="str">
        <f aca="false">INDEX($S$1:$X$1,MATCH(MAX(S664:X664),S664:X664,0))</f>
        <v>Mis-selling</v>
      </c>
      <c r="Z664" s="0" t="s">
        <v>2607</v>
      </c>
    </row>
    <row r="665" customFormat="false" ht="15" hidden="false" customHeight="false" outlineLevel="0" collapsed="false">
      <c r="A665" s="0" t="str">
        <f aca="false">Complaints!A665</f>
        <v>C0664</v>
      </c>
      <c r="B665" s="0" t="str">
        <f aca="false">Complaints!B665</f>
        <v>My card reader stopped working and I cannot approve payments. I would like a response in writing.</v>
      </c>
      <c r="C665" s="0" t="str">
        <f aca="false">Complaints!C665</f>
        <v>Account Access</v>
      </c>
      <c r="D665" s="0" t="str">
        <f aca="false">" "&amp;TRIM(SUBSTITUTE(SUBSTITUTE(SUBSTITUTE(SUBSTITUTE(SUBSTITUTE(SUBSTITUTE(SUBSTITUTE(SUBSTITUTE(SUBSTITUTE(SUBSTITUTE(SUBSTITUTE(SUBSTITUTE(SUBSTITUTE(SUBSTITUTE(SUBSTITUTE(SUBSTITUTE(LOWER(B665),"."," "),","," "),"'"," "),"’"," "),"!"," "),"?"," "),";"," "),":"," "),"-"," "),"("," "),")"," "),"""", " "),"£"," "),"&amp;"," "),"/"," "),"%"," "))&amp;" "</f>
        <v> my card reader stopped working and i cannot approve payments i would like a response in writing </v>
      </c>
      <c r="E665" s="0" t="n">
        <f aca="false">SUMPRODUCT((Rules!$A$2:$A$60=E$1)*Rules!$C$2:$C$60*ISNUMBER(SEARCH(Rules!$D$2:$D$60,$D665)))</f>
        <v>0</v>
      </c>
      <c r="F665" s="0" t="n">
        <f aca="false">SUMPRODUCT((Rules!$A$2:$A$60=F$1)*Rules!$C$2:$C$60*ISNUMBER(SEARCH(Rules!$D$2:$D$60,$D665)))</f>
        <v>0</v>
      </c>
      <c r="G665" s="0" t="n">
        <f aca="false">SUMPRODUCT((Rules!$A$2:$A$60=G$1)*Rules!$C$2:$C$60*ISNUMBER(SEARCH(Rules!$D$2:$D$60,$D665)))</f>
        <v>0</v>
      </c>
      <c r="H665" s="0" t="n">
        <f aca="false">SUMPRODUCT((Rules!$A$2:$A$60=H$1)*Rules!$C$2:$C$60*ISNUMBER(SEARCH(Rules!$D$2:$D$60,$D665)))</f>
        <v>0</v>
      </c>
      <c r="I665" s="0" t="n">
        <f aca="false">SUMPRODUCT((Rules!$A$2:$A$60=I$1)*Rules!$C$2:$C$60*ISNUMBER(SEARCH(Rules!$D$2:$D$60,$D665)))</f>
        <v>0</v>
      </c>
      <c r="J665" s="0" t="n">
        <f aca="false">SUMPRODUCT((Rules!$A$2:$A$60=J$1)*Rules!$C$2:$C$60*ISNUMBER(SEARCH(Rules!$D$2:$D$60,$D665)))</f>
        <v>0</v>
      </c>
      <c r="K665" s="0" t="str">
        <f aca="false">IF(OR(MAX(E665:J665)&lt;Rules!$H$1,MAX(E665:J665)-LARGE(E665:J665,2)&lt;Rules!$H$2),"No label",INDEX($E$1:$J$1,MATCH(MAX(E665:J665),E665:J665,0)))</f>
        <v>No label</v>
      </c>
      <c r="L665" s="0" t="n">
        <f aca="false">SUMPRODUCT((Rules!$A$2:$A$60=L$1)*Rules!$C$2:$C$60*ISNUMBER(SEARCH(Rules!$E$2:$E$60,$D665)))</f>
        <v>0</v>
      </c>
      <c r="M665" s="0" t="n">
        <f aca="false">SUMPRODUCT((Rules!$A$2:$A$60=M$1)*Rules!$C$2:$C$60*ISNUMBER(SEARCH(Rules!$E$2:$E$60,$D665)))</f>
        <v>0</v>
      </c>
      <c r="N665" s="0" t="n">
        <f aca="false">SUMPRODUCT((Rules!$A$2:$A$60=N$1)*Rules!$C$2:$C$60*ISNUMBER(SEARCH(Rules!$E$2:$E$60,$D665)))</f>
        <v>0</v>
      </c>
      <c r="O665" s="0" t="n">
        <f aca="false">SUMPRODUCT((Rules!$A$2:$A$60=O$1)*Rules!$C$2:$C$60*ISNUMBER(SEARCH(Rules!$E$2:$E$60,$D665)))</f>
        <v>0</v>
      </c>
      <c r="P665" s="0" t="n">
        <f aca="false">SUMPRODUCT((Rules!$A$2:$A$60=P$1)*Rules!$C$2:$C$60*ISNUMBER(SEARCH(Rules!$E$2:$E$60,$D665)))</f>
        <v>0</v>
      </c>
      <c r="Q665" s="0" t="n">
        <f aca="false">SUMPRODUCT((Rules!$A$2:$A$60=Q$1)*Rules!$C$2:$C$60*ISNUMBER(SEARCH(Rules!$E$2:$E$60,$D665)))</f>
        <v>0</v>
      </c>
      <c r="R665" s="0" t="str">
        <f aca="false">IF(OR(MAX(L665:Q665)&lt;Rules!$H$1,MAX(L665:Q665)-LARGE(L665:Q665,2)&lt;Rules!$H$2),"No label",INDEX($L$1:$Q$1,MATCH(MAX(L665:Q665),L665:Q665,0)))</f>
        <v>No label</v>
      </c>
      <c r="S665" s="0" t="n">
        <f aca="false">SUMPRODUCT(ISNUMBER(SEARCH(" "&amp;Terms!$A$3:$A$821&amp;" ",$D665))*Terms!B$3:B$821)+Terms!B$2</f>
        <v>15.936796841225</v>
      </c>
      <c r="T665" s="0" t="n">
        <f aca="false">SUMPRODUCT(ISNUMBER(SEARCH(" "&amp;Terms!$A$3:$A$821&amp;" ",$D665))*Terms!C$3:C$821)+Terms!C$2</f>
        <v>-0.282105067131777</v>
      </c>
      <c r="U665" s="0" t="n">
        <f aca="false">SUMPRODUCT(ISNUMBER(SEARCH(" "&amp;Terms!$A$3:$A$821&amp;" ",$D665))*Terms!D$3:D$821)+Terms!D$2</f>
        <v>-3.07264234937559</v>
      </c>
      <c r="V665" s="0" t="n">
        <f aca="false">SUMPRODUCT(ISNUMBER(SEARCH(" "&amp;Terms!$A$3:$A$821&amp;" ",$D665))*Terms!E$3:E$821)+Terms!E$2</f>
        <v>-5.63371902944033</v>
      </c>
      <c r="W665" s="0" t="n">
        <f aca="false">SUMPRODUCT(ISNUMBER(SEARCH(" "&amp;Terms!$A$3:$A$821&amp;" ",$D665))*Terms!F$3:F$821)+Terms!F$2</f>
        <v>-1.21243860948522</v>
      </c>
      <c r="X665" s="0" t="n">
        <f aca="false">SUMPRODUCT(ISNUMBER(SEARCH(" "&amp;Terms!$A$3:$A$821&amp;" ",$D665))*Terms!G$3:G$821)+Terms!G$2</f>
        <v>-5.735891785792</v>
      </c>
      <c r="Y665" s="0" t="str">
        <f aca="false">INDEX($S$1:$X$1,MATCH(MAX(S665:X665),S665:X665,0))</f>
        <v>Account Access</v>
      </c>
      <c r="Z665" s="0" t="s">
        <v>2607</v>
      </c>
    </row>
    <row r="666" customFormat="false" ht="15" hidden="false" customHeight="false" outlineLevel="0" collapsed="false">
      <c r="A666" s="0" t="str">
        <f aca="false">Complaints!A666</f>
        <v>C0665</v>
      </c>
      <c r="B666" s="0" t="str">
        <f aca="false">Complaints!B666</f>
        <v>I have been a customer for years. The webchat agent ended the conversation without solving anything. I am worried it might be fraud. Please sort this out.</v>
      </c>
      <c r="C666" s="0" t="str">
        <f aca="false">Complaints!C666</f>
        <v>Customer Service</v>
      </c>
      <c r="D666" s="0" t="str">
        <f aca="false">" "&amp;TRIM(SUBSTITUTE(SUBSTITUTE(SUBSTITUTE(SUBSTITUTE(SUBSTITUTE(SUBSTITUTE(SUBSTITUTE(SUBSTITUTE(SUBSTITUTE(SUBSTITUTE(SUBSTITUTE(SUBSTITUTE(SUBSTITUTE(SUBSTITUTE(SUBSTITUTE(SUBSTITUTE(LOWER(B666),"."," "),","," "),"'"," "),"’"," "),"!"," "),"?"," "),";"," "),":"," "),"-"," "),"("," "),")"," "),"""", " "),"£"," "),"&amp;"," "),"/"," "),"%"," "))&amp;" "</f>
        <v> i have been a customer for years the webchat agent ended the conversation without solving anything i am worried it might be fraud please sort this out </v>
      </c>
      <c r="E666" s="0" t="n">
        <f aca="false">SUMPRODUCT((Rules!$A$2:$A$60=E$1)*Rules!$C$2:$C$60*ISNUMBER(SEARCH(Rules!$D$2:$D$60,$D666)))</f>
        <v>3</v>
      </c>
      <c r="F666" s="0" t="n">
        <f aca="false">SUMPRODUCT((Rules!$A$2:$A$60=F$1)*Rules!$C$2:$C$60*ISNUMBER(SEARCH(Rules!$D$2:$D$60,$D666)))</f>
        <v>0</v>
      </c>
      <c r="G666" s="0" t="n">
        <f aca="false">SUMPRODUCT((Rules!$A$2:$A$60=G$1)*Rules!$C$2:$C$60*ISNUMBER(SEARCH(Rules!$D$2:$D$60,$D666)))</f>
        <v>0</v>
      </c>
      <c r="H666" s="0" t="n">
        <f aca="false">SUMPRODUCT((Rules!$A$2:$A$60=H$1)*Rules!$C$2:$C$60*ISNUMBER(SEARCH(Rules!$D$2:$D$60,$D666)))</f>
        <v>0</v>
      </c>
      <c r="I666" s="0" t="n">
        <f aca="false">SUMPRODUCT((Rules!$A$2:$A$60=I$1)*Rules!$C$2:$C$60*ISNUMBER(SEARCH(Rules!$D$2:$D$60,$D666)))</f>
        <v>0</v>
      </c>
      <c r="J666" s="0" t="n">
        <f aca="false">SUMPRODUCT((Rules!$A$2:$A$60=J$1)*Rules!$C$2:$C$60*ISNUMBER(SEARCH(Rules!$D$2:$D$60,$D666)))</f>
        <v>2</v>
      </c>
      <c r="K666" s="0" t="str">
        <f aca="false">IF(OR(MAX(E666:J666)&lt;Rules!$H$1,MAX(E666:J666)-LARGE(E666:J666,2)&lt;Rules!$H$2),"No label",INDEX($E$1:$J$1,MATCH(MAX(E666:J666),E666:J666,0)))</f>
        <v>No label</v>
      </c>
      <c r="L666" s="0" t="n">
        <f aca="false">SUMPRODUCT((Rules!$A$2:$A$60=L$1)*Rules!$C$2:$C$60*ISNUMBER(SEARCH(Rules!$E$2:$E$60,$D666)))</f>
        <v>3</v>
      </c>
      <c r="M666" s="0" t="n">
        <f aca="false">SUMPRODUCT((Rules!$A$2:$A$60=M$1)*Rules!$C$2:$C$60*ISNUMBER(SEARCH(Rules!$E$2:$E$60,$D666)))</f>
        <v>0</v>
      </c>
      <c r="N666" s="0" t="n">
        <f aca="false">SUMPRODUCT((Rules!$A$2:$A$60=N$1)*Rules!$C$2:$C$60*ISNUMBER(SEARCH(Rules!$E$2:$E$60,$D666)))</f>
        <v>0</v>
      </c>
      <c r="O666" s="0" t="n">
        <f aca="false">SUMPRODUCT((Rules!$A$2:$A$60=O$1)*Rules!$C$2:$C$60*ISNUMBER(SEARCH(Rules!$E$2:$E$60,$D666)))</f>
        <v>0</v>
      </c>
      <c r="P666" s="0" t="n">
        <f aca="false">SUMPRODUCT((Rules!$A$2:$A$60=P$1)*Rules!$C$2:$C$60*ISNUMBER(SEARCH(Rules!$E$2:$E$60,$D666)))</f>
        <v>0</v>
      </c>
      <c r="Q666" s="0" t="n">
        <f aca="false">SUMPRODUCT((Rules!$A$2:$A$60=Q$1)*Rules!$C$2:$C$60*ISNUMBER(SEARCH(Rules!$E$2:$E$60,$D666)))</f>
        <v>2</v>
      </c>
      <c r="R666" s="0" t="str">
        <f aca="false">IF(OR(MAX(L666:Q666)&lt;Rules!$H$1,MAX(L666:Q666)-LARGE(L666:Q666,2)&lt;Rules!$H$2),"No label",INDEX($L$1:$Q$1,MATCH(MAX(L666:Q666),L666:Q666,0)))</f>
        <v>No label</v>
      </c>
      <c r="S666" s="0" t="n">
        <f aca="false">SUMPRODUCT(ISNUMBER(SEARCH(" "&amp;Terms!$A$3:$A$821&amp;" ",$D666))*Terms!B$3:B$821)+Terms!B$2</f>
        <v>-2.10391860159131</v>
      </c>
      <c r="T666" s="0" t="n">
        <f aca="false">SUMPRODUCT(ISNUMBER(SEARCH(" "&amp;Terms!$A$3:$A$821&amp;" ",$D666))*Terms!C$3:C$821)+Terms!C$2</f>
        <v>11.1890248322629</v>
      </c>
      <c r="U666" s="0" t="n">
        <f aca="false">SUMPRODUCT(ISNUMBER(SEARCH(" "&amp;Terms!$A$3:$A$821&amp;" ",$D666))*Terms!D$3:D$821)+Terms!D$2</f>
        <v>-1.24980415023286</v>
      </c>
      <c r="V666" s="0" t="n">
        <f aca="false">SUMPRODUCT(ISNUMBER(SEARCH(" "&amp;Terms!$A$3:$A$821&amp;" ",$D666))*Terms!E$3:E$821)+Terms!E$2</f>
        <v>-1.69118244642943</v>
      </c>
      <c r="W666" s="0" t="n">
        <f aca="false">SUMPRODUCT(ISNUMBER(SEARCH(" "&amp;Terms!$A$3:$A$821&amp;" ",$D666))*Terms!F$3:F$821)+Terms!F$2</f>
        <v>-2.70566752038294</v>
      </c>
      <c r="X666" s="0" t="n">
        <f aca="false">SUMPRODUCT(ISNUMBER(SEARCH(" "&amp;Terms!$A$3:$A$821&amp;" ",$D666))*Terms!G$3:G$821)+Terms!G$2</f>
        <v>-3.43845211362623</v>
      </c>
      <c r="Y666" s="0" t="str">
        <f aca="false">INDEX($S$1:$X$1,MATCH(MAX(S666:X666),S666:X666,0))</f>
        <v>Customer Service</v>
      </c>
      <c r="Z666" s="0" t="s">
        <v>2607</v>
      </c>
    </row>
    <row r="667" customFormat="false" ht="15" hidden="false" customHeight="false" outlineLevel="0" collapsed="false">
      <c r="A667" s="0" t="str">
        <f aca="false">Complaints!A667</f>
        <v>C0666</v>
      </c>
      <c r="B667" s="0" t="str">
        <f aca="false">Complaints!B667</f>
        <v>I was told this policy covered me but my claim was rejected.</v>
      </c>
      <c r="C667" s="0" t="str">
        <f aca="false">Complaints!C667</f>
        <v>Mis-selling</v>
      </c>
      <c r="D667" s="0" t="str">
        <f aca="false">" "&amp;TRIM(SUBSTITUTE(SUBSTITUTE(SUBSTITUTE(SUBSTITUTE(SUBSTITUTE(SUBSTITUTE(SUBSTITUTE(SUBSTITUTE(SUBSTITUTE(SUBSTITUTE(SUBSTITUTE(SUBSTITUTE(SUBSTITUTE(SUBSTITUTE(SUBSTITUTE(SUBSTITUTE(LOWER(B667),"."," "),","," "),"'"," "),"’"," "),"!"," "),"?"," "),";"," "),":"," "),"-"," "),"("," "),")"," "),"""", " "),"£"," "),"&amp;"," "),"/"," "),"%"," "))&amp;" "</f>
        <v> i was told this policy covered me but my claim was rejected </v>
      </c>
      <c r="E667" s="0" t="n">
        <f aca="false">SUMPRODUCT((Rules!$A$2:$A$60=E$1)*Rules!$C$2:$C$60*ISNUMBER(SEARCH(Rules!$D$2:$D$60,$D667)))</f>
        <v>0</v>
      </c>
      <c r="F667" s="0" t="n">
        <f aca="false">SUMPRODUCT((Rules!$A$2:$A$60=F$1)*Rules!$C$2:$C$60*ISNUMBER(SEARCH(Rules!$D$2:$D$60,$D667)))</f>
        <v>1</v>
      </c>
      <c r="G667" s="0" t="n">
        <f aca="false">SUMPRODUCT((Rules!$A$2:$A$60=G$1)*Rules!$C$2:$C$60*ISNUMBER(SEARCH(Rules!$D$2:$D$60,$D667)))</f>
        <v>0</v>
      </c>
      <c r="H667" s="0" t="n">
        <f aca="false">SUMPRODUCT((Rules!$A$2:$A$60=H$1)*Rules!$C$2:$C$60*ISNUMBER(SEARCH(Rules!$D$2:$D$60,$D667)))</f>
        <v>0</v>
      </c>
      <c r="I667" s="0" t="n">
        <f aca="false">SUMPRODUCT((Rules!$A$2:$A$60=I$1)*Rules!$C$2:$C$60*ISNUMBER(SEARCH(Rules!$D$2:$D$60,$D667)))</f>
        <v>0</v>
      </c>
      <c r="J667" s="0" t="n">
        <f aca="false">SUMPRODUCT((Rules!$A$2:$A$60=J$1)*Rules!$C$2:$C$60*ISNUMBER(SEARCH(Rules!$D$2:$D$60,$D667)))</f>
        <v>0</v>
      </c>
      <c r="K667" s="0" t="str">
        <f aca="false">IF(OR(MAX(E667:J667)&lt;Rules!$H$1,MAX(E667:J667)-LARGE(E667:J667,2)&lt;Rules!$H$2),"No label",INDEX($E$1:$J$1,MATCH(MAX(E667:J667),E667:J667,0)))</f>
        <v>No label</v>
      </c>
      <c r="L667" s="0" t="n">
        <f aca="false">SUMPRODUCT((Rules!$A$2:$A$60=L$1)*Rules!$C$2:$C$60*ISNUMBER(SEARCH(Rules!$E$2:$E$60,$D667)))</f>
        <v>0</v>
      </c>
      <c r="M667" s="0" t="n">
        <f aca="false">SUMPRODUCT((Rules!$A$2:$A$60=M$1)*Rules!$C$2:$C$60*ISNUMBER(SEARCH(Rules!$E$2:$E$60,$D667)))</f>
        <v>1</v>
      </c>
      <c r="N667" s="0" t="n">
        <f aca="false">SUMPRODUCT((Rules!$A$2:$A$60=N$1)*Rules!$C$2:$C$60*ISNUMBER(SEARCH(Rules!$E$2:$E$60,$D667)))</f>
        <v>0</v>
      </c>
      <c r="O667" s="0" t="n">
        <f aca="false">SUMPRODUCT((Rules!$A$2:$A$60=O$1)*Rules!$C$2:$C$60*ISNUMBER(SEARCH(Rules!$E$2:$E$60,$D667)))</f>
        <v>0</v>
      </c>
      <c r="P667" s="0" t="n">
        <f aca="false">SUMPRODUCT((Rules!$A$2:$A$60=P$1)*Rules!$C$2:$C$60*ISNUMBER(SEARCH(Rules!$E$2:$E$60,$D667)))</f>
        <v>0</v>
      </c>
      <c r="Q667" s="0" t="n">
        <f aca="false">SUMPRODUCT((Rules!$A$2:$A$60=Q$1)*Rules!$C$2:$C$60*ISNUMBER(SEARCH(Rules!$E$2:$E$60,$D667)))</f>
        <v>0</v>
      </c>
      <c r="R667" s="0" t="str">
        <f aca="false">IF(OR(MAX(L667:Q667)&lt;Rules!$H$1,MAX(L667:Q667)-LARGE(L667:Q667,2)&lt;Rules!$H$2),"No label",INDEX($L$1:$Q$1,MATCH(MAX(L667:Q667),L667:Q667,0)))</f>
        <v>No label</v>
      </c>
      <c r="S667" s="0" t="n">
        <f aca="false">SUMPRODUCT(ISNUMBER(SEARCH(" "&amp;Terms!$A$3:$A$821&amp;" ",$D667))*Terms!B$3:B$821)+Terms!B$2</f>
        <v>-2.18328841262007</v>
      </c>
      <c r="T667" s="0" t="n">
        <f aca="false">SUMPRODUCT(ISNUMBER(SEARCH(" "&amp;Terms!$A$3:$A$821&amp;" ",$D667))*Terms!C$3:C$821)+Terms!C$2</f>
        <v>-4.11584873107284</v>
      </c>
      <c r="U667" s="0" t="n">
        <f aca="false">SUMPRODUCT(ISNUMBER(SEARCH(" "&amp;Terms!$A$3:$A$821&amp;" ",$D667))*Terms!D$3:D$821)+Terms!D$2</f>
        <v>0.507416969375513</v>
      </c>
      <c r="V667" s="0" t="n">
        <f aca="false">SUMPRODUCT(ISNUMBER(SEARCH(" "&amp;Terms!$A$3:$A$821&amp;" ",$D667))*Terms!E$3:E$821)+Terms!E$2</f>
        <v>-0.884329855680739</v>
      </c>
      <c r="W667" s="0" t="n">
        <f aca="false">SUMPRODUCT(ISNUMBER(SEARCH(" "&amp;Terms!$A$3:$A$821&amp;" ",$D667))*Terms!F$3:F$821)+Terms!F$2</f>
        <v>-2.12664270477669</v>
      </c>
      <c r="X667" s="0" t="n">
        <f aca="false">SUMPRODUCT(ISNUMBER(SEARCH(" "&amp;Terms!$A$3:$A$821&amp;" ",$D667))*Terms!G$3:G$821)+Terms!G$2</f>
        <v>8.80269273477493</v>
      </c>
      <c r="Y667" s="0" t="str">
        <f aca="false">INDEX($S$1:$X$1,MATCH(MAX(S667:X667),S667:X667,0))</f>
        <v>Mis-selling</v>
      </c>
      <c r="Z667" s="0" t="s">
        <v>2607</v>
      </c>
    </row>
    <row r="668" customFormat="false" ht="15" hidden="false" customHeight="false" outlineLevel="0" collapsed="false">
      <c r="A668" s="0" t="str">
        <f aca="false">Complaints!A668</f>
        <v>C0667</v>
      </c>
      <c r="B668" s="0" t="str">
        <f aca="false">Complaints!B668</f>
        <v>Frankly, The direct debit setup was delayed and I missed a bill because of it.</v>
      </c>
      <c r="C668" s="0" t="str">
        <f aca="false">Complaints!C668</f>
        <v>Delays &amp; Processing</v>
      </c>
      <c r="D668" s="0" t="str">
        <f aca="false">" "&amp;TRIM(SUBSTITUTE(SUBSTITUTE(SUBSTITUTE(SUBSTITUTE(SUBSTITUTE(SUBSTITUTE(SUBSTITUTE(SUBSTITUTE(SUBSTITUTE(SUBSTITUTE(SUBSTITUTE(SUBSTITUTE(SUBSTITUTE(SUBSTITUTE(SUBSTITUTE(SUBSTITUTE(LOWER(B668),"."," "),","," "),"'"," "),"’"," "),"!"," "),"?"," "),";"," "),":"," "),"-"," "),"("," "),")"," "),"""", " "),"£"," "),"&amp;"," "),"/"," "),"%"," "))&amp;" "</f>
        <v> frankly the direct debit setup was delayed and i missed a bill because of it </v>
      </c>
      <c r="E668" s="0" t="n">
        <f aca="false">SUMPRODUCT((Rules!$A$2:$A$60=E$1)*Rules!$C$2:$C$60*ISNUMBER(SEARCH(Rules!$D$2:$D$60,$D668)))</f>
        <v>0</v>
      </c>
      <c r="F668" s="0" t="n">
        <f aca="false">SUMPRODUCT((Rules!$A$2:$A$60=F$1)*Rules!$C$2:$C$60*ISNUMBER(SEARCH(Rules!$D$2:$D$60,$D668)))</f>
        <v>0</v>
      </c>
      <c r="G668" s="0" t="n">
        <f aca="false">SUMPRODUCT((Rules!$A$2:$A$60=G$1)*Rules!$C$2:$C$60*ISNUMBER(SEARCH(Rules!$D$2:$D$60,$D668)))</f>
        <v>0</v>
      </c>
      <c r="H668" s="0" t="n">
        <f aca="false">SUMPRODUCT((Rules!$A$2:$A$60=H$1)*Rules!$C$2:$C$60*ISNUMBER(SEARCH(Rules!$D$2:$D$60,$D668)))</f>
        <v>0</v>
      </c>
      <c r="I668" s="0" t="n">
        <f aca="false">SUMPRODUCT((Rules!$A$2:$A$60=I$1)*Rules!$C$2:$C$60*ISNUMBER(SEARCH(Rules!$D$2:$D$60,$D668)))</f>
        <v>2</v>
      </c>
      <c r="J668" s="0" t="n">
        <f aca="false">SUMPRODUCT((Rules!$A$2:$A$60=J$1)*Rules!$C$2:$C$60*ISNUMBER(SEARCH(Rules!$D$2:$D$60,$D668)))</f>
        <v>0</v>
      </c>
      <c r="K668" s="0" t="str">
        <f aca="false">IF(OR(MAX(E668:J668)&lt;Rules!$H$1,MAX(E668:J668)-LARGE(E668:J668,2)&lt;Rules!$H$2),"No label",INDEX($E$1:$J$1,MATCH(MAX(E668:J668),E668:J668,0)))</f>
        <v>No label</v>
      </c>
      <c r="L668" s="0" t="n">
        <f aca="false">SUMPRODUCT((Rules!$A$2:$A$60=L$1)*Rules!$C$2:$C$60*ISNUMBER(SEARCH(Rules!$E$2:$E$60,$D668)))</f>
        <v>0</v>
      </c>
      <c r="M668" s="0" t="n">
        <f aca="false">SUMPRODUCT((Rules!$A$2:$A$60=M$1)*Rules!$C$2:$C$60*ISNUMBER(SEARCH(Rules!$E$2:$E$60,$D668)))</f>
        <v>0</v>
      </c>
      <c r="N668" s="0" t="n">
        <f aca="false">SUMPRODUCT((Rules!$A$2:$A$60=N$1)*Rules!$C$2:$C$60*ISNUMBER(SEARCH(Rules!$E$2:$E$60,$D668)))</f>
        <v>0</v>
      </c>
      <c r="O668" s="0" t="n">
        <f aca="false">SUMPRODUCT((Rules!$A$2:$A$60=O$1)*Rules!$C$2:$C$60*ISNUMBER(SEARCH(Rules!$E$2:$E$60,$D668)))</f>
        <v>2</v>
      </c>
      <c r="P668" s="0" t="n">
        <f aca="false">SUMPRODUCT((Rules!$A$2:$A$60=P$1)*Rules!$C$2:$C$60*ISNUMBER(SEARCH(Rules!$E$2:$E$60,$D668)))</f>
        <v>2</v>
      </c>
      <c r="Q668" s="0" t="n">
        <f aca="false">SUMPRODUCT((Rules!$A$2:$A$60=Q$1)*Rules!$C$2:$C$60*ISNUMBER(SEARCH(Rules!$E$2:$E$60,$D668)))</f>
        <v>0</v>
      </c>
      <c r="R668" s="0" t="str">
        <f aca="false">IF(OR(MAX(L668:Q668)&lt;Rules!$H$1,MAX(L668:Q668)-LARGE(L668:Q668,2)&lt;Rules!$H$2),"No label",INDEX($L$1:$Q$1,MATCH(MAX(L668:Q668),L668:Q668,0)))</f>
        <v>No label</v>
      </c>
      <c r="S668" s="0" t="n">
        <f aca="false">SUMPRODUCT(ISNUMBER(SEARCH(" "&amp;Terms!$A$3:$A$821&amp;" ",$D668))*Terms!B$3:B$821)+Terms!B$2</f>
        <v>-3.67529106239788</v>
      </c>
      <c r="T668" s="0" t="n">
        <f aca="false">SUMPRODUCT(ISNUMBER(SEARCH(" "&amp;Terms!$A$3:$A$821&amp;" ",$D668))*Terms!C$3:C$821)+Terms!C$2</f>
        <v>-2.44833372123325</v>
      </c>
      <c r="U668" s="0" t="n">
        <f aca="false">SUMPRODUCT(ISNUMBER(SEARCH(" "&amp;Terms!$A$3:$A$821&amp;" ",$D668))*Terms!D$3:D$821)+Terms!D$2</f>
        <v>10.8164950278249</v>
      </c>
      <c r="V668" s="0" t="n">
        <f aca="false">SUMPRODUCT(ISNUMBER(SEARCH(" "&amp;Terms!$A$3:$A$821&amp;" ",$D668))*Terms!E$3:E$821)+Terms!E$2</f>
        <v>-2.65117443918588</v>
      </c>
      <c r="W668" s="0" t="n">
        <f aca="false">SUMPRODUCT(ISNUMBER(SEARCH(" "&amp;Terms!$A$3:$A$821&amp;" ",$D668))*Terms!F$3:F$821)+Terms!F$2</f>
        <v>0.103230472599821</v>
      </c>
      <c r="X668" s="0" t="n">
        <f aca="false">SUMPRODUCT(ISNUMBER(SEARCH(" "&amp;Terms!$A$3:$A$821&amp;" ",$D668))*Terms!G$3:G$821)+Terms!G$2</f>
        <v>-2.14492627760762</v>
      </c>
      <c r="Y668" s="0" t="str">
        <f aca="false">INDEX($S$1:$X$1,MATCH(MAX(S668:X668),S668:X668,0))</f>
        <v>Delays &amp; Processing</v>
      </c>
      <c r="Z668" s="0" t="s">
        <v>2608</v>
      </c>
    </row>
    <row r="669" customFormat="false" ht="15" hidden="false" customHeight="false" outlineLevel="0" collapsed="false">
      <c r="A669" s="0" t="str">
        <f aca="false">Complaints!A669</f>
        <v>C0668</v>
      </c>
      <c r="B669" s="0" t="str">
        <f aca="false">Complaints!B669</f>
        <v>This is the second time I have raised this. I reported the unauthorised payment but you refused to reimburse me. Also, why has my interest rate gone up without notice, it is costing me more every month. Please sort this out.</v>
      </c>
      <c r="C669" s="0" t="str">
        <f aca="false">Complaints!C669</f>
        <v>Fraud &amp; Scams</v>
      </c>
      <c r="D669" s="0" t="str">
        <f aca="false">" "&amp;TRIM(SUBSTITUTE(SUBSTITUTE(SUBSTITUTE(SUBSTITUTE(SUBSTITUTE(SUBSTITUTE(SUBSTITUTE(SUBSTITUTE(SUBSTITUTE(SUBSTITUTE(SUBSTITUTE(SUBSTITUTE(SUBSTITUTE(SUBSTITUTE(SUBSTITUTE(SUBSTITUTE(LOWER(B669),"."," "),","," "),"'"," "),"’"," "),"!"," "),"?"," "),";"," "),":"," "),"-"," "),"("," "),")"," "),"""", " "),"£"," "),"&amp;"," "),"/"," "),"%"," "))&amp;" "</f>
        <v> this is the second time i have raised this i reported the unauthorised payment but you refused to reimburse me also why has my interest rate gone up without notice it is costing me more every month please sort this out </v>
      </c>
      <c r="E669" s="0" t="n">
        <f aca="false">SUMPRODUCT((Rules!$A$2:$A$60=E$1)*Rules!$C$2:$C$60*ISNUMBER(SEARCH(Rules!$D$2:$D$60,$D669)))</f>
        <v>3</v>
      </c>
      <c r="F669" s="0" t="n">
        <f aca="false">SUMPRODUCT((Rules!$A$2:$A$60=F$1)*Rules!$C$2:$C$60*ISNUMBER(SEARCH(Rules!$D$2:$D$60,$D669)))</f>
        <v>0</v>
      </c>
      <c r="G669" s="0" t="n">
        <f aca="false">SUMPRODUCT((Rules!$A$2:$A$60=G$1)*Rules!$C$2:$C$60*ISNUMBER(SEARCH(Rules!$D$2:$D$60,$D669)))</f>
        <v>0</v>
      </c>
      <c r="H669" s="0" t="n">
        <f aca="false">SUMPRODUCT((Rules!$A$2:$A$60=H$1)*Rules!$C$2:$C$60*ISNUMBER(SEARCH(Rules!$D$2:$D$60,$D669)))</f>
        <v>2</v>
      </c>
      <c r="I669" s="0" t="n">
        <f aca="false">SUMPRODUCT((Rules!$A$2:$A$60=I$1)*Rules!$C$2:$C$60*ISNUMBER(SEARCH(Rules!$D$2:$D$60,$D669)))</f>
        <v>0</v>
      </c>
      <c r="J669" s="0" t="n">
        <f aca="false">SUMPRODUCT((Rules!$A$2:$A$60=J$1)*Rules!$C$2:$C$60*ISNUMBER(SEARCH(Rules!$D$2:$D$60,$D669)))</f>
        <v>0</v>
      </c>
      <c r="K669" s="0" t="str">
        <f aca="false">IF(OR(MAX(E669:J669)&lt;Rules!$H$1,MAX(E669:J669)-LARGE(E669:J669,2)&lt;Rules!$H$2),"No label",INDEX($E$1:$J$1,MATCH(MAX(E669:J669),E669:J669,0)))</f>
        <v>No label</v>
      </c>
      <c r="L669" s="0" t="n">
        <f aca="false">SUMPRODUCT((Rules!$A$2:$A$60=L$1)*Rules!$C$2:$C$60*ISNUMBER(SEARCH(Rules!$E$2:$E$60,$D669)))</f>
        <v>3</v>
      </c>
      <c r="M669" s="0" t="n">
        <f aca="false">SUMPRODUCT((Rules!$A$2:$A$60=M$1)*Rules!$C$2:$C$60*ISNUMBER(SEARCH(Rules!$E$2:$E$60,$D669)))</f>
        <v>0</v>
      </c>
      <c r="N669" s="0" t="n">
        <f aca="false">SUMPRODUCT((Rules!$A$2:$A$60=N$1)*Rules!$C$2:$C$60*ISNUMBER(SEARCH(Rules!$E$2:$E$60,$D669)))</f>
        <v>0</v>
      </c>
      <c r="O669" s="0" t="n">
        <f aca="false">SUMPRODUCT((Rules!$A$2:$A$60=O$1)*Rules!$C$2:$C$60*ISNUMBER(SEARCH(Rules!$E$2:$E$60,$D669)))</f>
        <v>2</v>
      </c>
      <c r="P669" s="0" t="n">
        <f aca="false">SUMPRODUCT((Rules!$A$2:$A$60=P$1)*Rules!$C$2:$C$60*ISNUMBER(SEARCH(Rules!$E$2:$E$60,$D669)))</f>
        <v>0</v>
      </c>
      <c r="Q669" s="0" t="n">
        <f aca="false">SUMPRODUCT((Rules!$A$2:$A$60=Q$1)*Rules!$C$2:$C$60*ISNUMBER(SEARCH(Rules!$E$2:$E$60,$D669)))</f>
        <v>0</v>
      </c>
      <c r="R669" s="0" t="str">
        <f aca="false">IF(OR(MAX(L669:Q669)&lt;Rules!$H$1,MAX(L669:Q669)-LARGE(L669:Q669,2)&lt;Rules!$H$2),"No label",INDEX($L$1:$Q$1,MATCH(MAX(L669:Q669),L669:Q669,0)))</f>
        <v>No label</v>
      </c>
      <c r="S669" s="0" t="n">
        <f aca="false">SUMPRODUCT(ISNUMBER(SEARCH(" "&amp;Terms!$A$3:$A$821&amp;" ",$D669))*Terms!B$3:B$821)+Terms!B$2</f>
        <v>-5.20173390476436</v>
      </c>
      <c r="T669" s="0" t="n">
        <f aca="false">SUMPRODUCT(ISNUMBER(SEARCH(" "&amp;Terms!$A$3:$A$821&amp;" ",$D669))*Terms!C$3:C$821)+Terms!C$2</f>
        <v>-3.56594409809969</v>
      </c>
      <c r="U669" s="0" t="n">
        <f aca="false">SUMPRODUCT(ISNUMBER(SEARCH(" "&amp;Terms!$A$3:$A$821&amp;" ",$D669))*Terms!D$3:D$821)+Terms!D$2</f>
        <v>-0.981160859315448</v>
      </c>
      <c r="V669" s="0" t="n">
        <f aca="false">SUMPRODUCT(ISNUMBER(SEARCH(" "&amp;Terms!$A$3:$A$821&amp;" ",$D669))*Terms!E$3:E$821)+Terms!E$2</f>
        <v>6.87368438142473</v>
      </c>
      <c r="W669" s="0" t="n">
        <f aca="false">SUMPRODUCT(ISNUMBER(SEARCH(" "&amp;Terms!$A$3:$A$821&amp;" ",$D669))*Terms!F$3:F$821)+Terms!F$2</f>
        <v>8.80741641540294</v>
      </c>
      <c r="X669" s="0" t="n">
        <f aca="false">SUMPRODUCT(ISNUMBER(SEARCH(" "&amp;Terms!$A$3:$A$821&amp;" ",$D669))*Terms!G$3:G$821)+Terms!G$2</f>
        <v>-5.9322619346481</v>
      </c>
      <c r="Y669" s="0" t="str">
        <f aca="false">INDEX($S$1:$X$1,MATCH(MAX(S669:X669),S669:X669,0))</f>
        <v>Fraud &amp; Scams</v>
      </c>
      <c r="Z669" s="0" t="s">
        <v>2607</v>
      </c>
    </row>
    <row r="670" customFormat="false" ht="15" hidden="false" customHeight="false" outlineLevel="0" collapsed="false">
      <c r="A670" s="0" t="str">
        <f aca="false">Complaints!A670</f>
        <v>C0669</v>
      </c>
      <c r="B670" s="0" t="str">
        <f aca="false">Complaints!B670</f>
        <v>Nobody explained the foreign transaction charges before my holiday. I do not think it was explained properly when I bought it. I want this put right.</v>
      </c>
      <c r="C670" s="0" t="str">
        <f aca="false">Complaints!C670</f>
        <v>Fees &amp; Charges</v>
      </c>
      <c r="D670" s="0" t="str">
        <f aca="false">" "&amp;TRIM(SUBSTITUTE(SUBSTITUTE(SUBSTITUTE(SUBSTITUTE(SUBSTITUTE(SUBSTITUTE(SUBSTITUTE(SUBSTITUTE(SUBSTITUTE(SUBSTITUTE(SUBSTITUTE(SUBSTITUTE(SUBSTITUTE(SUBSTITUTE(SUBSTITUTE(SUBSTITUTE(LOWER(B670),"."," "),","," "),"'"," "),"’"," "),"!"," "),"?"," "),";"," "),":"," "),"-"," "),"("," "),")"," "),"""", " "),"£"," "),"&amp;"," "),"/"," "),"%"," "))&amp;" "</f>
        <v> nobody explained the foreign transaction charges before my holiday i do not think it was explained properly when i bought it i want this put right </v>
      </c>
      <c r="E670" s="0" t="n">
        <f aca="false">SUMPRODUCT((Rules!$A$2:$A$60=E$1)*Rules!$C$2:$C$60*ISNUMBER(SEARCH(Rules!$D$2:$D$60,$D670)))</f>
        <v>0</v>
      </c>
      <c r="F670" s="0" t="n">
        <f aca="false">SUMPRODUCT((Rules!$A$2:$A$60=F$1)*Rules!$C$2:$C$60*ISNUMBER(SEARCH(Rules!$D$2:$D$60,$D670)))</f>
        <v>0</v>
      </c>
      <c r="G670" s="0" t="n">
        <f aca="false">SUMPRODUCT((Rules!$A$2:$A$60=G$1)*Rules!$C$2:$C$60*ISNUMBER(SEARCH(Rules!$D$2:$D$60,$D670)))</f>
        <v>0</v>
      </c>
      <c r="H670" s="0" t="n">
        <f aca="false">SUMPRODUCT((Rules!$A$2:$A$60=H$1)*Rules!$C$2:$C$60*ISNUMBER(SEARCH(Rules!$D$2:$D$60,$D670)))</f>
        <v>0</v>
      </c>
      <c r="I670" s="0" t="n">
        <f aca="false">SUMPRODUCT((Rules!$A$2:$A$60=I$1)*Rules!$C$2:$C$60*ISNUMBER(SEARCH(Rules!$D$2:$D$60,$D670)))</f>
        <v>0</v>
      </c>
      <c r="J670" s="0" t="n">
        <f aca="false">SUMPRODUCT((Rules!$A$2:$A$60=J$1)*Rules!$C$2:$C$60*ISNUMBER(SEARCH(Rules!$D$2:$D$60,$D670)))</f>
        <v>0</v>
      </c>
      <c r="K670" s="0" t="str">
        <f aca="false">IF(OR(MAX(E670:J670)&lt;Rules!$H$1,MAX(E670:J670)-LARGE(E670:J670,2)&lt;Rules!$H$2),"No label",INDEX($E$1:$J$1,MATCH(MAX(E670:J670),E670:J670,0)))</f>
        <v>No label</v>
      </c>
      <c r="L670" s="0" t="n">
        <f aca="false">SUMPRODUCT((Rules!$A$2:$A$60=L$1)*Rules!$C$2:$C$60*ISNUMBER(SEARCH(Rules!$E$2:$E$60,$D670)))</f>
        <v>0</v>
      </c>
      <c r="M670" s="0" t="n">
        <f aca="false">SUMPRODUCT((Rules!$A$2:$A$60=M$1)*Rules!$C$2:$C$60*ISNUMBER(SEARCH(Rules!$E$2:$E$60,$D670)))</f>
        <v>0</v>
      </c>
      <c r="N670" s="0" t="n">
        <f aca="false">SUMPRODUCT((Rules!$A$2:$A$60=N$1)*Rules!$C$2:$C$60*ISNUMBER(SEARCH(Rules!$E$2:$E$60,$D670)))</f>
        <v>0</v>
      </c>
      <c r="O670" s="0" t="n">
        <f aca="false">SUMPRODUCT((Rules!$A$2:$A$60=O$1)*Rules!$C$2:$C$60*ISNUMBER(SEARCH(Rules!$E$2:$E$60,$D670)))</f>
        <v>4</v>
      </c>
      <c r="P670" s="0" t="n">
        <f aca="false">SUMPRODUCT((Rules!$A$2:$A$60=P$1)*Rules!$C$2:$C$60*ISNUMBER(SEARCH(Rules!$E$2:$E$60,$D670)))</f>
        <v>0</v>
      </c>
      <c r="Q670" s="0" t="n">
        <f aca="false">SUMPRODUCT((Rules!$A$2:$A$60=Q$1)*Rules!$C$2:$C$60*ISNUMBER(SEARCH(Rules!$E$2:$E$60,$D670)))</f>
        <v>0</v>
      </c>
      <c r="R670" s="0" t="str">
        <f aca="false">IF(OR(MAX(L670:Q670)&lt;Rules!$H$1,MAX(L670:Q670)-LARGE(L670:Q670,2)&lt;Rules!$H$2),"No label",INDEX($L$1:$Q$1,MATCH(MAX(L670:Q670),L670:Q670,0)))</f>
        <v>Fees &amp; Charges</v>
      </c>
      <c r="S670" s="0" t="n">
        <f aca="false">SUMPRODUCT(ISNUMBER(SEARCH(" "&amp;Terms!$A$3:$A$821&amp;" ",$D670))*Terms!B$3:B$821)+Terms!B$2</f>
        <v>-2.33723843029192</v>
      </c>
      <c r="T670" s="0" t="n">
        <f aca="false">SUMPRODUCT(ISNUMBER(SEARCH(" "&amp;Terms!$A$3:$A$821&amp;" ",$D670))*Terms!C$3:C$821)+Terms!C$2</f>
        <v>-2.99900442404658</v>
      </c>
      <c r="U670" s="0" t="n">
        <f aca="false">SUMPRODUCT(ISNUMBER(SEARCH(" "&amp;Terms!$A$3:$A$821&amp;" ",$D670))*Terms!D$3:D$821)+Terms!D$2</f>
        <v>-4.04010908927142</v>
      </c>
      <c r="V670" s="0" t="n">
        <f aca="false">SUMPRODUCT(ISNUMBER(SEARCH(" "&amp;Terms!$A$3:$A$821&amp;" ",$D670))*Terms!E$3:E$821)+Terms!E$2</f>
        <v>13.2198258492793</v>
      </c>
      <c r="W670" s="0" t="n">
        <f aca="false">SUMPRODUCT(ISNUMBER(SEARCH(" "&amp;Terms!$A$3:$A$821&amp;" ",$D670))*Terms!F$3:F$821)+Terms!F$2</f>
        <v>1.13446109985153</v>
      </c>
      <c r="X670" s="0" t="n">
        <f aca="false">SUMPRODUCT(ISNUMBER(SEARCH(" "&amp;Terms!$A$3:$A$821&amp;" ",$D670))*Terms!G$3:G$821)+Terms!G$2</f>
        <v>-4.97793500552085</v>
      </c>
      <c r="Y670" s="0" t="str">
        <f aca="false">INDEX($S$1:$X$1,MATCH(MAX(S670:X670),S670:X670,0))</f>
        <v>Fees &amp; Charges</v>
      </c>
      <c r="Z670" s="0" t="s">
        <v>2607</v>
      </c>
    </row>
    <row r="671" customFormat="false" ht="15" hidden="false" customHeight="false" outlineLevel="0" collapsed="false">
      <c r="A671" s="0" t="str">
        <f aca="false">Complaints!A671</f>
        <v>C0670</v>
      </c>
      <c r="B671" s="0" t="str">
        <f aca="false">Complaints!B671</f>
        <v>To whom it may concern, The brochure said guaranteed returns and my money has lost value. Please escalate this.</v>
      </c>
      <c r="C671" s="0" t="str">
        <f aca="false">Complaints!C671</f>
        <v>Mis-selling</v>
      </c>
      <c r="D671" s="0" t="str">
        <f aca="false">" "&amp;TRIM(SUBSTITUTE(SUBSTITUTE(SUBSTITUTE(SUBSTITUTE(SUBSTITUTE(SUBSTITUTE(SUBSTITUTE(SUBSTITUTE(SUBSTITUTE(SUBSTITUTE(SUBSTITUTE(SUBSTITUTE(SUBSTITUTE(SUBSTITUTE(SUBSTITUTE(SUBSTITUTE(LOWER(B671),"."," "),","," "),"'"," "),"’"," "),"!"," "),"?"," "),";"," "),":"," "),"-"," "),"("," "),")"," "),"""", " "),"£"," "),"&amp;"," "),"/"," "),"%"," "))&amp;" "</f>
        <v> to whom it may concern the brochure said guaranteed returns and my money has lost value please escalate this </v>
      </c>
      <c r="E671" s="0" t="n">
        <f aca="false">SUMPRODUCT((Rules!$A$2:$A$60=E$1)*Rules!$C$2:$C$60*ISNUMBER(SEARCH(Rules!$D$2:$D$60,$D671)))</f>
        <v>0</v>
      </c>
      <c r="F671" s="0" t="n">
        <f aca="false">SUMPRODUCT((Rules!$A$2:$A$60=F$1)*Rules!$C$2:$C$60*ISNUMBER(SEARCH(Rules!$D$2:$D$60,$D671)))</f>
        <v>2</v>
      </c>
      <c r="G671" s="0" t="n">
        <f aca="false">SUMPRODUCT((Rules!$A$2:$A$60=G$1)*Rules!$C$2:$C$60*ISNUMBER(SEARCH(Rules!$D$2:$D$60,$D671)))</f>
        <v>0</v>
      </c>
      <c r="H671" s="0" t="n">
        <f aca="false">SUMPRODUCT((Rules!$A$2:$A$60=H$1)*Rules!$C$2:$C$60*ISNUMBER(SEARCH(Rules!$D$2:$D$60,$D671)))</f>
        <v>0</v>
      </c>
      <c r="I671" s="0" t="n">
        <f aca="false">SUMPRODUCT((Rules!$A$2:$A$60=I$1)*Rules!$C$2:$C$60*ISNUMBER(SEARCH(Rules!$D$2:$D$60,$D671)))</f>
        <v>0</v>
      </c>
      <c r="J671" s="0" t="n">
        <f aca="false">SUMPRODUCT((Rules!$A$2:$A$60=J$1)*Rules!$C$2:$C$60*ISNUMBER(SEARCH(Rules!$D$2:$D$60,$D671)))</f>
        <v>0</v>
      </c>
      <c r="K671" s="0" t="str">
        <f aca="false">IF(OR(MAX(E671:J671)&lt;Rules!$H$1,MAX(E671:J671)-LARGE(E671:J671,2)&lt;Rules!$H$2),"No label",INDEX($E$1:$J$1,MATCH(MAX(E671:J671),E671:J671,0)))</f>
        <v>No label</v>
      </c>
      <c r="L671" s="0" t="n">
        <f aca="false">SUMPRODUCT((Rules!$A$2:$A$60=L$1)*Rules!$C$2:$C$60*ISNUMBER(SEARCH(Rules!$E$2:$E$60,$D671)))</f>
        <v>0</v>
      </c>
      <c r="M671" s="0" t="n">
        <f aca="false">SUMPRODUCT((Rules!$A$2:$A$60=M$1)*Rules!$C$2:$C$60*ISNUMBER(SEARCH(Rules!$E$2:$E$60,$D671)))</f>
        <v>2</v>
      </c>
      <c r="N671" s="0" t="n">
        <f aca="false">SUMPRODUCT((Rules!$A$2:$A$60=N$1)*Rules!$C$2:$C$60*ISNUMBER(SEARCH(Rules!$E$2:$E$60,$D671)))</f>
        <v>0</v>
      </c>
      <c r="O671" s="0" t="n">
        <f aca="false">SUMPRODUCT((Rules!$A$2:$A$60=O$1)*Rules!$C$2:$C$60*ISNUMBER(SEARCH(Rules!$E$2:$E$60,$D671)))</f>
        <v>0</v>
      </c>
      <c r="P671" s="0" t="n">
        <f aca="false">SUMPRODUCT((Rules!$A$2:$A$60=P$1)*Rules!$C$2:$C$60*ISNUMBER(SEARCH(Rules!$E$2:$E$60,$D671)))</f>
        <v>0</v>
      </c>
      <c r="Q671" s="0" t="n">
        <f aca="false">SUMPRODUCT((Rules!$A$2:$A$60=Q$1)*Rules!$C$2:$C$60*ISNUMBER(SEARCH(Rules!$E$2:$E$60,$D671)))</f>
        <v>0</v>
      </c>
      <c r="R671" s="0" t="str">
        <f aca="false">IF(OR(MAX(L671:Q671)&lt;Rules!$H$1,MAX(L671:Q671)-LARGE(L671:Q671,2)&lt;Rules!$H$2),"No label",INDEX($L$1:$Q$1,MATCH(MAX(L671:Q671),L671:Q671,0)))</f>
        <v>No label</v>
      </c>
      <c r="S671" s="0" t="n">
        <f aca="false">SUMPRODUCT(ISNUMBER(SEARCH(" "&amp;Terms!$A$3:$A$821&amp;" ",$D671))*Terms!B$3:B$821)+Terms!B$2</f>
        <v>-4.40443386353376</v>
      </c>
      <c r="T671" s="0" t="n">
        <f aca="false">SUMPRODUCT(ISNUMBER(SEARCH(" "&amp;Terms!$A$3:$A$821&amp;" ",$D671))*Terms!C$3:C$821)+Terms!C$2</f>
        <v>-3.74879233552608</v>
      </c>
      <c r="U671" s="0" t="n">
        <f aca="false">SUMPRODUCT(ISNUMBER(SEARCH(" "&amp;Terms!$A$3:$A$821&amp;" ",$D671))*Terms!D$3:D$821)+Terms!D$2</f>
        <v>-1.18825114243581</v>
      </c>
      <c r="V671" s="0" t="n">
        <f aca="false">SUMPRODUCT(ISNUMBER(SEARCH(" "&amp;Terms!$A$3:$A$821&amp;" ",$D671))*Terms!E$3:E$821)+Terms!E$2</f>
        <v>-2.80473839600642</v>
      </c>
      <c r="W671" s="0" t="n">
        <f aca="false">SUMPRODUCT(ISNUMBER(SEARCH(" "&amp;Terms!$A$3:$A$821&amp;" ",$D671))*Terms!F$3:F$821)+Terms!F$2</f>
        <v>-0.3771156656103</v>
      </c>
      <c r="X671" s="0" t="n">
        <f aca="false">SUMPRODUCT(ISNUMBER(SEARCH(" "&amp;Terms!$A$3:$A$821&amp;" ",$D671))*Terms!G$3:G$821)+Terms!G$2</f>
        <v>12.5233314031125</v>
      </c>
      <c r="Y671" s="0" t="str">
        <f aca="false">INDEX($S$1:$X$1,MATCH(MAX(S671:X671),S671:X671,0))</f>
        <v>Mis-selling</v>
      </c>
      <c r="Z671" s="0" t="s">
        <v>2607</v>
      </c>
    </row>
    <row r="672" customFormat="false" ht="15" hidden="false" customHeight="false" outlineLevel="0" collapsed="false">
      <c r="A672" s="0" t="str">
        <f aca="false">Complaints!A672</f>
        <v>C0671</v>
      </c>
      <c r="B672" s="0" t="str">
        <f aca="false">Complaints!B672</f>
        <v>A person pretending to be from your bank phoned me and I gave them details. Also, the direct debit setup was delayed and I missed a bill because of it. Please escalate this.</v>
      </c>
      <c r="C672" s="0" t="str">
        <f aca="false">Complaints!C672</f>
        <v>Fraud &amp; Scams</v>
      </c>
      <c r="D672" s="0" t="str">
        <f aca="false">" "&amp;TRIM(SUBSTITUTE(SUBSTITUTE(SUBSTITUTE(SUBSTITUTE(SUBSTITUTE(SUBSTITUTE(SUBSTITUTE(SUBSTITUTE(SUBSTITUTE(SUBSTITUTE(SUBSTITUTE(SUBSTITUTE(SUBSTITUTE(SUBSTITUTE(SUBSTITUTE(SUBSTITUTE(LOWER(B672),"."," "),","," "),"'"," "),"’"," "),"!"," "),"?"," "),";"," "),":"," "),"-"," "),"("," "),")"," "),"""", " "),"£"," "),"&amp;"," "),"/"," "),"%"," "))&amp;" "</f>
        <v> a person pretending to be from your bank phoned me and i gave them details also the direct debit setup was delayed and i missed a bill because of it please escalate this </v>
      </c>
      <c r="E672" s="0" t="n">
        <f aca="false">SUMPRODUCT((Rules!$A$2:$A$60=E$1)*Rules!$C$2:$C$60*ISNUMBER(SEARCH(Rules!$D$2:$D$60,$D672)))</f>
        <v>0</v>
      </c>
      <c r="F672" s="0" t="n">
        <f aca="false">SUMPRODUCT((Rules!$A$2:$A$60=F$1)*Rules!$C$2:$C$60*ISNUMBER(SEARCH(Rules!$D$2:$D$60,$D672)))</f>
        <v>0</v>
      </c>
      <c r="G672" s="0" t="n">
        <f aca="false">SUMPRODUCT((Rules!$A$2:$A$60=G$1)*Rules!$C$2:$C$60*ISNUMBER(SEARCH(Rules!$D$2:$D$60,$D672)))</f>
        <v>0</v>
      </c>
      <c r="H672" s="0" t="n">
        <f aca="false">SUMPRODUCT((Rules!$A$2:$A$60=H$1)*Rules!$C$2:$C$60*ISNUMBER(SEARCH(Rules!$D$2:$D$60,$D672)))</f>
        <v>0</v>
      </c>
      <c r="I672" s="0" t="n">
        <f aca="false">SUMPRODUCT((Rules!$A$2:$A$60=I$1)*Rules!$C$2:$C$60*ISNUMBER(SEARCH(Rules!$D$2:$D$60,$D672)))</f>
        <v>2</v>
      </c>
      <c r="J672" s="0" t="n">
        <f aca="false">SUMPRODUCT((Rules!$A$2:$A$60=J$1)*Rules!$C$2:$C$60*ISNUMBER(SEARCH(Rules!$D$2:$D$60,$D672)))</f>
        <v>0</v>
      </c>
      <c r="K672" s="0" t="str">
        <f aca="false">IF(OR(MAX(E672:J672)&lt;Rules!$H$1,MAX(E672:J672)-LARGE(E672:J672,2)&lt;Rules!$H$2),"No label",INDEX($E$1:$J$1,MATCH(MAX(E672:J672),E672:J672,0)))</f>
        <v>No label</v>
      </c>
      <c r="L672" s="0" t="n">
        <f aca="false">SUMPRODUCT((Rules!$A$2:$A$60=L$1)*Rules!$C$2:$C$60*ISNUMBER(SEARCH(Rules!$E$2:$E$60,$D672)))</f>
        <v>0</v>
      </c>
      <c r="M672" s="0" t="n">
        <f aca="false">SUMPRODUCT((Rules!$A$2:$A$60=M$1)*Rules!$C$2:$C$60*ISNUMBER(SEARCH(Rules!$E$2:$E$60,$D672)))</f>
        <v>0</v>
      </c>
      <c r="N672" s="0" t="n">
        <f aca="false">SUMPRODUCT((Rules!$A$2:$A$60=N$1)*Rules!$C$2:$C$60*ISNUMBER(SEARCH(Rules!$E$2:$E$60,$D672)))</f>
        <v>0</v>
      </c>
      <c r="O672" s="0" t="n">
        <f aca="false">SUMPRODUCT((Rules!$A$2:$A$60=O$1)*Rules!$C$2:$C$60*ISNUMBER(SEARCH(Rules!$E$2:$E$60,$D672)))</f>
        <v>2</v>
      </c>
      <c r="P672" s="0" t="n">
        <f aca="false">SUMPRODUCT((Rules!$A$2:$A$60=P$1)*Rules!$C$2:$C$60*ISNUMBER(SEARCH(Rules!$E$2:$E$60,$D672)))</f>
        <v>2</v>
      </c>
      <c r="Q672" s="0" t="n">
        <f aca="false">SUMPRODUCT((Rules!$A$2:$A$60=Q$1)*Rules!$C$2:$C$60*ISNUMBER(SEARCH(Rules!$E$2:$E$60,$D672)))</f>
        <v>0</v>
      </c>
      <c r="R672" s="0" t="str">
        <f aca="false">IF(OR(MAX(L672:Q672)&lt;Rules!$H$1,MAX(L672:Q672)-LARGE(L672:Q672,2)&lt;Rules!$H$2),"No label",INDEX($L$1:$Q$1,MATCH(MAX(L672:Q672),L672:Q672,0)))</f>
        <v>No label</v>
      </c>
      <c r="S672" s="0" t="n">
        <f aca="false">SUMPRODUCT(ISNUMBER(SEARCH(" "&amp;Terms!$A$3:$A$821&amp;" ",$D672))*Terms!B$3:B$821)+Terms!B$2</f>
        <v>-3.86899800082501</v>
      </c>
      <c r="T672" s="0" t="n">
        <f aca="false">SUMPRODUCT(ISNUMBER(SEARCH(" "&amp;Terms!$A$3:$A$821&amp;" ",$D672))*Terms!C$3:C$821)+Terms!C$2</f>
        <v>-5.05024699551507</v>
      </c>
      <c r="U672" s="0" t="n">
        <f aca="false">SUMPRODUCT(ISNUMBER(SEARCH(" "&amp;Terms!$A$3:$A$821&amp;" ",$D672))*Terms!D$3:D$821)+Terms!D$2</f>
        <v>6.26790453111019</v>
      </c>
      <c r="V672" s="0" t="n">
        <f aca="false">SUMPRODUCT(ISNUMBER(SEARCH(" "&amp;Terms!$A$3:$A$821&amp;" ",$D672))*Terms!E$3:E$821)+Terms!E$2</f>
        <v>-5.24643266731272</v>
      </c>
      <c r="W672" s="0" t="n">
        <f aca="false">SUMPRODUCT(ISNUMBER(SEARCH(" "&amp;Terms!$A$3:$A$821&amp;" ",$D672))*Terms!F$3:F$821)+Terms!F$2</f>
        <v>9.82061715089907</v>
      </c>
      <c r="X672" s="0" t="n">
        <f aca="false">SUMPRODUCT(ISNUMBER(SEARCH(" "&amp;Terms!$A$3:$A$821&amp;" ",$D672))*Terms!G$3:G$821)+Terms!G$2</f>
        <v>-1.92284401835639</v>
      </c>
      <c r="Y672" s="0" t="str">
        <f aca="false">INDEX($S$1:$X$1,MATCH(MAX(S672:X672),S672:X672,0))</f>
        <v>Fraud &amp; Scams</v>
      </c>
      <c r="Z672" s="0" t="s">
        <v>2607</v>
      </c>
    </row>
    <row r="673" customFormat="false" ht="15" hidden="false" customHeight="false" outlineLevel="0" collapsed="false">
      <c r="A673" s="0" t="str">
        <f aca="false">Complaints!A673</f>
        <v>C0672</v>
      </c>
      <c r="B673" s="0" t="str">
        <f aca="false">Complaints!B673</f>
        <v>The costs keep creeping up and my balance is lower than it should be. I want this put right.</v>
      </c>
      <c r="C673" s="0" t="str">
        <f aca="false">Complaints!C673</f>
        <v>Fees &amp; Charges</v>
      </c>
      <c r="D673" s="0" t="str">
        <f aca="false">" "&amp;TRIM(SUBSTITUTE(SUBSTITUTE(SUBSTITUTE(SUBSTITUTE(SUBSTITUTE(SUBSTITUTE(SUBSTITUTE(SUBSTITUTE(SUBSTITUTE(SUBSTITUTE(SUBSTITUTE(SUBSTITUTE(SUBSTITUTE(SUBSTITUTE(SUBSTITUTE(SUBSTITUTE(LOWER(B673),"."," "),","," "),"'"," "),"’"," "),"!"," "),"?"," "),";"," "),":"," "),"-"," "),"("," "),")"," "),"""", " "),"£"," "),"&amp;"," "),"/"," "),"%"," "))&amp;" "</f>
        <v> the costs keep creeping up and my balance is lower than it should be i want this put right </v>
      </c>
      <c r="E673" s="0" t="n">
        <f aca="false">SUMPRODUCT((Rules!$A$2:$A$60=E$1)*Rules!$C$2:$C$60*ISNUMBER(SEARCH(Rules!$D$2:$D$60,$D673)))</f>
        <v>0</v>
      </c>
      <c r="F673" s="0" t="n">
        <f aca="false">SUMPRODUCT((Rules!$A$2:$A$60=F$1)*Rules!$C$2:$C$60*ISNUMBER(SEARCH(Rules!$D$2:$D$60,$D673)))</f>
        <v>0</v>
      </c>
      <c r="G673" s="0" t="n">
        <f aca="false">SUMPRODUCT((Rules!$A$2:$A$60=G$1)*Rules!$C$2:$C$60*ISNUMBER(SEARCH(Rules!$D$2:$D$60,$D673)))</f>
        <v>0</v>
      </c>
      <c r="H673" s="0" t="n">
        <f aca="false">SUMPRODUCT((Rules!$A$2:$A$60=H$1)*Rules!$C$2:$C$60*ISNUMBER(SEARCH(Rules!$D$2:$D$60,$D673)))</f>
        <v>1</v>
      </c>
      <c r="I673" s="0" t="n">
        <f aca="false">SUMPRODUCT((Rules!$A$2:$A$60=I$1)*Rules!$C$2:$C$60*ISNUMBER(SEARCH(Rules!$D$2:$D$60,$D673)))</f>
        <v>0</v>
      </c>
      <c r="J673" s="0" t="n">
        <f aca="false">SUMPRODUCT((Rules!$A$2:$A$60=J$1)*Rules!$C$2:$C$60*ISNUMBER(SEARCH(Rules!$D$2:$D$60,$D673)))</f>
        <v>0</v>
      </c>
      <c r="K673" s="0" t="str">
        <f aca="false">IF(OR(MAX(E673:J673)&lt;Rules!$H$1,MAX(E673:J673)-LARGE(E673:J673,2)&lt;Rules!$H$2),"No label",INDEX($E$1:$J$1,MATCH(MAX(E673:J673),E673:J673,0)))</f>
        <v>No label</v>
      </c>
      <c r="L673" s="0" t="n">
        <f aca="false">SUMPRODUCT((Rules!$A$2:$A$60=L$1)*Rules!$C$2:$C$60*ISNUMBER(SEARCH(Rules!$E$2:$E$60,$D673)))</f>
        <v>0</v>
      </c>
      <c r="M673" s="0" t="n">
        <f aca="false">SUMPRODUCT((Rules!$A$2:$A$60=M$1)*Rules!$C$2:$C$60*ISNUMBER(SEARCH(Rules!$E$2:$E$60,$D673)))</f>
        <v>0</v>
      </c>
      <c r="N673" s="0" t="n">
        <f aca="false">SUMPRODUCT((Rules!$A$2:$A$60=N$1)*Rules!$C$2:$C$60*ISNUMBER(SEARCH(Rules!$E$2:$E$60,$D673)))</f>
        <v>0</v>
      </c>
      <c r="O673" s="0" t="n">
        <f aca="false">SUMPRODUCT((Rules!$A$2:$A$60=O$1)*Rules!$C$2:$C$60*ISNUMBER(SEARCH(Rules!$E$2:$E$60,$D673)))</f>
        <v>1</v>
      </c>
      <c r="P673" s="0" t="n">
        <f aca="false">SUMPRODUCT((Rules!$A$2:$A$60=P$1)*Rules!$C$2:$C$60*ISNUMBER(SEARCH(Rules!$E$2:$E$60,$D673)))</f>
        <v>0</v>
      </c>
      <c r="Q673" s="0" t="n">
        <f aca="false">SUMPRODUCT((Rules!$A$2:$A$60=Q$1)*Rules!$C$2:$C$60*ISNUMBER(SEARCH(Rules!$E$2:$E$60,$D673)))</f>
        <v>0</v>
      </c>
      <c r="R673" s="0" t="str">
        <f aca="false">IF(OR(MAX(L673:Q673)&lt;Rules!$H$1,MAX(L673:Q673)-LARGE(L673:Q673,2)&lt;Rules!$H$2),"No label",INDEX($L$1:$Q$1,MATCH(MAX(L673:Q673),L673:Q673,0)))</f>
        <v>No label</v>
      </c>
      <c r="S673" s="0" t="n">
        <f aca="false">SUMPRODUCT(ISNUMBER(SEARCH(" "&amp;Terms!$A$3:$A$821&amp;" ",$D673))*Terms!B$3:B$821)+Terms!B$2</f>
        <v>-1.00757647121329</v>
      </c>
      <c r="T673" s="0" t="n">
        <f aca="false">SUMPRODUCT(ISNUMBER(SEARCH(" "&amp;Terms!$A$3:$A$821&amp;" ",$D673))*Terms!C$3:C$821)+Terms!C$2</f>
        <v>-3.23085391169103</v>
      </c>
      <c r="U673" s="0" t="n">
        <f aca="false">SUMPRODUCT(ISNUMBER(SEARCH(" "&amp;Terms!$A$3:$A$821&amp;" ",$D673))*Terms!D$3:D$821)+Terms!D$2</f>
        <v>-1.97449823128414</v>
      </c>
      <c r="V673" s="0" t="n">
        <f aca="false">SUMPRODUCT(ISNUMBER(SEARCH(" "&amp;Terms!$A$3:$A$821&amp;" ",$D673))*Terms!E$3:E$821)+Terms!E$2</f>
        <v>6.74038723828654</v>
      </c>
      <c r="W673" s="0" t="n">
        <f aca="false">SUMPRODUCT(ISNUMBER(SEARCH(" "&amp;Terms!$A$3:$A$821&amp;" ",$D673))*Terms!F$3:F$821)+Terms!F$2</f>
        <v>2.21813757637259</v>
      </c>
      <c r="X673" s="0" t="n">
        <f aca="false">SUMPRODUCT(ISNUMBER(SEARCH(" "&amp;Terms!$A$3:$A$821&amp;" ",$D673))*Terms!G$3:G$821)+Terms!G$2</f>
        <v>-2.74559620047057</v>
      </c>
      <c r="Y673" s="0" t="str">
        <f aca="false">INDEX($S$1:$X$1,MATCH(MAX(S673:X673),S673:X673,0))</f>
        <v>Fees &amp; Charges</v>
      </c>
      <c r="Z673" s="0" t="s">
        <v>2607</v>
      </c>
    </row>
    <row r="674" customFormat="false" ht="15" hidden="false" customHeight="false" outlineLevel="0" collapsed="false">
      <c r="A674" s="0" t="str">
        <f aca="false">Complaints!A674</f>
        <v>C0673</v>
      </c>
      <c r="B674" s="0" t="str">
        <f aca="false">Complaints!B674</f>
        <v>Frankly, I was charged a monthly fee that nobody told me about. I would like a response in writing.</v>
      </c>
      <c r="C674" s="0" t="str">
        <f aca="false">Complaints!C674</f>
        <v>Fees &amp; Charges</v>
      </c>
      <c r="D674" s="0" t="str">
        <f aca="false">" "&amp;TRIM(SUBSTITUTE(SUBSTITUTE(SUBSTITUTE(SUBSTITUTE(SUBSTITUTE(SUBSTITUTE(SUBSTITUTE(SUBSTITUTE(SUBSTITUTE(SUBSTITUTE(SUBSTITUTE(SUBSTITUTE(SUBSTITUTE(SUBSTITUTE(SUBSTITUTE(SUBSTITUTE(LOWER(B674),"."," "),","," "),"'"," "),"’"," "),"!"," "),"?"," "),";"," "),":"," "),"-"," "),"("," "),")"," "),"""", " "),"£"," "),"&amp;"," "),"/"," "),"%"," "))&amp;" "</f>
        <v> frankly i was charged a monthly fee that nobody told me about i would like a response in writing </v>
      </c>
      <c r="E674" s="0" t="n">
        <f aca="false">SUMPRODUCT((Rules!$A$2:$A$60=E$1)*Rules!$C$2:$C$60*ISNUMBER(SEARCH(Rules!$D$2:$D$60,$D674)))</f>
        <v>0</v>
      </c>
      <c r="F674" s="0" t="n">
        <f aca="false">SUMPRODUCT((Rules!$A$2:$A$60=F$1)*Rules!$C$2:$C$60*ISNUMBER(SEARCH(Rules!$D$2:$D$60,$D674)))</f>
        <v>0</v>
      </c>
      <c r="G674" s="0" t="n">
        <f aca="false">SUMPRODUCT((Rules!$A$2:$A$60=G$1)*Rules!$C$2:$C$60*ISNUMBER(SEARCH(Rules!$D$2:$D$60,$D674)))</f>
        <v>0</v>
      </c>
      <c r="H674" s="0" t="n">
        <f aca="false">SUMPRODUCT((Rules!$A$2:$A$60=H$1)*Rules!$C$2:$C$60*ISNUMBER(SEARCH(Rules!$D$2:$D$60,$D674)))</f>
        <v>4</v>
      </c>
      <c r="I674" s="0" t="n">
        <f aca="false">SUMPRODUCT((Rules!$A$2:$A$60=I$1)*Rules!$C$2:$C$60*ISNUMBER(SEARCH(Rules!$D$2:$D$60,$D674)))</f>
        <v>0</v>
      </c>
      <c r="J674" s="0" t="n">
        <f aca="false">SUMPRODUCT((Rules!$A$2:$A$60=J$1)*Rules!$C$2:$C$60*ISNUMBER(SEARCH(Rules!$D$2:$D$60,$D674)))</f>
        <v>0</v>
      </c>
      <c r="K674" s="0" t="str">
        <f aca="false">IF(OR(MAX(E674:J674)&lt;Rules!$H$1,MAX(E674:J674)-LARGE(E674:J674,2)&lt;Rules!$H$2),"No label",INDEX($E$1:$J$1,MATCH(MAX(E674:J674),E674:J674,0)))</f>
        <v>Fees &amp; Charges</v>
      </c>
      <c r="L674" s="0" t="n">
        <f aca="false">SUMPRODUCT((Rules!$A$2:$A$60=L$1)*Rules!$C$2:$C$60*ISNUMBER(SEARCH(Rules!$E$2:$E$60,$D674)))</f>
        <v>0</v>
      </c>
      <c r="M674" s="0" t="n">
        <f aca="false">SUMPRODUCT((Rules!$A$2:$A$60=M$1)*Rules!$C$2:$C$60*ISNUMBER(SEARCH(Rules!$E$2:$E$60,$D674)))</f>
        <v>0</v>
      </c>
      <c r="N674" s="0" t="n">
        <f aca="false">SUMPRODUCT((Rules!$A$2:$A$60=N$1)*Rules!$C$2:$C$60*ISNUMBER(SEARCH(Rules!$E$2:$E$60,$D674)))</f>
        <v>0</v>
      </c>
      <c r="O674" s="0" t="n">
        <f aca="false">SUMPRODUCT((Rules!$A$2:$A$60=O$1)*Rules!$C$2:$C$60*ISNUMBER(SEARCH(Rules!$E$2:$E$60,$D674)))</f>
        <v>6</v>
      </c>
      <c r="P674" s="0" t="n">
        <f aca="false">SUMPRODUCT((Rules!$A$2:$A$60=P$1)*Rules!$C$2:$C$60*ISNUMBER(SEARCH(Rules!$E$2:$E$60,$D674)))</f>
        <v>0</v>
      </c>
      <c r="Q674" s="0" t="n">
        <f aca="false">SUMPRODUCT((Rules!$A$2:$A$60=Q$1)*Rules!$C$2:$C$60*ISNUMBER(SEARCH(Rules!$E$2:$E$60,$D674)))</f>
        <v>0</v>
      </c>
      <c r="R674" s="0" t="str">
        <f aca="false">IF(OR(MAX(L674:Q674)&lt;Rules!$H$1,MAX(L674:Q674)-LARGE(L674:Q674,2)&lt;Rules!$H$2),"No label",INDEX($L$1:$Q$1,MATCH(MAX(L674:Q674),L674:Q674,0)))</f>
        <v>Fees &amp; Charges</v>
      </c>
      <c r="S674" s="0" t="n">
        <f aca="false">SUMPRODUCT(ISNUMBER(SEARCH(" "&amp;Terms!$A$3:$A$821&amp;" ",$D674))*Terms!B$3:B$821)+Terms!B$2</f>
        <v>-2.1626157595828</v>
      </c>
      <c r="T674" s="0" t="n">
        <f aca="false">SUMPRODUCT(ISNUMBER(SEARCH(" "&amp;Terms!$A$3:$A$821&amp;" ",$D674))*Terms!C$3:C$821)+Terms!C$2</f>
        <v>-4.79282710077918</v>
      </c>
      <c r="U674" s="0" t="n">
        <f aca="false">SUMPRODUCT(ISNUMBER(SEARCH(" "&amp;Terms!$A$3:$A$821&amp;" ",$D674))*Terms!D$3:D$821)+Terms!D$2</f>
        <v>-2.56083035800497</v>
      </c>
      <c r="V674" s="0" t="n">
        <f aca="false">SUMPRODUCT(ISNUMBER(SEARCH(" "&amp;Terms!$A$3:$A$821&amp;" ",$D674))*Terms!E$3:E$821)+Terms!E$2</f>
        <v>10.9406337367255</v>
      </c>
      <c r="W674" s="0" t="n">
        <f aca="false">SUMPRODUCT(ISNUMBER(SEARCH(" "&amp;Terms!$A$3:$A$821&amp;" ",$D674))*Terms!F$3:F$821)+Terms!F$2</f>
        <v>-3.30876883257439</v>
      </c>
      <c r="X674" s="0" t="n">
        <f aca="false">SUMPRODUCT(ISNUMBER(SEARCH(" "&amp;Terms!$A$3:$A$821&amp;" ",$D674))*Terms!G$3:G$821)+Terms!G$2</f>
        <v>1.88440831421593</v>
      </c>
      <c r="Y674" s="0" t="str">
        <f aca="false">INDEX($S$1:$X$1,MATCH(MAX(S674:X674),S674:X674,0))</f>
        <v>Fees &amp; Charges</v>
      </c>
      <c r="Z674" s="0" t="s">
        <v>2607</v>
      </c>
    </row>
    <row r="675" customFormat="false" ht="15" hidden="false" customHeight="false" outlineLevel="0" collapsed="false">
      <c r="A675" s="0" t="str">
        <f aca="false">Complaints!A675</f>
        <v>C0674</v>
      </c>
      <c r="B675" s="0" t="str">
        <f aca="false">Complaints!B675</f>
        <v>To whom it may concern, The terms were very different from what I was promised at the time of sale. I also spent ages on hold when I called about it. I want this put right.</v>
      </c>
      <c r="C675" s="0" t="str">
        <f aca="false">Complaints!C675</f>
        <v>Mis-selling</v>
      </c>
      <c r="D675" s="0" t="str">
        <f aca="false">" "&amp;TRIM(SUBSTITUTE(SUBSTITUTE(SUBSTITUTE(SUBSTITUTE(SUBSTITUTE(SUBSTITUTE(SUBSTITUTE(SUBSTITUTE(SUBSTITUTE(SUBSTITUTE(SUBSTITUTE(SUBSTITUTE(SUBSTITUTE(SUBSTITUTE(SUBSTITUTE(SUBSTITUTE(LOWER(B675),"."," "),","," "),"'"," "),"’"," "),"!"," "),"?"," "),";"," "),":"," "),"-"," "),"("," "),")"," "),"""", " "),"£"," "),"&amp;"," "),"/"," "),"%"," "))&amp;" "</f>
        <v> to whom it may concern the terms were very different from what i was promised at the time of sale i also spent ages on hold when i called about it i want this put right </v>
      </c>
      <c r="E675" s="0" t="n">
        <f aca="false">SUMPRODUCT((Rules!$A$2:$A$60=E$1)*Rules!$C$2:$C$60*ISNUMBER(SEARCH(Rules!$D$2:$D$60,$D675)))</f>
        <v>0</v>
      </c>
      <c r="F675" s="0" t="n">
        <f aca="false">SUMPRODUCT((Rules!$A$2:$A$60=F$1)*Rules!$C$2:$C$60*ISNUMBER(SEARCH(Rules!$D$2:$D$60,$D675)))</f>
        <v>1</v>
      </c>
      <c r="G675" s="0" t="n">
        <f aca="false">SUMPRODUCT((Rules!$A$2:$A$60=G$1)*Rules!$C$2:$C$60*ISNUMBER(SEARCH(Rules!$D$2:$D$60,$D675)))</f>
        <v>0</v>
      </c>
      <c r="H675" s="0" t="n">
        <f aca="false">SUMPRODUCT((Rules!$A$2:$A$60=H$1)*Rules!$C$2:$C$60*ISNUMBER(SEARCH(Rules!$D$2:$D$60,$D675)))</f>
        <v>0</v>
      </c>
      <c r="I675" s="0" t="n">
        <f aca="false">SUMPRODUCT((Rules!$A$2:$A$60=I$1)*Rules!$C$2:$C$60*ISNUMBER(SEARCH(Rules!$D$2:$D$60,$D675)))</f>
        <v>0</v>
      </c>
      <c r="J675" s="0" t="n">
        <f aca="false">SUMPRODUCT((Rules!$A$2:$A$60=J$1)*Rules!$C$2:$C$60*ISNUMBER(SEARCH(Rules!$D$2:$D$60,$D675)))</f>
        <v>3</v>
      </c>
      <c r="K675" s="0" t="str">
        <f aca="false">IF(OR(MAX(E675:J675)&lt;Rules!$H$1,MAX(E675:J675)-LARGE(E675:J675,2)&lt;Rules!$H$2),"No label",INDEX($E$1:$J$1,MATCH(MAX(E675:J675),E675:J675,0)))</f>
        <v>Customer Service</v>
      </c>
      <c r="L675" s="0" t="n">
        <f aca="false">SUMPRODUCT((Rules!$A$2:$A$60=L$1)*Rules!$C$2:$C$60*ISNUMBER(SEARCH(Rules!$E$2:$E$60,$D675)))</f>
        <v>0</v>
      </c>
      <c r="M675" s="0" t="n">
        <f aca="false">SUMPRODUCT((Rules!$A$2:$A$60=M$1)*Rules!$C$2:$C$60*ISNUMBER(SEARCH(Rules!$E$2:$E$60,$D675)))</f>
        <v>1</v>
      </c>
      <c r="N675" s="0" t="n">
        <f aca="false">SUMPRODUCT((Rules!$A$2:$A$60=N$1)*Rules!$C$2:$C$60*ISNUMBER(SEARCH(Rules!$E$2:$E$60,$D675)))</f>
        <v>0</v>
      </c>
      <c r="O675" s="0" t="n">
        <f aca="false">SUMPRODUCT((Rules!$A$2:$A$60=O$1)*Rules!$C$2:$C$60*ISNUMBER(SEARCH(Rules!$E$2:$E$60,$D675)))</f>
        <v>0</v>
      </c>
      <c r="P675" s="0" t="n">
        <f aca="false">SUMPRODUCT((Rules!$A$2:$A$60=P$1)*Rules!$C$2:$C$60*ISNUMBER(SEARCH(Rules!$E$2:$E$60,$D675)))</f>
        <v>0</v>
      </c>
      <c r="Q675" s="0" t="n">
        <f aca="false">SUMPRODUCT((Rules!$A$2:$A$60=Q$1)*Rules!$C$2:$C$60*ISNUMBER(SEARCH(Rules!$E$2:$E$60,$D675)))</f>
        <v>3</v>
      </c>
      <c r="R675" s="0" t="str">
        <f aca="false">IF(OR(MAX(L675:Q675)&lt;Rules!$H$1,MAX(L675:Q675)-LARGE(L675:Q675,2)&lt;Rules!$H$2),"No label",INDEX($L$1:$Q$1,MATCH(MAX(L675:Q675),L675:Q675,0)))</f>
        <v>Customer Service</v>
      </c>
      <c r="S675" s="0" t="n">
        <f aca="false">SUMPRODUCT(ISNUMBER(SEARCH(" "&amp;Terms!$A$3:$A$821&amp;" ",$D675))*Terms!B$3:B$821)+Terms!B$2</f>
        <v>-2.77212483555075</v>
      </c>
      <c r="T675" s="0" t="n">
        <f aca="false">SUMPRODUCT(ISNUMBER(SEARCH(" "&amp;Terms!$A$3:$A$821&amp;" ",$D675))*Terms!C$3:C$821)+Terms!C$2</f>
        <v>-2.05141879714321</v>
      </c>
      <c r="U675" s="0" t="n">
        <f aca="false">SUMPRODUCT(ISNUMBER(SEARCH(" "&amp;Terms!$A$3:$A$821&amp;" ",$D675))*Terms!D$3:D$821)+Terms!D$2</f>
        <v>0.64572480806943</v>
      </c>
      <c r="V675" s="0" t="n">
        <f aca="false">SUMPRODUCT(ISNUMBER(SEARCH(" "&amp;Terms!$A$3:$A$821&amp;" ",$D675))*Terms!E$3:E$821)+Terms!E$2</f>
        <v>-0.416627683816104</v>
      </c>
      <c r="W675" s="0" t="n">
        <f aca="false">SUMPRODUCT(ISNUMBER(SEARCH(" "&amp;Terms!$A$3:$A$821&amp;" ",$D675))*Terms!F$3:F$821)+Terms!F$2</f>
        <v>-2.52259467822977</v>
      </c>
      <c r="X675" s="0" t="n">
        <f aca="false">SUMPRODUCT(ISNUMBER(SEARCH(" "&amp;Terms!$A$3:$A$821&amp;" ",$D675))*Terms!G$3:G$821)+Terms!G$2</f>
        <v>7.11704118667049</v>
      </c>
      <c r="Y675" s="0" t="str">
        <f aca="false">INDEX($S$1:$X$1,MATCH(MAX(S675:X675),S675:X675,0))</f>
        <v>Mis-selling</v>
      </c>
      <c r="Z675" s="0" t="s">
        <v>2607</v>
      </c>
    </row>
    <row r="676" customFormat="false" ht="15" hidden="false" customHeight="false" outlineLevel="0" collapsed="false">
      <c r="A676" s="0" t="str">
        <f aca="false">Complaints!A676</f>
        <v>C0675</v>
      </c>
      <c r="B676" s="0" t="str">
        <f aca="false">Complaints!B676</f>
        <v>Frankly, The payment still has not arrived in my account.</v>
      </c>
      <c r="C676" s="0" t="str">
        <f aca="false">Complaints!C676</f>
        <v>Delays &amp; Processing</v>
      </c>
      <c r="D676" s="0" t="str">
        <f aca="false">" "&amp;TRIM(SUBSTITUTE(SUBSTITUTE(SUBSTITUTE(SUBSTITUTE(SUBSTITUTE(SUBSTITUTE(SUBSTITUTE(SUBSTITUTE(SUBSTITUTE(SUBSTITUTE(SUBSTITUTE(SUBSTITUTE(SUBSTITUTE(SUBSTITUTE(SUBSTITUTE(SUBSTITUTE(LOWER(B676),"."," "),","," "),"'"," "),"’"," "),"!"," "),"?"," "),";"," "),":"," "),"-"," "),"("," "),")"," "),"""", " "),"£"," "),"&amp;"," "),"/"," "),"%"," "))&amp;" "</f>
        <v> frankly the payment still has not arrived in my account </v>
      </c>
      <c r="E676" s="0" t="n">
        <f aca="false">SUMPRODUCT((Rules!$A$2:$A$60=E$1)*Rules!$C$2:$C$60*ISNUMBER(SEARCH(Rules!$D$2:$D$60,$D676)))</f>
        <v>0</v>
      </c>
      <c r="F676" s="0" t="n">
        <f aca="false">SUMPRODUCT((Rules!$A$2:$A$60=F$1)*Rules!$C$2:$C$60*ISNUMBER(SEARCH(Rules!$D$2:$D$60,$D676)))</f>
        <v>0</v>
      </c>
      <c r="G676" s="0" t="n">
        <f aca="false">SUMPRODUCT((Rules!$A$2:$A$60=G$1)*Rules!$C$2:$C$60*ISNUMBER(SEARCH(Rules!$D$2:$D$60,$D676)))</f>
        <v>0</v>
      </c>
      <c r="H676" s="0" t="n">
        <f aca="false">SUMPRODUCT((Rules!$A$2:$A$60=H$1)*Rules!$C$2:$C$60*ISNUMBER(SEARCH(Rules!$D$2:$D$60,$D676)))</f>
        <v>0</v>
      </c>
      <c r="I676" s="0" t="n">
        <f aca="false">SUMPRODUCT((Rules!$A$2:$A$60=I$1)*Rules!$C$2:$C$60*ISNUMBER(SEARCH(Rules!$D$2:$D$60,$D676)))</f>
        <v>2</v>
      </c>
      <c r="J676" s="0" t="n">
        <f aca="false">SUMPRODUCT((Rules!$A$2:$A$60=J$1)*Rules!$C$2:$C$60*ISNUMBER(SEARCH(Rules!$D$2:$D$60,$D676)))</f>
        <v>0</v>
      </c>
      <c r="K676" s="0" t="str">
        <f aca="false">IF(OR(MAX(E676:J676)&lt;Rules!$H$1,MAX(E676:J676)-LARGE(E676:J676,2)&lt;Rules!$H$2),"No label",INDEX($E$1:$J$1,MATCH(MAX(E676:J676),E676:J676,0)))</f>
        <v>No label</v>
      </c>
      <c r="L676" s="0" t="n">
        <f aca="false">SUMPRODUCT((Rules!$A$2:$A$60=L$1)*Rules!$C$2:$C$60*ISNUMBER(SEARCH(Rules!$E$2:$E$60,$D676)))</f>
        <v>0</v>
      </c>
      <c r="M676" s="0" t="n">
        <f aca="false">SUMPRODUCT((Rules!$A$2:$A$60=M$1)*Rules!$C$2:$C$60*ISNUMBER(SEARCH(Rules!$E$2:$E$60,$D676)))</f>
        <v>0</v>
      </c>
      <c r="N676" s="0" t="n">
        <f aca="false">SUMPRODUCT((Rules!$A$2:$A$60=N$1)*Rules!$C$2:$C$60*ISNUMBER(SEARCH(Rules!$E$2:$E$60,$D676)))</f>
        <v>0</v>
      </c>
      <c r="O676" s="0" t="n">
        <f aca="false">SUMPRODUCT((Rules!$A$2:$A$60=O$1)*Rules!$C$2:$C$60*ISNUMBER(SEARCH(Rules!$E$2:$E$60,$D676)))</f>
        <v>0</v>
      </c>
      <c r="P676" s="0" t="n">
        <f aca="false">SUMPRODUCT((Rules!$A$2:$A$60=P$1)*Rules!$C$2:$C$60*ISNUMBER(SEARCH(Rules!$E$2:$E$60,$D676)))</f>
        <v>2</v>
      </c>
      <c r="Q676" s="0" t="n">
        <f aca="false">SUMPRODUCT((Rules!$A$2:$A$60=Q$1)*Rules!$C$2:$C$60*ISNUMBER(SEARCH(Rules!$E$2:$E$60,$D676)))</f>
        <v>0</v>
      </c>
      <c r="R676" s="0" t="str">
        <f aca="false">IF(OR(MAX(L676:Q676)&lt;Rules!$H$1,MAX(L676:Q676)-LARGE(L676:Q676,2)&lt;Rules!$H$2),"No label",INDEX($L$1:$Q$1,MATCH(MAX(L676:Q676),L676:Q676,0)))</f>
        <v>No label</v>
      </c>
      <c r="S676" s="0" t="n">
        <f aca="false">SUMPRODUCT(ISNUMBER(SEARCH(" "&amp;Terms!$A$3:$A$821&amp;" ",$D676))*Terms!B$3:B$821)+Terms!B$2</f>
        <v>0.177384543552024</v>
      </c>
      <c r="T676" s="0" t="n">
        <f aca="false">SUMPRODUCT(ISNUMBER(SEARCH(" "&amp;Terms!$A$3:$A$821&amp;" ",$D676))*Terms!C$3:C$821)+Terms!C$2</f>
        <v>-3.11544289158688</v>
      </c>
      <c r="U676" s="0" t="n">
        <f aca="false">SUMPRODUCT(ISNUMBER(SEARCH(" "&amp;Terms!$A$3:$A$821&amp;" ",$D676))*Terms!D$3:D$821)+Terms!D$2</f>
        <v>5.99188447072633</v>
      </c>
      <c r="V676" s="0" t="n">
        <f aca="false">SUMPRODUCT(ISNUMBER(SEARCH(" "&amp;Terms!$A$3:$A$821&amp;" ",$D676))*Terms!E$3:E$821)+Terms!E$2</f>
        <v>0.00291785751516194</v>
      </c>
      <c r="W676" s="0" t="n">
        <f aca="false">SUMPRODUCT(ISNUMBER(SEARCH(" "&amp;Terms!$A$3:$A$821&amp;" ",$D676))*Terms!F$3:F$821)+Terms!F$2</f>
        <v>0.3290811710153</v>
      </c>
      <c r="X676" s="0" t="n">
        <f aca="false">SUMPRODUCT(ISNUMBER(SEARCH(" "&amp;Terms!$A$3:$A$821&amp;" ",$D676))*Terms!G$3:G$821)+Terms!G$2</f>
        <v>-3.38582515122185</v>
      </c>
      <c r="Y676" s="0" t="str">
        <f aca="false">INDEX($S$1:$X$1,MATCH(MAX(S676:X676),S676:X676,0))</f>
        <v>Delays &amp; Processing</v>
      </c>
      <c r="Z676" s="0" t="s">
        <v>2607</v>
      </c>
    </row>
    <row r="677" customFormat="false" ht="15" hidden="false" customHeight="false" outlineLevel="0" collapsed="false">
      <c r="A677" s="0" t="str">
        <f aca="false">Complaints!A677</f>
        <v>C0676</v>
      </c>
      <c r="B677" s="0" t="str">
        <f aca="false">Complaints!B677</f>
        <v>My card reader stopped working and I cannot approve payments. Also, the account maintenance fee was taken twice this month. I would like a response in writing.</v>
      </c>
      <c r="C677" s="0" t="str">
        <f aca="false">Complaints!C677</f>
        <v>Account Access</v>
      </c>
      <c r="D677" s="0" t="str">
        <f aca="false">" "&amp;TRIM(SUBSTITUTE(SUBSTITUTE(SUBSTITUTE(SUBSTITUTE(SUBSTITUTE(SUBSTITUTE(SUBSTITUTE(SUBSTITUTE(SUBSTITUTE(SUBSTITUTE(SUBSTITUTE(SUBSTITUTE(SUBSTITUTE(SUBSTITUTE(SUBSTITUTE(SUBSTITUTE(LOWER(B677),"."," "),","," "),"'"," "),"’"," "),"!"," "),"?"," "),";"," "),":"," "),"-"," "),"("," "),")"," "),"""", " "),"£"," "),"&amp;"," "),"/"," "),"%"," "))&amp;" "</f>
        <v> my card reader stopped working and i cannot approve payments also the account maintenance fee was taken twice this month i would like a response in writing </v>
      </c>
      <c r="E677" s="0" t="n">
        <f aca="false">SUMPRODUCT((Rules!$A$2:$A$60=E$1)*Rules!$C$2:$C$60*ISNUMBER(SEARCH(Rules!$D$2:$D$60,$D677)))</f>
        <v>0</v>
      </c>
      <c r="F677" s="0" t="n">
        <f aca="false">SUMPRODUCT((Rules!$A$2:$A$60=F$1)*Rules!$C$2:$C$60*ISNUMBER(SEARCH(Rules!$D$2:$D$60,$D677)))</f>
        <v>0</v>
      </c>
      <c r="G677" s="0" t="n">
        <f aca="false">SUMPRODUCT((Rules!$A$2:$A$60=G$1)*Rules!$C$2:$C$60*ISNUMBER(SEARCH(Rules!$D$2:$D$60,$D677)))</f>
        <v>0</v>
      </c>
      <c r="H677" s="0" t="n">
        <f aca="false">SUMPRODUCT((Rules!$A$2:$A$60=H$1)*Rules!$C$2:$C$60*ISNUMBER(SEARCH(Rules!$D$2:$D$60,$D677)))</f>
        <v>2</v>
      </c>
      <c r="I677" s="0" t="n">
        <f aca="false">SUMPRODUCT((Rules!$A$2:$A$60=I$1)*Rules!$C$2:$C$60*ISNUMBER(SEARCH(Rules!$D$2:$D$60,$D677)))</f>
        <v>0</v>
      </c>
      <c r="J677" s="0" t="n">
        <f aca="false">SUMPRODUCT((Rules!$A$2:$A$60=J$1)*Rules!$C$2:$C$60*ISNUMBER(SEARCH(Rules!$D$2:$D$60,$D677)))</f>
        <v>0</v>
      </c>
      <c r="K677" s="0" t="str">
        <f aca="false">IF(OR(MAX(E677:J677)&lt;Rules!$H$1,MAX(E677:J677)-LARGE(E677:J677,2)&lt;Rules!$H$2),"No label",INDEX($E$1:$J$1,MATCH(MAX(E677:J677),E677:J677,0)))</f>
        <v>No label</v>
      </c>
      <c r="L677" s="0" t="n">
        <f aca="false">SUMPRODUCT((Rules!$A$2:$A$60=L$1)*Rules!$C$2:$C$60*ISNUMBER(SEARCH(Rules!$E$2:$E$60,$D677)))</f>
        <v>0</v>
      </c>
      <c r="M677" s="0" t="n">
        <f aca="false">SUMPRODUCT((Rules!$A$2:$A$60=M$1)*Rules!$C$2:$C$60*ISNUMBER(SEARCH(Rules!$E$2:$E$60,$D677)))</f>
        <v>0</v>
      </c>
      <c r="N677" s="0" t="n">
        <f aca="false">SUMPRODUCT((Rules!$A$2:$A$60=N$1)*Rules!$C$2:$C$60*ISNUMBER(SEARCH(Rules!$E$2:$E$60,$D677)))</f>
        <v>0</v>
      </c>
      <c r="O677" s="0" t="n">
        <f aca="false">SUMPRODUCT((Rules!$A$2:$A$60=O$1)*Rules!$C$2:$C$60*ISNUMBER(SEARCH(Rules!$E$2:$E$60,$D677)))</f>
        <v>2</v>
      </c>
      <c r="P677" s="0" t="n">
        <f aca="false">SUMPRODUCT((Rules!$A$2:$A$60=P$1)*Rules!$C$2:$C$60*ISNUMBER(SEARCH(Rules!$E$2:$E$60,$D677)))</f>
        <v>0</v>
      </c>
      <c r="Q677" s="0" t="n">
        <f aca="false">SUMPRODUCT((Rules!$A$2:$A$60=Q$1)*Rules!$C$2:$C$60*ISNUMBER(SEARCH(Rules!$E$2:$E$60,$D677)))</f>
        <v>0</v>
      </c>
      <c r="R677" s="0" t="str">
        <f aca="false">IF(OR(MAX(L677:Q677)&lt;Rules!$H$1,MAX(L677:Q677)-LARGE(L677:Q677,2)&lt;Rules!$H$2),"No label",INDEX($L$1:$Q$1,MATCH(MAX(L677:Q677),L677:Q677,0)))</f>
        <v>No label</v>
      </c>
      <c r="S677" s="0" t="n">
        <f aca="false">SUMPRODUCT(ISNUMBER(SEARCH(" "&amp;Terms!$A$3:$A$821&amp;" ",$D677))*Terms!B$3:B$821)+Terms!B$2</f>
        <v>14.6299368293505</v>
      </c>
      <c r="T677" s="0" t="n">
        <f aca="false">SUMPRODUCT(ISNUMBER(SEARCH(" "&amp;Terms!$A$3:$A$821&amp;" ",$D677))*Terms!C$3:C$821)+Terms!C$2</f>
        <v>-3.29956287855759</v>
      </c>
      <c r="U677" s="0" t="n">
        <f aca="false">SUMPRODUCT(ISNUMBER(SEARCH(" "&amp;Terms!$A$3:$A$821&amp;" ",$D677))*Terms!D$3:D$821)+Terms!D$2</f>
        <v>-2.88316453054264</v>
      </c>
      <c r="V677" s="0" t="n">
        <f aca="false">SUMPRODUCT(ISNUMBER(SEARCH(" "&amp;Terms!$A$3:$A$821&amp;" ",$D677))*Terms!E$3:E$821)+Terms!E$2</f>
        <v>6.21266859918874</v>
      </c>
      <c r="W677" s="0" t="n">
        <f aca="false">SUMPRODUCT(ISNUMBER(SEARCH(" "&amp;Terms!$A$3:$A$821&amp;" ",$D677))*Terms!F$3:F$821)+Terms!F$2</f>
        <v>-3.32937943990367</v>
      </c>
      <c r="X677" s="0" t="n">
        <f aca="false">SUMPRODUCT(ISNUMBER(SEARCH(" "&amp;Terms!$A$3:$A$821&amp;" ",$D677))*Terms!G$3:G$821)+Terms!G$2</f>
        <v>-11.3304985795353</v>
      </c>
      <c r="Y677" s="0" t="str">
        <f aca="false">INDEX($S$1:$X$1,MATCH(MAX(S677:X677),S677:X677,0))</f>
        <v>Account Access</v>
      </c>
      <c r="Z677" s="0" t="s">
        <v>2607</v>
      </c>
    </row>
    <row r="678" customFormat="false" ht="15" hidden="false" customHeight="false" outlineLevel="0" collapsed="false">
      <c r="A678" s="0" t="str">
        <f aca="false">Complaints!A678</f>
        <v>C0677</v>
      </c>
      <c r="B678" s="0" t="str">
        <f aca="false">Complaints!B678</f>
        <v>This is the second time I have raised this. I was sold a product that was not suitable for my circumstances. It has also been taking far too long. Please sort this out.</v>
      </c>
      <c r="C678" s="0" t="str">
        <f aca="false">Complaints!C678</f>
        <v>Mis-selling</v>
      </c>
      <c r="D678" s="0" t="str">
        <f aca="false">" "&amp;TRIM(SUBSTITUTE(SUBSTITUTE(SUBSTITUTE(SUBSTITUTE(SUBSTITUTE(SUBSTITUTE(SUBSTITUTE(SUBSTITUTE(SUBSTITUTE(SUBSTITUTE(SUBSTITUTE(SUBSTITUTE(SUBSTITUTE(SUBSTITUTE(SUBSTITUTE(SUBSTITUTE(LOWER(B678),"."," "),","," "),"'"," "),"’"," "),"!"," "),"?"," "),";"," "),":"," "),"-"," "),"("," "),")"," "),"""", " "),"£"," "),"&amp;"," "),"/"," "),"%"," "))&amp;" "</f>
        <v> this is the second time i have raised this i was sold a product that was not suitable for my circumstances it has also been taking far too long please sort this out </v>
      </c>
      <c r="E678" s="0" t="n">
        <f aca="false">SUMPRODUCT((Rules!$A$2:$A$60=E$1)*Rules!$C$2:$C$60*ISNUMBER(SEARCH(Rules!$D$2:$D$60,$D678)))</f>
        <v>0</v>
      </c>
      <c r="F678" s="0" t="n">
        <f aca="false">SUMPRODUCT((Rules!$A$2:$A$60=F$1)*Rules!$C$2:$C$60*ISNUMBER(SEARCH(Rules!$D$2:$D$60,$D678)))</f>
        <v>5</v>
      </c>
      <c r="G678" s="0" t="n">
        <f aca="false">SUMPRODUCT((Rules!$A$2:$A$60=G$1)*Rules!$C$2:$C$60*ISNUMBER(SEARCH(Rules!$D$2:$D$60,$D678)))</f>
        <v>0</v>
      </c>
      <c r="H678" s="0" t="n">
        <f aca="false">SUMPRODUCT((Rules!$A$2:$A$60=H$1)*Rules!$C$2:$C$60*ISNUMBER(SEARCH(Rules!$D$2:$D$60,$D678)))</f>
        <v>0</v>
      </c>
      <c r="I678" s="0" t="n">
        <f aca="false">SUMPRODUCT((Rules!$A$2:$A$60=I$1)*Rules!$C$2:$C$60*ISNUMBER(SEARCH(Rules!$D$2:$D$60,$D678)))</f>
        <v>0</v>
      </c>
      <c r="J678" s="0" t="n">
        <f aca="false">SUMPRODUCT((Rules!$A$2:$A$60=J$1)*Rules!$C$2:$C$60*ISNUMBER(SEARCH(Rules!$D$2:$D$60,$D678)))</f>
        <v>0</v>
      </c>
      <c r="K678" s="0" t="str">
        <f aca="false">IF(OR(MAX(E678:J678)&lt;Rules!$H$1,MAX(E678:J678)-LARGE(E678:J678,2)&lt;Rules!$H$2),"No label",INDEX($E$1:$J$1,MATCH(MAX(E678:J678),E678:J678,0)))</f>
        <v>Mis-selling</v>
      </c>
      <c r="L678" s="0" t="n">
        <f aca="false">SUMPRODUCT((Rules!$A$2:$A$60=L$1)*Rules!$C$2:$C$60*ISNUMBER(SEARCH(Rules!$E$2:$E$60,$D678)))</f>
        <v>0</v>
      </c>
      <c r="M678" s="0" t="n">
        <f aca="false">SUMPRODUCT((Rules!$A$2:$A$60=M$1)*Rules!$C$2:$C$60*ISNUMBER(SEARCH(Rules!$E$2:$E$60,$D678)))</f>
        <v>5</v>
      </c>
      <c r="N678" s="0" t="n">
        <f aca="false">SUMPRODUCT((Rules!$A$2:$A$60=N$1)*Rules!$C$2:$C$60*ISNUMBER(SEARCH(Rules!$E$2:$E$60,$D678)))</f>
        <v>0</v>
      </c>
      <c r="O678" s="0" t="n">
        <f aca="false">SUMPRODUCT((Rules!$A$2:$A$60=O$1)*Rules!$C$2:$C$60*ISNUMBER(SEARCH(Rules!$E$2:$E$60,$D678)))</f>
        <v>0</v>
      </c>
      <c r="P678" s="0" t="n">
        <f aca="false">SUMPRODUCT((Rules!$A$2:$A$60=P$1)*Rules!$C$2:$C$60*ISNUMBER(SEARCH(Rules!$E$2:$E$60,$D678)))</f>
        <v>0</v>
      </c>
      <c r="Q678" s="0" t="n">
        <f aca="false">SUMPRODUCT((Rules!$A$2:$A$60=Q$1)*Rules!$C$2:$C$60*ISNUMBER(SEARCH(Rules!$E$2:$E$60,$D678)))</f>
        <v>0</v>
      </c>
      <c r="R678" s="0" t="str">
        <f aca="false">IF(OR(MAX(L678:Q678)&lt;Rules!$H$1,MAX(L678:Q678)-LARGE(L678:Q678,2)&lt;Rules!$H$2),"No label",INDEX($L$1:$Q$1,MATCH(MAX(L678:Q678),L678:Q678,0)))</f>
        <v>Mis-selling</v>
      </c>
      <c r="S678" s="0" t="n">
        <f aca="false">SUMPRODUCT(ISNUMBER(SEARCH(" "&amp;Terms!$A$3:$A$821&amp;" ",$D678))*Terms!B$3:B$821)+Terms!B$2</f>
        <v>-5.94257051490545</v>
      </c>
      <c r="T678" s="0" t="n">
        <f aca="false">SUMPRODUCT(ISNUMBER(SEARCH(" "&amp;Terms!$A$3:$A$821&amp;" ",$D678))*Terms!C$3:C$821)+Terms!C$2</f>
        <v>1.2371645892412</v>
      </c>
      <c r="U678" s="0" t="n">
        <f aca="false">SUMPRODUCT(ISNUMBER(SEARCH(" "&amp;Terms!$A$3:$A$821&amp;" ",$D678))*Terms!D$3:D$821)+Terms!D$2</f>
        <v>-0.132660181291257</v>
      </c>
      <c r="V678" s="0" t="n">
        <f aca="false">SUMPRODUCT(ISNUMBER(SEARCH(" "&amp;Terms!$A$3:$A$821&amp;" ",$D678))*Terms!E$3:E$821)+Terms!E$2</f>
        <v>0.878906652739569</v>
      </c>
      <c r="W678" s="0" t="n">
        <f aca="false">SUMPRODUCT(ISNUMBER(SEARCH(" "&amp;Terms!$A$3:$A$821&amp;" ",$D678))*Terms!F$3:F$821)+Terms!F$2</f>
        <v>-0.908014669747394</v>
      </c>
      <c r="X678" s="0" t="n">
        <f aca="false">SUMPRODUCT(ISNUMBER(SEARCH(" "&amp;Terms!$A$3:$A$821&amp;" ",$D678))*Terms!G$3:G$821)+Terms!G$2</f>
        <v>4.86717412396343</v>
      </c>
      <c r="Y678" s="0" t="str">
        <f aca="false">INDEX($S$1:$X$1,MATCH(MAX(S678:X678),S678:X678,0))</f>
        <v>Mis-selling</v>
      </c>
      <c r="Z678" s="0" t="s">
        <v>2607</v>
      </c>
    </row>
    <row r="679" customFormat="false" ht="15" hidden="false" customHeight="false" outlineLevel="0" collapsed="false">
      <c r="A679" s="0" t="str">
        <f aca="false">Complaints!A679</f>
        <v>C0678</v>
      </c>
      <c r="B679" s="0" t="str">
        <f aca="false">Complaints!B679</f>
        <v>I have had enough of the way this has gone.</v>
      </c>
      <c r="C679" s="0" t="str">
        <f aca="false">Complaints!C679</f>
        <v>Fees &amp; Charges</v>
      </c>
      <c r="D679" s="0" t="str">
        <f aca="false">" "&amp;TRIM(SUBSTITUTE(SUBSTITUTE(SUBSTITUTE(SUBSTITUTE(SUBSTITUTE(SUBSTITUTE(SUBSTITUTE(SUBSTITUTE(SUBSTITUTE(SUBSTITUTE(SUBSTITUTE(SUBSTITUTE(SUBSTITUTE(SUBSTITUTE(SUBSTITUTE(SUBSTITUTE(LOWER(B679),"."," "),","," "),"'"," "),"’"," "),"!"," "),"?"," "),";"," "),":"," "),"-"," "),"("," "),")"," "),"""", " "),"£"," "),"&amp;"," "),"/"," "),"%"," "))&amp;" "</f>
        <v> i have had enough of the way this has gone </v>
      </c>
      <c r="E679" s="0" t="n">
        <f aca="false">SUMPRODUCT((Rules!$A$2:$A$60=E$1)*Rules!$C$2:$C$60*ISNUMBER(SEARCH(Rules!$D$2:$D$60,$D679)))</f>
        <v>0</v>
      </c>
      <c r="F679" s="0" t="n">
        <f aca="false">SUMPRODUCT((Rules!$A$2:$A$60=F$1)*Rules!$C$2:$C$60*ISNUMBER(SEARCH(Rules!$D$2:$D$60,$D679)))</f>
        <v>0</v>
      </c>
      <c r="G679" s="0" t="n">
        <f aca="false">SUMPRODUCT((Rules!$A$2:$A$60=G$1)*Rules!$C$2:$C$60*ISNUMBER(SEARCH(Rules!$D$2:$D$60,$D679)))</f>
        <v>0</v>
      </c>
      <c r="H679" s="0" t="n">
        <f aca="false">SUMPRODUCT((Rules!$A$2:$A$60=H$1)*Rules!$C$2:$C$60*ISNUMBER(SEARCH(Rules!$D$2:$D$60,$D679)))</f>
        <v>0</v>
      </c>
      <c r="I679" s="0" t="n">
        <f aca="false">SUMPRODUCT((Rules!$A$2:$A$60=I$1)*Rules!$C$2:$C$60*ISNUMBER(SEARCH(Rules!$D$2:$D$60,$D679)))</f>
        <v>0</v>
      </c>
      <c r="J679" s="0" t="n">
        <f aca="false">SUMPRODUCT((Rules!$A$2:$A$60=J$1)*Rules!$C$2:$C$60*ISNUMBER(SEARCH(Rules!$D$2:$D$60,$D679)))</f>
        <v>0</v>
      </c>
      <c r="K679" s="0" t="str">
        <f aca="false">IF(OR(MAX(E679:J679)&lt;Rules!$H$1,MAX(E679:J679)-LARGE(E679:J679,2)&lt;Rules!$H$2),"No label",INDEX($E$1:$J$1,MATCH(MAX(E679:J679),E679:J679,0)))</f>
        <v>No label</v>
      </c>
      <c r="L679" s="0" t="n">
        <f aca="false">SUMPRODUCT((Rules!$A$2:$A$60=L$1)*Rules!$C$2:$C$60*ISNUMBER(SEARCH(Rules!$E$2:$E$60,$D679)))</f>
        <v>0</v>
      </c>
      <c r="M679" s="0" t="n">
        <f aca="false">SUMPRODUCT((Rules!$A$2:$A$60=M$1)*Rules!$C$2:$C$60*ISNUMBER(SEARCH(Rules!$E$2:$E$60,$D679)))</f>
        <v>0</v>
      </c>
      <c r="N679" s="0" t="n">
        <f aca="false">SUMPRODUCT((Rules!$A$2:$A$60=N$1)*Rules!$C$2:$C$60*ISNUMBER(SEARCH(Rules!$E$2:$E$60,$D679)))</f>
        <v>0</v>
      </c>
      <c r="O679" s="0" t="n">
        <f aca="false">SUMPRODUCT((Rules!$A$2:$A$60=O$1)*Rules!$C$2:$C$60*ISNUMBER(SEARCH(Rules!$E$2:$E$60,$D679)))</f>
        <v>0</v>
      </c>
      <c r="P679" s="0" t="n">
        <f aca="false">SUMPRODUCT((Rules!$A$2:$A$60=P$1)*Rules!$C$2:$C$60*ISNUMBER(SEARCH(Rules!$E$2:$E$60,$D679)))</f>
        <v>0</v>
      </c>
      <c r="Q679" s="0" t="n">
        <f aca="false">SUMPRODUCT((Rules!$A$2:$A$60=Q$1)*Rules!$C$2:$C$60*ISNUMBER(SEARCH(Rules!$E$2:$E$60,$D679)))</f>
        <v>0</v>
      </c>
      <c r="R679" s="0" t="str">
        <f aca="false">IF(OR(MAX(L679:Q679)&lt;Rules!$H$1,MAX(L679:Q679)-LARGE(L679:Q679,2)&lt;Rules!$H$2),"No label",INDEX($L$1:$Q$1,MATCH(MAX(L679:Q679),L679:Q679,0)))</f>
        <v>No label</v>
      </c>
      <c r="S679" s="0" t="n">
        <f aca="false">SUMPRODUCT(ISNUMBER(SEARCH(" "&amp;Terms!$A$3:$A$821&amp;" ",$D679))*Terms!B$3:B$821)+Terms!B$2</f>
        <v>0.740162088012994</v>
      </c>
      <c r="T679" s="0" t="n">
        <f aca="false">SUMPRODUCT(ISNUMBER(SEARCH(" "&amp;Terms!$A$3:$A$821&amp;" ",$D679))*Terms!C$3:C$821)+Terms!C$2</f>
        <v>-0.0474621897017864</v>
      </c>
      <c r="U679" s="0" t="n">
        <f aca="false">SUMPRODUCT(ISNUMBER(SEARCH(" "&amp;Terms!$A$3:$A$821&amp;" ",$D679))*Terms!D$3:D$821)+Terms!D$2</f>
        <v>0.0542463246819629</v>
      </c>
      <c r="V679" s="0" t="n">
        <f aca="false">SUMPRODUCT(ISNUMBER(SEARCH(" "&amp;Terms!$A$3:$A$821&amp;" ",$D679))*Terms!E$3:E$821)+Terms!E$2</f>
        <v>1.70751695055371</v>
      </c>
      <c r="W679" s="0" t="n">
        <f aca="false">SUMPRODUCT(ISNUMBER(SEARCH(" "&amp;Terms!$A$3:$A$821&amp;" ",$D679))*Terms!F$3:F$821)+Terms!F$2</f>
        <v>-1.95579033890654</v>
      </c>
      <c r="X679" s="0" t="n">
        <f aca="false">SUMPRODUCT(ISNUMBER(SEARCH(" "&amp;Terms!$A$3:$A$821&amp;" ",$D679))*Terms!G$3:G$821)+Terms!G$2</f>
        <v>-0.498672834640244</v>
      </c>
      <c r="Y679" s="0" t="str">
        <f aca="false">INDEX($S$1:$X$1,MATCH(MAX(S679:X679),S679:X679,0))</f>
        <v>Fees &amp; Charges</v>
      </c>
      <c r="Z679" s="0" t="s">
        <v>2607</v>
      </c>
    </row>
    <row r="680" customFormat="false" ht="15" hidden="false" customHeight="false" outlineLevel="0" collapsed="false">
      <c r="A680" s="0" t="str">
        <f aca="false">Complaints!A680</f>
        <v>C0679</v>
      </c>
      <c r="B680" s="0" t="str">
        <f aca="false">Complaints!B680</f>
        <v>I am writing to complain. The adviser did not explain the risks of the investment.</v>
      </c>
      <c r="C680" s="0" t="str">
        <f aca="false">Complaints!C680</f>
        <v>Mis-selling</v>
      </c>
      <c r="D680" s="0" t="str">
        <f aca="false">" "&amp;TRIM(SUBSTITUTE(SUBSTITUTE(SUBSTITUTE(SUBSTITUTE(SUBSTITUTE(SUBSTITUTE(SUBSTITUTE(SUBSTITUTE(SUBSTITUTE(SUBSTITUTE(SUBSTITUTE(SUBSTITUTE(SUBSTITUTE(SUBSTITUTE(SUBSTITUTE(SUBSTITUTE(LOWER(B680),"."," "),","," "),"'"," "),"’"," "),"!"," "),"?"," "),";"," "),":"," "),"-"," "),"("," "),")"," "),"""", " "),"£"," "),"&amp;"," "),"/"," "),"%"," "))&amp;" "</f>
        <v> i am writing to complain the adviser did not explain the risks of the investment </v>
      </c>
      <c r="E680" s="0" t="n">
        <f aca="false">SUMPRODUCT((Rules!$A$2:$A$60=E$1)*Rules!$C$2:$C$60*ISNUMBER(SEARCH(Rules!$D$2:$D$60,$D680)))</f>
        <v>0</v>
      </c>
      <c r="F680" s="0" t="n">
        <f aca="false">SUMPRODUCT((Rules!$A$2:$A$60=F$1)*Rules!$C$2:$C$60*ISNUMBER(SEARCH(Rules!$D$2:$D$60,$D680)))</f>
        <v>4</v>
      </c>
      <c r="G680" s="0" t="n">
        <f aca="false">SUMPRODUCT((Rules!$A$2:$A$60=G$1)*Rules!$C$2:$C$60*ISNUMBER(SEARCH(Rules!$D$2:$D$60,$D680)))</f>
        <v>0</v>
      </c>
      <c r="H680" s="0" t="n">
        <f aca="false">SUMPRODUCT((Rules!$A$2:$A$60=H$1)*Rules!$C$2:$C$60*ISNUMBER(SEARCH(Rules!$D$2:$D$60,$D680)))</f>
        <v>0</v>
      </c>
      <c r="I680" s="0" t="n">
        <f aca="false">SUMPRODUCT((Rules!$A$2:$A$60=I$1)*Rules!$C$2:$C$60*ISNUMBER(SEARCH(Rules!$D$2:$D$60,$D680)))</f>
        <v>0</v>
      </c>
      <c r="J680" s="0" t="n">
        <f aca="false">SUMPRODUCT((Rules!$A$2:$A$60=J$1)*Rules!$C$2:$C$60*ISNUMBER(SEARCH(Rules!$D$2:$D$60,$D680)))</f>
        <v>0</v>
      </c>
      <c r="K680" s="0" t="str">
        <f aca="false">IF(OR(MAX(E680:J680)&lt;Rules!$H$1,MAX(E680:J680)-LARGE(E680:J680,2)&lt;Rules!$H$2),"No label",INDEX($E$1:$J$1,MATCH(MAX(E680:J680),E680:J680,0)))</f>
        <v>Mis-selling</v>
      </c>
      <c r="L680" s="0" t="n">
        <f aca="false">SUMPRODUCT((Rules!$A$2:$A$60=L$1)*Rules!$C$2:$C$60*ISNUMBER(SEARCH(Rules!$E$2:$E$60,$D680)))</f>
        <v>0</v>
      </c>
      <c r="M680" s="0" t="n">
        <f aca="false">SUMPRODUCT((Rules!$A$2:$A$60=M$1)*Rules!$C$2:$C$60*ISNUMBER(SEARCH(Rules!$E$2:$E$60,$D680)))</f>
        <v>6</v>
      </c>
      <c r="N680" s="0" t="n">
        <f aca="false">SUMPRODUCT((Rules!$A$2:$A$60=N$1)*Rules!$C$2:$C$60*ISNUMBER(SEARCH(Rules!$E$2:$E$60,$D680)))</f>
        <v>0</v>
      </c>
      <c r="O680" s="0" t="n">
        <f aca="false">SUMPRODUCT((Rules!$A$2:$A$60=O$1)*Rules!$C$2:$C$60*ISNUMBER(SEARCH(Rules!$E$2:$E$60,$D680)))</f>
        <v>0</v>
      </c>
      <c r="P680" s="0" t="n">
        <f aca="false">SUMPRODUCT((Rules!$A$2:$A$60=P$1)*Rules!$C$2:$C$60*ISNUMBER(SEARCH(Rules!$E$2:$E$60,$D680)))</f>
        <v>0</v>
      </c>
      <c r="Q680" s="0" t="n">
        <f aca="false">SUMPRODUCT((Rules!$A$2:$A$60=Q$1)*Rules!$C$2:$C$60*ISNUMBER(SEARCH(Rules!$E$2:$E$60,$D680)))</f>
        <v>1</v>
      </c>
      <c r="R680" s="0" t="str">
        <f aca="false">IF(OR(MAX(L680:Q680)&lt;Rules!$H$1,MAX(L680:Q680)-LARGE(L680:Q680,2)&lt;Rules!$H$2),"No label",INDEX($L$1:$Q$1,MATCH(MAX(L680:Q680),L680:Q680,0)))</f>
        <v>Mis-selling</v>
      </c>
      <c r="S680" s="0" t="n">
        <f aca="false">SUMPRODUCT(ISNUMBER(SEARCH(" "&amp;Terms!$A$3:$A$821&amp;" ",$D680))*Terms!B$3:B$821)+Terms!B$2</f>
        <v>-3.28768644716421</v>
      </c>
      <c r="T680" s="0" t="n">
        <f aca="false">SUMPRODUCT(ISNUMBER(SEARCH(" "&amp;Terms!$A$3:$A$821&amp;" ",$D680))*Terms!C$3:C$821)+Terms!C$2</f>
        <v>0.170029835293056</v>
      </c>
      <c r="U680" s="0" t="n">
        <f aca="false">SUMPRODUCT(ISNUMBER(SEARCH(" "&amp;Terms!$A$3:$A$821&amp;" ",$D680))*Terms!D$3:D$821)+Terms!D$2</f>
        <v>-2.51060527317305</v>
      </c>
      <c r="V680" s="0" t="n">
        <f aca="false">SUMPRODUCT(ISNUMBER(SEARCH(" "&amp;Terms!$A$3:$A$821&amp;" ",$D680))*Terms!E$3:E$821)+Terms!E$2</f>
        <v>-1.16586217095349</v>
      </c>
      <c r="W680" s="0" t="n">
        <f aca="false">SUMPRODUCT(ISNUMBER(SEARCH(" "&amp;Terms!$A$3:$A$821&amp;" ",$D680))*Terms!F$3:F$821)+Terms!F$2</f>
        <v>-1.7696275881652</v>
      </c>
      <c r="X680" s="0" t="n">
        <f aca="false">SUMPRODUCT(ISNUMBER(SEARCH(" "&amp;Terms!$A$3:$A$821&amp;" ",$D680))*Terms!G$3:G$821)+Terms!G$2</f>
        <v>8.56375164416297</v>
      </c>
      <c r="Y680" s="0" t="str">
        <f aca="false">INDEX($S$1:$X$1,MATCH(MAX(S680:X680),S680:X680,0))</f>
        <v>Mis-selling</v>
      </c>
      <c r="Z680" s="0" t="s">
        <v>2608</v>
      </c>
    </row>
    <row r="681" customFormat="false" ht="15" hidden="false" customHeight="false" outlineLevel="0" collapsed="false">
      <c r="A681" s="0" t="str">
        <f aca="false">Complaints!A681</f>
        <v>C0680</v>
      </c>
      <c r="B681" s="0" t="str">
        <f aca="false">Complaints!B681</f>
        <v>This is the second time I have raised this. Why has my interest rate gone up without notice, it is costing me more every month.</v>
      </c>
      <c r="C681" s="0" t="str">
        <f aca="false">Complaints!C681</f>
        <v>Fees &amp; Charges</v>
      </c>
      <c r="D681" s="0" t="str">
        <f aca="false">" "&amp;TRIM(SUBSTITUTE(SUBSTITUTE(SUBSTITUTE(SUBSTITUTE(SUBSTITUTE(SUBSTITUTE(SUBSTITUTE(SUBSTITUTE(SUBSTITUTE(SUBSTITUTE(SUBSTITUTE(SUBSTITUTE(SUBSTITUTE(SUBSTITUTE(SUBSTITUTE(SUBSTITUTE(LOWER(B681),"."," "),","," "),"'"," "),"’"," "),"!"," "),"?"," "),";"," "),":"," "),"-"," "),"("," "),")"," "),"""", " "),"£"," "),"&amp;"," "),"/"," "),"%"," "))&amp;" "</f>
        <v> this is the second time i have raised this why has my interest rate gone up without notice it is costing me more every month </v>
      </c>
      <c r="E681" s="0" t="n">
        <f aca="false">SUMPRODUCT((Rules!$A$2:$A$60=E$1)*Rules!$C$2:$C$60*ISNUMBER(SEARCH(Rules!$D$2:$D$60,$D681)))</f>
        <v>0</v>
      </c>
      <c r="F681" s="0" t="n">
        <f aca="false">SUMPRODUCT((Rules!$A$2:$A$60=F$1)*Rules!$C$2:$C$60*ISNUMBER(SEARCH(Rules!$D$2:$D$60,$D681)))</f>
        <v>0</v>
      </c>
      <c r="G681" s="0" t="n">
        <f aca="false">SUMPRODUCT((Rules!$A$2:$A$60=G$1)*Rules!$C$2:$C$60*ISNUMBER(SEARCH(Rules!$D$2:$D$60,$D681)))</f>
        <v>0</v>
      </c>
      <c r="H681" s="0" t="n">
        <f aca="false">SUMPRODUCT((Rules!$A$2:$A$60=H$1)*Rules!$C$2:$C$60*ISNUMBER(SEARCH(Rules!$D$2:$D$60,$D681)))</f>
        <v>2</v>
      </c>
      <c r="I681" s="0" t="n">
        <f aca="false">SUMPRODUCT((Rules!$A$2:$A$60=I$1)*Rules!$C$2:$C$60*ISNUMBER(SEARCH(Rules!$D$2:$D$60,$D681)))</f>
        <v>0</v>
      </c>
      <c r="J681" s="0" t="n">
        <f aca="false">SUMPRODUCT((Rules!$A$2:$A$60=J$1)*Rules!$C$2:$C$60*ISNUMBER(SEARCH(Rules!$D$2:$D$60,$D681)))</f>
        <v>0</v>
      </c>
      <c r="K681" s="0" t="str">
        <f aca="false">IF(OR(MAX(E681:J681)&lt;Rules!$H$1,MAX(E681:J681)-LARGE(E681:J681,2)&lt;Rules!$H$2),"No label",INDEX($E$1:$J$1,MATCH(MAX(E681:J681),E681:J681,0)))</f>
        <v>No label</v>
      </c>
      <c r="L681" s="0" t="n">
        <f aca="false">SUMPRODUCT((Rules!$A$2:$A$60=L$1)*Rules!$C$2:$C$60*ISNUMBER(SEARCH(Rules!$E$2:$E$60,$D681)))</f>
        <v>0</v>
      </c>
      <c r="M681" s="0" t="n">
        <f aca="false">SUMPRODUCT((Rules!$A$2:$A$60=M$1)*Rules!$C$2:$C$60*ISNUMBER(SEARCH(Rules!$E$2:$E$60,$D681)))</f>
        <v>0</v>
      </c>
      <c r="N681" s="0" t="n">
        <f aca="false">SUMPRODUCT((Rules!$A$2:$A$60=N$1)*Rules!$C$2:$C$60*ISNUMBER(SEARCH(Rules!$E$2:$E$60,$D681)))</f>
        <v>0</v>
      </c>
      <c r="O681" s="0" t="n">
        <f aca="false">SUMPRODUCT((Rules!$A$2:$A$60=O$1)*Rules!$C$2:$C$60*ISNUMBER(SEARCH(Rules!$E$2:$E$60,$D681)))</f>
        <v>2</v>
      </c>
      <c r="P681" s="0" t="n">
        <f aca="false">SUMPRODUCT((Rules!$A$2:$A$60=P$1)*Rules!$C$2:$C$60*ISNUMBER(SEARCH(Rules!$E$2:$E$60,$D681)))</f>
        <v>0</v>
      </c>
      <c r="Q681" s="0" t="n">
        <f aca="false">SUMPRODUCT((Rules!$A$2:$A$60=Q$1)*Rules!$C$2:$C$60*ISNUMBER(SEARCH(Rules!$E$2:$E$60,$D681)))</f>
        <v>0</v>
      </c>
      <c r="R681" s="0" t="str">
        <f aca="false">IF(OR(MAX(L681:Q681)&lt;Rules!$H$1,MAX(L681:Q681)-LARGE(L681:Q681,2)&lt;Rules!$H$2),"No label",INDEX($L$1:$Q$1,MATCH(MAX(L681:Q681),L681:Q681,0)))</f>
        <v>No label</v>
      </c>
      <c r="S681" s="0" t="n">
        <f aca="false">SUMPRODUCT(ISNUMBER(SEARCH(" "&amp;Terms!$A$3:$A$821&amp;" ",$D681))*Terms!B$3:B$821)+Terms!B$2</f>
        <v>-2.7891032661796</v>
      </c>
      <c r="T681" s="0" t="n">
        <f aca="false">SUMPRODUCT(ISNUMBER(SEARCH(" "&amp;Terms!$A$3:$A$821&amp;" ",$D681))*Terms!C$3:C$821)+Terms!C$2</f>
        <v>-0.166054906360905</v>
      </c>
      <c r="U681" s="0" t="n">
        <f aca="false">SUMPRODUCT(ISNUMBER(SEARCH(" "&amp;Terms!$A$3:$A$821&amp;" ",$D681))*Terms!D$3:D$821)+Terms!D$2</f>
        <v>-0.557429370562302</v>
      </c>
      <c r="V681" s="0" t="n">
        <f aca="false">SUMPRODUCT(ISNUMBER(SEARCH(" "&amp;Terms!$A$3:$A$821&amp;" ",$D681))*Terms!E$3:E$821)+Terms!E$2</f>
        <v>7.19039592881885</v>
      </c>
      <c r="W681" s="0" t="n">
        <f aca="false">SUMPRODUCT(ISNUMBER(SEARCH(" "&amp;Terms!$A$3:$A$821&amp;" ",$D681))*Terms!F$3:F$821)+Terms!F$2</f>
        <v>-0.680185653238408</v>
      </c>
      <c r="X681" s="0" t="n">
        <f aca="false">SUMPRODUCT(ISNUMBER(SEARCH(" "&amp;Terms!$A$3:$A$821&amp;" ",$D681))*Terms!G$3:G$821)+Terms!G$2</f>
        <v>-2.99762273247753</v>
      </c>
      <c r="Y681" s="0" t="str">
        <f aca="false">INDEX($S$1:$X$1,MATCH(MAX(S681:X681),S681:X681,0))</f>
        <v>Fees &amp; Charges</v>
      </c>
      <c r="Z681" s="0" t="s">
        <v>2607</v>
      </c>
    </row>
    <row r="682" customFormat="false" ht="15" hidden="false" customHeight="false" outlineLevel="0" collapsed="false">
      <c r="A682" s="0" t="str">
        <f aca="false">Complaints!A682</f>
        <v>C0681</v>
      </c>
      <c r="B682" s="0" t="str">
        <f aca="false">Complaints!B682</f>
        <v>This is the second time I have raised this. The terms were very different from what I was promised at the time of sale. I also spent ages on hold when I called about it. Please sort this out.</v>
      </c>
      <c r="C682" s="0" t="str">
        <f aca="false">Complaints!C682</f>
        <v>Mis-selling</v>
      </c>
      <c r="D682" s="0" t="str">
        <f aca="false">" "&amp;TRIM(SUBSTITUTE(SUBSTITUTE(SUBSTITUTE(SUBSTITUTE(SUBSTITUTE(SUBSTITUTE(SUBSTITUTE(SUBSTITUTE(SUBSTITUTE(SUBSTITUTE(SUBSTITUTE(SUBSTITUTE(SUBSTITUTE(SUBSTITUTE(SUBSTITUTE(SUBSTITUTE(LOWER(B682),"."," "),","," "),"'"," "),"’"," "),"!"," "),"?"," "),";"," "),":"," "),"-"," "),"("," "),")"," "),"""", " "),"£"," "),"&amp;"," "),"/"," "),"%"," "))&amp;" "</f>
        <v> this is the second time i have raised this the terms were very different from what i was promised at the time of sale i also spent ages on hold when i called about it please sort this out </v>
      </c>
      <c r="E682" s="0" t="n">
        <f aca="false">SUMPRODUCT((Rules!$A$2:$A$60=E$1)*Rules!$C$2:$C$60*ISNUMBER(SEARCH(Rules!$D$2:$D$60,$D682)))</f>
        <v>0</v>
      </c>
      <c r="F682" s="0" t="n">
        <f aca="false">SUMPRODUCT((Rules!$A$2:$A$60=F$1)*Rules!$C$2:$C$60*ISNUMBER(SEARCH(Rules!$D$2:$D$60,$D682)))</f>
        <v>1</v>
      </c>
      <c r="G682" s="0" t="n">
        <f aca="false">SUMPRODUCT((Rules!$A$2:$A$60=G$1)*Rules!$C$2:$C$60*ISNUMBER(SEARCH(Rules!$D$2:$D$60,$D682)))</f>
        <v>0</v>
      </c>
      <c r="H682" s="0" t="n">
        <f aca="false">SUMPRODUCT((Rules!$A$2:$A$60=H$1)*Rules!$C$2:$C$60*ISNUMBER(SEARCH(Rules!$D$2:$D$60,$D682)))</f>
        <v>0</v>
      </c>
      <c r="I682" s="0" t="n">
        <f aca="false">SUMPRODUCT((Rules!$A$2:$A$60=I$1)*Rules!$C$2:$C$60*ISNUMBER(SEARCH(Rules!$D$2:$D$60,$D682)))</f>
        <v>0</v>
      </c>
      <c r="J682" s="0" t="n">
        <f aca="false">SUMPRODUCT((Rules!$A$2:$A$60=J$1)*Rules!$C$2:$C$60*ISNUMBER(SEARCH(Rules!$D$2:$D$60,$D682)))</f>
        <v>3</v>
      </c>
      <c r="K682" s="0" t="str">
        <f aca="false">IF(OR(MAX(E682:J682)&lt;Rules!$H$1,MAX(E682:J682)-LARGE(E682:J682,2)&lt;Rules!$H$2),"No label",INDEX($E$1:$J$1,MATCH(MAX(E682:J682),E682:J682,0)))</f>
        <v>Customer Service</v>
      </c>
      <c r="L682" s="0" t="n">
        <f aca="false">SUMPRODUCT((Rules!$A$2:$A$60=L$1)*Rules!$C$2:$C$60*ISNUMBER(SEARCH(Rules!$E$2:$E$60,$D682)))</f>
        <v>0</v>
      </c>
      <c r="M682" s="0" t="n">
        <f aca="false">SUMPRODUCT((Rules!$A$2:$A$60=M$1)*Rules!$C$2:$C$60*ISNUMBER(SEARCH(Rules!$E$2:$E$60,$D682)))</f>
        <v>1</v>
      </c>
      <c r="N682" s="0" t="n">
        <f aca="false">SUMPRODUCT((Rules!$A$2:$A$60=N$1)*Rules!$C$2:$C$60*ISNUMBER(SEARCH(Rules!$E$2:$E$60,$D682)))</f>
        <v>0</v>
      </c>
      <c r="O682" s="0" t="n">
        <f aca="false">SUMPRODUCT((Rules!$A$2:$A$60=O$1)*Rules!$C$2:$C$60*ISNUMBER(SEARCH(Rules!$E$2:$E$60,$D682)))</f>
        <v>0</v>
      </c>
      <c r="P682" s="0" t="n">
        <f aca="false">SUMPRODUCT((Rules!$A$2:$A$60=P$1)*Rules!$C$2:$C$60*ISNUMBER(SEARCH(Rules!$E$2:$E$60,$D682)))</f>
        <v>0</v>
      </c>
      <c r="Q682" s="0" t="n">
        <f aca="false">SUMPRODUCT((Rules!$A$2:$A$60=Q$1)*Rules!$C$2:$C$60*ISNUMBER(SEARCH(Rules!$E$2:$E$60,$D682)))</f>
        <v>3</v>
      </c>
      <c r="R682" s="0" t="str">
        <f aca="false">IF(OR(MAX(L682:Q682)&lt;Rules!$H$1,MAX(L682:Q682)-LARGE(L682:Q682,2)&lt;Rules!$H$2),"No label",INDEX($L$1:$Q$1,MATCH(MAX(L682:Q682),L682:Q682,0)))</f>
        <v>Customer Service</v>
      </c>
      <c r="S682" s="0" t="n">
        <f aca="false">SUMPRODUCT(ISNUMBER(SEARCH(" "&amp;Terms!$A$3:$A$821&amp;" ",$D682))*Terms!B$3:B$821)+Terms!B$2</f>
        <v>-5.3182983142393</v>
      </c>
      <c r="T682" s="0" t="n">
        <f aca="false">SUMPRODUCT(ISNUMBER(SEARCH(" "&amp;Terms!$A$3:$A$821&amp;" ",$D682))*Terms!C$3:C$821)+Terms!C$2</f>
        <v>2.02897636382689</v>
      </c>
      <c r="U682" s="0" t="n">
        <f aca="false">SUMPRODUCT(ISNUMBER(SEARCH(" "&amp;Terms!$A$3:$A$821&amp;" ",$D682))*Terms!D$3:D$821)+Terms!D$2</f>
        <v>1.63124710949665</v>
      </c>
      <c r="V682" s="0" t="n">
        <f aca="false">SUMPRODUCT(ISNUMBER(SEARCH(" "&amp;Terms!$A$3:$A$821&amp;" ",$D682))*Terms!E$3:E$821)+Terms!E$2</f>
        <v>-1.51319897891259</v>
      </c>
      <c r="W682" s="0" t="n">
        <f aca="false">SUMPRODUCT(ISNUMBER(SEARCH(" "&amp;Terms!$A$3:$A$821&amp;" ",$D682))*Terms!F$3:F$821)+Terms!F$2</f>
        <v>-2.84365011388336</v>
      </c>
      <c r="X682" s="0" t="n">
        <f aca="false">SUMPRODUCT(ISNUMBER(SEARCH(" "&amp;Terms!$A$3:$A$821&amp;" ",$D682))*Terms!G$3:G$821)+Terms!G$2</f>
        <v>6.0149239337118</v>
      </c>
      <c r="Y682" s="0" t="str">
        <f aca="false">INDEX($S$1:$X$1,MATCH(MAX(S682:X682),S682:X682,0))</f>
        <v>Mis-selling</v>
      </c>
      <c r="Z682" s="0" t="s">
        <v>2607</v>
      </c>
    </row>
    <row r="683" customFormat="false" ht="15" hidden="false" customHeight="false" outlineLevel="0" collapsed="false">
      <c r="A683" s="0" t="str">
        <f aca="false">Complaints!A683</f>
        <v>C0682</v>
      </c>
      <c r="B683" s="0" t="str">
        <f aca="false">Complaints!B683</f>
        <v>This is the second time I have raised this. The staff member was rude and dismissive when I called. Also, i keep getting an error message when I sign in.</v>
      </c>
      <c r="C683" s="0" t="str">
        <f aca="false">Complaints!C683</f>
        <v>Customer Service</v>
      </c>
      <c r="D683" s="0" t="str">
        <f aca="false">" "&amp;TRIM(SUBSTITUTE(SUBSTITUTE(SUBSTITUTE(SUBSTITUTE(SUBSTITUTE(SUBSTITUTE(SUBSTITUTE(SUBSTITUTE(SUBSTITUTE(SUBSTITUTE(SUBSTITUTE(SUBSTITUTE(SUBSTITUTE(SUBSTITUTE(SUBSTITUTE(SUBSTITUTE(LOWER(B683),"."," "),","," "),"'"," "),"’"," "),"!"," "),"?"," "),";"," "),":"," "),"-"," "),"("," "),")"," "),"""", " "),"£"," "),"&amp;"," "),"/"," "),"%"," "))&amp;" "</f>
        <v> this is the second time i have raised this the staff member was rude and dismissive when i called also i keep getting an error message when i sign in </v>
      </c>
      <c r="E683" s="0" t="n">
        <f aca="false">SUMPRODUCT((Rules!$A$2:$A$60=E$1)*Rules!$C$2:$C$60*ISNUMBER(SEARCH(Rules!$D$2:$D$60,$D683)))</f>
        <v>0</v>
      </c>
      <c r="F683" s="0" t="n">
        <f aca="false">SUMPRODUCT((Rules!$A$2:$A$60=F$1)*Rules!$C$2:$C$60*ISNUMBER(SEARCH(Rules!$D$2:$D$60,$D683)))</f>
        <v>0</v>
      </c>
      <c r="G683" s="0" t="n">
        <f aca="false">SUMPRODUCT((Rules!$A$2:$A$60=G$1)*Rules!$C$2:$C$60*ISNUMBER(SEARCH(Rules!$D$2:$D$60,$D683)))</f>
        <v>3</v>
      </c>
      <c r="H683" s="0" t="n">
        <f aca="false">SUMPRODUCT((Rules!$A$2:$A$60=H$1)*Rules!$C$2:$C$60*ISNUMBER(SEARCH(Rules!$D$2:$D$60,$D683)))</f>
        <v>0</v>
      </c>
      <c r="I683" s="0" t="n">
        <f aca="false">SUMPRODUCT((Rules!$A$2:$A$60=I$1)*Rules!$C$2:$C$60*ISNUMBER(SEARCH(Rules!$D$2:$D$60,$D683)))</f>
        <v>0</v>
      </c>
      <c r="J683" s="0" t="n">
        <f aca="false">SUMPRODUCT((Rules!$A$2:$A$60=J$1)*Rules!$C$2:$C$60*ISNUMBER(SEARCH(Rules!$D$2:$D$60,$D683)))</f>
        <v>4</v>
      </c>
      <c r="K683" s="0" t="str">
        <f aca="false">IF(OR(MAX(E683:J683)&lt;Rules!$H$1,MAX(E683:J683)-LARGE(E683:J683,2)&lt;Rules!$H$2),"No label",INDEX($E$1:$J$1,MATCH(MAX(E683:J683),E683:J683,0)))</f>
        <v>No label</v>
      </c>
      <c r="L683" s="0" t="n">
        <f aca="false">SUMPRODUCT((Rules!$A$2:$A$60=L$1)*Rules!$C$2:$C$60*ISNUMBER(SEARCH(Rules!$E$2:$E$60,$D683)))</f>
        <v>0</v>
      </c>
      <c r="M683" s="0" t="n">
        <f aca="false">SUMPRODUCT((Rules!$A$2:$A$60=M$1)*Rules!$C$2:$C$60*ISNUMBER(SEARCH(Rules!$E$2:$E$60,$D683)))</f>
        <v>0</v>
      </c>
      <c r="N683" s="0" t="n">
        <f aca="false">SUMPRODUCT((Rules!$A$2:$A$60=N$1)*Rules!$C$2:$C$60*ISNUMBER(SEARCH(Rules!$E$2:$E$60,$D683)))</f>
        <v>3</v>
      </c>
      <c r="O683" s="0" t="n">
        <f aca="false">SUMPRODUCT((Rules!$A$2:$A$60=O$1)*Rules!$C$2:$C$60*ISNUMBER(SEARCH(Rules!$E$2:$E$60,$D683)))</f>
        <v>0</v>
      </c>
      <c r="P683" s="0" t="n">
        <f aca="false">SUMPRODUCT((Rules!$A$2:$A$60=P$1)*Rules!$C$2:$C$60*ISNUMBER(SEARCH(Rules!$E$2:$E$60,$D683)))</f>
        <v>0</v>
      </c>
      <c r="Q683" s="0" t="n">
        <f aca="false">SUMPRODUCT((Rules!$A$2:$A$60=Q$1)*Rules!$C$2:$C$60*ISNUMBER(SEARCH(Rules!$E$2:$E$60,$D683)))</f>
        <v>4</v>
      </c>
      <c r="R683" s="0" t="str">
        <f aca="false">IF(OR(MAX(L683:Q683)&lt;Rules!$H$1,MAX(L683:Q683)-LARGE(L683:Q683,2)&lt;Rules!$H$2),"No label",INDEX($L$1:$Q$1,MATCH(MAX(L683:Q683),L683:Q683,0)))</f>
        <v>No label</v>
      </c>
      <c r="S683" s="0" t="n">
        <f aca="false">SUMPRODUCT(ISNUMBER(SEARCH(" "&amp;Terms!$A$3:$A$821&amp;" ",$D683))*Terms!B$3:B$821)+Terms!B$2</f>
        <v>4.50752352289715</v>
      </c>
      <c r="T683" s="0" t="n">
        <f aca="false">SUMPRODUCT(ISNUMBER(SEARCH(" "&amp;Terms!$A$3:$A$821&amp;" ",$D683))*Terms!C$3:C$821)+Terms!C$2</f>
        <v>12.2564941760192</v>
      </c>
      <c r="U683" s="0" t="n">
        <f aca="false">SUMPRODUCT(ISNUMBER(SEARCH(" "&amp;Terms!$A$3:$A$821&amp;" ",$D683))*Terms!D$3:D$821)+Terms!D$2</f>
        <v>-3.50747752615634</v>
      </c>
      <c r="V683" s="0" t="n">
        <f aca="false">SUMPRODUCT(ISNUMBER(SEARCH(" "&amp;Terms!$A$3:$A$821&amp;" ",$D683))*Terms!E$3:E$821)+Terms!E$2</f>
        <v>-4.02567643094506</v>
      </c>
      <c r="W683" s="0" t="n">
        <f aca="false">SUMPRODUCT(ISNUMBER(SEARCH(" "&amp;Terms!$A$3:$A$821&amp;" ",$D683))*Terms!F$3:F$821)+Terms!F$2</f>
        <v>-1.86909343557025</v>
      </c>
      <c r="X683" s="0" t="n">
        <f aca="false">SUMPRODUCT(ISNUMBER(SEARCH(" "&amp;Terms!$A$3:$A$821&amp;" ",$D683))*Terms!G$3:G$821)+Terms!G$2</f>
        <v>-7.36177030624459</v>
      </c>
      <c r="Y683" s="0" t="str">
        <f aca="false">INDEX($S$1:$X$1,MATCH(MAX(S683:X683),S683:X683,0))</f>
        <v>Customer Service</v>
      </c>
      <c r="Z683" s="0" t="s">
        <v>2607</v>
      </c>
    </row>
    <row r="684" customFormat="false" ht="15" hidden="false" customHeight="false" outlineLevel="0" collapsed="false">
      <c r="A684" s="0" t="str">
        <f aca="false">Complaints!A684</f>
        <v>C0683</v>
      </c>
      <c r="B684" s="0" t="str">
        <f aca="false">Complaints!B684</f>
        <v>I think I was the victim of a scam and sent money to a fraudster. It has also been taking far too long. Please escalate this.</v>
      </c>
      <c r="C684" s="0" t="str">
        <f aca="false">Complaints!C684</f>
        <v>Fraud &amp; Scams</v>
      </c>
      <c r="D684" s="0" t="str">
        <f aca="false">" "&amp;TRIM(SUBSTITUTE(SUBSTITUTE(SUBSTITUTE(SUBSTITUTE(SUBSTITUTE(SUBSTITUTE(SUBSTITUTE(SUBSTITUTE(SUBSTITUTE(SUBSTITUTE(SUBSTITUTE(SUBSTITUTE(SUBSTITUTE(SUBSTITUTE(SUBSTITUTE(SUBSTITUTE(LOWER(B684),"."," "),","," "),"'"," "),"’"," "),"!"," "),"?"," "),";"," "),":"," "),"-"," "),"("," "),")"," "),"""", " "),"£"," "),"&amp;"," "),"/"," "),"%"," "))&amp;" "</f>
        <v> i think i was the victim of a scam and sent money to a fraudster it has also been taking far too long please escalate this </v>
      </c>
      <c r="E684" s="0" t="n">
        <f aca="false">SUMPRODUCT((Rules!$A$2:$A$60=E$1)*Rules!$C$2:$C$60*ISNUMBER(SEARCH(Rules!$D$2:$D$60,$D684)))</f>
        <v>6</v>
      </c>
      <c r="F684" s="0" t="n">
        <f aca="false">SUMPRODUCT((Rules!$A$2:$A$60=F$1)*Rules!$C$2:$C$60*ISNUMBER(SEARCH(Rules!$D$2:$D$60,$D684)))</f>
        <v>0</v>
      </c>
      <c r="G684" s="0" t="n">
        <f aca="false">SUMPRODUCT((Rules!$A$2:$A$60=G$1)*Rules!$C$2:$C$60*ISNUMBER(SEARCH(Rules!$D$2:$D$60,$D684)))</f>
        <v>0</v>
      </c>
      <c r="H684" s="0" t="n">
        <f aca="false">SUMPRODUCT((Rules!$A$2:$A$60=H$1)*Rules!$C$2:$C$60*ISNUMBER(SEARCH(Rules!$D$2:$D$60,$D684)))</f>
        <v>0</v>
      </c>
      <c r="I684" s="0" t="n">
        <f aca="false">SUMPRODUCT((Rules!$A$2:$A$60=I$1)*Rules!$C$2:$C$60*ISNUMBER(SEARCH(Rules!$D$2:$D$60,$D684)))</f>
        <v>0</v>
      </c>
      <c r="J684" s="0" t="n">
        <f aca="false">SUMPRODUCT((Rules!$A$2:$A$60=J$1)*Rules!$C$2:$C$60*ISNUMBER(SEARCH(Rules!$D$2:$D$60,$D684)))</f>
        <v>0</v>
      </c>
      <c r="K684" s="0" t="str">
        <f aca="false">IF(OR(MAX(E684:J684)&lt;Rules!$H$1,MAX(E684:J684)-LARGE(E684:J684,2)&lt;Rules!$H$2),"No label",INDEX($E$1:$J$1,MATCH(MAX(E684:J684),E684:J684,0)))</f>
        <v>Fraud &amp; Scams</v>
      </c>
      <c r="L684" s="0" t="n">
        <f aca="false">SUMPRODUCT((Rules!$A$2:$A$60=L$1)*Rules!$C$2:$C$60*ISNUMBER(SEARCH(Rules!$E$2:$E$60,$D684)))</f>
        <v>6</v>
      </c>
      <c r="M684" s="0" t="n">
        <f aca="false">SUMPRODUCT((Rules!$A$2:$A$60=M$1)*Rules!$C$2:$C$60*ISNUMBER(SEARCH(Rules!$E$2:$E$60,$D684)))</f>
        <v>0</v>
      </c>
      <c r="N684" s="0" t="n">
        <f aca="false">SUMPRODUCT((Rules!$A$2:$A$60=N$1)*Rules!$C$2:$C$60*ISNUMBER(SEARCH(Rules!$E$2:$E$60,$D684)))</f>
        <v>0</v>
      </c>
      <c r="O684" s="0" t="n">
        <f aca="false">SUMPRODUCT((Rules!$A$2:$A$60=O$1)*Rules!$C$2:$C$60*ISNUMBER(SEARCH(Rules!$E$2:$E$60,$D684)))</f>
        <v>0</v>
      </c>
      <c r="P684" s="0" t="n">
        <f aca="false">SUMPRODUCT((Rules!$A$2:$A$60=P$1)*Rules!$C$2:$C$60*ISNUMBER(SEARCH(Rules!$E$2:$E$60,$D684)))</f>
        <v>0</v>
      </c>
      <c r="Q684" s="0" t="n">
        <f aca="false">SUMPRODUCT((Rules!$A$2:$A$60=Q$1)*Rules!$C$2:$C$60*ISNUMBER(SEARCH(Rules!$E$2:$E$60,$D684)))</f>
        <v>0</v>
      </c>
      <c r="R684" s="0" t="str">
        <f aca="false">IF(OR(MAX(L684:Q684)&lt;Rules!$H$1,MAX(L684:Q684)-LARGE(L684:Q684,2)&lt;Rules!$H$2),"No label",INDEX($L$1:$Q$1,MATCH(MAX(L684:Q684),L684:Q684,0)))</f>
        <v>Fraud &amp; Scams</v>
      </c>
      <c r="S684" s="0" t="n">
        <f aca="false">SUMPRODUCT(ISNUMBER(SEARCH(" "&amp;Terms!$A$3:$A$821&amp;" ",$D684))*Terms!B$3:B$821)+Terms!B$2</f>
        <v>-0.79389871629618</v>
      </c>
      <c r="T684" s="0" t="n">
        <f aca="false">SUMPRODUCT(ISNUMBER(SEARCH(" "&amp;Terms!$A$3:$A$821&amp;" ",$D684))*Terms!C$3:C$821)+Terms!C$2</f>
        <v>-3.78038859789765</v>
      </c>
      <c r="U684" s="0" t="n">
        <f aca="false">SUMPRODUCT(ISNUMBER(SEARCH(" "&amp;Terms!$A$3:$A$821&amp;" ",$D684))*Terms!D$3:D$821)+Terms!D$2</f>
        <v>-0.174612959804963</v>
      </c>
      <c r="V684" s="0" t="n">
        <f aca="false">SUMPRODUCT(ISNUMBER(SEARCH(" "&amp;Terms!$A$3:$A$821&amp;" ",$D684))*Terms!E$3:E$821)+Terms!E$2</f>
        <v>-1.40142851772523</v>
      </c>
      <c r="W684" s="0" t="n">
        <f aca="false">SUMPRODUCT(ISNUMBER(SEARCH(" "&amp;Terms!$A$3:$A$821&amp;" ",$D684))*Terms!F$3:F$821)+Terms!F$2</f>
        <v>8.60197697635829</v>
      </c>
      <c r="X684" s="0" t="n">
        <f aca="false">SUMPRODUCT(ISNUMBER(SEARCH(" "&amp;Terms!$A$3:$A$821&amp;" ",$D684))*Terms!G$3:G$821)+Terms!G$2</f>
        <v>-2.45164818463416</v>
      </c>
      <c r="Y684" s="0" t="str">
        <f aca="false">INDEX($S$1:$X$1,MATCH(MAX(S684:X684),S684:X684,0))</f>
        <v>Fraud &amp; Scams</v>
      </c>
      <c r="Z684" s="0" t="s">
        <v>2607</v>
      </c>
    </row>
    <row r="685" customFormat="false" ht="15" hidden="false" customHeight="false" outlineLevel="0" collapsed="false">
      <c r="A685" s="0" t="str">
        <f aca="false">Complaints!A685</f>
        <v>C0684</v>
      </c>
      <c r="B685" s="0" t="str">
        <f aca="false">Complaints!B685</f>
        <v>I have been a customer for years. Nobody explained the foreign transaction charges before my holiday. I could not log in to check either.</v>
      </c>
      <c r="C685" s="0" t="str">
        <f aca="false">Complaints!C685</f>
        <v>Fees &amp; Charges</v>
      </c>
      <c r="D685" s="0" t="str">
        <f aca="false">" "&amp;TRIM(SUBSTITUTE(SUBSTITUTE(SUBSTITUTE(SUBSTITUTE(SUBSTITUTE(SUBSTITUTE(SUBSTITUTE(SUBSTITUTE(SUBSTITUTE(SUBSTITUTE(SUBSTITUTE(SUBSTITUTE(SUBSTITUTE(SUBSTITUTE(SUBSTITUTE(SUBSTITUTE(LOWER(B685),"."," "),","," "),"'"," "),"’"," "),"!"," "),"?"," "),";"," "),":"," "),"-"," "),"("," "),")"," "),"""", " "),"£"," "),"&amp;"," "),"/"," "),"%"," "))&amp;" "</f>
        <v> i have been a customer for years nobody explained the foreign transaction charges before my holiday i could not log in to check either </v>
      </c>
      <c r="E685" s="0" t="n">
        <f aca="false">SUMPRODUCT((Rules!$A$2:$A$60=E$1)*Rules!$C$2:$C$60*ISNUMBER(SEARCH(Rules!$D$2:$D$60,$D685)))</f>
        <v>0</v>
      </c>
      <c r="F685" s="0" t="n">
        <f aca="false">SUMPRODUCT((Rules!$A$2:$A$60=F$1)*Rules!$C$2:$C$60*ISNUMBER(SEARCH(Rules!$D$2:$D$60,$D685)))</f>
        <v>0</v>
      </c>
      <c r="G685" s="0" t="n">
        <f aca="false">SUMPRODUCT((Rules!$A$2:$A$60=G$1)*Rules!$C$2:$C$60*ISNUMBER(SEARCH(Rules!$D$2:$D$60,$D685)))</f>
        <v>3</v>
      </c>
      <c r="H685" s="0" t="n">
        <f aca="false">SUMPRODUCT((Rules!$A$2:$A$60=H$1)*Rules!$C$2:$C$60*ISNUMBER(SEARCH(Rules!$D$2:$D$60,$D685)))</f>
        <v>0</v>
      </c>
      <c r="I685" s="0" t="n">
        <f aca="false">SUMPRODUCT((Rules!$A$2:$A$60=I$1)*Rules!$C$2:$C$60*ISNUMBER(SEARCH(Rules!$D$2:$D$60,$D685)))</f>
        <v>0</v>
      </c>
      <c r="J685" s="0" t="n">
        <f aca="false">SUMPRODUCT((Rules!$A$2:$A$60=J$1)*Rules!$C$2:$C$60*ISNUMBER(SEARCH(Rules!$D$2:$D$60,$D685)))</f>
        <v>0</v>
      </c>
      <c r="K685" s="0" t="str">
        <f aca="false">IF(OR(MAX(E685:J685)&lt;Rules!$H$1,MAX(E685:J685)-LARGE(E685:J685,2)&lt;Rules!$H$2),"No label",INDEX($E$1:$J$1,MATCH(MAX(E685:J685),E685:J685,0)))</f>
        <v>Account Access</v>
      </c>
      <c r="L685" s="0" t="n">
        <f aca="false">SUMPRODUCT((Rules!$A$2:$A$60=L$1)*Rules!$C$2:$C$60*ISNUMBER(SEARCH(Rules!$E$2:$E$60,$D685)))</f>
        <v>0</v>
      </c>
      <c r="M685" s="0" t="n">
        <f aca="false">SUMPRODUCT((Rules!$A$2:$A$60=M$1)*Rules!$C$2:$C$60*ISNUMBER(SEARCH(Rules!$E$2:$E$60,$D685)))</f>
        <v>0</v>
      </c>
      <c r="N685" s="0" t="n">
        <f aca="false">SUMPRODUCT((Rules!$A$2:$A$60=N$1)*Rules!$C$2:$C$60*ISNUMBER(SEARCH(Rules!$E$2:$E$60,$D685)))</f>
        <v>3</v>
      </c>
      <c r="O685" s="0" t="n">
        <f aca="false">SUMPRODUCT((Rules!$A$2:$A$60=O$1)*Rules!$C$2:$C$60*ISNUMBER(SEARCH(Rules!$E$2:$E$60,$D685)))</f>
        <v>4</v>
      </c>
      <c r="P685" s="0" t="n">
        <f aca="false">SUMPRODUCT((Rules!$A$2:$A$60=P$1)*Rules!$C$2:$C$60*ISNUMBER(SEARCH(Rules!$E$2:$E$60,$D685)))</f>
        <v>0</v>
      </c>
      <c r="Q685" s="0" t="n">
        <f aca="false">SUMPRODUCT((Rules!$A$2:$A$60=Q$1)*Rules!$C$2:$C$60*ISNUMBER(SEARCH(Rules!$E$2:$E$60,$D685)))</f>
        <v>0</v>
      </c>
      <c r="R685" s="0" t="str">
        <f aca="false">IF(OR(MAX(L685:Q685)&lt;Rules!$H$1,MAX(L685:Q685)-LARGE(L685:Q685,2)&lt;Rules!$H$2),"No label",INDEX($L$1:$Q$1,MATCH(MAX(L685:Q685),L685:Q685,0)))</f>
        <v>No label</v>
      </c>
      <c r="S685" s="0" t="n">
        <f aca="false">SUMPRODUCT(ISNUMBER(SEARCH(" "&amp;Terms!$A$3:$A$821&amp;" ",$D685))*Terms!B$3:B$821)+Terms!B$2</f>
        <v>-0.741318636334168</v>
      </c>
      <c r="T685" s="0" t="n">
        <f aca="false">SUMPRODUCT(ISNUMBER(SEARCH(" "&amp;Terms!$A$3:$A$821&amp;" ",$D685))*Terms!C$3:C$821)+Terms!C$2</f>
        <v>-0.50875066173213</v>
      </c>
      <c r="U685" s="0" t="n">
        <f aca="false">SUMPRODUCT(ISNUMBER(SEARCH(" "&amp;Terms!$A$3:$A$821&amp;" ",$D685))*Terms!D$3:D$821)+Terms!D$2</f>
        <v>-1.39329445683051</v>
      </c>
      <c r="V685" s="0" t="n">
        <f aca="false">SUMPRODUCT(ISNUMBER(SEARCH(" "&amp;Terms!$A$3:$A$821&amp;" ",$D685))*Terms!E$3:E$821)+Terms!E$2</f>
        <v>10.9963267193961</v>
      </c>
      <c r="W685" s="0" t="n">
        <f aca="false">SUMPRODUCT(ISNUMBER(SEARCH(" "&amp;Terms!$A$3:$A$821&amp;" ",$D685))*Terms!F$3:F$821)+Terms!F$2</f>
        <v>-4.56946578817781</v>
      </c>
      <c r="X685" s="0" t="n">
        <f aca="false">SUMPRODUCT(ISNUMBER(SEARCH(" "&amp;Terms!$A$3:$A$821&amp;" ",$D685))*Terms!G$3:G$821)+Terms!G$2</f>
        <v>-3.78349717632139</v>
      </c>
      <c r="Y685" s="0" t="str">
        <f aca="false">INDEX($S$1:$X$1,MATCH(MAX(S685:X685),S685:X685,0))</f>
        <v>Fees &amp; Charges</v>
      </c>
      <c r="Z685" s="0" t="s">
        <v>2607</v>
      </c>
    </row>
    <row r="686" customFormat="false" ht="15" hidden="false" customHeight="false" outlineLevel="0" collapsed="false">
      <c r="A686" s="0" t="str">
        <f aca="false">Complaints!A686</f>
        <v>C0685</v>
      </c>
      <c r="B686" s="0" t="str">
        <f aca="false">Complaints!B686</f>
        <v>I reported the unauthorised payment but you refused to reimburse me. I want this put right.</v>
      </c>
      <c r="C686" s="0" t="str">
        <f aca="false">Complaints!C686</f>
        <v>Fraud &amp; Scams</v>
      </c>
      <c r="D686" s="0" t="str">
        <f aca="false">" "&amp;TRIM(SUBSTITUTE(SUBSTITUTE(SUBSTITUTE(SUBSTITUTE(SUBSTITUTE(SUBSTITUTE(SUBSTITUTE(SUBSTITUTE(SUBSTITUTE(SUBSTITUTE(SUBSTITUTE(SUBSTITUTE(SUBSTITUTE(SUBSTITUTE(SUBSTITUTE(SUBSTITUTE(LOWER(B686),"."," "),","," "),"'"," "),"’"," "),"!"," "),"?"," "),";"," "),":"," "),"-"," "),"("," "),")"," "),"""", " "),"£"," "),"&amp;"," "),"/"," "),"%"," "))&amp;" "</f>
        <v> i reported the unauthorised payment but you refused to reimburse me i want this put right </v>
      </c>
      <c r="E686" s="0" t="n">
        <f aca="false">SUMPRODUCT((Rules!$A$2:$A$60=E$1)*Rules!$C$2:$C$60*ISNUMBER(SEARCH(Rules!$D$2:$D$60,$D686)))</f>
        <v>3</v>
      </c>
      <c r="F686" s="0" t="n">
        <f aca="false">SUMPRODUCT((Rules!$A$2:$A$60=F$1)*Rules!$C$2:$C$60*ISNUMBER(SEARCH(Rules!$D$2:$D$60,$D686)))</f>
        <v>0</v>
      </c>
      <c r="G686" s="0" t="n">
        <f aca="false">SUMPRODUCT((Rules!$A$2:$A$60=G$1)*Rules!$C$2:$C$60*ISNUMBER(SEARCH(Rules!$D$2:$D$60,$D686)))</f>
        <v>0</v>
      </c>
      <c r="H686" s="0" t="n">
        <f aca="false">SUMPRODUCT((Rules!$A$2:$A$60=H$1)*Rules!$C$2:$C$60*ISNUMBER(SEARCH(Rules!$D$2:$D$60,$D686)))</f>
        <v>0</v>
      </c>
      <c r="I686" s="0" t="n">
        <f aca="false">SUMPRODUCT((Rules!$A$2:$A$60=I$1)*Rules!$C$2:$C$60*ISNUMBER(SEARCH(Rules!$D$2:$D$60,$D686)))</f>
        <v>0</v>
      </c>
      <c r="J686" s="0" t="n">
        <f aca="false">SUMPRODUCT((Rules!$A$2:$A$60=J$1)*Rules!$C$2:$C$60*ISNUMBER(SEARCH(Rules!$D$2:$D$60,$D686)))</f>
        <v>0</v>
      </c>
      <c r="K686" s="0" t="str">
        <f aca="false">IF(OR(MAX(E686:J686)&lt;Rules!$H$1,MAX(E686:J686)-LARGE(E686:J686,2)&lt;Rules!$H$2),"No label",INDEX($E$1:$J$1,MATCH(MAX(E686:J686),E686:J686,0)))</f>
        <v>Fraud &amp; Scams</v>
      </c>
      <c r="L686" s="0" t="n">
        <f aca="false">SUMPRODUCT((Rules!$A$2:$A$60=L$1)*Rules!$C$2:$C$60*ISNUMBER(SEARCH(Rules!$E$2:$E$60,$D686)))</f>
        <v>3</v>
      </c>
      <c r="M686" s="0" t="n">
        <f aca="false">SUMPRODUCT((Rules!$A$2:$A$60=M$1)*Rules!$C$2:$C$60*ISNUMBER(SEARCH(Rules!$E$2:$E$60,$D686)))</f>
        <v>0</v>
      </c>
      <c r="N686" s="0" t="n">
        <f aca="false">SUMPRODUCT((Rules!$A$2:$A$60=N$1)*Rules!$C$2:$C$60*ISNUMBER(SEARCH(Rules!$E$2:$E$60,$D686)))</f>
        <v>0</v>
      </c>
      <c r="O686" s="0" t="n">
        <f aca="false">SUMPRODUCT((Rules!$A$2:$A$60=O$1)*Rules!$C$2:$C$60*ISNUMBER(SEARCH(Rules!$E$2:$E$60,$D686)))</f>
        <v>0</v>
      </c>
      <c r="P686" s="0" t="n">
        <f aca="false">SUMPRODUCT((Rules!$A$2:$A$60=P$1)*Rules!$C$2:$C$60*ISNUMBER(SEARCH(Rules!$E$2:$E$60,$D686)))</f>
        <v>0</v>
      </c>
      <c r="Q686" s="0" t="n">
        <f aca="false">SUMPRODUCT((Rules!$A$2:$A$60=Q$1)*Rules!$C$2:$C$60*ISNUMBER(SEARCH(Rules!$E$2:$E$60,$D686)))</f>
        <v>0</v>
      </c>
      <c r="R686" s="0" t="str">
        <f aca="false">IF(OR(MAX(L686:Q686)&lt;Rules!$H$1,MAX(L686:Q686)-LARGE(L686:Q686,2)&lt;Rules!$H$2),"No label",INDEX($L$1:$Q$1,MATCH(MAX(L686:Q686),L686:Q686,0)))</f>
        <v>Fraud &amp; Scams</v>
      </c>
      <c r="S686" s="0" t="n">
        <f aca="false">SUMPRODUCT(ISNUMBER(SEARCH(" "&amp;Terms!$A$3:$A$821&amp;" ",$D686))*Terms!B$3:B$821)+Terms!B$2</f>
        <v>-1.23204852388913</v>
      </c>
      <c r="T686" s="0" t="n">
        <f aca="false">SUMPRODUCT(ISNUMBER(SEARCH(" "&amp;Terms!$A$3:$A$821&amp;" ",$D686))*Terms!C$3:C$821)+Terms!C$2</f>
        <v>-5.76767581802574</v>
      </c>
      <c r="U686" s="0" t="n">
        <f aca="false">SUMPRODUCT(ISNUMBER(SEARCH(" "&amp;Terms!$A$3:$A$821&amp;" ",$D686))*Terms!D$3:D$821)+Terms!D$2</f>
        <v>-1.32850210569502</v>
      </c>
      <c r="V686" s="0" t="n">
        <f aca="false">SUMPRODUCT(ISNUMBER(SEARCH(" "&amp;Terms!$A$3:$A$821&amp;" ",$D686))*Terms!E$3:E$821)+Terms!E$2</f>
        <v>-0.550483416918092</v>
      </c>
      <c r="W686" s="0" t="n">
        <f aca="false">SUMPRODUCT(ISNUMBER(SEARCH(" "&amp;Terms!$A$3:$A$821&amp;" ",$D686))*Terms!F$3:F$821)+Terms!F$2</f>
        <v>11.2940342664914</v>
      </c>
      <c r="X686" s="0" t="n">
        <f aca="false">SUMPRODUCT(ISNUMBER(SEARCH(" "&amp;Terms!$A$3:$A$821&amp;" ",$D686))*Terms!G$3:G$821)+Terms!G$2</f>
        <v>-2.41532440196333</v>
      </c>
      <c r="Y686" s="0" t="str">
        <f aca="false">INDEX($S$1:$X$1,MATCH(MAX(S686:X686),S686:X686,0))</f>
        <v>Fraud &amp; Scams</v>
      </c>
      <c r="Z686" s="0" t="s">
        <v>2607</v>
      </c>
    </row>
    <row r="687" customFormat="false" ht="15" hidden="false" customHeight="false" outlineLevel="0" collapsed="false">
      <c r="A687" s="0" t="str">
        <f aca="false">Complaints!A687</f>
        <v>C0686</v>
      </c>
      <c r="B687" s="0" t="str">
        <f aca="false">Complaints!B687</f>
        <v>Hello, The direct debit setup was delayed and I missed a bill because of it. This is not acceptable.</v>
      </c>
      <c r="C687" s="0" t="str">
        <f aca="false">Complaints!C687</f>
        <v>Delays &amp; Processing</v>
      </c>
      <c r="D687" s="0" t="str">
        <f aca="false">" "&amp;TRIM(SUBSTITUTE(SUBSTITUTE(SUBSTITUTE(SUBSTITUTE(SUBSTITUTE(SUBSTITUTE(SUBSTITUTE(SUBSTITUTE(SUBSTITUTE(SUBSTITUTE(SUBSTITUTE(SUBSTITUTE(SUBSTITUTE(SUBSTITUTE(SUBSTITUTE(SUBSTITUTE(LOWER(B687),"."," "),","," "),"'"," "),"’"," "),"!"," "),"?"," "),";"," "),":"," "),"-"," "),"("," "),")"," "),"""", " "),"£"," "),"&amp;"," "),"/"," "),"%"," "))&amp;" "</f>
        <v> hello the direct debit setup was delayed and i missed a bill because of it this is not acceptable </v>
      </c>
      <c r="E687" s="0" t="n">
        <f aca="false">SUMPRODUCT((Rules!$A$2:$A$60=E$1)*Rules!$C$2:$C$60*ISNUMBER(SEARCH(Rules!$D$2:$D$60,$D687)))</f>
        <v>0</v>
      </c>
      <c r="F687" s="0" t="n">
        <f aca="false">SUMPRODUCT((Rules!$A$2:$A$60=F$1)*Rules!$C$2:$C$60*ISNUMBER(SEARCH(Rules!$D$2:$D$60,$D687)))</f>
        <v>0</v>
      </c>
      <c r="G687" s="0" t="n">
        <f aca="false">SUMPRODUCT((Rules!$A$2:$A$60=G$1)*Rules!$C$2:$C$60*ISNUMBER(SEARCH(Rules!$D$2:$D$60,$D687)))</f>
        <v>0</v>
      </c>
      <c r="H687" s="0" t="n">
        <f aca="false">SUMPRODUCT((Rules!$A$2:$A$60=H$1)*Rules!$C$2:$C$60*ISNUMBER(SEARCH(Rules!$D$2:$D$60,$D687)))</f>
        <v>0</v>
      </c>
      <c r="I687" s="0" t="n">
        <f aca="false">SUMPRODUCT((Rules!$A$2:$A$60=I$1)*Rules!$C$2:$C$60*ISNUMBER(SEARCH(Rules!$D$2:$D$60,$D687)))</f>
        <v>2</v>
      </c>
      <c r="J687" s="0" t="n">
        <f aca="false">SUMPRODUCT((Rules!$A$2:$A$60=J$1)*Rules!$C$2:$C$60*ISNUMBER(SEARCH(Rules!$D$2:$D$60,$D687)))</f>
        <v>0</v>
      </c>
      <c r="K687" s="0" t="str">
        <f aca="false">IF(OR(MAX(E687:J687)&lt;Rules!$H$1,MAX(E687:J687)-LARGE(E687:J687,2)&lt;Rules!$H$2),"No label",INDEX($E$1:$J$1,MATCH(MAX(E687:J687),E687:J687,0)))</f>
        <v>No label</v>
      </c>
      <c r="L687" s="0" t="n">
        <f aca="false">SUMPRODUCT((Rules!$A$2:$A$60=L$1)*Rules!$C$2:$C$60*ISNUMBER(SEARCH(Rules!$E$2:$E$60,$D687)))</f>
        <v>0</v>
      </c>
      <c r="M687" s="0" t="n">
        <f aca="false">SUMPRODUCT((Rules!$A$2:$A$60=M$1)*Rules!$C$2:$C$60*ISNUMBER(SEARCH(Rules!$E$2:$E$60,$D687)))</f>
        <v>0</v>
      </c>
      <c r="N687" s="0" t="n">
        <f aca="false">SUMPRODUCT((Rules!$A$2:$A$60=N$1)*Rules!$C$2:$C$60*ISNUMBER(SEARCH(Rules!$E$2:$E$60,$D687)))</f>
        <v>1</v>
      </c>
      <c r="O687" s="0" t="n">
        <f aca="false">SUMPRODUCT((Rules!$A$2:$A$60=O$1)*Rules!$C$2:$C$60*ISNUMBER(SEARCH(Rules!$E$2:$E$60,$D687)))</f>
        <v>2</v>
      </c>
      <c r="P687" s="0" t="n">
        <f aca="false">SUMPRODUCT((Rules!$A$2:$A$60=P$1)*Rules!$C$2:$C$60*ISNUMBER(SEARCH(Rules!$E$2:$E$60,$D687)))</f>
        <v>2</v>
      </c>
      <c r="Q687" s="0" t="n">
        <f aca="false">SUMPRODUCT((Rules!$A$2:$A$60=Q$1)*Rules!$C$2:$C$60*ISNUMBER(SEARCH(Rules!$E$2:$E$60,$D687)))</f>
        <v>0</v>
      </c>
      <c r="R687" s="0" t="str">
        <f aca="false">IF(OR(MAX(L687:Q687)&lt;Rules!$H$1,MAX(L687:Q687)-LARGE(L687:Q687,2)&lt;Rules!$H$2),"No label",INDEX($L$1:$Q$1,MATCH(MAX(L687:Q687),L687:Q687,0)))</f>
        <v>No label</v>
      </c>
      <c r="S687" s="0" t="n">
        <f aca="false">SUMPRODUCT(ISNUMBER(SEARCH(" "&amp;Terms!$A$3:$A$821&amp;" ",$D687))*Terms!B$3:B$821)+Terms!B$2</f>
        <v>-1.88916649524539</v>
      </c>
      <c r="T687" s="0" t="n">
        <f aca="false">SUMPRODUCT(ISNUMBER(SEARCH(" "&amp;Terms!$A$3:$A$821&amp;" ",$D687))*Terms!C$3:C$821)+Terms!C$2</f>
        <v>-3.10019978566076</v>
      </c>
      <c r="U687" s="0" t="n">
        <f aca="false">SUMPRODUCT(ISNUMBER(SEARCH(" "&amp;Terms!$A$3:$A$821&amp;" ",$D687))*Terms!D$3:D$821)+Terms!D$2</f>
        <v>10.524580167985</v>
      </c>
      <c r="V687" s="0" t="n">
        <f aca="false">SUMPRODUCT(ISNUMBER(SEARCH(" "&amp;Terms!$A$3:$A$821&amp;" ",$D687))*Terms!E$3:E$821)+Terms!E$2</f>
        <v>-3.58461934124967</v>
      </c>
      <c r="W687" s="0" t="n">
        <f aca="false">SUMPRODUCT(ISNUMBER(SEARCH(" "&amp;Terms!$A$3:$A$821&amp;" ",$D687))*Terms!F$3:F$821)+Terms!F$2</f>
        <v>-0.145684902007116</v>
      </c>
      <c r="X687" s="0" t="n">
        <f aca="false">SUMPRODUCT(ISNUMBER(SEARCH(" "&amp;Terms!$A$3:$A$821&amp;" ",$D687))*Terms!G$3:G$821)+Terms!G$2</f>
        <v>-1.80490964382194</v>
      </c>
      <c r="Y687" s="0" t="str">
        <f aca="false">INDEX($S$1:$X$1,MATCH(MAX(S687:X687),S687:X687,0))</f>
        <v>Delays &amp; Processing</v>
      </c>
      <c r="Z687" s="0" t="s">
        <v>2607</v>
      </c>
    </row>
    <row r="688" customFormat="false" ht="15" hidden="false" customHeight="false" outlineLevel="0" collapsed="false">
      <c r="A688" s="0" t="str">
        <f aca="false">Complaints!A688</f>
        <v>C0687</v>
      </c>
      <c r="B688" s="0" t="str">
        <f aca="false">Complaints!B688</f>
        <v>My online banking is locked and the reset link never arrves. Also, the complaints handler was unhelpful and talked over me. Please sort this out.</v>
      </c>
      <c r="C688" s="0" t="str">
        <f aca="false">Complaints!C688</f>
        <v>Account Access</v>
      </c>
      <c r="D688" s="0" t="str">
        <f aca="false">" "&amp;TRIM(SUBSTITUTE(SUBSTITUTE(SUBSTITUTE(SUBSTITUTE(SUBSTITUTE(SUBSTITUTE(SUBSTITUTE(SUBSTITUTE(SUBSTITUTE(SUBSTITUTE(SUBSTITUTE(SUBSTITUTE(SUBSTITUTE(SUBSTITUTE(SUBSTITUTE(SUBSTITUTE(LOWER(B688),"."," "),","," "),"'"," "),"’"," "),"!"," "),"?"," "),";"," "),":"," "),"-"," "),"("," "),")"," "),"""", " "),"£"," "),"&amp;"," "),"/"," "),"%"," "))&amp;" "</f>
        <v> my online banking is locked and the reset link never arrves also the complaints handler was unhelpful and talked over me please sort this out </v>
      </c>
      <c r="E688" s="0" t="n">
        <f aca="false">SUMPRODUCT((Rules!$A$2:$A$60=E$1)*Rules!$C$2:$C$60*ISNUMBER(SEARCH(Rules!$D$2:$D$60,$D688)))</f>
        <v>0</v>
      </c>
      <c r="F688" s="0" t="n">
        <f aca="false">SUMPRODUCT((Rules!$A$2:$A$60=F$1)*Rules!$C$2:$C$60*ISNUMBER(SEARCH(Rules!$D$2:$D$60,$D688)))</f>
        <v>0</v>
      </c>
      <c r="G688" s="0" t="n">
        <f aca="false">SUMPRODUCT((Rules!$A$2:$A$60=G$1)*Rules!$C$2:$C$60*ISNUMBER(SEARCH(Rules!$D$2:$D$60,$D688)))</f>
        <v>5</v>
      </c>
      <c r="H688" s="0" t="n">
        <f aca="false">SUMPRODUCT((Rules!$A$2:$A$60=H$1)*Rules!$C$2:$C$60*ISNUMBER(SEARCH(Rules!$D$2:$D$60,$D688)))</f>
        <v>0</v>
      </c>
      <c r="I688" s="0" t="n">
        <f aca="false">SUMPRODUCT((Rules!$A$2:$A$60=I$1)*Rules!$C$2:$C$60*ISNUMBER(SEARCH(Rules!$D$2:$D$60,$D688)))</f>
        <v>0</v>
      </c>
      <c r="J688" s="0" t="n">
        <f aca="false">SUMPRODUCT((Rules!$A$2:$A$60=J$1)*Rules!$C$2:$C$60*ISNUMBER(SEARCH(Rules!$D$2:$D$60,$D688)))</f>
        <v>2</v>
      </c>
      <c r="K688" s="0" t="str">
        <f aca="false">IF(OR(MAX(E688:J688)&lt;Rules!$H$1,MAX(E688:J688)-LARGE(E688:J688,2)&lt;Rules!$H$2),"No label",INDEX($E$1:$J$1,MATCH(MAX(E688:J688),E688:J688,0)))</f>
        <v>Account Access</v>
      </c>
      <c r="L688" s="0" t="n">
        <f aca="false">SUMPRODUCT((Rules!$A$2:$A$60=L$1)*Rules!$C$2:$C$60*ISNUMBER(SEARCH(Rules!$E$2:$E$60,$D688)))</f>
        <v>0</v>
      </c>
      <c r="M688" s="0" t="n">
        <f aca="false">SUMPRODUCT((Rules!$A$2:$A$60=M$1)*Rules!$C$2:$C$60*ISNUMBER(SEARCH(Rules!$E$2:$E$60,$D688)))</f>
        <v>0</v>
      </c>
      <c r="N688" s="0" t="n">
        <f aca="false">SUMPRODUCT((Rules!$A$2:$A$60=N$1)*Rules!$C$2:$C$60*ISNUMBER(SEARCH(Rules!$E$2:$E$60,$D688)))</f>
        <v>5</v>
      </c>
      <c r="O688" s="0" t="n">
        <f aca="false">SUMPRODUCT((Rules!$A$2:$A$60=O$1)*Rules!$C$2:$C$60*ISNUMBER(SEARCH(Rules!$E$2:$E$60,$D688)))</f>
        <v>0</v>
      </c>
      <c r="P688" s="0" t="n">
        <f aca="false">SUMPRODUCT((Rules!$A$2:$A$60=P$1)*Rules!$C$2:$C$60*ISNUMBER(SEARCH(Rules!$E$2:$E$60,$D688)))</f>
        <v>0</v>
      </c>
      <c r="Q688" s="0" t="n">
        <f aca="false">SUMPRODUCT((Rules!$A$2:$A$60=Q$1)*Rules!$C$2:$C$60*ISNUMBER(SEARCH(Rules!$E$2:$E$60,$D688)))</f>
        <v>2</v>
      </c>
      <c r="R688" s="0" t="str">
        <f aca="false">IF(OR(MAX(L688:Q688)&lt;Rules!$H$1,MAX(L688:Q688)-LARGE(L688:Q688,2)&lt;Rules!$H$2),"No label",INDEX($L$1:$Q$1,MATCH(MAX(L688:Q688),L688:Q688,0)))</f>
        <v>Account Access</v>
      </c>
      <c r="S688" s="0" t="n">
        <f aca="false">SUMPRODUCT(ISNUMBER(SEARCH(" "&amp;Terms!$A$3:$A$821&amp;" ",$D688))*Terms!B$3:B$821)+Terms!B$2</f>
        <v>6.70222539776179</v>
      </c>
      <c r="T688" s="0" t="n">
        <f aca="false">SUMPRODUCT(ISNUMBER(SEARCH(" "&amp;Terms!$A$3:$A$821&amp;" ",$D688))*Terms!C$3:C$821)+Terms!C$2</f>
        <v>3.75045180651728</v>
      </c>
      <c r="U688" s="0" t="n">
        <f aca="false">SUMPRODUCT(ISNUMBER(SEARCH(" "&amp;Terms!$A$3:$A$821&amp;" ",$D688))*Terms!D$3:D$821)+Terms!D$2</f>
        <v>-5.60315552166424</v>
      </c>
      <c r="V688" s="0" t="n">
        <f aca="false">SUMPRODUCT(ISNUMBER(SEARCH(" "&amp;Terms!$A$3:$A$821&amp;" ",$D688))*Terms!E$3:E$821)+Terms!E$2</f>
        <v>0.381226471601527</v>
      </c>
      <c r="W688" s="0" t="n">
        <f aca="false">SUMPRODUCT(ISNUMBER(SEARCH(" "&amp;Terms!$A$3:$A$821&amp;" ",$D688))*Terms!F$3:F$821)+Terms!F$2</f>
        <v>-4.47758299767465</v>
      </c>
      <c r="X688" s="0" t="n">
        <f aca="false">SUMPRODUCT(ISNUMBER(SEARCH(" "&amp;Terms!$A$3:$A$821&amp;" ",$D688))*Terms!G$3:G$821)+Terms!G$2</f>
        <v>-0.753165156541621</v>
      </c>
      <c r="Y688" s="0" t="str">
        <f aca="false">INDEX($S$1:$X$1,MATCH(MAX(S688:X688),S688:X688,0))</f>
        <v>Account Access</v>
      </c>
      <c r="Z688" s="0" t="s">
        <v>2607</v>
      </c>
    </row>
    <row r="689" customFormat="false" ht="15" hidden="false" customHeight="false" outlineLevel="0" collapsed="false">
      <c r="A689" s="0" t="str">
        <f aca="false">Complaints!A689</f>
        <v>C0688</v>
      </c>
      <c r="B689" s="0" t="str">
        <f aca="false">Complaints!B689</f>
        <v>The branch manager would not listen to my concerns. I could not log in to check either.</v>
      </c>
      <c r="C689" s="0" t="str">
        <f aca="false">Complaints!C689</f>
        <v>Customer Service</v>
      </c>
      <c r="D689" s="0" t="str">
        <f aca="false">" "&amp;TRIM(SUBSTITUTE(SUBSTITUTE(SUBSTITUTE(SUBSTITUTE(SUBSTITUTE(SUBSTITUTE(SUBSTITUTE(SUBSTITUTE(SUBSTITUTE(SUBSTITUTE(SUBSTITUTE(SUBSTITUTE(SUBSTITUTE(SUBSTITUTE(SUBSTITUTE(SUBSTITUTE(LOWER(B689),"."," "),","," "),"'"," "),"’"," "),"!"," "),"?"," "),";"," "),":"," "),"-"," "),"("," "),")"," "),"""", " "),"£"," "),"&amp;"," "),"/"," "),"%"," "))&amp;" "</f>
        <v> the branch manager would not listen to my concerns i could not log in to check either </v>
      </c>
      <c r="E689" s="0" t="n">
        <f aca="false">SUMPRODUCT((Rules!$A$2:$A$60=E$1)*Rules!$C$2:$C$60*ISNUMBER(SEARCH(Rules!$D$2:$D$60,$D689)))</f>
        <v>0</v>
      </c>
      <c r="F689" s="0" t="n">
        <f aca="false">SUMPRODUCT((Rules!$A$2:$A$60=F$1)*Rules!$C$2:$C$60*ISNUMBER(SEARCH(Rules!$D$2:$D$60,$D689)))</f>
        <v>0</v>
      </c>
      <c r="G689" s="0" t="n">
        <f aca="false">SUMPRODUCT((Rules!$A$2:$A$60=G$1)*Rules!$C$2:$C$60*ISNUMBER(SEARCH(Rules!$D$2:$D$60,$D689)))</f>
        <v>3</v>
      </c>
      <c r="H689" s="0" t="n">
        <f aca="false">SUMPRODUCT((Rules!$A$2:$A$60=H$1)*Rules!$C$2:$C$60*ISNUMBER(SEARCH(Rules!$D$2:$D$60,$D689)))</f>
        <v>0</v>
      </c>
      <c r="I689" s="0" t="n">
        <f aca="false">SUMPRODUCT((Rules!$A$2:$A$60=I$1)*Rules!$C$2:$C$60*ISNUMBER(SEARCH(Rules!$D$2:$D$60,$D689)))</f>
        <v>0</v>
      </c>
      <c r="J689" s="0" t="n">
        <f aca="false">SUMPRODUCT((Rules!$A$2:$A$60=J$1)*Rules!$C$2:$C$60*ISNUMBER(SEARCH(Rules!$D$2:$D$60,$D689)))</f>
        <v>0</v>
      </c>
      <c r="K689" s="0" t="str">
        <f aca="false">IF(OR(MAX(E689:J689)&lt;Rules!$H$1,MAX(E689:J689)-LARGE(E689:J689,2)&lt;Rules!$H$2),"No label",INDEX($E$1:$J$1,MATCH(MAX(E689:J689),E689:J689,0)))</f>
        <v>Account Access</v>
      </c>
      <c r="L689" s="0" t="n">
        <f aca="false">SUMPRODUCT((Rules!$A$2:$A$60=L$1)*Rules!$C$2:$C$60*ISNUMBER(SEARCH(Rules!$E$2:$E$60,$D689)))</f>
        <v>0</v>
      </c>
      <c r="M689" s="0" t="n">
        <f aca="false">SUMPRODUCT((Rules!$A$2:$A$60=M$1)*Rules!$C$2:$C$60*ISNUMBER(SEARCH(Rules!$E$2:$E$60,$D689)))</f>
        <v>0</v>
      </c>
      <c r="N689" s="0" t="n">
        <f aca="false">SUMPRODUCT((Rules!$A$2:$A$60=N$1)*Rules!$C$2:$C$60*ISNUMBER(SEARCH(Rules!$E$2:$E$60,$D689)))</f>
        <v>3</v>
      </c>
      <c r="O689" s="0" t="n">
        <f aca="false">SUMPRODUCT((Rules!$A$2:$A$60=O$1)*Rules!$C$2:$C$60*ISNUMBER(SEARCH(Rules!$E$2:$E$60,$D689)))</f>
        <v>0</v>
      </c>
      <c r="P689" s="0" t="n">
        <f aca="false">SUMPRODUCT((Rules!$A$2:$A$60=P$1)*Rules!$C$2:$C$60*ISNUMBER(SEARCH(Rules!$E$2:$E$60,$D689)))</f>
        <v>0</v>
      </c>
      <c r="Q689" s="0" t="n">
        <f aca="false">SUMPRODUCT((Rules!$A$2:$A$60=Q$1)*Rules!$C$2:$C$60*ISNUMBER(SEARCH(Rules!$E$2:$E$60,$D689)))</f>
        <v>0</v>
      </c>
      <c r="R689" s="0" t="str">
        <f aca="false">IF(OR(MAX(L689:Q689)&lt;Rules!$H$1,MAX(L689:Q689)-LARGE(L689:Q689,2)&lt;Rules!$H$2),"No label",INDEX($L$1:$Q$1,MATCH(MAX(L689:Q689),L689:Q689,0)))</f>
        <v>Account Access</v>
      </c>
      <c r="S689" s="0" t="n">
        <f aca="false">SUMPRODUCT(ISNUMBER(SEARCH(" "&amp;Terms!$A$3:$A$821&amp;" ",$D689))*Terms!B$3:B$821)+Terms!B$2</f>
        <v>-1.67372831826055</v>
      </c>
      <c r="T689" s="0" t="n">
        <f aca="false">SUMPRODUCT(ISNUMBER(SEARCH(" "&amp;Terms!$A$3:$A$821&amp;" ",$D689))*Terms!C$3:C$821)+Terms!C$2</f>
        <v>9.71457655204307</v>
      </c>
      <c r="U689" s="0" t="n">
        <f aca="false">SUMPRODUCT(ISNUMBER(SEARCH(" "&amp;Terms!$A$3:$A$821&amp;" ",$D689))*Terms!D$3:D$821)+Terms!D$2</f>
        <v>-2.346286841462</v>
      </c>
      <c r="V689" s="0" t="n">
        <f aca="false">SUMPRODUCT(ISNUMBER(SEARCH(" "&amp;Terms!$A$3:$A$821&amp;" ",$D689))*Terms!E$3:E$821)+Terms!E$2</f>
        <v>-0.527816748472857</v>
      </c>
      <c r="W689" s="0" t="n">
        <f aca="false">SUMPRODUCT(ISNUMBER(SEARCH(" "&amp;Terms!$A$3:$A$821&amp;" ",$D689))*Terms!F$3:F$821)+Terms!F$2</f>
        <v>-2.87107818600754</v>
      </c>
      <c r="X689" s="0" t="n">
        <f aca="false">SUMPRODUCT(ISNUMBER(SEARCH(" "&amp;Terms!$A$3:$A$821&amp;" ",$D689))*Terms!G$3:G$821)+Terms!G$2</f>
        <v>-2.29566645784002</v>
      </c>
      <c r="Y689" s="0" t="str">
        <f aca="false">INDEX($S$1:$X$1,MATCH(MAX(S689:X689),S689:X689,0))</f>
        <v>Customer Service</v>
      </c>
      <c r="Z689" s="0" t="s">
        <v>2607</v>
      </c>
    </row>
    <row r="690" customFormat="false" ht="15" hidden="false" customHeight="false" outlineLevel="0" collapsed="false">
      <c r="A690" s="0" t="str">
        <f aca="false">Complaints!A690</f>
        <v>C0689</v>
      </c>
      <c r="B690" s="0" t="str">
        <f aca="false">Complaints!B690</f>
        <v>Frankly, I was tricked into moving savings to a safe account that was not safe. I also spent ages on hold when I called about it.</v>
      </c>
      <c r="C690" s="0" t="str">
        <f aca="false">Complaints!C690</f>
        <v>Fraud &amp; Scams</v>
      </c>
      <c r="D690" s="0" t="str">
        <f aca="false">" "&amp;TRIM(SUBSTITUTE(SUBSTITUTE(SUBSTITUTE(SUBSTITUTE(SUBSTITUTE(SUBSTITUTE(SUBSTITUTE(SUBSTITUTE(SUBSTITUTE(SUBSTITUTE(SUBSTITUTE(SUBSTITUTE(SUBSTITUTE(SUBSTITUTE(SUBSTITUTE(SUBSTITUTE(LOWER(B690),"."," "),","," "),"'"," "),"’"," "),"!"," "),"?"," "),";"," "),":"," "),"-"," "),"("," "),")"," "),"""", " "),"£"," "),"&amp;"," "),"/"," "),"%"," "))&amp;" "</f>
        <v> frankly i was tricked into moving savings to a safe account that was not safe i also spent ages on hold when i called about it </v>
      </c>
      <c r="E690" s="0" t="n">
        <f aca="false">SUMPRODUCT((Rules!$A$2:$A$60=E$1)*Rules!$C$2:$C$60*ISNUMBER(SEARCH(Rules!$D$2:$D$60,$D690)))</f>
        <v>2</v>
      </c>
      <c r="F690" s="0" t="n">
        <f aca="false">SUMPRODUCT((Rules!$A$2:$A$60=F$1)*Rules!$C$2:$C$60*ISNUMBER(SEARCH(Rules!$D$2:$D$60,$D690)))</f>
        <v>0</v>
      </c>
      <c r="G690" s="0" t="n">
        <f aca="false">SUMPRODUCT((Rules!$A$2:$A$60=G$1)*Rules!$C$2:$C$60*ISNUMBER(SEARCH(Rules!$D$2:$D$60,$D690)))</f>
        <v>0</v>
      </c>
      <c r="H690" s="0" t="n">
        <f aca="false">SUMPRODUCT((Rules!$A$2:$A$60=H$1)*Rules!$C$2:$C$60*ISNUMBER(SEARCH(Rules!$D$2:$D$60,$D690)))</f>
        <v>0</v>
      </c>
      <c r="I690" s="0" t="n">
        <f aca="false">SUMPRODUCT((Rules!$A$2:$A$60=I$1)*Rules!$C$2:$C$60*ISNUMBER(SEARCH(Rules!$D$2:$D$60,$D690)))</f>
        <v>0</v>
      </c>
      <c r="J690" s="0" t="n">
        <f aca="false">SUMPRODUCT((Rules!$A$2:$A$60=J$1)*Rules!$C$2:$C$60*ISNUMBER(SEARCH(Rules!$D$2:$D$60,$D690)))</f>
        <v>3</v>
      </c>
      <c r="K690" s="0" t="str">
        <f aca="false">IF(OR(MAX(E690:J690)&lt;Rules!$H$1,MAX(E690:J690)-LARGE(E690:J690,2)&lt;Rules!$H$2),"No label",INDEX($E$1:$J$1,MATCH(MAX(E690:J690),E690:J690,0)))</f>
        <v>No label</v>
      </c>
      <c r="L690" s="0" t="n">
        <f aca="false">SUMPRODUCT((Rules!$A$2:$A$60=L$1)*Rules!$C$2:$C$60*ISNUMBER(SEARCH(Rules!$E$2:$E$60,$D690)))</f>
        <v>2</v>
      </c>
      <c r="M690" s="0" t="n">
        <f aca="false">SUMPRODUCT((Rules!$A$2:$A$60=M$1)*Rules!$C$2:$C$60*ISNUMBER(SEARCH(Rules!$E$2:$E$60,$D690)))</f>
        <v>0</v>
      </c>
      <c r="N690" s="0" t="n">
        <f aca="false">SUMPRODUCT((Rules!$A$2:$A$60=N$1)*Rules!$C$2:$C$60*ISNUMBER(SEARCH(Rules!$E$2:$E$60,$D690)))</f>
        <v>0</v>
      </c>
      <c r="O690" s="0" t="n">
        <f aca="false">SUMPRODUCT((Rules!$A$2:$A$60=O$1)*Rules!$C$2:$C$60*ISNUMBER(SEARCH(Rules!$E$2:$E$60,$D690)))</f>
        <v>0</v>
      </c>
      <c r="P690" s="0" t="n">
        <f aca="false">SUMPRODUCT((Rules!$A$2:$A$60=P$1)*Rules!$C$2:$C$60*ISNUMBER(SEARCH(Rules!$E$2:$E$60,$D690)))</f>
        <v>0</v>
      </c>
      <c r="Q690" s="0" t="n">
        <f aca="false">SUMPRODUCT((Rules!$A$2:$A$60=Q$1)*Rules!$C$2:$C$60*ISNUMBER(SEARCH(Rules!$E$2:$E$60,$D690)))</f>
        <v>3</v>
      </c>
      <c r="R690" s="0" t="str">
        <f aca="false">IF(OR(MAX(L690:Q690)&lt;Rules!$H$1,MAX(L690:Q690)-LARGE(L690:Q690,2)&lt;Rules!$H$2),"No label",INDEX($L$1:$Q$1,MATCH(MAX(L690:Q690),L690:Q690,0)))</f>
        <v>No label</v>
      </c>
      <c r="S690" s="0" t="n">
        <f aca="false">SUMPRODUCT(ISNUMBER(SEARCH(" "&amp;Terms!$A$3:$A$821&amp;" ",$D690))*Terms!B$3:B$821)+Terms!B$2</f>
        <v>-2.0896213278049</v>
      </c>
      <c r="T690" s="0" t="n">
        <f aca="false">SUMPRODUCT(ISNUMBER(SEARCH(" "&amp;Terms!$A$3:$A$821&amp;" ",$D690))*Terms!C$3:C$821)+Terms!C$2</f>
        <v>-4.17291232527065</v>
      </c>
      <c r="U690" s="0" t="n">
        <f aca="false">SUMPRODUCT(ISNUMBER(SEARCH(" "&amp;Terms!$A$3:$A$821&amp;" ",$D690))*Terms!D$3:D$821)+Terms!D$2</f>
        <v>1.41248006780276</v>
      </c>
      <c r="V690" s="0" t="n">
        <f aca="false">SUMPRODUCT(ISNUMBER(SEARCH(" "&amp;Terms!$A$3:$A$821&amp;" ",$D690))*Terms!E$3:E$821)+Terms!E$2</f>
        <v>-1.01094721147251</v>
      </c>
      <c r="W690" s="0" t="n">
        <f aca="false">SUMPRODUCT(ISNUMBER(SEARCH(" "&amp;Terms!$A$3:$A$821&amp;" ",$D690))*Terms!F$3:F$821)+Terms!F$2</f>
        <v>9.29811495849811</v>
      </c>
      <c r="X690" s="0" t="n">
        <f aca="false">SUMPRODUCT(ISNUMBER(SEARCH(" "&amp;Terms!$A$3:$A$821&amp;" ",$D690))*Terms!G$3:G$821)+Terms!G$2</f>
        <v>-3.43711416175272</v>
      </c>
      <c r="Y690" s="0" t="str">
        <f aca="false">INDEX($S$1:$X$1,MATCH(MAX(S690:X690),S690:X690,0))</f>
        <v>Fraud &amp; Scams</v>
      </c>
      <c r="Z690" s="0" t="s">
        <v>2607</v>
      </c>
    </row>
    <row r="691" customFormat="false" ht="15" hidden="false" customHeight="false" outlineLevel="0" collapsed="false">
      <c r="A691" s="0" t="str">
        <f aca="false">Complaints!A691</f>
        <v>C0690</v>
      </c>
      <c r="B691" s="0" t="str">
        <f aca="false">Complaints!B691</f>
        <v>There are transactions on my card I do not recognise. Also, there is an unexpected charge on my statement of £15. Please sort this out.</v>
      </c>
      <c r="C691" s="0" t="str">
        <f aca="false">Complaints!C691</f>
        <v>Fraud &amp; Scams</v>
      </c>
      <c r="D691" s="0" t="str">
        <f aca="false">" "&amp;TRIM(SUBSTITUTE(SUBSTITUTE(SUBSTITUTE(SUBSTITUTE(SUBSTITUTE(SUBSTITUTE(SUBSTITUTE(SUBSTITUTE(SUBSTITUTE(SUBSTITUTE(SUBSTITUTE(SUBSTITUTE(SUBSTITUTE(SUBSTITUTE(SUBSTITUTE(SUBSTITUTE(LOWER(B691),"."," "),","," "),"'"," "),"’"," "),"!"," "),"?"," "),";"," "),":"," "),"-"," "),"("," "),")"," "),"""", " "),"£"," "),"&amp;"," "),"/"," "),"%"," "))&amp;" "</f>
        <v> there are transactions on my card i do not recognise also there is an unexpected charge on my statement of 15 please sort this out </v>
      </c>
      <c r="E691" s="0" t="n">
        <f aca="false">SUMPRODUCT((Rules!$A$2:$A$60=E$1)*Rules!$C$2:$C$60*ISNUMBER(SEARCH(Rules!$D$2:$D$60,$D691)))</f>
        <v>2</v>
      </c>
      <c r="F691" s="0" t="n">
        <f aca="false">SUMPRODUCT((Rules!$A$2:$A$60=F$1)*Rules!$C$2:$C$60*ISNUMBER(SEARCH(Rules!$D$2:$D$60,$D691)))</f>
        <v>0</v>
      </c>
      <c r="G691" s="0" t="n">
        <f aca="false">SUMPRODUCT((Rules!$A$2:$A$60=G$1)*Rules!$C$2:$C$60*ISNUMBER(SEARCH(Rules!$D$2:$D$60,$D691)))</f>
        <v>0</v>
      </c>
      <c r="H691" s="0" t="n">
        <f aca="false">SUMPRODUCT((Rules!$A$2:$A$60=H$1)*Rules!$C$2:$C$60*ISNUMBER(SEARCH(Rules!$D$2:$D$60,$D691)))</f>
        <v>3</v>
      </c>
      <c r="I691" s="0" t="n">
        <f aca="false">SUMPRODUCT((Rules!$A$2:$A$60=I$1)*Rules!$C$2:$C$60*ISNUMBER(SEARCH(Rules!$D$2:$D$60,$D691)))</f>
        <v>0</v>
      </c>
      <c r="J691" s="0" t="n">
        <f aca="false">SUMPRODUCT((Rules!$A$2:$A$60=J$1)*Rules!$C$2:$C$60*ISNUMBER(SEARCH(Rules!$D$2:$D$60,$D691)))</f>
        <v>0</v>
      </c>
      <c r="K691" s="0" t="str">
        <f aca="false">IF(OR(MAX(E691:J691)&lt;Rules!$H$1,MAX(E691:J691)-LARGE(E691:J691,2)&lt;Rules!$H$2),"No label",INDEX($E$1:$J$1,MATCH(MAX(E691:J691),E691:J691,0)))</f>
        <v>No label</v>
      </c>
      <c r="L691" s="0" t="n">
        <f aca="false">SUMPRODUCT((Rules!$A$2:$A$60=L$1)*Rules!$C$2:$C$60*ISNUMBER(SEARCH(Rules!$E$2:$E$60,$D691)))</f>
        <v>2</v>
      </c>
      <c r="M691" s="0" t="n">
        <f aca="false">SUMPRODUCT((Rules!$A$2:$A$60=M$1)*Rules!$C$2:$C$60*ISNUMBER(SEARCH(Rules!$E$2:$E$60,$D691)))</f>
        <v>0</v>
      </c>
      <c r="N691" s="0" t="n">
        <f aca="false">SUMPRODUCT((Rules!$A$2:$A$60=N$1)*Rules!$C$2:$C$60*ISNUMBER(SEARCH(Rules!$E$2:$E$60,$D691)))</f>
        <v>0</v>
      </c>
      <c r="O691" s="0" t="n">
        <f aca="false">SUMPRODUCT((Rules!$A$2:$A$60=O$1)*Rules!$C$2:$C$60*ISNUMBER(SEARCH(Rules!$E$2:$E$60,$D691)))</f>
        <v>5</v>
      </c>
      <c r="P691" s="0" t="n">
        <f aca="false">SUMPRODUCT((Rules!$A$2:$A$60=P$1)*Rules!$C$2:$C$60*ISNUMBER(SEARCH(Rules!$E$2:$E$60,$D691)))</f>
        <v>0</v>
      </c>
      <c r="Q691" s="0" t="n">
        <f aca="false">SUMPRODUCT((Rules!$A$2:$A$60=Q$1)*Rules!$C$2:$C$60*ISNUMBER(SEARCH(Rules!$E$2:$E$60,$D691)))</f>
        <v>0</v>
      </c>
      <c r="R691" s="0" t="str">
        <f aca="false">IF(OR(MAX(L691:Q691)&lt;Rules!$H$1,MAX(L691:Q691)-LARGE(L691:Q691,2)&lt;Rules!$H$2),"No label",INDEX($L$1:$Q$1,MATCH(MAX(L691:Q691),L691:Q691,0)))</f>
        <v>Fees &amp; Charges</v>
      </c>
      <c r="S691" s="0" t="n">
        <f aca="false">SUMPRODUCT(ISNUMBER(SEARCH(" "&amp;Terms!$A$3:$A$821&amp;" ",$D691))*Terms!B$3:B$821)+Terms!B$2</f>
        <v>-4.77669609060674</v>
      </c>
      <c r="T691" s="0" t="n">
        <f aca="false">SUMPRODUCT(ISNUMBER(SEARCH(" "&amp;Terms!$A$3:$A$821&amp;" ",$D691))*Terms!C$3:C$821)+Terms!C$2</f>
        <v>-1.60418454374126</v>
      </c>
      <c r="U691" s="0" t="n">
        <f aca="false">SUMPRODUCT(ISNUMBER(SEARCH(" "&amp;Terms!$A$3:$A$821&amp;" ",$D691))*Terms!D$3:D$821)+Terms!D$2</f>
        <v>-3.82927016635988</v>
      </c>
      <c r="V691" s="0" t="n">
        <f aca="false">SUMPRODUCT(ISNUMBER(SEARCH(" "&amp;Terms!$A$3:$A$821&amp;" ",$D691))*Terms!E$3:E$821)+Terms!E$2</f>
        <v>8.58938257830743</v>
      </c>
      <c r="W691" s="0" t="n">
        <f aca="false">SUMPRODUCT(ISNUMBER(SEARCH(" "&amp;Terms!$A$3:$A$821&amp;" ",$D691))*Terms!F$3:F$821)+Terms!F$2</f>
        <v>5.91719651256503</v>
      </c>
      <c r="X691" s="0" t="n">
        <f aca="false">SUMPRODUCT(ISNUMBER(SEARCH(" "&amp;Terms!$A$3:$A$821&amp;" ",$D691))*Terms!G$3:G$821)+Terms!G$2</f>
        <v>-4.29642829016451</v>
      </c>
      <c r="Y691" s="0" t="str">
        <f aca="false">INDEX($S$1:$X$1,MATCH(MAX(S691:X691),S691:X691,0))</f>
        <v>Fees &amp; Charges</v>
      </c>
      <c r="Z691" s="0" t="s">
        <v>2607</v>
      </c>
    </row>
    <row r="692" customFormat="false" ht="15" hidden="false" customHeight="false" outlineLevel="0" collapsed="false">
      <c r="A692" s="0" t="str">
        <f aca="false">Complaints!A692</f>
        <v>C0691</v>
      </c>
      <c r="B692" s="0" t="str">
        <f aca="false">Complaints!B692</f>
        <v>My card was cloned and used abroad.</v>
      </c>
      <c r="C692" s="0" t="str">
        <f aca="false">Complaints!C692</f>
        <v>Fraud &amp; Scams</v>
      </c>
      <c r="D692" s="0" t="str">
        <f aca="false">" "&amp;TRIM(SUBSTITUTE(SUBSTITUTE(SUBSTITUTE(SUBSTITUTE(SUBSTITUTE(SUBSTITUTE(SUBSTITUTE(SUBSTITUTE(SUBSTITUTE(SUBSTITUTE(SUBSTITUTE(SUBSTITUTE(SUBSTITUTE(SUBSTITUTE(SUBSTITUTE(SUBSTITUTE(LOWER(B692),"."," "),","," "),"'"," "),"’"," "),"!"," "),"?"," "),";"," "),":"," "),"-"," "),"("," "),")"," "),"""", " "),"£"," "),"&amp;"," "),"/"," "),"%"," "))&amp;" "</f>
        <v> my card was cloned and used abroad </v>
      </c>
      <c r="E692" s="0" t="n">
        <f aca="false">SUMPRODUCT((Rules!$A$2:$A$60=E$1)*Rules!$C$2:$C$60*ISNUMBER(SEARCH(Rules!$D$2:$D$60,$D692)))</f>
        <v>3</v>
      </c>
      <c r="F692" s="0" t="n">
        <f aca="false">SUMPRODUCT((Rules!$A$2:$A$60=F$1)*Rules!$C$2:$C$60*ISNUMBER(SEARCH(Rules!$D$2:$D$60,$D692)))</f>
        <v>0</v>
      </c>
      <c r="G692" s="0" t="n">
        <f aca="false">SUMPRODUCT((Rules!$A$2:$A$60=G$1)*Rules!$C$2:$C$60*ISNUMBER(SEARCH(Rules!$D$2:$D$60,$D692)))</f>
        <v>0</v>
      </c>
      <c r="H692" s="0" t="n">
        <f aca="false">SUMPRODUCT((Rules!$A$2:$A$60=H$1)*Rules!$C$2:$C$60*ISNUMBER(SEARCH(Rules!$D$2:$D$60,$D692)))</f>
        <v>0</v>
      </c>
      <c r="I692" s="0" t="n">
        <f aca="false">SUMPRODUCT((Rules!$A$2:$A$60=I$1)*Rules!$C$2:$C$60*ISNUMBER(SEARCH(Rules!$D$2:$D$60,$D692)))</f>
        <v>0</v>
      </c>
      <c r="J692" s="0" t="n">
        <f aca="false">SUMPRODUCT((Rules!$A$2:$A$60=J$1)*Rules!$C$2:$C$60*ISNUMBER(SEARCH(Rules!$D$2:$D$60,$D692)))</f>
        <v>0</v>
      </c>
      <c r="K692" s="0" t="str">
        <f aca="false">IF(OR(MAX(E692:J692)&lt;Rules!$H$1,MAX(E692:J692)-LARGE(E692:J692,2)&lt;Rules!$H$2),"No label",INDEX($E$1:$J$1,MATCH(MAX(E692:J692),E692:J692,0)))</f>
        <v>Fraud &amp; Scams</v>
      </c>
      <c r="L692" s="0" t="n">
        <f aca="false">SUMPRODUCT((Rules!$A$2:$A$60=L$1)*Rules!$C$2:$C$60*ISNUMBER(SEARCH(Rules!$E$2:$E$60,$D692)))</f>
        <v>3</v>
      </c>
      <c r="M692" s="0" t="n">
        <f aca="false">SUMPRODUCT((Rules!$A$2:$A$60=M$1)*Rules!$C$2:$C$60*ISNUMBER(SEARCH(Rules!$E$2:$E$60,$D692)))</f>
        <v>0</v>
      </c>
      <c r="N692" s="0" t="n">
        <f aca="false">SUMPRODUCT((Rules!$A$2:$A$60=N$1)*Rules!$C$2:$C$60*ISNUMBER(SEARCH(Rules!$E$2:$E$60,$D692)))</f>
        <v>0</v>
      </c>
      <c r="O692" s="0" t="n">
        <f aca="false">SUMPRODUCT((Rules!$A$2:$A$60=O$1)*Rules!$C$2:$C$60*ISNUMBER(SEARCH(Rules!$E$2:$E$60,$D692)))</f>
        <v>0</v>
      </c>
      <c r="P692" s="0" t="n">
        <f aca="false">SUMPRODUCT((Rules!$A$2:$A$60=P$1)*Rules!$C$2:$C$60*ISNUMBER(SEARCH(Rules!$E$2:$E$60,$D692)))</f>
        <v>0</v>
      </c>
      <c r="Q692" s="0" t="n">
        <f aca="false">SUMPRODUCT((Rules!$A$2:$A$60=Q$1)*Rules!$C$2:$C$60*ISNUMBER(SEARCH(Rules!$E$2:$E$60,$D692)))</f>
        <v>0</v>
      </c>
      <c r="R692" s="0" t="str">
        <f aca="false">IF(OR(MAX(L692:Q692)&lt;Rules!$H$1,MAX(L692:Q692)-LARGE(L692:Q692,2)&lt;Rules!$H$2),"No label",INDEX($L$1:$Q$1,MATCH(MAX(L692:Q692),L692:Q692,0)))</f>
        <v>Fraud &amp; Scams</v>
      </c>
      <c r="S692" s="0" t="n">
        <f aca="false">SUMPRODUCT(ISNUMBER(SEARCH(" "&amp;Terms!$A$3:$A$821&amp;" ",$D692))*Terms!B$3:B$821)+Terms!B$2</f>
        <v>-0.348052905761296</v>
      </c>
      <c r="T692" s="0" t="n">
        <f aca="false">SUMPRODUCT(ISNUMBER(SEARCH(" "&amp;Terms!$A$3:$A$821&amp;" ",$D692))*Terms!C$3:C$821)+Terms!C$2</f>
        <v>-1.3416162588881</v>
      </c>
      <c r="U692" s="0" t="n">
        <f aca="false">SUMPRODUCT(ISNUMBER(SEARCH(" "&amp;Terms!$A$3:$A$821&amp;" ",$D692))*Terms!D$3:D$821)+Terms!D$2</f>
        <v>-3.82533342741706</v>
      </c>
      <c r="V692" s="0" t="n">
        <f aca="false">SUMPRODUCT(ISNUMBER(SEARCH(" "&amp;Terms!$A$3:$A$821&amp;" ",$D692))*Terms!E$3:E$821)+Terms!E$2</f>
        <v>-1.93355172021675</v>
      </c>
      <c r="W692" s="0" t="n">
        <f aca="false">SUMPRODUCT(ISNUMBER(SEARCH(" "&amp;Terms!$A$3:$A$821&amp;" ",$D692))*Terms!F$3:F$821)+Terms!F$2</f>
        <v>9.58018684413539</v>
      </c>
      <c r="X692" s="0" t="n">
        <f aca="false">SUMPRODUCT(ISNUMBER(SEARCH(" "&amp;Terms!$A$3:$A$821&amp;" ",$D692))*Terms!G$3:G$821)+Terms!G$2</f>
        <v>-2.13163253185208</v>
      </c>
      <c r="Y692" s="0" t="str">
        <f aca="false">INDEX($S$1:$X$1,MATCH(MAX(S692:X692),S692:X692,0))</f>
        <v>Fraud &amp; Scams</v>
      </c>
      <c r="Z692" s="0" t="s">
        <v>2607</v>
      </c>
    </row>
    <row r="693" customFormat="false" ht="15" hidden="false" customHeight="false" outlineLevel="0" collapsed="false">
      <c r="A693" s="0" t="str">
        <f aca="false">Complaints!A693</f>
        <v>C0692</v>
      </c>
      <c r="B693" s="0" t="str">
        <f aca="false">Complaints!B693</f>
        <v>To whom it may concern, The closure of my old account has dragged on for months.</v>
      </c>
      <c r="C693" s="0" t="str">
        <f aca="false">Complaints!C693</f>
        <v>Delays &amp; Processing</v>
      </c>
      <c r="D693" s="0" t="str">
        <f aca="false">" "&amp;TRIM(SUBSTITUTE(SUBSTITUTE(SUBSTITUTE(SUBSTITUTE(SUBSTITUTE(SUBSTITUTE(SUBSTITUTE(SUBSTITUTE(SUBSTITUTE(SUBSTITUTE(SUBSTITUTE(SUBSTITUTE(SUBSTITUTE(SUBSTITUTE(SUBSTITUTE(SUBSTITUTE(LOWER(B693),"."," "),","," "),"'"," "),"’"," "),"!"," "),"?"," "),";"," "),":"," "),"-"," "),"("," "),")"," "),"""", " "),"£"," "),"&amp;"," "),"/"," "),"%"," "))&amp;" "</f>
        <v> to whom it may concern the closure of my old account has dragged on for months </v>
      </c>
      <c r="E693" s="0" t="n">
        <f aca="false">SUMPRODUCT((Rules!$A$2:$A$60=E$1)*Rules!$C$2:$C$60*ISNUMBER(SEARCH(Rules!$D$2:$D$60,$D693)))</f>
        <v>0</v>
      </c>
      <c r="F693" s="0" t="n">
        <f aca="false">SUMPRODUCT((Rules!$A$2:$A$60=F$1)*Rules!$C$2:$C$60*ISNUMBER(SEARCH(Rules!$D$2:$D$60,$D693)))</f>
        <v>0</v>
      </c>
      <c r="G693" s="0" t="n">
        <f aca="false">SUMPRODUCT((Rules!$A$2:$A$60=G$1)*Rules!$C$2:$C$60*ISNUMBER(SEARCH(Rules!$D$2:$D$60,$D693)))</f>
        <v>0</v>
      </c>
      <c r="H693" s="0" t="n">
        <f aca="false">SUMPRODUCT((Rules!$A$2:$A$60=H$1)*Rules!$C$2:$C$60*ISNUMBER(SEARCH(Rules!$D$2:$D$60,$D693)))</f>
        <v>0</v>
      </c>
      <c r="I693" s="0" t="n">
        <f aca="false">SUMPRODUCT((Rules!$A$2:$A$60=I$1)*Rules!$C$2:$C$60*ISNUMBER(SEARCH(Rules!$D$2:$D$60,$D693)))</f>
        <v>2</v>
      </c>
      <c r="J693" s="0" t="n">
        <f aca="false">SUMPRODUCT((Rules!$A$2:$A$60=J$1)*Rules!$C$2:$C$60*ISNUMBER(SEARCH(Rules!$D$2:$D$60,$D693)))</f>
        <v>0</v>
      </c>
      <c r="K693" s="0" t="str">
        <f aca="false">IF(OR(MAX(E693:J693)&lt;Rules!$H$1,MAX(E693:J693)-LARGE(E693:J693,2)&lt;Rules!$H$2),"No label",INDEX($E$1:$J$1,MATCH(MAX(E693:J693),E693:J693,0)))</f>
        <v>No label</v>
      </c>
      <c r="L693" s="0" t="n">
        <f aca="false">SUMPRODUCT((Rules!$A$2:$A$60=L$1)*Rules!$C$2:$C$60*ISNUMBER(SEARCH(Rules!$E$2:$E$60,$D693)))</f>
        <v>0</v>
      </c>
      <c r="M693" s="0" t="n">
        <f aca="false">SUMPRODUCT((Rules!$A$2:$A$60=M$1)*Rules!$C$2:$C$60*ISNUMBER(SEARCH(Rules!$E$2:$E$60,$D693)))</f>
        <v>0</v>
      </c>
      <c r="N693" s="0" t="n">
        <f aca="false">SUMPRODUCT((Rules!$A$2:$A$60=N$1)*Rules!$C$2:$C$60*ISNUMBER(SEARCH(Rules!$E$2:$E$60,$D693)))</f>
        <v>0</v>
      </c>
      <c r="O693" s="0" t="n">
        <f aca="false">SUMPRODUCT((Rules!$A$2:$A$60=O$1)*Rules!$C$2:$C$60*ISNUMBER(SEARCH(Rules!$E$2:$E$60,$D693)))</f>
        <v>0</v>
      </c>
      <c r="P693" s="0" t="n">
        <f aca="false">SUMPRODUCT((Rules!$A$2:$A$60=P$1)*Rules!$C$2:$C$60*ISNUMBER(SEARCH(Rules!$E$2:$E$60,$D693)))</f>
        <v>2</v>
      </c>
      <c r="Q693" s="0" t="n">
        <f aca="false">SUMPRODUCT((Rules!$A$2:$A$60=Q$1)*Rules!$C$2:$C$60*ISNUMBER(SEARCH(Rules!$E$2:$E$60,$D693)))</f>
        <v>0</v>
      </c>
      <c r="R693" s="0" t="str">
        <f aca="false">IF(OR(MAX(L693:Q693)&lt;Rules!$H$1,MAX(L693:Q693)-LARGE(L693:Q693,2)&lt;Rules!$H$2),"No label",INDEX($L$1:$Q$1,MATCH(MAX(L693:Q693),L693:Q693,0)))</f>
        <v>No label</v>
      </c>
      <c r="S693" s="0" t="n">
        <f aca="false">SUMPRODUCT(ISNUMBER(SEARCH(" "&amp;Terms!$A$3:$A$821&amp;" ",$D693))*Terms!B$3:B$821)+Terms!B$2</f>
        <v>-0.821855034551962</v>
      </c>
      <c r="T693" s="0" t="n">
        <f aca="false">SUMPRODUCT(ISNUMBER(SEARCH(" "&amp;Terms!$A$3:$A$821&amp;" ",$D693))*Terms!C$3:C$821)+Terms!C$2</f>
        <v>-1.80600311296681</v>
      </c>
      <c r="U693" s="0" t="n">
        <f aca="false">SUMPRODUCT(ISNUMBER(SEARCH(" "&amp;Terms!$A$3:$A$821&amp;" ",$D693))*Terms!D$3:D$821)+Terms!D$2</f>
        <v>9.02422944798493</v>
      </c>
      <c r="V693" s="0" t="n">
        <f aca="false">SUMPRODUCT(ISNUMBER(SEARCH(" "&amp;Terms!$A$3:$A$821&amp;" ",$D693))*Terms!E$3:E$821)+Terms!E$2</f>
        <v>-1.61782255313051</v>
      </c>
      <c r="W693" s="0" t="n">
        <f aca="false">SUMPRODUCT(ISNUMBER(SEARCH(" "&amp;Terms!$A$3:$A$821&amp;" ",$D693))*Terms!F$3:F$821)+Terms!F$2</f>
        <v>-0.989738488498109</v>
      </c>
      <c r="X693" s="0" t="n">
        <f aca="false">SUMPRODUCT(ISNUMBER(SEARCH(" "&amp;Terms!$A$3:$A$821&amp;" ",$D693))*Terms!G$3:G$821)+Terms!G$2</f>
        <v>-3.78881025883743</v>
      </c>
      <c r="Y693" s="0" t="str">
        <f aca="false">INDEX($S$1:$X$1,MATCH(MAX(S693:X693),S693:X693,0))</f>
        <v>Delays &amp; Processing</v>
      </c>
      <c r="Z693" s="0" t="s">
        <v>2607</v>
      </c>
    </row>
    <row r="694" customFormat="false" ht="15" hidden="false" customHeight="false" outlineLevel="0" collapsed="false">
      <c r="A694" s="0" t="str">
        <f aca="false">Complaints!A694</f>
        <v>C0693</v>
      </c>
      <c r="B694" s="0" t="str">
        <f aca="false">Complaints!B694</f>
        <v>This is the second time I have raised this. Why has my interest rate gone up without notice, it is costing me more every month. It has also been taking far too long. Please sort this out.</v>
      </c>
      <c r="C694" s="0" t="str">
        <f aca="false">Complaints!C694</f>
        <v>Fees &amp; Charges</v>
      </c>
      <c r="D694" s="0" t="str">
        <f aca="false">" "&amp;TRIM(SUBSTITUTE(SUBSTITUTE(SUBSTITUTE(SUBSTITUTE(SUBSTITUTE(SUBSTITUTE(SUBSTITUTE(SUBSTITUTE(SUBSTITUTE(SUBSTITUTE(SUBSTITUTE(SUBSTITUTE(SUBSTITUTE(SUBSTITUTE(SUBSTITUTE(SUBSTITUTE(LOWER(B694),"."," "),","," "),"'"," "),"’"," "),"!"," "),"?"," "),";"," "),":"," "),"-"," "),"("," "),")"," "),"""", " "),"£"," "),"&amp;"," "),"/"," "),"%"," "))&amp;" "</f>
        <v> this is the second time i have raised this why has my interest rate gone up without notice it is costing me more every month it has also been taking far too long please sort this out </v>
      </c>
      <c r="E694" s="0" t="n">
        <f aca="false">SUMPRODUCT((Rules!$A$2:$A$60=E$1)*Rules!$C$2:$C$60*ISNUMBER(SEARCH(Rules!$D$2:$D$60,$D694)))</f>
        <v>0</v>
      </c>
      <c r="F694" s="0" t="n">
        <f aca="false">SUMPRODUCT((Rules!$A$2:$A$60=F$1)*Rules!$C$2:$C$60*ISNUMBER(SEARCH(Rules!$D$2:$D$60,$D694)))</f>
        <v>0</v>
      </c>
      <c r="G694" s="0" t="n">
        <f aca="false">SUMPRODUCT((Rules!$A$2:$A$60=G$1)*Rules!$C$2:$C$60*ISNUMBER(SEARCH(Rules!$D$2:$D$60,$D694)))</f>
        <v>0</v>
      </c>
      <c r="H694" s="0" t="n">
        <f aca="false">SUMPRODUCT((Rules!$A$2:$A$60=H$1)*Rules!$C$2:$C$60*ISNUMBER(SEARCH(Rules!$D$2:$D$60,$D694)))</f>
        <v>2</v>
      </c>
      <c r="I694" s="0" t="n">
        <f aca="false">SUMPRODUCT((Rules!$A$2:$A$60=I$1)*Rules!$C$2:$C$60*ISNUMBER(SEARCH(Rules!$D$2:$D$60,$D694)))</f>
        <v>0</v>
      </c>
      <c r="J694" s="0" t="n">
        <f aca="false">SUMPRODUCT((Rules!$A$2:$A$60=J$1)*Rules!$C$2:$C$60*ISNUMBER(SEARCH(Rules!$D$2:$D$60,$D694)))</f>
        <v>0</v>
      </c>
      <c r="K694" s="0" t="str">
        <f aca="false">IF(OR(MAX(E694:J694)&lt;Rules!$H$1,MAX(E694:J694)-LARGE(E694:J694,2)&lt;Rules!$H$2),"No label",INDEX($E$1:$J$1,MATCH(MAX(E694:J694),E694:J694,0)))</f>
        <v>No label</v>
      </c>
      <c r="L694" s="0" t="n">
        <f aca="false">SUMPRODUCT((Rules!$A$2:$A$60=L$1)*Rules!$C$2:$C$60*ISNUMBER(SEARCH(Rules!$E$2:$E$60,$D694)))</f>
        <v>0</v>
      </c>
      <c r="M694" s="0" t="n">
        <f aca="false">SUMPRODUCT((Rules!$A$2:$A$60=M$1)*Rules!$C$2:$C$60*ISNUMBER(SEARCH(Rules!$E$2:$E$60,$D694)))</f>
        <v>0</v>
      </c>
      <c r="N694" s="0" t="n">
        <f aca="false">SUMPRODUCT((Rules!$A$2:$A$60=N$1)*Rules!$C$2:$C$60*ISNUMBER(SEARCH(Rules!$E$2:$E$60,$D694)))</f>
        <v>0</v>
      </c>
      <c r="O694" s="0" t="n">
        <f aca="false">SUMPRODUCT((Rules!$A$2:$A$60=O$1)*Rules!$C$2:$C$60*ISNUMBER(SEARCH(Rules!$E$2:$E$60,$D694)))</f>
        <v>2</v>
      </c>
      <c r="P694" s="0" t="n">
        <f aca="false">SUMPRODUCT((Rules!$A$2:$A$60=P$1)*Rules!$C$2:$C$60*ISNUMBER(SEARCH(Rules!$E$2:$E$60,$D694)))</f>
        <v>0</v>
      </c>
      <c r="Q694" s="0" t="n">
        <f aca="false">SUMPRODUCT((Rules!$A$2:$A$60=Q$1)*Rules!$C$2:$C$60*ISNUMBER(SEARCH(Rules!$E$2:$E$60,$D694)))</f>
        <v>0</v>
      </c>
      <c r="R694" s="0" t="str">
        <f aca="false">IF(OR(MAX(L694:Q694)&lt;Rules!$H$1,MAX(L694:Q694)-LARGE(L694:Q694,2)&lt;Rules!$H$2),"No label",INDEX($L$1:$Q$1,MATCH(MAX(L694:Q694),L694:Q694,0)))</f>
        <v>No label</v>
      </c>
      <c r="S694" s="0" t="n">
        <f aca="false">SUMPRODUCT(ISNUMBER(SEARCH(" "&amp;Terms!$A$3:$A$821&amp;" ",$D694))*Terms!B$3:B$821)+Terms!B$2</f>
        <v>-5.61087918913178</v>
      </c>
      <c r="T694" s="0" t="n">
        <f aca="false">SUMPRODUCT(ISNUMBER(SEARCH(" "&amp;Terms!$A$3:$A$821&amp;" ",$D694))*Terms!C$3:C$821)+Terms!C$2</f>
        <v>0.75186003767354</v>
      </c>
      <c r="U694" s="0" t="n">
        <f aca="false">SUMPRODUCT(ISNUMBER(SEARCH(" "&amp;Terms!$A$3:$A$821&amp;" ",$D694))*Terms!D$3:D$821)+Terms!D$2</f>
        <v>0.219123300828163</v>
      </c>
      <c r="V694" s="0" t="n">
        <f aca="false">SUMPRODUCT(ISNUMBER(SEARCH(" "&amp;Terms!$A$3:$A$821&amp;" ",$D694))*Terms!E$3:E$821)+Terms!E$2</f>
        <v>9.28009621259172</v>
      </c>
      <c r="W694" s="0" t="n">
        <f aca="false">SUMPRODUCT(ISNUMBER(SEARCH(" "&amp;Terms!$A$3:$A$821&amp;" ",$D694))*Terms!F$3:F$821)+Terms!F$2</f>
        <v>-0.619237750643268</v>
      </c>
      <c r="X694" s="0" t="n">
        <f aca="false">SUMPRODUCT(ISNUMBER(SEARCH(" "&amp;Terms!$A$3:$A$821&amp;" ",$D694))*Terms!G$3:G$821)+Terms!G$2</f>
        <v>-4.02096261131828</v>
      </c>
      <c r="Y694" s="0" t="str">
        <f aca="false">INDEX($S$1:$X$1,MATCH(MAX(S694:X694),S694:X694,0))</f>
        <v>Fees &amp; Charges</v>
      </c>
      <c r="Z694" s="0" t="s">
        <v>2607</v>
      </c>
    </row>
    <row r="695" customFormat="false" ht="15" hidden="false" customHeight="false" outlineLevel="0" collapsed="false">
      <c r="A695" s="0" t="str">
        <f aca="false">Complaints!A695</f>
        <v>C0694</v>
      </c>
      <c r="B695" s="0" t="str">
        <f aca="false">Complaints!B695</f>
        <v>Frankly, I asked for a callback and it never happened. Also, the paperwork was submitted a month ago and I am still waiting.</v>
      </c>
      <c r="C695" s="0" t="str">
        <f aca="false">Complaints!C695</f>
        <v>Customer Service</v>
      </c>
      <c r="D695" s="0" t="str">
        <f aca="false">" "&amp;TRIM(SUBSTITUTE(SUBSTITUTE(SUBSTITUTE(SUBSTITUTE(SUBSTITUTE(SUBSTITUTE(SUBSTITUTE(SUBSTITUTE(SUBSTITUTE(SUBSTITUTE(SUBSTITUTE(SUBSTITUTE(SUBSTITUTE(SUBSTITUTE(SUBSTITUTE(SUBSTITUTE(LOWER(B695),"."," "),","," "),"'"," "),"’"," "),"!"," "),"?"," "),";"," "),":"," "),"-"," "),"("," "),")"," "),"""", " "),"£"," "),"&amp;"," "),"/"," "),"%"," "))&amp;" "</f>
        <v> frankly i asked for a callback and it never happened also the paperwork was submitted a month ago and i am still waiting </v>
      </c>
      <c r="E695" s="0" t="n">
        <f aca="false">SUMPRODUCT((Rules!$A$2:$A$60=E$1)*Rules!$C$2:$C$60*ISNUMBER(SEARCH(Rules!$D$2:$D$60,$D695)))</f>
        <v>0</v>
      </c>
      <c r="F695" s="0" t="n">
        <f aca="false">SUMPRODUCT((Rules!$A$2:$A$60=F$1)*Rules!$C$2:$C$60*ISNUMBER(SEARCH(Rules!$D$2:$D$60,$D695)))</f>
        <v>0</v>
      </c>
      <c r="G695" s="0" t="n">
        <f aca="false">SUMPRODUCT((Rules!$A$2:$A$60=G$1)*Rules!$C$2:$C$60*ISNUMBER(SEARCH(Rules!$D$2:$D$60,$D695)))</f>
        <v>0</v>
      </c>
      <c r="H695" s="0" t="n">
        <f aca="false">SUMPRODUCT((Rules!$A$2:$A$60=H$1)*Rules!$C$2:$C$60*ISNUMBER(SEARCH(Rules!$D$2:$D$60,$D695)))</f>
        <v>0</v>
      </c>
      <c r="I695" s="0" t="n">
        <f aca="false">SUMPRODUCT((Rules!$A$2:$A$60=I$1)*Rules!$C$2:$C$60*ISNUMBER(SEARCH(Rules!$D$2:$D$60,$D695)))</f>
        <v>2</v>
      </c>
      <c r="J695" s="0" t="n">
        <f aca="false">SUMPRODUCT((Rules!$A$2:$A$60=J$1)*Rules!$C$2:$C$60*ISNUMBER(SEARCH(Rules!$D$2:$D$60,$D695)))</f>
        <v>2</v>
      </c>
      <c r="K695" s="0" t="str">
        <f aca="false">IF(OR(MAX(E695:J695)&lt;Rules!$H$1,MAX(E695:J695)-LARGE(E695:J695,2)&lt;Rules!$H$2),"No label",INDEX($E$1:$J$1,MATCH(MAX(E695:J695),E695:J695,0)))</f>
        <v>No label</v>
      </c>
      <c r="L695" s="0" t="n">
        <f aca="false">SUMPRODUCT((Rules!$A$2:$A$60=L$1)*Rules!$C$2:$C$60*ISNUMBER(SEARCH(Rules!$E$2:$E$60,$D695)))</f>
        <v>0</v>
      </c>
      <c r="M695" s="0" t="n">
        <f aca="false">SUMPRODUCT((Rules!$A$2:$A$60=M$1)*Rules!$C$2:$C$60*ISNUMBER(SEARCH(Rules!$E$2:$E$60,$D695)))</f>
        <v>0</v>
      </c>
      <c r="N695" s="0" t="n">
        <f aca="false">SUMPRODUCT((Rules!$A$2:$A$60=N$1)*Rules!$C$2:$C$60*ISNUMBER(SEARCH(Rules!$E$2:$E$60,$D695)))</f>
        <v>0</v>
      </c>
      <c r="O695" s="0" t="n">
        <f aca="false">SUMPRODUCT((Rules!$A$2:$A$60=O$1)*Rules!$C$2:$C$60*ISNUMBER(SEARCH(Rules!$E$2:$E$60,$D695)))</f>
        <v>0</v>
      </c>
      <c r="P695" s="0" t="n">
        <f aca="false">SUMPRODUCT((Rules!$A$2:$A$60=P$1)*Rules!$C$2:$C$60*ISNUMBER(SEARCH(Rules!$E$2:$E$60,$D695)))</f>
        <v>2</v>
      </c>
      <c r="Q695" s="0" t="n">
        <f aca="false">SUMPRODUCT((Rules!$A$2:$A$60=Q$1)*Rules!$C$2:$C$60*ISNUMBER(SEARCH(Rules!$E$2:$E$60,$D695)))</f>
        <v>2</v>
      </c>
      <c r="R695" s="0" t="str">
        <f aca="false">IF(OR(MAX(L695:Q695)&lt;Rules!$H$1,MAX(L695:Q695)-LARGE(L695:Q695,2)&lt;Rules!$H$2),"No label",INDEX($L$1:$Q$1,MATCH(MAX(L695:Q695),L695:Q695,0)))</f>
        <v>No label</v>
      </c>
      <c r="S695" s="0" t="n">
        <f aca="false">SUMPRODUCT(ISNUMBER(SEARCH(" "&amp;Terms!$A$3:$A$821&amp;" ",$D695))*Terms!B$3:B$821)+Terms!B$2</f>
        <v>-2.25995461887816</v>
      </c>
      <c r="T695" s="0" t="n">
        <f aca="false">SUMPRODUCT(ISNUMBER(SEARCH(" "&amp;Terms!$A$3:$A$821&amp;" ",$D695))*Terms!C$3:C$821)+Terms!C$2</f>
        <v>4.12180676475888</v>
      </c>
      <c r="U695" s="0" t="n">
        <f aca="false">SUMPRODUCT(ISNUMBER(SEARCH(" "&amp;Terms!$A$3:$A$821&amp;" ",$D695))*Terms!D$3:D$821)+Terms!D$2</f>
        <v>3.87504286321536</v>
      </c>
      <c r="V695" s="0" t="n">
        <f aca="false">SUMPRODUCT(ISNUMBER(SEARCH(" "&amp;Terms!$A$3:$A$821&amp;" ",$D695))*Terms!E$3:E$821)+Terms!E$2</f>
        <v>-0.466718386475657</v>
      </c>
      <c r="W695" s="0" t="n">
        <f aca="false">SUMPRODUCT(ISNUMBER(SEARCH(" "&amp;Terms!$A$3:$A$821&amp;" ",$D695))*Terms!F$3:F$821)+Terms!F$2</f>
        <v>-3.6704374364207</v>
      </c>
      <c r="X695" s="0" t="n">
        <f aca="false">SUMPRODUCT(ISNUMBER(SEARCH(" "&amp;Terms!$A$3:$A$821&amp;" ",$D695))*Terms!G$3:G$821)+Terms!G$2</f>
        <v>-1.59973918619964</v>
      </c>
      <c r="Y695" s="0" t="str">
        <f aca="false">INDEX($S$1:$X$1,MATCH(MAX(S695:X695),S695:X695,0))</f>
        <v>Customer Service</v>
      </c>
      <c r="Z695" s="0" t="s">
        <v>2608</v>
      </c>
    </row>
    <row r="696" customFormat="false" ht="15" hidden="false" customHeight="false" outlineLevel="0" collapsed="false">
      <c r="A696" s="0" t="str">
        <f aca="false">Complaints!A696</f>
        <v>C0695</v>
      </c>
      <c r="B696" s="0" t="str">
        <f aca="false">Complaints!B696</f>
        <v>I was misled about what the insurance actually included. Also, i spent an hour on hold and then the call was cut off. This is not acceptable.</v>
      </c>
      <c r="C696" s="0" t="str">
        <f aca="false">Complaints!C696</f>
        <v>Mis-selling</v>
      </c>
      <c r="D696" s="0" t="str">
        <f aca="false">" "&amp;TRIM(SUBSTITUTE(SUBSTITUTE(SUBSTITUTE(SUBSTITUTE(SUBSTITUTE(SUBSTITUTE(SUBSTITUTE(SUBSTITUTE(SUBSTITUTE(SUBSTITUTE(SUBSTITUTE(SUBSTITUTE(SUBSTITUTE(SUBSTITUTE(SUBSTITUTE(SUBSTITUTE(LOWER(B696),"."," "),","," "),"'"," "),"’"," "),"!"," "),"?"," "),";"," "),":"," "),"-"," "),"("," "),")"," "),"""", " "),"£"," "),"&amp;"," "),"/"," "),"%"," "))&amp;" "</f>
        <v> i was misled about what the insurance actually included also i spent an hour on hold and then the call was cut off this is not acceptable </v>
      </c>
      <c r="E696" s="0" t="n">
        <f aca="false">SUMPRODUCT((Rules!$A$2:$A$60=E$1)*Rules!$C$2:$C$60*ISNUMBER(SEARCH(Rules!$D$2:$D$60,$D696)))</f>
        <v>0</v>
      </c>
      <c r="F696" s="0" t="n">
        <f aca="false">SUMPRODUCT((Rules!$A$2:$A$60=F$1)*Rules!$C$2:$C$60*ISNUMBER(SEARCH(Rules!$D$2:$D$60,$D696)))</f>
        <v>4</v>
      </c>
      <c r="G696" s="0" t="n">
        <f aca="false">SUMPRODUCT((Rules!$A$2:$A$60=G$1)*Rules!$C$2:$C$60*ISNUMBER(SEARCH(Rules!$D$2:$D$60,$D696)))</f>
        <v>0</v>
      </c>
      <c r="H696" s="0" t="n">
        <f aca="false">SUMPRODUCT((Rules!$A$2:$A$60=H$1)*Rules!$C$2:$C$60*ISNUMBER(SEARCH(Rules!$D$2:$D$60,$D696)))</f>
        <v>0</v>
      </c>
      <c r="I696" s="0" t="n">
        <f aca="false">SUMPRODUCT((Rules!$A$2:$A$60=I$1)*Rules!$C$2:$C$60*ISNUMBER(SEARCH(Rules!$D$2:$D$60,$D696)))</f>
        <v>0</v>
      </c>
      <c r="J696" s="0" t="n">
        <f aca="false">SUMPRODUCT((Rules!$A$2:$A$60=J$1)*Rules!$C$2:$C$60*ISNUMBER(SEARCH(Rules!$D$2:$D$60,$D696)))</f>
        <v>3</v>
      </c>
      <c r="K696" s="0" t="str">
        <f aca="false">IF(OR(MAX(E696:J696)&lt;Rules!$H$1,MAX(E696:J696)-LARGE(E696:J696,2)&lt;Rules!$H$2),"No label",INDEX($E$1:$J$1,MATCH(MAX(E696:J696),E696:J696,0)))</f>
        <v>No label</v>
      </c>
      <c r="L696" s="0" t="n">
        <f aca="false">SUMPRODUCT((Rules!$A$2:$A$60=L$1)*Rules!$C$2:$C$60*ISNUMBER(SEARCH(Rules!$E$2:$E$60,$D696)))</f>
        <v>0</v>
      </c>
      <c r="M696" s="0" t="n">
        <f aca="false">SUMPRODUCT((Rules!$A$2:$A$60=M$1)*Rules!$C$2:$C$60*ISNUMBER(SEARCH(Rules!$E$2:$E$60,$D696)))</f>
        <v>4</v>
      </c>
      <c r="N696" s="0" t="n">
        <f aca="false">SUMPRODUCT((Rules!$A$2:$A$60=N$1)*Rules!$C$2:$C$60*ISNUMBER(SEARCH(Rules!$E$2:$E$60,$D696)))</f>
        <v>1</v>
      </c>
      <c r="O696" s="0" t="n">
        <f aca="false">SUMPRODUCT((Rules!$A$2:$A$60=O$1)*Rules!$C$2:$C$60*ISNUMBER(SEARCH(Rules!$E$2:$E$60,$D696)))</f>
        <v>0</v>
      </c>
      <c r="P696" s="0" t="n">
        <f aca="false">SUMPRODUCT((Rules!$A$2:$A$60=P$1)*Rules!$C$2:$C$60*ISNUMBER(SEARCH(Rules!$E$2:$E$60,$D696)))</f>
        <v>0</v>
      </c>
      <c r="Q696" s="0" t="n">
        <f aca="false">SUMPRODUCT((Rules!$A$2:$A$60=Q$1)*Rules!$C$2:$C$60*ISNUMBER(SEARCH(Rules!$E$2:$E$60,$D696)))</f>
        <v>3</v>
      </c>
      <c r="R696" s="0" t="str">
        <f aca="false">IF(OR(MAX(L696:Q696)&lt;Rules!$H$1,MAX(L696:Q696)-LARGE(L696:Q696,2)&lt;Rules!$H$2),"No label",INDEX($L$1:$Q$1,MATCH(MAX(L696:Q696),L696:Q696,0)))</f>
        <v>No label</v>
      </c>
      <c r="S696" s="0" t="n">
        <f aca="false">SUMPRODUCT(ISNUMBER(SEARCH(" "&amp;Terms!$A$3:$A$821&amp;" ",$D696))*Terms!B$3:B$821)+Terms!B$2</f>
        <v>-2.37892624378706</v>
      </c>
      <c r="T696" s="0" t="n">
        <f aca="false">SUMPRODUCT(ISNUMBER(SEARCH(" "&amp;Terms!$A$3:$A$821&amp;" ",$D696))*Terms!C$3:C$821)+Terms!C$2</f>
        <v>1.77599680776959</v>
      </c>
      <c r="U696" s="0" t="n">
        <f aca="false">SUMPRODUCT(ISNUMBER(SEARCH(" "&amp;Terms!$A$3:$A$821&amp;" ",$D696))*Terms!D$3:D$821)+Terms!D$2</f>
        <v>-2.00695976117467</v>
      </c>
      <c r="V696" s="0" t="n">
        <f aca="false">SUMPRODUCT(ISNUMBER(SEARCH(" "&amp;Terms!$A$3:$A$821&amp;" ",$D696))*Terms!E$3:E$821)+Terms!E$2</f>
        <v>-4.49744431321979</v>
      </c>
      <c r="W696" s="0" t="n">
        <f aca="false">SUMPRODUCT(ISNUMBER(SEARCH(" "&amp;Terms!$A$3:$A$821&amp;" ",$D696))*Terms!F$3:F$821)+Terms!F$2</f>
        <v>-4.85299480960646</v>
      </c>
      <c r="X696" s="0" t="n">
        <f aca="false">SUMPRODUCT(ISNUMBER(SEARCH(" "&amp;Terms!$A$3:$A$821&amp;" ",$D696))*Terms!G$3:G$821)+Terms!G$2</f>
        <v>11.9603283200185</v>
      </c>
      <c r="Y696" s="0" t="str">
        <f aca="false">INDEX($S$1:$X$1,MATCH(MAX(S696:X696),S696:X696,0))</f>
        <v>Mis-selling</v>
      </c>
      <c r="Z696" s="0" t="s">
        <v>2607</v>
      </c>
    </row>
    <row r="697" customFormat="false" ht="15" hidden="false" customHeight="false" outlineLevel="0" collapsed="false">
      <c r="A697" s="0" t="str">
        <f aca="false">Complaints!A697</f>
        <v>C0696</v>
      </c>
      <c r="B697" s="0" t="str">
        <f aca="false">Complaints!B697</f>
        <v>I am writing to complain. Nobody has responded to my emails despite three reminders.</v>
      </c>
      <c r="C697" s="0" t="str">
        <f aca="false">Complaints!C697</f>
        <v>Customer Service</v>
      </c>
      <c r="D697" s="0" t="str">
        <f aca="false">" "&amp;TRIM(SUBSTITUTE(SUBSTITUTE(SUBSTITUTE(SUBSTITUTE(SUBSTITUTE(SUBSTITUTE(SUBSTITUTE(SUBSTITUTE(SUBSTITUTE(SUBSTITUTE(SUBSTITUTE(SUBSTITUTE(SUBSTITUTE(SUBSTITUTE(SUBSTITUTE(SUBSTITUTE(LOWER(B697),"."," "),","," "),"'"," "),"’"," "),"!"," "),"?"," "),";"," "),":"," "),"-"," "),"("," "),")"," "),"""", " "),"£"," "),"&amp;"," "),"/"," "),"%"," "))&amp;" "</f>
        <v> i am writing to complain nobody has responded to my emails despite three reminders </v>
      </c>
      <c r="E697" s="0" t="n">
        <f aca="false">SUMPRODUCT((Rules!$A$2:$A$60=E$1)*Rules!$C$2:$C$60*ISNUMBER(SEARCH(Rules!$D$2:$D$60,$D697)))</f>
        <v>0</v>
      </c>
      <c r="F697" s="0" t="n">
        <f aca="false">SUMPRODUCT((Rules!$A$2:$A$60=F$1)*Rules!$C$2:$C$60*ISNUMBER(SEARCH(Rules!$D$2:$D$60,$D697)))</f>
        <v>0</v>
      </c>
      <c r="G697" s="0" t="n">
        <f aca="false">SUMPRODUCT((Rules!$A$2:$A$60=G$1)*Rules!$C$2:$C$60*ISNUMBER(SEARCH(Rules!$D$2:$D$60,$D697)))</f>
        <v>0</v>
      </c>
      <c r="H697" s="0" t="n">
        <f aca="false">SUMPRODUCT((Rules!$A$2:$A$60=H$1)*Rules!$C$2:$C$60*ISNUMBER(SEARCH(Rules!$D$2:$D$60,$D697)))</f>
        <v>0</v>
      </c>
      <c r="I697" s="0" t="n">
        <f aca="false">SUMPRODUCT((Rules!$A$2:$A$60=I$1)*Rules!$C$2:$C$60*ISNUMBER(SEARCH(Rules!$D$2:$D$60,$D697)))</f>
        <v>0</v>
      </c>
      <c r="J697" s="0" t="n">
        <f aca="false">SUMPRODUCT((Rules!$A$2:$A$60=J$1)*Rules!$C$2:$C$60*ISNUMBER(SEARCH(Rules!$D$2:$D$60,$D697)))</f>
        <v>2</v>
      </c>
      <c r="K697" s="0" t="str">
        <f aca="false">IF(OR(MAX(E697:J697)&lt;Rules!$H$1,MAX(E697:J697)-LARGE(E697:J697,2)&lt;Rules!$H$2),"No label",INDEX($E$1:$J$1,MATCH(MAX(E697:J697),E697:J697,0)))</f>
        <v>No label</v>
      </c>
      <c r="L697" s="0" t="n">
        <f aca="false">SUMPRODUCT((Rules!$A$2:$A$60=L$1)*Rules!$C$2:$C$60*ISNUMBER(SEARCH(Rules!$E$2:$E$60,$D697)))</f>
        <v>0</v>
      </c>
      <c r="M697" s="0" t="n">
        <f aca="false">SUMPRODUCT((Rules!$A$2:$A$60=M$1)*Rules!$C$2:$C$60*ISNUMBER(SEARCH(Rules!$E$2:$E$60,$D697)))</f>
        <v>0</v>
      </c>
      <c r="N697" s="0" t="n">
        <f aca="false">SUMPRODUCT((Rules!$A$2:$A$60=N$1)*Rules!$C$2:$C$60*ISNUMBER(SEARCH(Rules!$E$2:$E$60,$D697)))</f>
        <v>0</v>
      </c>
      <c r="O697" s="0" t="n">
        <f aca="false">SUMPRODUCT((Rules!$A$2:$A$60=O$1)*Rules!$C$2:$C$60*ISNUMBER(SEARCH(Rules!$E$2:$E$60,$D697)))</f>
        <v>0</v>
      </c>
      <c r="P697" s="0" t="n">
        <f aca="false">SUMPRODUCT((Rules!$A$2:$A$60=P$1)*Rules!$C$2:$C$60*ISNUMBER(SEARCH(Rules!$E$2:$E$60,$D697)))</f>
        <v>0</v>
      </c>
      <c r="Q697" s="0" t="n">
        <f aca="false">SUMPRODUCT((Rules!$A$2:$A$60=Q$1)*Rules!$C$2:$C$60*ISNUMBER(SEARCH(Rules!$E$2:$E$60,$D697)))</f>
        <v>2</v>
      </c>
      <c r="R697" s="0" t="str">
        <f aca="false">IF(OR(MAX(L697:Q697)&lt;Rules!$H$1,MAX(L697:Q697)-LARGE(L697:Q697,2)&lt;Rules!$H$2),"No label",INDEX($L$1:$Q$1,MATCH(MAX(L697:Q697),L697:Q697,0)))</f>
        <v>No label</v>
      </c>
      <c r="S697" s="0" t="n">
        <f aca="false">SUMPRODUCT(ISNUMBER(SEARCH(" "&amp;Terms!$A$3:$A$821&amp;" ",$D697))*Terms!B$3:B$821)+Terms!B$2</f>
        <v>-3.43892388045093</v>
      </c>
      <c r="T697" s="0" t="n">
        <f aca="false">SUMPRODUCT(ISNUMBER(SEARCH(" "&amp;Terms!$A$3:$A$821&amp;" ",$D697))*Terms!C$3:C$821)+Terms!C$2</f>
        <v>10.0654130969751</v>
      </c>
      <c r="U697" s="0" t="n">
        <f aca="false">SUMPRODUCT(ISNUMBER(SEARCH(" "&amp;Terms!$A$3:$A$821&amp;" ",$D697))*Terms!D$3:D$821)+Terms!D$2</f>
        <v>-0.0828258678023135</v>
      </c>
      <c r="V697" s="0" t="n">
        <f aca="false">SUMPRODUCT(ISNUMBER(SEARCH(" "&amp;Terms!$A$3:$A$821&amp;" ",$D697))*Terms!E$3:E$821)+Terms!E$2</f>
        <v>-2.51982992979026</v>
      </c>
      <c r="W697" s="0" t="n">
        <f aca="false">SUMPRODUCT(ISNUMBER(SEARCH(" "&amp;Terms!$A$3:$A$821&amp;" ",$D697))*Terms!F$3:F$821)+Terms!F$2</f>
        <v>-2.40086909900944</v>
      </c>
      <c r="X697" s="0" t="n">
        <f aca="false">SUMPRODUCT(ISNUMBER(SEARCH(" "&amp;Terms!$A$3:$A$821&amp;" ",$D697))*Terms!G$3:G$821)+Terms!G$2</f>
        <v>-1.62296431992207</v>
      </c>
      <c r="Y697" s="0" t="str">
        <f aca="false">INDEX($S$1:$X$1,MATCH(MAX(S697:X697),S697:X697,0))</f>
        <v>Customer Service</v>
      </c>
      <c r="Z697" s="0" t="s">
        <v>2607</v>
      </c>
    </row>
    <row r="698" customFormat="false" ht="15" hidden="false" customHeight="false" outlineLevel="0" collapsed="false">
      <c r="A698" s="0" t="str">
        <f aca="false">Complaints!A698</f>
        <v>C0697</v>
      </c>
      <c r="B698" s="0" t="str">
        <f aca="false">Complaints!B698</f>
        <v>Frankly, The staff member was rude and dismissive when I called. Also, i keep getting an error message when I sign in. I want this put right.</v>
      </c>
      <c r="C698" s="0" t="str">
        <f aca="false">Complaints!C698</f>
        <v>Customer Service</v>
      </c>
      <c r="D698" s="0" t="str">
        <f aca="false">" "&amp;TRIM(SUBSTITUTE(SUBSTITUTE(SUBSTITUTE(SUBSTITUTE(SUBSTITUTE(SUBSTITUTE(SUBSTITUTE(SUBSTITUTE(SUBSTITUTE(SUBSTITUTE(SUBSTITUTE(SUBSTITUTE(SUBSTITUTE(SUBSTITUTE(SUBSTITUTE(SUBSTITUTE(LOWER(B698),"."," "),","," "),"'"," "),"’"," "),"!"," "),"?"," "),";"," "),":"," "),"-"," "),"("," "),")"," "),"""", " "),"£"," "),"&amp;"," "),"/"," "),"%"," "))&amp;" "</f>
        <v> frankly the staff member was rude and dismissive when i called also i keep getting an error message when i sign in i want this put right </v>
      </c>
      <c r="E698" s="0" t="n">
        <f aca="false">SUMPRODUCT((Rules!$A$2:$A$60=E$1)*Rules!$C$2:$C$60*ISNUMBER(SEARCH(Rules!$D$2:$D$60,$D698)))</f>
        <v>0</v>
      </c>
      <c r="F698" s="0" t="n">
        <f aca="false">SUMPRODUCT((Rules!$A$2:$A$60=F$1)*Rules!$C$2:$C$60*ISNUMBER(SEARCH(Rules!$D$2:$D$60,$D698)))</f>
        <v>0</v>
      </c>
      <c r="G698" s="0" t="n">
        <f aca="false">SUMPRODUCT((Rules!$A$2:$A$60=G$1)*Rules!$C$2:$C$60*ISNUMBER(SEARCH(Rules!$D$2:$D$60,$D698)))</f>
        <v>3</v>
      </c>
      <c r="H698" s="0" t="n">
        <f aca="false">SUMPRODUCT((Rules!$A$2:$A$60=H$1)*Rules!$C$2:$C$60*ISNUMBER(SEARCH(Rules!$D$2:$D$60,$D698)))</f>
        <v>0</v>
      </c>
      <c r="I698" s="0" t="n">
        <f aca="false">SUMPRODUCT((Rules!$A$2:$A$60=I$1)*Rules!$C$2:$C$60*ISNUMBER(SEARCH(Rules!$D$2:$D$60,$D698)))</f>
        <v>0</v>
      </c>
      <c r="J698" s="0" t="n">
        <f aca="false">SUMPRODUCT((Rules!$A$2:$A$60=J$1)*Rules!$C$2:$C$60*ISNUMBER(SEARCH(Rules!$D$2:$D$60,$D698)))</f>
        <v>4</v>
      </c>
      <c r="K698" s="0" t="str">
        <f aca="false">IF(OR(MAX(E698:J698)&lt;Rules!$H$1,MAX(E698:J698)-LARGE(E698:J698,2)&lt;Rules!$H$2),"No label",INDEX($E$1:$J$1,MATCH(MAX(E698:J698),E698:J698,0)))</f>
        <v>No label</v>
      </c>
      <c r="L698" s="0" t="n">
        <f aca="false">SUMPRODUCT((Rules!$A$2:$A$60=L$1)*Rules!$C$2:$C$60*ISNUMBER(SEARCH(Rules!$E$2:$E$60,$D698)))</f>
        <v>0</v>
      </c>
      <c r="M698" s="0" t="n">
        <f aca="false">SUMPRODUCT((Rules!$A$2:$A$60=M$1)*Rules!$C$2:$C$60*ISNUMBER(SEARCH(Rules!$E$2:$E$60,$D698)))</f>
        <v>0</v>
      </c>
      <c r="N698" s="0" t="n">
        <f aca="false">SUMPRODUCT((Rules!$A$2:$A$60=N$1)*Rules!$C$2:$C$60*ISNUMBER(SEARCH(Rules!$E$2:$E$60,$D698)))</f>
        <v>3</v>
      </c>
      <c r="O698" s="0" t="n">
        <f aca="false">SUMPRODUCT((Rules!$A$2:$A$60=O$1)*Rules!$C$2:$C$60*ISNUMBER(SEARCH(Rules!$E$2:$E$60,$D698)))</f>
        <v>0</v>
      </c>
      <c r="P698" s="0" t="n">
        <f aca="false">SUMPRODUCT((Rules!$A$2:$A$60=P$1)*Rules!$C$2:$C$60*ISNUMBER(SEARCH(Rules!$E$2:$E$60,$D698)))</f>
        <v>0</v>
      </c>
      <c r="Q698" s="0" t="n">
        <f aca="false">SUMPRODUCT((Rules!$A$2:$A$60=Q$1)*Rules!$C$2:$C$60*ISNUMBER(SEARCH(Rules!$E$2:$E$60,$D698)))</f>
        <v>4</v>
      </c>
      <c r="R698" s="0" t="str">
        <f aca="false">IF(OR(MAX(L698:Q698)&lt;Rules!$H$1,MAX(L698:Q698)-LARGE(L698:Q698,2)&lt;Rules!$H$2),"No label",INDEX($L$1:$Q$1,MATCH(MAX(L698:Q698),L698:Q698,0)))</f>
        <v>No label</v>
      </c>
      <c r="S698" s="0" t="n">
        <f aca="false">SUMPRODUCT(ISNUMBER(SEARCH(" "&amp;Terms!$A$3:$A$821&amp;" ",$D698))*Terms!B$3:B$821)+Terms!B$2</f>
        <v>4.91406251099461</v>
      </c>
      <c r="T698" s="0" t="n">
        <f aca="false">SUMPRODUCT(ISNUMBER(SEARCH(" "&amp;Terms!$A$3:$A$821&amp;" ",$D698))*Terms!C$3:C$821)+Terms!C$2</f>
        <v>8.59811018144578</v>
      </c>
      <c r="U698" s="0" t="n">
        <f aca="false">SUMPRODUCT(ISNUMBER(SEARCH(" "&amp;Terms!$A$3:$A$821&amp;" ",$D698))*Terms!D$3:D$821)+Terms!D$2</f>
        <v>-4.02931054990378</v>
      </c>
      <c r="V698" s="0" t="n">
        <f aca="false">SUMPRODUCT(ISNUMBER(SEARCH(" "&amp;Terms!$A$3:$A$821&amp;" ",$D698))*Terms!E$3:E$821)+Terms!E$2</f>
        <v>-2.64264062279607</v>
      </c>
      <c r="W698" s="0" t="n">
        <f aca="false">SUMPRODUCT(ISNUMBER(SEARCH(" "&amp;Terms!$A$3:$A$821&amp;" ",$D698))*Terms!F$3:F$821)+Terms!F$2</f>
        <v>-0.252580979919365</v>
      </c>
      <c r="X698" s="0" t="n">
        <f aca="false">SUMPRODUCT(ISNUMBER(SEARCH(" "&amp;Terms!$A$3:$A$821&amp;" ",$D698))*Terms!G$3:G$821)+Terms!G$2</f>
        <v>-6.58764053982108</v>
      </c>
      <c r="Y698" s="0" t="str">
        <f aca="false">INDEX($S$1:$X$1,MATCH(MAX(S698:X698),S698:X698,0))</f>
        <v>Customer Service</v>
      </c>
      <c r="Z698" s="0" t="s">
        <v>2607</v>
      </c>
    </row>
    <row r="699" customFormat="false" ht="15" hidden="false" customHeight="false" outlineLevel="0" collapsed="false">
      <c r="A699" s="0" t="str">
        <f aca="false">Complaints!A699</f>
        <v>C0698</v>
      </c>
      <c r="B699" s="0" t="str">
        <f aca="false">Complaints!B699</f>
        <v>The fraud team closed my case without investigating properly. Please escalate this.</v>
      </c>
      <c r="C699" s="0" t="str">
        <f aca="false">Complaints!C699</f>
        <v>Fraud &amp; Scams</v>
      </c>
      <c r="D699" s="0" t="str">
        <f aca="false">" "&amp;TRIM(SUBSTITUTE(SUBSTITUTE(SUBSTITUTE(SUBSTITUTE(SUBSTITUTE(SUBSTITUTE(SUBSTITUTE(SUBSTITUTE(SUBSTITUTE(SUBSTITUTE(SUBSTITUTE(SUBSTITUTE(SUBSTITUTE(SUBSTITUTE(SUBSTITUTE(SUBSTITUTE(LOWER(B699),"."," "),","," "),"'"," "),"’"," "),"!"," "),"?"," "),";"," "),":"," "),"-"," "),"("," "),")"," "),"""", " "),"£"," "),"&amp;"," "),"/"," "),"%"," "))&amp;" "</f>
        <v> the fraud team closed my case without investigating properly please escalate this </v>
      </c>
      <c r="E699" s="0" t="n">
        <f aca="false">SUMPRODUCT((Rules!$A$2:$A$60=E$1)*Rules!$C$2:$C$60*ISNUMBER(SEARCH(Rules!$D$2:$D$60,$D699)))</f>
        <v>3</v>
      </c>
      <c r="F699" s="0" t="n">
        <f aca="false">SUMPRODUCT((Rules!$A$2:$A$60=F$1)*Rules!$C$2:$C$60*ISNUMBER(SEARCH(Rules!$D$2:$D$60,$D699)))</f>
        <v>0</v>
      </c>
      <c r="G699" s="0" t="n">
        <f aca="false">SUMPRODUCT((Rules!$A$2:$A$60=G$1)*Rules!$C$2:$C$60*ISNUMBER(SEARCH(Rules!$D$2:$D$60,$D699)))</f>
        <v>0</v>
      </c>
      <c r="H699" s="0" t="n">
        <f aca="false">SUMPRODUCT((Rules!$A$2:$A$60=H$1)*Rules!$C$2:$C$60*ISNUMBER(SEARCH(Rules!$D$2:$D$60,$D699)))</f>
        <v>0</v>
      </c>
      <c r="I699" s="0" t="n">
        <f aca="false">SUMPRODUCT((Rules!$A$2:$A$60=I$1)*Rules!$C$2:$C$60*ISNUMBER(SEARCH(Rules!$D$2:$D$60,$D699)))</f>
        <v>0</v>
      </c>
      <c r="J699" s="0" t="n">
        <f aca="false">SUMPRODUCT((Rules!$A$2:$A$60=J$1)*Rules!$C$2:$C$60*ISNUMBER(SEARCH(Rules!$D$2:$D$60,$D699)))</f>
        <v>0</v>
      </c>
      <c r="K699" s="0" t="str">
        <f aca="false">IF(OR(MAX(E699:J699)&lt;Rules!$H$1,MAX(E699:J699)-LARGE(E699:J699,2)&lt;Rules!$H$2),"No label",INDEX($E$1:$J$1,MATCH(MAX(E699:J699),E699:J699,0)))</f>
        <v>Fraud &amp; Scams</v>
      </c>
      <c r="L699" s="0" t="n">
        <f aca="false">SUMPRODUCT((Rules!$A$2:$A$60=L$1)*Rules!$C$2:$C$60*ISNUMBER(SEARCH(Rules!$E$2:$E$60,$D699)))</f>
        <v>3</v>
      </c>
      <c r="M699" s="0" t="n">
        <f aca="false">SUMPRODUCT((Rules!$A$2:$A$60=M$1)*Rules!$C$2:$C$60*ISNUMBER(SEARCH(Rules!$E$2:$E$60,$D699)))</f>
        <v>0</v>
      </c>
      <c r="N699" s="0" t="n">
        <f aca="false">SUMPRODUCT((Rules!$A$2:$A$60=N$1)*Rules!$C$2:$C$60*ISNUMBER(SEARCH(Rules!$E$2:$E$60,$D699)))</f>
        <v>0</v>
      </c>
      <c r="O699" s="0" t="n">
        <f aca="false">SUMPRODUCT((Rules!$A$2:$A$60=O$1)*Rules!$C$2:$C$60*ISNUMBER(SEARCH(Rules!$E$2:$E$60,$D699)))</f>
        <v>0</v>
      </c>
      <c r="P699" s="0" t="n">
        <f aca="false">SUMPRODUCT((Rules!$A$2:$A$60=P$1)*Rules!$C$2:$C$60*ISNUMBER(SEARCH(Rules!$E$2:$E$60,$D699)))</f>
        <v>0</v>
      </c>
      <c r="Q699" s="0" t="n">
        <f aca="false">SUMPRODUCT((Rules!$A$2:$A$60=Q$1)*Rules!$C$2:$C$60*ISNUMBER(SEARCH(Rules!$E$2:$E$60,$D699)))</f>
        <v>0</v>
      </c>
      <c r="R699" s="0" t="str">
        <f aca="false">IF(OR(MAX(L699:Q699)&lt;Rules!$H$1,MAX(L699:Q699)-LARGE(L699:Q699,2)&lt;Rules!$H$2),"No label",INDEX($L$1:$Q$1,MATCH(MAX(L699:Q699),L699:Q699,0)))</f>
        <v>Fraud &amp; Scams</v>
      </c>
      <c r="S699" s="0" t="n">
        <f aca="false">SUMPRODUCT(ISNUMBER(SEARCH(" "&amp;Terms!$A$3:$A$821&amp;" ",$D699))*Terms!B$3:B$821)+Terms!B$2</f>
        <v>-3.49543431297026</v>
      </c>
      <c r="T699" s="0" t="n">
        <f aca="false">SUMPRODUCT(ISNUMBER(SEARCH(" "&amp;Terms!$A$3:$A$821&amp;" ",$D699))*Terms!C$3:C$821)+Terms!C$2</f>
        <v>-0.102386169795101</v>
      </c>
      <c r="U699" s="0" t="n">
        <f aca="false">SUMPRODUCT(ISNUMBER(SEARCH(" "&amp;Terms!$A$3:$A$821&amp;" ",$D699))*Terms!D$3:D$821)+Terms!D$2</f>
        <v>-2.64772376769364</v>
      </c>
      <c r="V699" s="0" t="n">
        <f aca="false">SUMPRODUCT(ISNUMBER(SEARCH(" "&amp;Terms!$A$3:$A$821&amp;" ",$D699))*Terms!E$3:E$821)+Terms!E$2</f>
        <v>-2.830766049347</v>
      </c>
      <c r="W699" s="0" t="n">
        <f aca="false">SUMPRODUCT(ISNUMBER(SEARCH(" "&amp;Terms!$A$3:$A$821&amp;" ",$D699))*Terms!F$3:F$821)+Terms!F$2</f>
        <v>10.7696526790442</v>
      </c>
      <c r="X699" s="0" t="n">
        <f aca="false">SUMPRODUCT(ISNUMBER(SEARCH(" "&amp;Terms!$A$3:$A$821&amp;" ",$D699))*Terms!G$3:G$821)+Terms!G$2</f>
        <v>-1.69334237923806</v>
      </c>
      <c r="Y699" s="0" t="str">
        <f aca="false">INDEX($S$1:$X$1,MATCH(MAX(S699:X699),S699:X699,0))</f>
        <v>Fraud &amp; Scams</v>
      </c>
      <c r="Z699" s="0" t="s">
        <v>2607</v>
      </c>
    </row>
    <row r="700" customFormat="false" ht="15" hidden="false" customHeight="false" outlineLevel="0" collapsed="false">
      <c r="A700" s="0" t="str">
        <f aca="false">Complaints!A700</f>
        <v>C0699</v>
      </c>
      <c r="B700" s="0" t="str">
        <f aca="false">Complaints!B700</f>
        <v>To whom it may concern, The brochure said guaranteed returns and my money has lost value. This is not acceptable.</v>
      </c>
      <c r="C700" s="0" t="str">
        <f aca="false">Complaints!C700</f>
        <v>Mis-selling</v>
      </c>
      <c r="D700" s="0" t="str">
        <f aca="false">" "&amp;TRIM(SUBSTITUTE(SUBSTITUTE(SUBSTITUTE(SUBSTITUTE(SUBSTITUTE(SUBSTITUTE(SUBSTITUTE(SUBSTITUTE(SUBSTITUTE(SUBSTITUTE(SUBSTITUTE(SUBSTITUTE(SUBSTITUTE(SUBSTITUTE(SUBSTITUTE(SUBSTITUTE(LOWER(B700),"."," "),","," "),"'"," "),"’"," "),"!"," "),"?"," "),";"," "),":"," "),"-"," "),"("," "),")"," "),"""", " "),"£"," "),"&amp;"," "),"/"," "),"%"," "))&amp;" "</f>
        <v> to whom it may concern the brochure said guaranteed returns and my money has lost value this is not acceptable </v>
      </c>
      <c r="E700" s="0" t="n">
        <f aca="false">SUMPRODUCT((Rules!$A$2:$A$60=E$1)*Rules!$C$2:$C$60*ISNUMBER(SEARCH(Rules!$D$2:$D$60,$D700)))</f>
        <v>0</v>
      </c>
      <c r="F700" s="0" t="n">
        <f aca="false">SUMPRODUCT((Rules!$A$2:$A$60=F$1)*Rules!$C$2:$C$60*ISNUMBER(SEARCH(Rules!$D$2:$D$60,$D700)))</f>
        <v>2</v>
      </c>
      <c r="G700" s="0" t="n">
        <f aca="false">SUMPRODUCT((Rules!$A$2:$A$60=G$1)*Rules!$C$2:$C$60*ISNUMBER(SEARCH(Rules!$D$2:$D$60,$D700)))</f>
        <v>0</v>
      </c>
      <c r="H700" s="0" t="n">
        <f aca="false">SUMPRODUCT((Rules!$A$2:$A$60=H$1)*Rules!$C$2:$C$60*ISNUMBER(SEARCH(Rules!$D$2:$D$60,$D700)))</f>
        <v>0</v>
      </c>
      <c r="I700" s="0" t="n">
        <f aca="false">SUMPRODUCT((Rules!$A$2:$A$60=I$1)*Rules!$C$2:$C$60*ISNUMBER(SEARCH(Rules!$D$2:$D$60,$D700)))</f>
        <v>0</v>
      </c>
      <c r="J700" s="0" t="n">
        <f aca="false">SUMPRODUCT((Rules!$A$2:$A$60=J$1)*Rules!$C$2:$C$60*ISNUMBER(SEARCH(Rules!$D$2:$D$60,$D700)))</f>
        <v>0</v>
      </c>
      <c r="K700" s="0" t="str">
        <f aca="false">IF(OR(MAX(E700:J700)&lt;Rules!$H$1,MAX(E700:J700)-LARGE(E700:J700,2)&lt;Rules!$H$2),"No label",INDEX($E$1:$J$1,MATCH(MAX(E700:J700),E700:J700,0)))</f>
        <v>No label</v>
      </c>
      <c r="L700" s="0" t="n">
        <f aca="false">SUMPRODUCT((Rules!$A$2:$A$60=L$1)*Rules!$C$2:$C$60*ISNUMBER(SEARCH(Rules!$E$2:$E$60,$D700)))</f>
        <v>0</v>
      </c>
      <c r="M700" s="0" t="n">
        <f aca="false">SUMPRODUCT((Rules!$A$2:$A$60=M$1)*Rules!$C$2:$C$60*ISNUMBER(SEARCH(Rules!$E$2:$E$60,$D700)))</f>
        <v>2</v>
      </c>
      <c r="N700" s="0" t="n">
        <f aca="false">SUMPRODUCT((Rules!$A$2:$A$60=N$1)*Rules!$C$2:$C$60*ISNUMBER(SEARCH(Rules!$E$2:$E$60,$D700)))</f>
        <v>1</v>
      </c>
      <c r="O700" s="0" t="n">
        <f aca="false">SUMPRODUCT((Rules!$A$2:$A$60=O$1)*Rules!$C$2:$C$60*ISNUMBER(SEARCH(Rules!$E$2:$E$60,$D700)))</f>
        <v>0</v>
      </c>
      <c r="P700" s="0" t="n">
        <f aca="false">SUMPRODUCT((Rules!$A$2:$A$60=P$1)*Rules!$C$2:$C$60*ISNUMBER(SEARCH(Rules!$E$2:$E$60,$D700)))</f>
        <v>0</v>
      </c>
      <c r="Q700" s="0" t="n">
        <f aca="false">SUMPRODUCT((Rules!$A$2:$A$60=Q$1)*Rules!$C$2:$C$60*ISNUMBER(SEARCH(Rules!$E$2:$E$60,$D700)))</f>
        <v>0</v>
      </c>
      <c r="R700" s="0" t="str">
        <f aca="false">IF(OR(MAX(L700:Q700)&lt;Rules!$H$1,MAX(L700:Q700)-LARGE(L700:Q700,2)&lt;Rules!$H$2),"No label",INDEX($L$1:$Q$1,MATCH(MAX(L700:Q700),L700:Q700,0)))</f>
        <v>No label</v>
      </c>
      <c r="S700" s="0" t="n">
        <f aca="false">SUMPRODUCT(ISNUMBER(SEARCH(" "&amp;Terms!$A$3:$A$821&amp;" ",$D700))*Terms!B$3:B$821)+Terms!B$2</f>
        <v>-3.50613097420076</v>
      </c>
      <c r="T700" s="0" t="n">
        <f aca="false">SUMPRODUCT(ISNUMBER(SEARCH(" "&amp;Terms!$A$3:$A$821&amp;" ",$D700))*Terms!C$3:C$821)+Terms!C$2</f>
        <v>-5.00426821701368</v>
      </c>
      <c r="U700" s="0" t="n">
        <f aca="false">SUMPRODUCT(ISNUMBER(SEARCH(" "&amp;Terms!$A$3:$A$821&amp;" ",$D700))*Terms!D$3:D$821)+Terms!D$2</f>
        <v>-0.415674664309094</v>
      </c>
      <c r="V700" s="0" t="n">
        <f aca="false">SUMPRODUCT(ISNUMBER(SEARCH(" "&amp;Terms!$A$3:$A$821&amp;" ",$D700))*Terms!E$3:E$821)+Terms!E$2</f>
        <v>-3.96381988021839</v>
      </c>
      <c r="W700" s="0" t="n">
        <f aca="false">SUMPRODUCT(ISNUMBER(SEARCH(" "&amp;Terms!$A$3:$A$821&amp;" ",$D700))*Terms!F$3:F$821)+Terms!F$2</f>
        <v>0.335071224853795</v>
      </c>
      <c r="X700" s="0" t="n">
        <f aca="false">SUMPRODUCT(ISNUMBER(SEARCH(" "&amp;Terms!$A$3:$A$821&amp;" ",$D700))*Terms!G$3:G$821)+Terms!G$2</f>
        <v>12.5548225108882</v>
      </c>
      <c r="Y700" s="0" t="str">
        <f aca="false">INDEX($S$1:$X$1,MATCH(MAX(S700:X700),S700:X700,0))</f>
        <v>Mis-selling</v>
      </c>
      <c r="Z700" s="0" t="s">
        <v>2607</v>
      </c>
    </row>
    <row r="701" customFormat="false" ht="15" hidden="false" customHeight="false" outlineLevel="0" collapsed="false">
      <c r="A701" s="0" t="str">
        <f aca="false">Complaints!A701</f>
        <v>C0700</v>
      </c>
      <c r="B701" s="0" t="str">
        <f aca="false">Complaints!B701</f>
        <v>The adviser did not explain the risks of the investment. There was also a fee involved. I would like a response in writing.</v>
      </c>
      <c r="C701" s="0" t="str">
        <f aca="false">Complaints!C701</f>
        <v>Mis-selling</v>
      </c>
      <c r="D701" s="0" t="str">
        <f aca="false">" "&amp;TRIM(SUBSTITUTE(SUBSTITUTE(SUBSTITUTE(SUBSTITUTE(SUBSTITUTE(SUBSTITUTE(SUBSTITUTE(SUBSTITUTE(SUBSTITUTE(SUBSTITUTE(SUBSTITUTE(SUBSTITUTE(SUBSTITUTE(SUBSTITUTE(SUBSTITUTE(SUBSTITUTE(LOWER(B701),"."," "),","," "),"'"," "),"’"," "),"!"," "),"?"," "),";"," "),":"," "),"-"," "),"("," "),")"," "),"""", " "),"£"," "),"&amp;"," "),"/"," "),"%"," "))&amp;" "</f>
        <v> the adviser did not explain the risks of the investment there was also a fee involved i would like a response in writing </v>
      </c>
      <c r="E701" s="0" t="n">
        <f aca="false">SUMPRODUCT((Rules!$A$2:$A$60=E$1)*Rules!$C$2:$C$60*ISNUMBER(SEARCH(Rules!$D$2:$D$60,$D701)))</f>
        <v>0</v>
      </c>
      <c r="F701" s="0" t="n">
        <f aca="false">SUMPRODUCT((Rules!$A$2:$A$60=F$1)*Rules!$C$2:$C$60*ISNUMBER(SEARCH(Rules!$D$2:$D$60,$D701)))</f>
        <v>4</v>
      </c>
      <c r="G701" s="0" t="n">
        <f aca="false">SUMPRODUCT((Rules!$A$2:$A$60=G$1)*Rules!$C$2:$C$60*ISNUMBER(SEARCH(Rules!$D$2:$D$60,$D701)))</f>
        <v>0</v>
      </c>
      <c r="H701" s="0" t="n">
        <f aca="false">SUMPRODUCT((Rules!$A$2:$A$60=H$1)*Rules!$C$2:$C$60*ISNUMBER(SEARCH(Rules!$D$2:$D$60,$D701)))</f>
        <v>2</v>
      </c>
      <c r="I701" s="0" t="n">
        <f aca="false">SUMPRODUCT((Rules!$A$2:$A$60=I$1)*Rules!$C$2:$C$60*ISNUMBER(SEARCH(Rules!$D$2:$D$60,$D701)))</f>
        <v>0</v>
      </c>
      <c r="J701" s="0" t="n">
        <f aca="false">SUMPRODUCT((Rules!$A$2:$A$60=J$1)*Rules!$C$2:$C$60*ISNUMBER(SEARCH(Rules!$D$2:$D$60,$D701)))</f>
        <v>0</v>
      </c>
      <c r="K701" s="0" t="str">
        <f aca="false">IF(OR(MAX(E701:J701)&lt;Rules!$H$1,MAX(E701:J701)-LARGE(E701:J701,2)&lt;Rules!$H$2),"No label",INDEX($E$1:$J$1,MATCH(MAX(E701:J701),E701:J701,0)))</f>
        <v>Mis-selling</v>
      </c>
      <c r="L701" s="0" t="n">
        <f aca="false">SUMPRODUCT((Rules!$A$2:$A$60=L$1)*Rules!$C$2:$C$60*ISNUMBER(SEARCH(Rules!$E$2:$E$60,$D701)))</f>
        <v>0</v>
      </c>
      <c r="M701" s="0" t="n">
        <f aca="false">SUMPRODUCT((Rules!$A$2:$A$60=M$1)*Rules!$C$2:$C$60*ISNUMBER(SEARCH(Rules!$E$2:$E$60,$D701)))</f>
        <v>6</v>
      </c>
      <c r="N701" s="0" t="n">
        <f aca="false">SUMPRODUCT((Rules!$A$2:$A$60=N$1)*Rules!$C$2:$C$60*ISNUMBER(SEARCH(Rules!$E$2:$E$60,$D701)))</f>
        <v>0</v>
      </c>
      <c r="O701" s="0" t="n">
        <f aca="false">SUMPRODUCT((Rules!$A$2:$A$60=O$1)*Rules!$C$2:$C$60*ISNUMBER(SEARCH(Rules!$E$2:$E$60,$D701)))</f>
        <v>2</v>
      </c>
      <c r="P701" s="0" t="n">
        <f aca="false">SUMPRODUCT((Rules!$A$2:$A$60=P$1)*Rules!$C$2:$C$60*ISNUMBER(SEARCH(Rules!$E$2:$E$60,$D701)))</f>
        <v>0</v>
      </c>
      <c r="Q701" s="0" t="n">
        <f aca="false">SUMPRODUCT((Rules!$A$2:$A$60=Q$1)*Rules!$C$2:$C$60*ISNUMBER(SEARCH(Rules!$E$2:$E$60,$D701)))</f>
        <v>1</v>
      </c>
      <c r="R701" s="0" t="str">
        <f aca="false">IF(OR(MAX(L701:Q701)&lt;Rules!$H$1,MAX(L701:Q701)-LARGE(L701:Q701,2)&lt;Rules!$H$2),"No label",INDEX($L$1:$Q$1,MATCH(MAX(L701:Q701),L701:Q701,0)))</f>
        <v>Mis-selling</v>
      </c>
      <c r="S701" s="0" t="n">
        <f aca="false">SUMPRODUCT(ISNUMBER(SEARCH(" "&amp;Terms!$A$3:$A$821&amp;" ",$D701))*Terms!B$3:B$821)+Terms!B$2</f>
        <v>-2.37968262835804</v>
      </c>
      <c r="T701" s="0" t="n">
        <f aca="false">SUMPRODUCT(ISNUMBER(SEARCH(" "&amp;Terms!$A$3:$A$821&amp;" ",$D701))*Terms!C$3:C$821)+Terms!C$2</f>
        <v>-2.34010662716416</v>
      </c>
      <c r="U701" s="0" t="n">
        <f aca="false">SUMPRODUCT(ISNUMBER(SEARCH(" "&amp;Terms!$A$3:$A$821&amp;" ",$D701))*Terms!D$3:D$821)+Terms!D$2</f>
        <v>-4.45500077164502</v>
      </c>
      <c r="V701" s="0" t="n">
        <f aca="false">SUMPRODUCT(ISNUMBER(SEARCH(" "&amp;Terms!$A$3:$A$821&amp;" ",$D701))*Terms!E$3:E$821)+Terms!E$2</f>
        <v>1.1987018135858</v>
      </c>
      <c r="W701" s="0" t="n">
        <f aca="false">SUMPRODUCT(ISNUMBER(SEARCH(" "&amp;Terms!$A$3:$A$821&amp;" ",$D701))*Terms!F$3:F$821)+Terms!F$2</f>
        <v>-2.73105673012284</v>
      </c>
      <c r="X701" s="0" t="n">
        <f aca="false">SUMPRODUCT(ISNUMBER(SEARCH(" "&amp;Terms!$A$3:$A$821&amp;" ",$D701))*Terms!G$3:G$821)+Terms!G$2</f>
        <v>10.7071449437044</v>
      </c>
      <c r="Y701" s="0" t="str">
        <f aca="false">INDEX($S$1:$X$1,MATCH(MAX(S701:X701),S701:X701,0))</f>
        <v>Mis-selling</v>
      </c>
      <c r="Z701" s="0" t="s">
        <v>2607</v>
      </c>
    </row>
    <row r="702" customFormat="false" ht="15" hidden="false" customHeight="false" outlineLevel="0" collapsed="false">
      <c r="A702" s="0" t="str">
        <f aca="false">Complaints!A702</f>
        <v>C0701</v>
      </c>
      <c r="B702" s="0" t="str">
        <f aca="false">Complaints!B702</f>
        <v>I am writing to complain. You promised the money within three working days and it is still outstanding. I want this put right.</v>
      </c>
      <c r="C702" s="0" t="str">
        <f aca="false">Complaints!C702</f>
        <v>Delays &amp; Processing</v>
      </c>
      <c r="D702" s="0" t="str">
        <f aca="false">" "&amp;TRIM(SUBSTITUTE(SUBSTITUTE(SUBSTITUTE(SUBSTITUTE(SUBSTITUTE(SUBSTITUTE(SUBSTITUTE(SUBSTITUTE(SUBSTITUTE(SUBSTITUTE(SUBSTITUTE(SUBSTITUTE(SUBSTITUTE(SUBSTITUTE(SUBSTITUTE(SUBSTITUTE(LOWER(B702),"."," "),","," "),"'"," "),"’"," "),"!"," "),"?"," "),";"," "),":"," "),"-"," "),"("," "),")"," "),"""", " "),"£"," "),"&amp;"," "),"/"," "),"%"," "))&amp;" "</f>
        <v> i am writing to complain you promised the money within three working days and it is still outstanding i want this put right </v>
      </c>
      <c r="E702" s="0" t="n">
        <f aca="false">SUMPRODUCT((Rules!$A$2:$A$60=E$1)*Rules!$C$2:$C$60*ISNUMBER(SEARCH(Rules!$D$2:$D$60,$D702)))</f>
        <v>0</v>
      </c>
      <c r="F702" s="0" t="n">
        <f aca="false">SUMPRODUCT((Rules!$A$2:$A$60=F$1)*Rules!$C$2:$C$60*ISNUMBER(SEARCH(Rules!$D$2:$D$60,$D702)))</f>
        <v>1</v>
      </c>
      <c r="G702" s="0" t="n">
        <f aca="false">SUMPRODUCT((Rules!$A$2:$A$60=G$1)*Rules!$C$2:$C$60*ISNUMBER(SEARCH(Rules!$D$2:$D$60,$D702)))</f>
        <v>0</v>
      </c>
      <c r="H702" s="0" t="n">
        <f aca="false">SUMPRODUCT((Rules!$A$2:$A$60=H$1)*Rules!$C$2:$C$60*ISNUMBER(SEARCH(Rules!$D$2:$D$60,$D702)))</f>
        <v>0</v>
      </c>
      <c r="I702" s="0" t="n">
        <f aca="false">SUMPRODUCT((Rules!$A$2:$A$60=I$1)*Rules!$C$2:$C$60*ISNUMBER(SEARCH(Rules!$D$2:$D$60,$D702)))</f>
        <v>2</v>
      </c>
      <c r="J702" s="0" t="n">
        <f aca="false">SUMPRODUCT((Rules!$A$2:$A$60=J$1)*Rules!$C$2:$C$60*ISNUMBER(SEARCH(Rules!$D$2:$D$60,$D702)))</f>
        <v>0</v>
      </c>
      <c r="K702" s="0" t="str">
        <f aca="false">IF(OR(MAX(E702:J702)&lt;Rules!$H$1,MAX(E702:J702)-LARGE(E702:J702,2)&lt;Rules!$H$2),"No label",INDEX($E$1:$J$1,MATCH(MAX(E702:J702),E702:J702,0)))</f>
        <v>No label</v>
      </c>
      <c r="L702" s="0" t="n">
        <f aca="false">SUMPRODUCT((Rules!$A$2:$A$60=L$1)*Rules!$C$2:$C$60*ISNUMBER(SEARCH(Rules!$E$2:$E$60,$D702)))</f>
        <v>0</v>
      </c>
      <c r="M702" s="0" t="n">
        <f aca="false">SUMPRODUCT((Rules!$A$2:$A$60=M$1)*Rules!$C$2:$C$60*ISNUMBER(SEARCH(Rules!$E$2:$E$60,$D702)))</f>
        <v>1</v>
      </c>
      <c r="N702" s="0" t="n">
        <f aca="false">SUMPRODUCT((Rules!$A$2:$A$60=N$1)*Rules!$C$2:$C$60*ISNUMBER(SEARCH(Rules!$E$2:$E$60,$D702)))</f>
        <v>0</v>
      </c>
      <c r="O702" s="0" t="n">
        <f aca="false">SUMPRODUCT((Rules!$A$2:$A$60=O$1)*Rules!$C$2:$C$60*ISNUMBER(SEARCH(Rules!$E$2:$E$60,$D702)))</f>
        <v>0</v>
      </c>
      <c r="P702" s="0" t="n">
        <f aca="false">SUMPRODUCT((Rules!$A$2:$A$60=P$1)*Rules!$C$2:$C$60*ISNUMBER(SEARCH(Rules!$E$2:$E$60,$D702)))</f>
        <v>2</v>
      </c>
      <c r="Q702" s="0" t="n">
        <f aca="false">SUMPRODUCT((Rules!$A$2:$A$60=Q$1)*Rules!$C$2:$C$60*ISNUMBER(SEARCH(Rules!$E$2:$E$60,$D702)))</f>
        <v>0</v>
      </c>
      <c r="R702" s="0" t="str">
        <f aca="false">IF(OR(MAX(L702:Q702)&lt;Rules!$H$1,MAX(L702:Q702)-LARGE(L702:Q702,2)&lt;Rules!$H$2),"No label",INDEX($L$1:$Q$1,MATCH(MAX(L702:Q702),L702:Q702,0)))</f>
        <v>No label</v>
      </c>
      <c r="S702" s="0" t="n">
        <f aca="false">SUMPRODUCT(ISNUMBER(SEARCH(" "&amp;Terms!$A$3:$A$821&amp;" ",$D702))*Terms!B$3:B$821)+Terms!B$2</f>
        <v>0.258907686349543</v>
      </c>
      <c r="T702" s="0" t="n">
        <f aca="false">SUMPRODUCT(ISNUMBER(SEARCH(" "&amp;Terms!$A$3:$A$821&amp;" ",$D702))*Terms!C$3:C$821)+Terms!C$2</f>
        <v>-4.90667394983467</v>
      </c>
      <c r="U702" s="0" t="n">
        <f aca="false">SUMPRODUCT(ISNUMBER(SEARCH(" "&amp;Terms!$A$3:$A$821&amp;" ",$D702))*Terms!D$3:D$821)+Terms!D$2</f>
        <v>7.75522379385062</v>
      </c>
      <c r="V702" s="0" t="n">
        <f aca="false">SUMPRODUCT(ISNUMBER(SEARCH(" "&amp;Terms!$A$3:$A$821&amp;" ",$D702))*Terms!E$3:E$821)+Terms!E$2</f>
        <v>-1.96352030213895</v>
      </c>
      <c r="W702" s="0" t="n">
        <f aca="false">SUMPRODUCT(ISNUMBER(SEARCH(" "&amp;Terms!$A$3:$A$821&amp;" ",$D702))*Terms!F$3:F$821)+Terms!F$2</f>
        <v>-0.117279441395204</v>
      </c>
      <c r="X702" s="0" t="n">
        <f aca="false">SUMPRODUCT(ISNUMBER(SEARCH(" "&amp;Terms!$A$3:$A$821&amp;" ",$D702))*Terms!G$3:G$821)+Terms!G$2</f>
        <v>-1.02665778683125</v>
      </c>
      <c r="Y702" s="0" t="str">
        <f aca="false">INDEX($S$1:$X$1,MATCH(MAX(S702:X702),S702:X702,0))</f>
        <v>Delays &amp; Processing</v>
      </c>
      <c r="Z702" s="0" t="s">
        <v>2608</v>
      </c>
    </row>
    <row r="703" customFormat="false" ht="15" hidden="false" customHeight="false" outlineLevel="0" collapsed="false">
      <c r="A703" s="0" t="str">
        <f aca="false">Complaints!A703</f>
        <v>C0702</v>
      </c>
      <c r="B703" s="0" t="str">
        <f aca="false">Complaints!B703</f>
        <v>This has caused me a lot of stress and I want answers. Please escalate this.</v>
      </c>
      <c r="C703" s="0" t="str">
        <f aca="false">Complaints!C703</f>
        <v>Customer Service</v>
      </c>
      <c r="D703" s="0" t="str">
        <f aca="false">" "&amp;TRIM(SUBSTITUTE(SUBSTITUTE(SUBSTITUTE(SUBSTITUTE(SUBSTITUTE(SUBSTITUTE(SUBSTITUTE(SUBSTITUTE(SUBSTITUTE(SUBSTITUTE(SUBSTITUTE(SUBSTITUTE(SUBSTITUTE(SUBSTITUTE(SUBSTITUTE(SUBSTITUTE(LOWER(B703),"."," "),","," "),"'"," "),"’"," "),"!"," "),"?"," "),";"," "),":"," "),"-"," "),"("," "),")"," "),"""", " "),"£"," "),"&amp;"," "),"/"," "),"%"," "))&amp;" "</f>
        <v> this has caused me a lot of stress and i want answers please escalate this </v>
      </c>
      <c r="E703" s="0" t="n">
        <f aca="false">SUMPRODUCT((Rules!$A$2:$A$60=E$1)*Rules!$C$2:$C$60*ISNUMBER(SEARCH(Rules!$D$2:$D$60,$D703)))</f>
        <v>0</v>
      </c>
      <c r="F703" s="0" t="n">
        <f aca="false">SUMPRODUCT((Rules!$A$2:$A$60=F$1)*Rules!$C$2:$C$60*ISNUMBER(SEARCH(Rules!$D$2:$D$60,$D703)))</f>
        <v>0</v>
      </c>
      <c r="G703" s="0" t="n">
        <f aca="false">SUMPRODUCT((Rules!$A$2:$A$60=G$1)*Rules!$C$2:$C$60*ISNUMBER(SEARCH(Rules!$D$2:$D$60,$D703)))</f>
        <v>0</v>
      </c>
      <c r="H703" s="0" t="n">
        <f aca="false">SUMPRODUCT((Rules!$A$2:$A$60=H$1)*Rules!$C$2:$C$60*ISNUMBER(SEARCH(Rules!$D$2:$D$60,$D703)))</f>
        <v>0</v>
      </c>
      <c r="I703" s="0" t="n">
        <f aca="false">SUMPRODUCT((Rules!$A$2:$A$60=I$1)*Rules!$C$2:$C$60*ISNUMBER(SEARCH(Rules!$D$2:$D$60,$D703)))</f>
        <v>0</v>
      </c>
      <c r="J703" s="0" t="n">
        <f aca="false">SUMPRODUCT((Rules!$A$2:$A$60=J$1)*Rules!$C$2:$C$60*ISNUMBER(SEARCH(Rules!$D$2:$D$60,$D703)))</f>
        <v>0</v>
      </c>
      <c r="K703" s="0" t="str">
        <f aca="false">IF(OR(MAX(E703:J703)&lt;Rules!$H$1,MAX(E703:J703)-LARGE(E703:J703,2)&lt;Rules!$H$2),"No label",INDEX($E$1:$J$1,MATCH(MAX(E703:J703),E703:J703,0)))</f>
        <v>No label</v>
      </c>
      <c r="L703" s="0" t="n">
        <f aca="false">SUMPRODUCT((Rules!$A$2:$A$60=L$1)*Rules!$C$2:$C$60*ISNUMBER(SEARCH(Rules!$E$2:$E$60,$D703)))</f>
        <v>0</v>
      </c>
      <c r="M703" s="0" t="n">
        <f aca="false">SUMPRODUCT((Rules!$A$2:$A$60=M$1)*Rules!$C$2:$C$60*ISNUMBER(SEARCH(Rules!$E$2:$E$60,$D703)))</f>
        <v>0</v>
      </c>
      <c r="N703" s="0" t="n">
        <f aca="false">SUMPRODUCT((Rules!$A$2:$A$60=N$1)*Rules!$C$2:$C$60*ISNUMBER(SEARCH(Rules!$E$2:$E$60,$D703)))</f>
        <v>0</v>
      </c>
      <c r="O703" s="0" t="n">
        <f aca="false">SUMPRODUCT((Rules!$A$2:$A$60=O$1)*Rules!$C$2:$C$60*ISNUMBER(SEARCH(Rules!$E$2:$E$60,$D703)))</f>
        <v>0</v>
      </c>
      <c r="P703" s="0" t="n">
        <f aca="false">SUMPRODUCT((Rules!$A$2:$A$60=P$1)*Rules!$C$2:$C$60*ISNUMBER(SEARCH(Rules!$E$2:$E$60,$D703)))</f>
        <v>0</v>
      </c>
      <c r="Q703" s="0" t="n">
        <f aca="false">SUMPRODUCT((Rules!$A$2:$A$60=Q$1)*Rules!$C$2:$C$60*ISNUMBER(SEARCH(Rules!$E$2:$E$60,$D703)))</f>
        <v>0</v>
      </c>
      <c r="R703" s="0" t="str">
        <f aca="false">IF(OR(MAX(L703:Q703)&lt;Rules!$H$1,MAX(L703:Q703)-LARGE(L703:Q703,2)&lt;Rules!$H$2),"No label",INDEX($L$1:$Q$1,MATCH(MAX(L703:Q703),L703:Q703,0)))</f>
        <v>No label</v>
      </c>
      <c r="S703" s="0" t="n">
        <f aca="false">SUMPRODUCT(ISNUMBER(SEARCH(" "&amp;Terms!$A$3:$A$821&amp;" ",$D703))*Terms!B$3:B$821)+Terms!B$2</f>
        <v>1.5260318548283</v>
      </c>
      <c r="T703" s="0" t="n">
        <f aca="false">SUMPRODUCT(ISNUMBER(SEARCH(" "&amp;Terms!$A$3:$A$821&amp;" ",$D703))*Terms!C$3:C$821)+Terms!C$2</f>
        <v>2.05831084884439</v>
      </c>
      <c r="U703" s="0" t="n">
        <f aca="false">SUMPRODUCT(ISNUMBER(SEARCH(" "&amp;Terms!$A$3:$A$821&amp;" ",$D703))*Terms!D$3:D$821)+Terms!D$2</f>
        <v>1.22660713938667</v>
      </c>
      <c r="V703" s="0" t="n">
        <f aca="false">SUMPRODUCT(ISNUMBER(SEARCH(" "&amp;Terms!$A$3:$A$821&amp;" ",$D703))*Terms!E$3:E$821)+Terms!E$2</f>
        <v>-1.07813562721938</v>
      </c>
      <c r="W703" s="0" t="n">
        <f aca="false">SUMPRODUCT(ISNUMBER(SEARCH(" "&amp;Terms!$A$3:$A$821&amp;" ",$D703))*Terms!F$3:F$821)+Terms!F$2</f>
        <v>-1.64144654179328</v>
      </c>
      <c r="X703" s="0" t="n">
        <f aca="false">SUMPRODUCT(ISNUMBER(SEARCH(" "&amp;Terms!$A$3:$A$821&amp;" ",$D703))*Terms!G$3:G$821)+Terms!G$2</f>
        <v>-2.0913676740466</v>
      </c>
      <c r="Y703" s="0" t="str">
        <f aca="false">INDEX($S$1:$X$1,MATCH(MAX(S703:X703),S703:X703,0))</f>
        <v>Customer Service</v>
      </c>
      <c r="Z703" s="0" t="s">
        <v>2607</v>
      </c>
    </row>
    <row r="704" customFormat="false" ht="15" hidden="false" customHeight="false" outlineLevel="0" collapsed="false">
      <c r="A704" s="0" t="str">
        <f aca="false">Complaints!A704</f>
        <v>C0703</v>
      </c>
      <c r="B704" s="0" t="str">
        <f aca="false">Complaints!B704</f>
        <v>There is an unexpected charge on my statement of £48. Also, the adviser did not explain the risks of the investment. This is not acceptable.</v>
      </c>
      <c r="C704" s="0" t="str">
        <f aca="false">Complaints!C704</f>
        <v>Fees &amp; Charges</v>
      </c>
      <c r="D704" s="0" t="str">
        <f aca="false">" "&amp;TRIM(SUBSTITUTE(SUBSTITUTE(SUBSTITUTE(SUBSTITUTE(SUBSTITUTE(SUBSTITUTE(SUBSTITUTE(SUBSTITUTE(SUBSTITUTE(SUBSTITUTE(SUBSTITUTE(SUBSTITUTE(SUBSTITUTE(SUBSTITUTE(SUBSTITUTE(SUBSTITUTE(LOWER(B704),"."," "),","," "),"'"," "),"’"," "),"!"," "),"?"," "),";"," "),":"," "),"-"," "),"("," "),")"," "),"""", " "),"£"," "),"&amp;"," "),"/"," "),"%"," "))&amp;" "</f>
        <v> there is an unexpected charge on my statement of 48 also the adviser did not explain the risks of the investment this is not acceptable </v>
      </c>
      <c r="E704" s="0" t="n">
        <f aca="false">SUMPRODUCT((Rules!$A$2:$A$60=E$1)*Rules!$C$2:$C$60*ISNUMBER(SEARCH(Rules!$D$2:$D$60,$D704)))</f>
        <v>0</v>
      </c>
      <c r="F704" s="0" t="n">
        <f aca="false">SUMPRODUCT((Rules!$A$2:$A$60=F$1)*Rules!$C$2:$C$60*ISNUMBER(SEARCH(Rules!$D$2:$D$60,$D704)))</f>
        <v>4</v>
      </c>
      <c r="G704" s="0" t="n">
        <f aca="false">SUMPRODUCT((Rules!$A$2:$A$60=G$1)*Rules!$C$2:$C$60*ISNUMBER(SEARCH(Rules!$D$2:$D$60,$D704)))</f>
        <v>0</v>
      </c>
      <c r="H704" s="0" t="n">
        <f aca="false">SUMPRODUCT((Rules!$A$2:$A$60=H$1)*Rules!$C$2:$C$60*ISNUMBER(SEARCH(Rules!$D$2:$D$60,$D704)))</f>
        <v>3</v>
      </c>
      <c r="I704" s="0" t="n">
        <f aca="false">SUMPRODUCT((Rules!$A$2:$A$60=I$1)*Rules!$C$2:$C$60*ISNUMBER(SEARCH(Rules!$D$2:$D$60,$D704)))</f>
        <v>0</v>
      </c>
      <c r="J704" s="0" t="n">
        <f aca="false">SUMPRODUCT((Rules!$A$2:$A$60=J$1)*Rules!$C$2:$C$60*ISNUMBER(SEARCH(Rules!$D$2:$D$60,$D704)))</f>
        <v>0</v>
      </c>
      <c r="K704" s="0" t="str">
        <f aca="false">IF(OR(MAX(E704:J704)&lt;Rules!$H$1,MAX(E704:J704)-LARGE(E704:J704,2)&lt;Rules!$H$2),"No label",INDEX($E$1:$J$1,MATCH(MAX(E704:J704),E704:J704,0)))</f>
        <v>No label</v>
      </c>
      <c r="L704" s="0" t="n">
        <f aca="false">SUMPRODUCT((Rules!$A$2:$A$60=L$1)*Rules!$C$2:$C$60*ISNUMBER(SEARCH(Rules!$E$2:$E$60,$D704)))</f>
        <v>0</v>
      </c>
      <c r="M704" s="0" t="n">
        <f aca="false">SUMPRODUCT((Rules!$A$2:$A$60=M$1)*Rules!$C$2:$C$60*ISNUMBER(SEARCH(Rules!$E$2:$E$60,$D704)))</f>
        <v>6</v>
      </c>
      <c r="N704" s="0" t="n">
        <f aca="false">SUMPRODUCT((Rules!$A$2:$A$60=N$1)*Rules!$C$2:$C$60*ISNUMBER(SEARCH(Rules!$E$2:$E$60,$D704)))</f>
        <v>1</v>
      </c>
      <c r="O704" s="0" t="n">
        <f aca="false">SUMPRODUCT((Rules!$A$2:$A$60=O$1)*Rules!$C$2:$C$60*ISNUMBER(SEARCH(Rules!$E$2:$E$60,$D704)))</f>
        <v>5</v>
      </c>
      <c r="P704" s="0" t="n">
        <f aca="false">SUMPRODUCT((Rules!$A$2:$A$60=P$1)*Rules!$C$2:$C$60*ISNUMBER(SEARCH(Rules!$E$2:$E$60,$D704)))</f>
        <v>0</v>
      </c>
      <c r="Q704" s="0" t="n">
        <f aca="false">SUMPRODUCT((Rules!$A$2:$A$60=Q$1)*Rules!$C$2:$C$60*ISNUMBER(SEARCH(Rules!$E$2:$E$60,$D704)))</f>
        <v>1</v>
      </c>
      <c r="R704" s="0" t="str">
        <f aca="false">IF(OR(MAX(L704:Q704)&lt;Rules!$H$1,MAX(L704:Q704)-LARGE(L704:Q704,2)&lt;Rules!$H$2),"No label",INDEX($L$1:$Q$1,MATCH(MAX(L704:Q704),L704:Q704,0)))</f>
        <v>No label</v>
      </c>
      <c r="S704" s="0" t="n">
        <f aca="false">SUMPRODUCT(ISNUMBER(SEARCH(" "&amp;Terms!$A$3:$A$821&amp;" ",$D704))*Terms!B$3:B$821)+Terms!B$2</f>
        <v>-5.27959455484513</v>
      </c>
      <c r="T704" s="0" t="n">
        <f aca="false">SUMPRODUCT(ISNUMBER(SEARCH(" "&amp;Terms!$A$3:$A$821&amp;" ",$D704))*Terms!C$3:C$821)+Terms!C$2</f>
        <v>-3.5266164086538</v>
      </c>
      <c r="U704" s="0" t="n">
        <f aca="false">SUMPRODUCT(ISNUMBER(SEARCH(" "&amp;Terms!$A$3:$A$821&amp;" ",$D704))*Terms!D$3:D$821)+Terms!D$2</f>
        <v>-5.79548841663752</v>
      </c>
      <c r="V704" s="0" t="n">
        <f aca="false">SUMPRODUCT(ISNUMBER(SEARCH(" "&amp;Terms!$A$3:$A$821&amp;" ",$D704))*Terms!E$3:E$821)+Terms!E$2</f>
        <v>9.34931684440261</v>
      </c>
      <c r="W704" s="0" t="n">
        <f aca="false">SUMPRODUCT(ISNUMBER(SEARCH(" "&amp;Terms!$A$3:$A$821&amp;" ",$D704))*Terms!F$3:F$821)+Terms!F$2</f>
        <v>-1.33443304937792</v>
      </c>
      <c r="X704" s="0" t="n">
        <f aca="false">SUMPRODUCT(ISNUMBER(SEARCH(" "&amp;Terms!$A$3:$A$821&amp;" ",$D704))*Terms!G$3:G$821)+Terms!G$2</f>
        <v>6.58681558511186</v>
      </c>
      <c r="Y704" s="0" t="str">
        <f aca="false">INDEX($S$1:$X$1,MATCH(MAX(S704:X704),S704:X704,0))</f>
        <v>Fees &amp; Charges</v>
      </c>
      <c r="Z704" s="0" t="s">
        <v>2607</v>
      </c>
    </row>
    <row r="705" customFormat="false" ht="15" hidden="false" customHeight="false" outlineLevel="0" collapsed="false">
      <c r="A705" s="0" t="str">
        <f aca="false">Complaints!A705</f>
        <v>C0704</v>
      </c>
      <c r="B705" s="0" t="str">
        <f aca="false">Complaints!B705</f>
        <v>Frankly, The salesperson pushed me into a plan I did not need. I want this put right.</v>
      </c>
      <c r="C705" s="0" t="str">
        <f aca="false">Complaints!C705</f>
        <v>Mis-selling</v>
      </c>
      <c r="D705" s="0" t="str">
        <f aca="false">" "&amp;TRIM(SUBSTITUTE(SUBSTITUTE(SUBSTITUTE(SUBSTITUTE(SUBSTITUTE(SUBSTITUTE(SUBSTITUTE(SUBSTITUTE(SUBSTITUTE(SUBSTITUTE(SUBSTITUTE(SUBSTITUTE(SUBSTITUTE(SUBSTITUTE(SUBSTITUTE(SUBSTITUTE(LOWER(B705),"."," "),","," "),"'"," "),"’"," "),"!"," "),"?"," "),";"," "),":"," "),"-"," "),"("," "),")"," "),"""", " "),"£"," "),"&amp;"," "),"/"," "),"%"," "))&amp;" "</f>
        <v> frankly the salesperson pushed me into a plan i did not need i want this put right </v>
      </c>
      <c r="E705" s="0" t="n">
        <f aca="false">SUMPRODUCT((Rules!$A$2:$A$60=E$1)*Rules!$C$2:$C$60*ISNUMBER(SEARCH(Rules!$D$2:$D$60,$D705)))</f>
        <v>0</v>
      </c>
      <c r="F705" s="0" t="n">
        <f aca="false">SUMPRODUCT((Rules!$A$2:$A$60=F$1)*Rules!$C$2:$C$60*ISNUMBER(SEARCH(Rules!$D$2:$D$60,$D705)))</f>
        <v>2</v>
      </c>
      <c r="G705" s="0" t="n">
        <f aca="false">SUMPRODUCT((Rules!$A$2:$A$60=G$1)*Rules!$C$2:$C$60*ISNUMBER(SEARCH(Rules!$D$2:$D$60,$D705)))</f>
        <v>0</v>
      </c>
      <c r="H705" s="0" t="n">
        <f aca="false">SUMPRODUCT((Rules!$A$2:$A$60=H$1)*Rules!$C$2:$C$60*ISNUMBER(SEARCH(Rules!$D$2:$D$60,$D705)))</f>
        <v>0</v>
      </c>
      <c r="I705" s="0" t="n">
        <f aca="false">SUMPRODUCT((Rules!$A$2:$A$60=I$1)*Rules!$C$2:$C$60*ISNUMBER(SEARCH(Rules!$D$2:$D$60,$D705)))</f>
        <v>0</v>
      </c>
      <c r="J705" s="0" t="n">
        <f aca="false">SUMPRODUCT((Rules!$A$2:$A$60=J$1)*Rules!$C$2:$C$60*ISNUMBER(SEARCH(Rules!$D$2:$D$60,$D705)))</f>
        <v>0</v>
      </c>
      <c r="K705" s="0" t="str">
        <f aca="false">IF(OR(MAX(E705:J705)&lt;Rules!$H$1,MAX(E705:J705)-LARGE(E705:J705,2)&lt;Rules!$H$2),"No label",INDEX($E$1:$J$1,MATCH(MAX(E705:J705),E705:J705,0)))</f>
        <v>No label</v>
      </c>
      <c r="L705" s="0" t="n">
        <f aca="false">SUMPRODUCT((Rules!$A$2:$A$60=L$1)*Rules!$C$2:$C$60*ISNUMBER(SEARCH(Rules!$E$2:$E$60,$D705)))</f>
        <v>0</v>
      </c>
      <c r="M705" s="0" t="n">
        <f aca="false">SUMPRODUCT((Rules!$A$2:$A$60=M$1)*Rules!$C$2:$C$60*ISNUMBER(SEARCH(Rules!$E$2:$E$60,$D705)))</f>
        <v>2</v>
      </c>
      <c r="N705" s="0" t="n">
        <f aca="false">SUMPRODUCT((Rules!$A$2:$A$60=N$1)*Rules!$C$2:$C$60*ISNUMBER(SEARCH(Rules!$E$2:$E$60,$D705)))</f>
        <v>0</v>
      </c>
      <c r="O705" s="0" t="n">
        <f aca="false">SUMPRODUCT((Rules!$A$2:$A$60=O$1)*Rules!$C$2:$C$60*ISNUMBER(SEARCH(Rules!$E$2:$E$60,$D705)))</f>
        <v>0</v>
      </c>
      <c r="P705" s="0" t="n">
        <f aca="false">SUMPRODUCT((Rules!$A$2:$A$60=P$1)*Rules!$C$2:$C$60*ISNUMBER(SEARCH(Rules!$E$2:$E$60,$D705)))</f>
        <v>0</v>
      </c>
      <c r="Q705" s="0" t="n">
        <f aca="false">SUMPRODUCT((Rules!$A$2:$A$60=Q$1)*Rules!$C$2:$C$60*ISNUMBER(SEARCH(Rules!$E$2:$E$60,$D705)))</f>
        <v>0</v>
      </c>
      <c r="R705" s="0" t="str">
        <f aca="false">IF(OR(MAX(L705:Q705)&lt;Rules!$H$1,MAX(L705:Q705)-LARGE(L705:Q705,2)&lt;Rules!$H$2),"No label",INDEX($L$1:$Q$1,MATCH(MAX(L705:Q705),L705:Q705,0)))</f>
        <v>No label</v>
      </c>
      <c r="S705" s="0" t="n">
        <f aca="false">SUMPRODUCT(ISNUMBER(SEARCH(" "&amp;Terms!$A$3:$A$821&amp;" ",$D705))*Terms!B$3:B$821)+Terms!B$2</f>
        <v>-4.46986914988608</v>
      </c>
      <c r="T705" s="0" t="n">
        <f aca="false">SUMPRODUCT(ISNUMBER(SEARCH(" "&amp;Terms!$A$3:$A$821&amp;" ",$D705))*Terms!C$3:C$821)+Terms!C$2</f>
        <v>-1.32627250564053</v>
      </c>
      <c r="U705" s="0" t="n">
        <f aca="false">SUMPRODUCT(ISNUMBER(SEARCH(" "&amp;Terms!$A$3:$A$821&amp;" ",$D705))*Terms!D$3:D$821)+Terms!D$2</f>
        <v>-5.20587538230635</v>
      </c>
      <c r="V705" s="0" t="n">
        <f aca="false">SUMPRODUCT(ISNUMBER(SEARCH(" "&amp;Terms!$A$3:$A$821&amp;" ",$D705))*Terms!E$3:E$821)+Terms!E$2</f>
        <v>-0.408122971699527</v>
      </c>
      <c r="W705" s="0" t="n">
        <f aca="false">SUMPRODUCT(ISNUMBER(SEARCH(" "&amp;Terms!$A$3:$A$821&amp;" ",$D705))*Terms!F$3:F$821)+Terms!F$2</f>
        <v>2.78119478159766</v>
      </c>
      <c r="X705" s="0" t="n">
        <f aca="false">SUMPRODUCT(ISNUMBER(SEARCH(" "&amp;Terms!$A$3:$A$821&amp;" ",$D705))*Terms!G$3:G$821)+Terms!G$2</f>
        <v>8.62894522793494</v>
      </c>
      <c r="Y705" s="0" t="str">
        <f aca="false">INDEX($S$1:$X$1,MATCH(MAX(S705:X705),S705:X705,0))</f>
        <v>Mis-selling</v>
      </c>
      <c r="Z705" s="0" t="s">
        <v>2607</v>
      </c>
    </row>
    <row r="706" customFormat="false" ht="15" hidden="false" customHeight="false" outlineLevel="0" collapsed="false">
      <c r="A706" s="0" t="str">
        <f aca="false">Complaints!A706</f>
        <v>C0705</v>
      </c>
      <c r="B706" s="0" t="str">
        <f aca="false">Complaints!B706</f>
        <v>My mortgage switch is taking far longer than you said it would. Please escalate this.</v>
      </c>
      <c r="C706" s="0" t="str">
        <f aca="false">Complaints!C706</f>
        <v>Delays &amp; Processing</v>
      </c>
      <c r="D706" s="0" t="str">
        <f aca="false">" "&amp;TRIM(SUBSTITUTE(SUBSTITUTE(SUBSTITUTE(SUBSTITUTE(SUBSTITUTE(SUBSTITUTE(SUBSTITUTE(SUBSTITUTE(SUBSTITUTE(SUBSTITUTE(SUBSTITUTE(SUBSTITUTE(SUBSTITUTE(SUBSTITUTE(SUBSTITUTE(SUBSTITUTE(LOWER(B706),"."," "),","," "),"'"," "),"’"," "),"!"," "),"?"," "),";"," "),":"," "),"-"," "),"("," "),")"," "),"""", " "),"£"," "),"&amp;"," "),"/"," "),"%"," "))&amp;" "</f>
        <v> my mortgage switch is taking far longer than you said it would please escalate this </v>
      </c>
      <c r="E706" s="0" t="n">
        <f aca="false">SUMPRODUCT((Rules!$A$2:$A$60=E$1)*Rules!$C$2:$C$60*ISNUMBER(SEARCH(Rules!$D$2:$D$60,$D706)))</f>
        <v>0</v>
      </c>
      <c r="F706" s="0" t="n">
        <f aca="false">SUMPRODUCT((Rules!$A$2:$A$60=F$1)*Rules!$C$2:$C$60*ISNUMBER(SEARCH(Rules!$D$2:$D$60,$D706)))</f>
        <v>0</v>
      </c>
      <c r="G706" s="0" t="n">
        <f aca="false">SUMPRODUCT((Rules!$A$2:$A$60=G$1)*Rules!$C$2:$C$60*ISNUMBER(SEARCH(Rules!$D$2:$D$60,$D706)))</f>
        <v>0</v>
      </c>
      <c r="H706" s="0" t="n">
        <f aca="false">SUMPRODUCT((Rules!$A$2:$A$60=H$1)*Rules!$C$2:$C$60*ISNUMBER(SEARCH(Rules!$D$2:$D$60,$D706)))</f>
        <v>0</v>
      </c>
      <c r="I706" s="0" t="n">
        <f aca="false">SUMPRODUCT((Rules!$A$2:$A$60=I$1)*Rules!$C$2:$C$60*ISNUMBER(SEARCH(Rules!$D$2:$D$60,$D706)))</f>
        <v>2</v>
      </c>
      <c r="J706" s="0" t="n">
        <f aca="false">SUMPRODUCT((Rules!$A$2:$A$60=J$1)*Rules!$C$2:$C$60*ISNUMBER(SEARCH(Rules!$D$2:$D$60,$D706)))</f>
        <v>0</v>
      </c>
      <c r="K706" s="0" t="str">
        <f aca="false">IF(OR(MAX(E706:J706)&lt;Rules!$H$1,MAX(E706:J706)-LARGE(E706:J706,2)&lt;Rules!$H$2),"No label",INDEX($E$1:$J$1,MATCH(MAX(E706:J706),E706:J706,0)))</f>
        <v>No label</v>
      </c>
      <c r="L706" s="0" t="n">
        <f aca="false">SUMPRODUCT((Rules!$A$2:$A$60=L$1)*Rules!$C$2:$C$60*ISNUMBER(SEARCH(Rules!$E$2:$E$60,$D706)))</f>
        <v>0</v>
      </c>
      <c r="M706" s="0" t="n">
        <f aca="false">SUMPRODUCT((Rules!$A$2:$A$60=M$1)*Rules!$C$2:$C$60*ISNUMBER(SEARCH(Rules!$E$2:$E$60,$D706)))</f>
        <v>0</v>
      </c>
      <c r="N706" s="0" t="n">
        <f aca="false">SUMPRODUCT((Rules!$A$2:$A$60=N$1)*Rules!$C$2:$C$60*ISNUMBER(SEARCH(Rules!$E$2:$E$60,$D706)))</f>
        <v>0</v>
      </c>
      <c r="O706" s="0" t="n">
        <f aca="false">SUMPRODUCT((Rules!$A$2:$A$60=O$1)*Rules!$C$2:$C$60*ISNUMBER(SEARCH(Rules!$E$2:$E$60,$D706)))</f>
        <v>0</v>
      </c>
      <c r="P706" s="0" t="n">
        <f aca="false">SUMPRODUCT((Rules!$A$2:$A$60=P$1)*Rules!$C$2:$C$60*ISNUMBER(SEARCH(Rules!$E$2:$E$60,$D706)))</f>
        <v>2</v>
      </c>
      <c r="Q706" s="0" t="n">
        <f aca="false">SUMPRODUCT((Rules!$A$2:$A$60=Q$1)*Rules!$C$2:$C$60*ISNUMBER(SEARCH(Rules!$E$2:$E$60,$D706)))</f>
        <v>0</v>
      </c>
      <c r="R706" s="0" t="str">
        <f aca="false">IF(OR(MAX(L706:Q706)&lt;Rules!$H$1,MAX(L706:Q706)-LARGE(L706:Q706,2)&lt;Rules!$H$2),"No label",INDEX($L$1:$Q$1,MATCH(MAX(L706:Q706),L706:Q706,0)))</f>
        <v>No label</v>
      </c>
      <c r="S706" s="0" t="n">
        <f aca="false">SUMPRODUCT(ISNUMBER(SEARCH(" "&amp;Terms!$A$3:$A$821&amp;" ",$D706))*Terms!B$3:B$821)+Terms!B$2</f>
        <v>-4.0292659785833</v>
      </c>
      <c r="T706" s="0" t="n">
        <f aca="false">SUMPRODUCT(ISNUMBER(SEARCH(" "&amp;Terms!$A$3:$A$821&amp;" ",$D706))*Terms!C$3:C$821)+Terms!C$2</f>
        <v>-0.163346925126127</v>
      </c>
      <c r="U706" s="0" t="n">
        <f aca="false">SUMPRODUCT(ISNUMBER(SEARCH(" "&amp;Terms!$A$3:$A$821&amp;" ",$D706))*Terms!D$3:D$821)+Terms!D$2</f>
        <v>9.96840626579665</v>
      </c>
      <c r="V706" s="0" t="n">
        <f aca="false">SUMPRODUCT(ISNUMBER(SEARCH(" "&amp;Terms!$A$3:$A$821&amp;" ",$D706))*Terms!E$3:E$821)+Terms!E$2</f>
        <v>-1.53137254390644</v>
      </c>
      <c r="W706" s="0" t="n">
        <f aca="false">SUMPRODUCT(ISNUMBER(SEARCH(" "&amp;Terms!$A$3:$A$821&amp;" ",$D706))*Terms!F$3:F$821)+Terms!F$2</f>
        <v>-2.55916749521124</v>
      </c>
      <c r="X706" s="0" t="n">
        <f aca="false">SUMPRODUCT(ISNUMBER(SEARCH(" "&amp;Terms!$A$3:$A$821&amp;" ",$D706))*Terms!G$3:G$821)+Terms!G$2</f>
        <v>-1.68525332296945</v>
      </c>
      <c r="Y706" s="0" t="str">
        <f aca="false">INDEX($S$1:$X$1,MATCH(MAX(S706:X706),S706:X706,0))</f>
        <v>Delays &amp; Processing</v>
      </c>
      <c r="Z706" s="0" t="s">
        <v>2607</v>
      </c>
    </row>
    <row r="707" customFormat="false" ht="15" hidden="false" customHeight="false" outlineLevel="0" collapsed="false">
      <c r="A707" s="0" t="str">
        <f aca="false">Complaints!A707</f>
        <v>C0706</v>
      </c>
      <c r="B707" s="0" t="str">
        <f aca="false">Complaints!B707</f>
        <v>To whom it may concern, Two factor codes are not being sent to my phone. Please escalate this.</v>
      </c>
      <c r="C707" s="0" t="str">
        <f aca="false">Complaints!C707</f>
        <v>Account Access</v>
      </c>
      <c r="D707" s="0" t="str">
        <f aca="false">" "&amp;TRIM(SUBSTITUTE(SUBSTITUTE(SUBSTITUTE(SUBSTITUTE(SUBSTITUTE(SUBSTITUTE(SUBSTITUTE(SUBSTITUTE(SUBSTITUTE(SUBSTITUTE(SUBSTITUTE(SUBSTITUTE(SUBSTITUTE(SUBSTITUTE(SUBSTITUTE(SUBSTITUTE(LOWER(B707),"."," "),","," "),"'"," "),"’"," "),"!"," "),"?"," "),";"," "),":"," "),"-"," "),"("," "),")"," "),"""", " "),"£"," "),"&amp;"," "),"/"," "),"%"," "))&amp;" "</f>
        <v> to whom it may concern two factor codes are not being sent to my phone please escalate this </v>
      </c>
      <c r="E707" s="0" t="n">
        <f aca="false">SUMPRODUCT((Rules!$A$2:$A$60=E$1)*Rules!$C$2:$C$60*ISNUMBER(SEARCH(Rules!$D$2:$D$60,$D707)))</f>
        <v>0</v>
      </c>
      <c r="F707" s="0" t="n">
        <f aca="false">SUMPRODUCT((Rules!$A$2:$A$60=F$1)*Rules!$C$2:$C$60*ISNUMBER(SEARCH(Rules!$D$2:$D$60,$D707)))</f>
        <v>0</v>
      </c>
      <c r="G707" s="0" t="n">
        <f aca="false">SUMPRODUCT((Rules!$A$2:$A$60=G$1)*Rules!$C$2:$C$60*ISNUMBER(SEARCH(Rules!$D$2:$D$60,$D707)))</f>
        <v>3</v>
      </c>
      <c r="H707" s="0" t="n">
        <f aca="false">SUMPRODUCT((Rules!$A$2:$A$60=H$1)*Rules!$C$2:$C$60*ISNUMBER(SEARCH(Rules!$D$2:$D$60,$D707)))</f>
        <v>0</v>
      </c>
      <c r="I707" s="0" t="n">
        <f aca="false">SUMPRODUCT((Rules!$A$2:$A$60=I$1)*Rules!$C$2:$C$60*ISNUMBER(SEARCH(Rules!$D$2:$D$60,$D707)))</f>
        <v>0</v>
      </c>
      <c r="J707" s="0" t="n">
        <f aca="false">SUMPRODUCT((Rules!$A$2:$A$60=J$1)*Rules!$C$2:$C$60*ISNUMBER(SEARCH(Rules!$D$2:$D$60,$D707)))</f>
        <v>0</v>
      </c>
      <c r="K707" s="0" t="str">
        <f aca="false">IF(OR(MAX(E707:J707)&lt;Rules!$H$1,MAX(E707:J707)-LARGE(E707:J707,2)&lt;Rules!$H$2),"No label",INDEX($E$1:$J$1,MATCH(MAX(E707:J707),E707:J707,0)))</f>
        <v>Account Access</v>
      </c>
      <c r="L707" s="0" t="n">
        <f aca="false">SUMPRODUCT((Rules!$A$2:$A$60=L$1)*Rules!$C$2:$C$60*ISNUMBER(SEARCH(Rules!$E$2:$E$60,$D707)))</f>
        <v>0</v>
      </c>
      <c r="M707" s="0" t="n">
        <f aca="false">SUMPRODUCT((Rules!$A$2:$A$60=M$1)*Rules!$C$2:$C$60*ISNUMBER(SEARCH(Rules!$E$2:$E$60,$D707)))</f>
        <v>0</v>
      </c>
      <c r="N707" s="0" t="n">
        <f aca="false">SUMPRODUCT((Rules!$A$2:$A$60=N$1)*Rules!$C$2:$C$60*ISNUMBER(SEARCH(Rules!$E$2:$E$60,$D707)))</f>
        <v>3</v>
      </c>
      <c r="O707" s="0" t="n">
        <f aca="false">SUMPRODUCT((Rules!$A$2:$A$60=O$1)*Rules!$C$2:$C$60*ISNUMBER(SEARCH(Rules!$E$2:$E$60,$D707)))</f>
        <v>0</v>
      </c>
      <c r="P707" s="0" t="n">
        <f aca="false">SUMPRODUCT((Rules!$A$2:$A$60=P$1)*Rules!$C$2:$C$60*ISNUMBER(SEARCH(Rules!$E$2:$E$60,$D707)))</f>
        <v>0</v>
      </c>
      <c r="Q707" s="0" t="n">
        <f aca="false">SUMPRODUCT((Rules!$A$2:$A$60=Q$1)*Rules!$C$2:$C$60*ISNUMBER(SEARCH(Rules!$E$2:$E$60,$D707)))</f>
        <v>0</v>
      </c>
      <c r="R707" s="0" t="str">
        <f aca="false">IF(OR(MAX(L707:Q707)&lt;Rules!$H$1,MAX(L707:Q707)-LARGE(L707:Q707,2)&lt;Rules!$H$2),"No label",INDEX($L$1:$Q$1,MATCH(MAX(L707:Q707),L707:Q707,0)))</f>
        <v>Account Access</v>
      </c>
      <c r="S707" s="0" t="n">
        <f aca="false">SUMPRODUCT(ISNUMBER(SEARCH(" "&amp;Terms!$A$3:$A$821&amp;" ",$D707))*Terms!B$3:B$821)+Terms!B$2</f>
        <v>8.97297143390527</v>
      </c>
      <c r="T707" s="0" t="n">
        <f aca="false">SUMPRODUCT(ISNUMBER(SEARCH(" "&amp;Terms!$A$3:$A$821&amp;" ",$D707))*Terms!C$3:C$821)+Terms!C$2</f>
        <v>-2.94688146373745</v>
      </c>
      <c r="U707" s="0" t="n">
        <f aca="false">SUMPRODUCT(ISNUMBER(SEARCH(" "&amp;Terms!$A$3:$A$821&amp;" ",$D707))*Terms!D$3:D$821)+Terms!D$2</f>
        <v>2.12465235050079</v>
      </c>
      <c r="V707" s="0" t="n">
        <f aca="false">SUMPRODUCT(ISNUMBER(SEARCH(" "&amp;Terms!$A$3:$A$821&amp;" ",$D707))*Terms!E$3:E$821)+Terms!E$2</f>
        <v>-0.328100766401764</v>
      </c>
      <c r="W707" s="0" t="n">
        <f aca="false">SUMPRODUCT(ISNUMBER(SEARCH(" "&amp;Terms!$A$3:$A$821&amp;" ",$D707))*Terms!F$3:F$821)+Terms!F$2</f>
        <v>-5.35640618215611</v>
      </c>
      <c r="X707" s="0" t="n">
        <f aca="false">SUMPRODUCT(ISNUMBER(SEARCH(" "&amp;Terms!$A$3:$A$821&amp;" ",$D707))*Terms!G$3:G$821)+Terms!G$2</f>
        <v>-2.46623537211065</v>
      </c>
      <c r="Y707" s="0" t="str">
        <f aca="false">INDEX($S$1:$X$1,MATCH(MAX(S707:X707),S707:X707,0))</f>
        <v>Account Access</v>
      </c>
      <c r="Z707" s="0" t="s">
        <v>2607</v>
      </c>
    </row>
    <row r="708" customFormat="false" ht="15" hidden="false" customHeight="false" outlineLevel="0" collapsed="false">
      <c r="A708" s="0" t="str">
        <f aca="false">Complaints!A708</f>
        <v>C0707</v>
      </c>
      <c r="B708" s="0" t="str">
        <f aca="false">Complaints!B708</f>
        <v>I have been a cusomer for years. My application has been stuck for weeks with no progress.</v>
      </c>
      <c r="C708" s="0" t="str">
        <f aca="false">Complaints!C708</f>
        <v>Delays &amp; Processing</v>
      </c>
      <c r="D708" s="0" t="str">
        <f aca="false">" "&amp;TRIM(SUBSTITUTE(SUBSTITUTE(SUBSTITUTE(SUBSTITUTE(SUBSTITUTE(SUBSTITUTE(SUBSTITUTE(SUBSTITUTE(SUBSTITUTE(SUBSTITUTE(SUBSTITUTE(SUBSTITUTE(SUBSTITUTE(SUBSTITUTE(SUBSTITUTE(SUBSTITUTE(LOWER(B708),"."," "),","," "),"'"," "),"’"," "),"!"," "),"?"," "),";"," "),":"," "),"-"," "),"("," "),")"," "),"""", " "),"£"," "),"&amp;"," "),"/"," "),"%"," "))&amp;" "</f>
        <v> i have been a cusomer for years my application has been stuck for weeks with no progress </v>
      </c>
      <c r="E708" s="0" t="n">
        <f aca="false">SUMPRODUCT((Rules!$A$2:$A$60=E$1)*Rules!$C$2:$C$60*ISNUMBER(SEARCH(Rules!$D$2:$D$60,$D708)))</f>
        <v>0</v>
      </c>
      <c r="F708" s="0" t="n">
        <f aca="false">SUMPRODUCT((Rules!$A$2:$A$60=F$1)*Rules!$C$2:$C$60*ISNUMBER(SEARCH(Rules!$D$2:$D$60,$D708)))</f>
        <v>0</v>
      </c>
      <c r="G708" s="0" t="n">
        <f aca="false">SUMPRODUCT((Rules!$A$2:$A$60=G$1)*Rules!$C$2:$C$60*ISNUMBER(SEARCH(Rules!$D$2:$D$60,$D708)))</f>
        <v>0</v>
      </c>
      <c r="H708" s="0" t="n">
        <f aca="false">SUMPRODUCT((Rules!$A$2:$A$60=H$1)*Rules!$C$2:$C$60*ISNUMBER(SEARCH(Rules!$D$2:$D$60,$D708)))</f>
        <v>0</v>
      </c>
      <c r="I708" s="0" t="n">
        <f aca="false">SUMPRODUCT((Rules!$A$2:$A$60=I$1)*Rules!$C$2:$C$60*ISNUMBER(SEARCH(Rules!$D$2:$D$60,$D708)))</f>
        <v>3</v>
      </c>
      <c r="J708" s="0" t="n">
        <f aca="false">SUMPRODUCT((Rules!$A$2:$A$60=J$1)*Rules!$C$2:$C$60*ISNUMBER(SEARCH(Rules!$D$2:$D$60,$D708)))</f>
        <v>0</v>
      </c>
      <c r="K708" s="0" t="str">
        <f aca="false">IF(OR(MAX(E708:J708)&lt;Rules!$H$1,MAX(E708:J708)-LARGE(E708:J708,2)&lt;Rules!$H$2),"No label",INDEX($E$1:$J$1,MATCH(MAX(E708:J708),E708:J708,0)))</f>
        <v>Delays &amp; Processing</v>
      </c>
      <c r="L708" s="0" t="n">
        <f aca="false">SUMPRODUCT((Rules!$A$2:$A$60=L$1)*Rules!$C$2:$C$60*ISNUMBER(SEARCH(Rules!$E$2:$E$60,$D708)))</f>
        <v>0</v>
      </c>
      <c r="M708" s="0" t="n">
        <f aca="false">SUMPRODUCT((Rules!$A$2:$A$60=M$1)*Rules!$C$2:$C$60*ISNUMBER(SEARCH(Rules!$E$2:$E$60,$D708)))</f>
        <v>0</v>
      </c>
      <c r="N708" s="0" t="n">
        <f aca="false">SUMPRODUCT((Rules!$A$2:$A$60=N$1)*Rules!$C$2:$C$60*ISNUMBER(SEARCH(Rules!$E$2:$E$60,$D708)))</f>
        <v>0</v>
      </c>
      <c r="O708" s="0" t="n">
        <f aca="false">SUMPRODUCT((Rules!$A$2:$A$60=O$1)*Rules!$C$2:$C$60*ISNUMBER(SEARCH(Rules!$E$2:$E$60,$D708)))</f>
        <v>0</v>
      </c>
      <c r="P708" s="0" t="n">
        <f aca="false">SUMPRODUCT((Rules!$A$2:$A$60=P$1)*Rules!$C$2:$C$60*ISNUMBER(SEARCH(Rules!$E$2:$E$60,$D708)))</f>
        <v>3</v>
      </c>
      <c r="Q708" s="0" t="n">
        <f aca="false">SUMPRODUCT((Rules!$A$2:$A$60=Q$1)*Rules!$C$2:$C$60*ISNUMBER(SEARCH(Rules!$E$2:$E$60,$D708)))</f>
        <v>0</v>
      </c>
      <c r="R708" s="0" t="str">
        <f aca="false">IF(OR(MAX(L708:Q708)&lt;Rules!$H$1,MAX(L708:Q708)-LARGE(L708:Q708,2)&lt;Rules!$H$2),"No label",INDEX($L$1:$Q$1,MATCH(MAX(L708:Q708),L708:Q708,0)))</f>
        <v>Delays &amp; Processing</v>
      </c>
      <c r="S708" s="0" t="n">
        <f aca="false">SUMPRODUCT(ISNUMBER(SEARCH(" "&amp;Terms!$A$3:$A$821&amp;" ",$D708))*Terms!B$3:B$821)+Terms!B$2</f>
        <v>-2.34160822756798</v>
      </c>
      <c r="T708" s="0" t="n">
        <f aca="false">SUMPRODUCT(ISNUMBER(SEARCH(" "&amp;Terms!$A$3:$A$821&amp;" ",$D708))*Terms!C$3:C$821)+Terms!C$2</f>
        <v>0.438385091275475</v>
      </c>
      <c r="U708" s="0" t="n">
        <f aca="false">SUMPRODUCT(ISNUMBER(SEARCH(" "&amp;Terms!$A$3:$A$821&amp;" ",$D708))*Terms!D$3:D$821)+Terms!D$2</f>
        <v>8.68939614154181</v>
      </c>
      <c r="V708" s="0" t="n">
        <f aca="false">SUMPRODUCT(ISNUMBER(SEARCH(" "&amp;Terms!$A$3:$A$821&amp;" ",$D708))*Terms!E$3:E$821)+Terms!E$2</f>
        <v>-1.88547019223088</v>
      </c>
      <c r="W708" s="0" t="n">
        <f aca="false">SUMPRODUCT(ISNUMBER(SEARCH(" "&amp;Terms!$A$3:$A$821&amp;" ",$D708))*Terms!F$3:F$821)+Terms!F$2</f>
        <v>-3.0315707571212</v>
      </c>
      <c r="X708" s="0" t="n">
        <f aca="false">SUMPRODUCT(ISNUMBER(SEARCH(" "&amp;Terms!$A$3:$A$821&amp;" ",$D708))*Terms!G$3:G$821)+Terms!G$2</f>
        <v>-1.86913205589714</v>
      </c>
      <c r="Y708" s="0" t="str">
        <f aca="false">INDEX($S$1:$X$1,MATCH(MAX(S708:X708),S708:X708,0))</f>
        <v>Delays &amp; Processing</v>
      </c>
      <c r="Z708" s="0" t="s">
        <v>2607</v>
      </c>
    </row>
    <row r="709" customFormat="false" ht="15" hidden="false" customHeight="false" outlineLevel="0" collapsed="false">
      <c r="A709" s="0" t="str">
        <f aca="false">Complaints!A709</f>
        <v>C0708</v>
      </c>
      <c r="B709" s="0" t="str">
        <f aca="false">Complaints!B709</f>
        <v>Frankly, You promised the money within three working days and it is still outstanding. I do not think it was explained properly when I bought it. I would like a response in writing.</v>
      </c>
      <c r="C709" s="0" t="str">
        <f aca="false">Complaints!C709</f>
        <v>Delays &amp; Processing</v>
      </c>
      <c r="D709" s="0" t="str">
        <f aca="false">" "&amp;TRIM(SUBSTITUTE(SUBSTITUTE(SUBSTITUTE(SUBSTITUTE(SUBSTITUTE(SUBSTITUTE(SUBSTITUTE(SUBSTITUTE(SUBSTITUTE(SUBSTITUTE(SUBSTITUTE(SUBSTITUTE(SUBSTITUTE(SUBSTITUTE(SUBSTITUTE(SUBSTITUTE(LOWER(B709),"."," "),","," "),"'"," "),"’"," "),"!"," "),"?"," "),";"," "),":"," "),"-"," "),"("," "),")"," "),"""", " "),"£"," "),"&amp;"," "),"/"," "),"%"," "))&amp;" "</f>
        <v> frankly you promised the money within three working days and it is still outstanding i do not think it was explained properly when i bought it i would like a response in writing </v>
      </c>
      <c r="E709" s="0" t="n">
        <f aca="false">SUMPRODUCT((Rules!$A$2:$A$60=E$1)*Rules!$C$2:$C$60*ISNUMBER(SEARCH(Rules!$D$2:$D$60,$D709)))</f>
        <v>0</v>
      </c>
      <c r="F709" s="0" t="n">
        <f aca="false">SUMPRODUCT((Rules!$A$2:$A$60=F$1)*Rules!$C$2:$C$60*ISNUMBER(SEARCH(Rules!$D$2:$D$60,$D709)))</f>
        <v>1</v>
      </c>
      <c r="G709" s="0" t="n">
        <f aca="false">SUMPRODUCT((Rules!$A$2:$A$60=G$1)*Rules!$C$2:$C$60*ISNUMBER(SEARCH(Rules!$D$2:$D$60,$D709)))</f>
        <v>0</v>
      </c>
      <c r="H709" s="0" t="n">
        <f aca="false">SUMPRODUCT((Rules!$A$2:$A$60=H$1)*Rules!$C$2:$C$60*ISNUMBER(SEARCH(Rules!$D$2:$D$60,$D709)))</f>
        <v>0</v>
      </c>
      <c r="I709" s="0" t="n">
        <f aca="false">SUMPRODUCT((Rules!$A$2:$A$60=I$1)*Rules!$C$2:$C$60*ISNUMBER(SEARCH(Rules!$D$2:$D$60,$D709)))</f>
        <v>2</v>
      </c>
      <c r="J709" s="0" t="n">
        <f aca="false">SUMPRODUCT((Rules!$A$2:$A$60=J$1)*Rules!$C$2:$C$60*ISNUMBER(SEARCH(Rules!$D$2:$D$60,$D709)))</f>
        <v>0</v>
      </c>
      <c r="K709" s="0" t="str">
        <f aca="false">IF(OR(MAX(E709:J709)&lt;Rules!$H$1,MAX(E709:J709)-LARGE(E709:J709,2)&lt;Rules!$H$2),"No label",INDEX($E$1:$J$1,MATCH(MAX(E709:J709),E709:J709,0)))</f>
        <v>No label</v>
      </c>
      <c r="L709" s="0" t="n">
        <f aca="false">SUMPRODUCT((Rules!$A$2:$A$60=L$1)*Rules!$C$2:$C$60*ISNUMBER(SEARCH(Rules!$E$2:$E$60,$D709)))</f>
        <v>0</v>
      </c>
      <c r="M709" s="0" t="n">
        <f aca="false">SUMPRODUCT((Rules!$A$2:$A$60=M$1)*Rules!$C$2:$C$60*ISNUMBER(SEARCH(Rules!$E$2:$E$60,$D709)))</f>
        <v>1</v>
      </c>
      <c r="N709" s="0" t="n">
        <f aca="false">SUMPRODUCT((Rules!$A$2:$A$60=N$1)*Rules!$C$2:$C$60*ISNUMBER(SEARCH(Rules!$E$2:$E$60,$D709)))</f>
        <v>0</v>
      </c>
      <c r="O709" s="0" t="n">
        <f aca="false">SUMPRODUCT((Rules!$A$2:$A$60=O$1)*Rules!$C$2:$C$60*ISNUMBER(SEARCH(Rules!$E$2:$E$60,$D709)))</f>
        <v>0</v>
      </c>
      <c r="P709" s="0" t="n">
        <f aca="false">SUMPRODUCT((Rules!$A$2:$A$60=P$1)*Rules!$C$2:$C$60*ISNUMBER(SEARCH(Rules!$E$2:$E$60,$D709)))</f>
        <v>2</v>
      </c>
      <c r="Q709" s="0" t="n">
        <f aca="false">SUMPRODUCT((Rules!$A$2:$A$60=Q$1)*Rules!$C$2:$C$60*ISNUMBER(SEARCH(Rules!$E$2:$E$60,$D709)))</f>
        <v>0</v>
      </c>
      <c r="R709" s="0" t="str">
        <f aca="false">IF(OR(MAX(L709:Q709)&lt;Rules!$H$1,MAX(L709:Q709)-LARGE(L709:Q709,2)&lt;Rules!$H$2),"No label",INDEX($L$1:$Q$1,MATCH(MAX(L709:Q709),L709:Q709,0)))</f>
        <v>No label</v>
      </c>
      <c r="S709" s="0" t="n">
        <f aca="false">SUMPRODUCT(ISNUMBER(SEARCH(" "&amp;Terms!$A$3:$A$821&amp;" ",$D709))*Terms!B$3:B$821)+Terms!B$2</f>
        <v>0.990356324218592</v>
      </c>
      <c r="T709" s="0" t="n">
        <f aca="false">SUMPRODUCT(ISNUMBER(SEARCH(" "&amp;Terms!$A$3:$A$821&amp;" ",$D709))*Terms!C$3:C$821)+Terms!C$2</f>
        <v>-4.44742540055798</v>
      </c>
      <c r="U709" s="0" t="n">
        <f aca="false">SUMPRODUCT(ISNUMBER(SEARCH(" "&amp;Terms!$A$3:$A$821&amp;" ",$D709))*Terms!D$3:D$821)+Terms!D$2</f>
        <v>5.38423507332781</v>
      </c>
      <c r="V709" s="0" t="n">
        <f aca="false">SUMPRODUCT(ISNUMBER(SEARCH(" "&amp;Terms!$A$3:$A$821&amp;" ",$D709))*Terms!E$3:E$821)+Terms!E$2</f>
        <v>0.035987034587669</v>
      </c>
      <c r="W709" s="0" t="n">
        <f aca="false">SUMPRODUCT(ISNUMBER(SEARCH(" "&amp;Terms!$A$3:$A$821&amp;" ",$D709))*Terms!F$3:F$821)+Terms!F$2</f>
        <v>-0.746708649618533</v>
      </c>
      <c r="X709" s="0" t="n">
        <f aca="false">SUMPRODUCT(ISNUMBER(SEARCH(" "&amp;Terms!$A$3:$A$821&amp;" ",$D709))*Terms!G$3:G$821)+Terms!G$2</f>
        <v>-1.21644438195748</v>
      </c>
      <c r="Y709" s="0" t="str">
        <f aca="false">INDEX($S$1:$X$1,MATCH(MAX(S709:X709),S709:X709,0))</f>
        <v>Delays &amp; Processing</v>
      </c>
      <c r="Z709" s="0" t="s">
        <v>2607</v>
      </c>
    </row>
    <row r="710" customFormat="false" ht="15" hidden="false" customHeight="false" outlineLevel="0" collapsed="false">
      <c r="A710" s="0" t="str">
        <f aca="false">Complaints!A710</f>
        <v>C0709</v>
      </c>
      <c r="B710" s="0" t="str">
        <f aca="false">Complaints!B710</f>
        <v>I have been a customer for years. I was advised to take out cover that duplicates what I already had.</v>
      </c>
      <c r="C710" s="0" t="str">
        <f aca="false">Complaints!C710</f>
        <v>Mis-selling</v>
      </c>
      <c r="D710" s="0" t="str">
        <f aca="false">" "&amp;TRIM(SUBSTITUTE(SUBSTITUTE(SUBSTITUTE(SUBSTITUTE(SUBSTITUTE(SUBSTITUTE(SUBSTITUTE(SUBSTITUTE(SUBSTITUTE(SUBSTITUTE(SUBSTITUTE(SUBSTITUTE(SUBSTITUTE(SUBSTITUTE(SUBSTITUTE(SUBSTITUTE(LOWER(B710),"."," "),","," "),"'"," "),"’"," "),"!"," "),"?"," "),";"," "),":"," "),"-"," "),"("," "),")"," "),"""", " "),"£"," "),"&amp;"," "),"/"," "),"%"," "))&amp;" "</f>
        <v> i have been a customer for years i was advised to take out cover that duplicates what i already had </v>
      </c>
      <c r="E710" s="0" t="n">
        <f aca="false">SUMPRODUCT((Rules!$A$2:$A$60=E$1)*Rules!$C$2:$C$60*ISNUMBER(SEARCH(Rules!$D$2:$D$60,$D710)))</f>
        <v>0</v>
      </c>
      <c r="F710" s="0" t="n">
        <f aca="false">SUMPRODUCT((Rules!$A$2:$A$60=F$1)*Rules!$C$2:$C$60*ISNUMBER(SEARCH(Rules!$D$2:$D$60,$D710)))</f>
        <v>0</v>
      </c>
      <c r="G710" s="0" t="n">
        <f aca="false">SUMPRODUCT((Rules!$A$2:$A$60=G$1)*Rules!$C$2:$C$60*ISNUMBER(SEARCH(Rules!$D$2:$D$60,$D710)))</f>
        <v>0</v>
      </c>
      <c r="H710" s="0" t="n">
        <f aca="false">SUMPRODUCT((Rules!$A$2:$A$60=H$1)*Rules!$C$2:$C$60*ISNUMBER(SEARCH(Rules!$D$2:$D$60,$D710)))</f>
        <v>0</v>
      </c>
      <c r="I710" s="0" t="n">
        <f aca="false">SUMPRODUCT((Rules!$A$2:$A$60=I$1)*Rules!$C$2:$C$60*ISNUMBER(SEARCH(Rules!$D$2:$D$60,$D710)))</f>
        <v>0</v>
      </c>
      <c r="J710" s="0" t="n">
        <f aca="false">SUMPRODUCT((Rules!$A$2:$A$60=J$1)*Rules!$C$2:$C$60*ISNUMBER(SEARCH(Rules!$D$2:$D$60,$D710)))</f>
        <v>0</v>
      </c>
      <c r="K710" s="0" t="str">
        <f aca="false">IF(OR(MAX(E710:J710)&lt;Rules!$H$1,MAX(E710:J710)-LARGE(E710:J710,2)&lt;Rules!$H$2),"No label",INDEX($E$1:$J$1,MATCH(MAX(E710:J710),E710:J710,0)))</f>
        <v>No label</v>
      </c>
      <c r="L710" s="0" t="n">
        <f aca="false">SUMPRODUCT((Rules!$A$2:$A$60=L$1)*Rules!$C$2:$C$60*ISNUMBER(SEARCH(Rules!$E$2:$E$60,$D710)))</f>
        <v>0</v>
      </c>
      <c r="M710" s="0" t="n">
        <f aca="false">SUMPRODUCT((Rules!$A$2:$A$60=M$1)*Rules!$C$2:$C$60*ISNUMBER(SEARCH(Rules!$E$2:$E$60,$D710)))</f>
        <v>4</v>
      </c>
      <c r="N710" s="0" t="n">
        <f aca="false">SUMPRODUCT((Rules!$A$2:$A$60=N$1)*Rules!$C$2:$C$60*ISNUMBER(SEARCH(Rules!$E$2:$E$60,$D710)))</f>
        <v>0</v>
      </c>
      <c r="O710" s="0" t="n">
        <f aca="false">SUMPRODUCT((Rules!$A$2:$A$60=O$1)*Rules!$C$2:$C$60*ISNUMBER(SEARCH(Rules!$E$2:$E$60,$D710)))</f>
        <v>0</v>
      </c>
      <c r="P710" s="0" t="n">
        <f aca="false">SUMPRODUCT((Rules!$A$2:$A$60=P$1)*Rules!$C$2:$C$60*ISNUMBER(SEARCH(Rules!$E$2:$E$60,$D710)))</f>
        <v>0</v>
      </c>
      <c r="Q710" s="0" t="n">
        <f aca="false">SUMPRODUCT((Rules!$A$2:$A$60=Q$1)*Rules!$C$2:$C$60*ISNUMBER(SEARCH(Rules!$E$2:$E$60,$D710)))</f>
        <v>1</v>
      </c>
      <c r="R710" s="0" t="str">
        <f aca="false">IF(OR(MAX(L710:Q710)&lt;Rules!$H$1,MAX(L710:Q710)-LARGE(L710:Q710,2)&lt;Rules!$H$2),"No label",INDEX($L$1:$Q$1,MATCH(MAX(L710:Q710),L710:Q710,0)))</f>
        <v>Mis-selling</v>
      </c>
      <c r="S710" s="0" t="n">
        <f aca="false">SUMPRODUCT(ISNUMBER(SEARCH(" "&amp;Terms!$A$3:$A$821&amp;" ",$D710))*Terms!B$3:B$821)+Terms!B$2</f>
        <v>-0.151212965256941</v>
      </c>
      <c r="T710" s="0" t="n">
        <f aca="false">SUMPRODUCT(ISNUMBER(SEARCH(" "&amp;Terms!$A$3:$A$821&amp;" ",$D710))*Terms!C$3:C$821)+Terms!C$2</f>
        <v>0.236389582849173</v>
      </c>
      <c r="U710" s="0" t="n">
        <f aca="false">SUMPRODUCT(ISNUMBER(SEARCH(" "&amp;Terms!$A$3:$A$821&amp;" ",$D710))*Terms!D$3:D$821)+Terms!D$2</f>
        <v>-0.754245214332409</v>
      </c>
      <c r="V710" s="0" t="n">
        <f aca="false">SUMPRODUCT(ISNUMBER(SEARCH(" "&amp;Terms!$A$3:$A$821&amp;" ",$D710))*Terms!E$3:E$821)+Terms!E$2</f>
        <v>-2.1359596613178</v>
      </c>
      <c r="W710" s="0" t="n">
        <f aca="false">SUMPRODUCT(ISNUMBER(SEARCH(" "&amp;Terms!$A$3:$A$821&amp;" ",$D710))*Terms!F$3:F$821)+Terms!F$2</f>
        <v>-2.21779406920459</v>
      </c>
      <c r="X710" s="0" t="n">
        <f aca="false">SUMPRODUCT(ISNUMBER(SEARCH(" "&amp;Terms!$A$3:$A$821&amp;" ",$D710))*Terms!G$3:G$821)+Terms!G$2</f>
        <v>5.02282232726265</v>
      </c>
      <c r="Y710" s="0" t="str">
        <f aca="false">INDEX($S$1:$X$1,MATCH(MAX(S710:X710),S710:X710,0))</f>
        <v>Mis-selling</v>
      </c>
      <c r="Z710" s="0" t="s">
        <v>2608</v>
      </c>
    </row>
    <row r="711" customFormat="false" ht="15" hidden="false" customHeight="false" outlineLevel="0" collapsed="false">
      <c r="A711" s="0" t="str">
        <f aca="false">Complaints!A711</f>
        <v>C0710</v>
      </c>
      <c r="B711" s="0" t="str">
        <f aca="false">Complaints!B711</f>
        <v>A late payment fee appeared and I want it refunded. Also, the webchat agent ended the conversation without solving anything. Please escalate this.</v>
      </c>
      <c r="C711" s="0" t="str">
        <f aca="false">Complaints!C711</f>
        <v>Fees &amp; Charges</v>
      </c>
      <c r="D711" s="0" t="str">
        <f aca="false">" "&amp;TRIM(SUBSTITUTE(SUBSTITUTE(SUBSTITUTE(SUBSTITUTE(SUBSTITUTE(SUBSTITUTE(SUBSTITUTE(SUBSTITUTE(SUBSTITUTE(SUBSTITUTE(SUBSTITUTE(SUBSTITUTE(SUBSTITUTE(SUBSTITUTE(SUBSTITUTE(SUBSTITUTE(LOWER(B711),"."," "),","," "),"'"," "),"’"," "),"!"," "),"?"," "),";"," "),":"," "),"-"," "),"("," "),")"," "),"""", " "),"£"," "),"&amp;"," "),"/"," "),"%"," "))&amp;" "</f>
        <v> a late payment fee appeared and i want it refunded also the webchat agent ended the conversation without solving anything please escalate this </v>
      </c>
      <c r="E711" s="0" t="n">
        <f aca="false">SUMPRODUCT((Rules!$A$2:$A$60=E$1)*Rules!$C$2:$C$60*ISNUMBER(SEARCH(Rules!$D$2:$D$60,$D711)))</f>
        <v>0</v>
      </c>
      <c r="F711" s="0" t="n">
        <f aca="false">SUMPRODUCT((Rules!$A$2:$A$60=F$1)*Rules!$C$2:$C$60*ISNUMBER(SEARCH(Rules!$D$2:$D$60,$D711)))</f>
        <v>0</v>
      </c>
      <c r="G711" s="0" t="n">
        <f aca="false">SUMPRODUCT((Rules!$A$2:$A$60=G$1)*Rules!$C$2:$C$60*ISNUMBER(SEARCH(Rules!$D$2:$D$60,$D711)))</f>
        <v>0</v>
      </c>
      <c r="H711" s="0" t="n">
        <f aca="false">SUMPRODUCT((Rules!$A$2:$A$60=H$1)*Rules!$C$2:$C$60*ISNUMBER(SEARCH(Rules!$D$2:$D$60,$D711)))</f>
        <v>2</v>
      </c>
      <c r="I711" s="0" t="n">
        <f aca="false">SUMPRODUCT((Rules!$A$2:$A$60=I$1)*Rules!$C$2:$C$60*ISNUMBER(SEARCH(Rules!$D$2:$D$60,$D711)))</f>
        <v>0</v>
      </c>
      <c r="J711" s="0" t="n">
        <f aca="false">SUMPRODUCT((Rules!$A$2:$A$60=J$1)*Rules!$C$2:$C$60*ISNUMBER(SEARCH(Rules!$D$2:$D$60,$D711)))</f>
        <v>2</v>
      </c>
      <c r="K711" s="0" t="str">
        <f aca="false">IF(OR(MAX(E711:J711)&lt;Rules!$H$1,MAX(E711:J711)-LARGE(E711:J711,2)&lt;Rules!$H$2),"No label",INDEX($E$1:$J$1,MATCH(MAX(E711:J711),E711:J711,0)))</f>
        <v>No label</v>
      </c>
      <c r="L711" s="0" t="n">
        <f aca="false">SUMPRODUCT((Rules!$A$2:$A$60=L$1)*Rules!$C$2:$C$60*ISNUMBER(SEARCH(Rules!$E$2:$E$60,$D711)))</f>
        <v>0</v>
      </c>
      <c r="M711" s="0" t="n">
        <f aca="false">SUMPRODUCT((Rules!$A$2:$A$60=M$1)*Rules!$C$2:$C$60*ISNUMBER(SEARCH(Rules!$E$2:$E$60,$D711)))</f>
        <v>0</v>
      </c>
      <c r="N711" s="0" t="n">
        <f aca="false">SUMPRODUCT((Rules!$A$2:$A$60=N$1)*Rules!$C$2:$C$60*ISNUMBER(SEARCH(Rules!$E$2:$E$60,$D711)))</f>
        <v>0</v>
      </c>
      <c r="O711" s="0" t="n">
        <f aca="false">SUMPRODUCT((Rules!$A$2:$A$60=O$1)*Rules!$C$2:$C$60*ISNUMBER(SEARCH(Rules!$E$2:$E$60,$D711)))</f>
        <v>2</v>
      </c>
      <c r="P711" s="0" t="n">
        <f aca="false">SUMPRODUCT((Rules!$A$2:$A$60=P$1)*Rules!$C$2:$C$60*ISNUMBER(SEARCH(Rules!$E$2:$E$60,$D711)))</f>
        <v>0</v>
      </c>
      <c r="Q711" s="0" t="n">
        <f aca="false">SUMPRODUCT((Rules!$A$2:$A$60=Q$1)*Rules!$C$2:$C$60*ISNUMBER(SEARCH(Rules!$E$2:$E$60,$D711)))</f>
        <v>2</v>
      </c>
      <c r="R711" s="0" t="str">
        <f aca="false">IF(OR(MAX(L711:Q711)&lt;Rules!$H$1,MAX(L711:Q711)-LARGE(L711:Q711,2)&lt;Rules!$H$2),"No label",INDEX($L$1:$Q$1,MATCH(MAX(L711:Q711),L711:Q711,0)))</f>
        <v>No label</v>
      </c>
      <c r="S711" s="0" t="n">
        <f aca="false">SUMPRODUCT(ISNUMBER(SEARCH(" "&amp;Terms!$A$3:$A$821&amp;" ",$D711))*Terms!B$3:B$821)+Terms!B$2</f>
        <v>-5.08280935079792</v>
      </c>
      <c r="T711" s="0" t="n">
        <f aca="false">SUMPRODUCT(ISNUMBER(SEARCH(" "&amp;Terms!$A$3:$A$821&amp;" ",$D711))*Terms!C$3:C$821)+Terms!C$2</f>
        <v>3.52388820909446</v>
      </c>
      <c r="U711" s="0" t="n">
        <f aca="false">SUMPRODUCT(ISNUMBER(SEARCH(" "&amp;Terms!$A$3:$A$821&amp;" ",$D711))*Terms!D$3:D$821)+Terms!D$2</f>
        <v>-2.62589758069683</v>
      </c>
      <c r="V711" s="0" t="n">
        <f aca="false">SUMPRODUCT(ISNUMBER(SEARCH(" "&amp;Terms!$A$3:$A$821&amp;" ",$D711))*Terms!E$3:E$821)+Terms!E$2</f>
        <v>12.7831285175181</v>
      </c>
      <c r="W711" s="0" t="n">
        <f aca="false">SUMPRODUCT(ISNUMBER(SEARCH(" "&amp;Terms!$A$3:$A$821&amp;" ",$D711))*Terms!F$3:F$821)+Terms!F$2</f>
        <v>-1.81545117927589</v>
      </c>
      <c r="X711" s="0" t="n">
        <f aca="false">SUMPRODUCT(ISNUMBER(SEARCH(" "&amp;Terms!$A$3:$A$821&amp;" ",$D711))*Terms!G$3:G$821)+Terms!G$2</f>
        <v>-6.78285861584177</v>
      </c>
      <c r="Y711" s="0" t="str">
        <f aca="false">INDEX($S$1:$X$1,MATCH(MAX(S711:X711),S711:X711,0))</f>
        <v>Fees &amp; Charges</v>
      </c>
      <c r="Z711" s="0" t="s">
        <v>2607</v>
      </c>
    </row>
    <row r="712" customFormat="false" ht="15" hidden="false" customHeight="false" outlineLevel="0" collapsed="false">
      <c r="A712" s="0" t="str">
        <f aca="false">Complaints!A712</f>
        <v>C0711</v>
      </c>
      <c r="B712" s="0" t="str">
        <f aca="false">Complaints!B712</f>
        <v>I am writing to complain. The pension transfer advice I received was poor and I have lost out.</v>
      </c>
      <c r="C712" s="0" t="str">
        <f aca="false">Complaints!C712</f>
        <v>Mis-selling</v>
      </c>
      <c r="D712" s="0" t="str">
        <f aca="false">" "&amp;TRIM(SUBSTITUTE(SUBSTITUTE(SUBSTITUTE(SUBSTITUTE(SUBSTITUTE(SUBSTITUTE(SUBSTITUTE(SUBSTITUTE(SUBSTITUTE(SUBSTITUTE(SUBSTITUTE(SUBSTITUTE(SUBSTITUTE(SUBSTITUTE(SUBSTITUTE(SUBSTITUTE(LOWER(B712),"."," "),","," "),"'"," "),"’"," "),"!"," "),"?"," "),";"," "),":"," "),"-"," "),"("," "),")"," "),"""", " "),"£"," "),"&amp;"," "),"/"," "),"%"," "))&amp;" "</f>
        <v> i am writing to complain the pension transfer advice i received was poor and i have lost out </v>
      </c>
      <c r="E712" s="0" t="n">
        <f aca="false">SUMPRODUCT((Rules!$A$2:$A$60=E$1)*Rules!$C$2:$C$60*ISNUMBER(SEARCH(Rules!$D$2:$D$60,$D712)))</f>
        <v>0</v>
      </c>
      <c r="F712" s="0" t="n">
        <f aca="false">SUMPRODUCT((Rules!$A$2:$A$60=F$1)*Rules!$C$2:$C$60*ISNUMBER(SEARCH(Rules!$D$2:$D$60,$D712)))</f>
        <v>2</v>
      </c>
      <c r="G712" s="0" t="n">
        <f aca="false">SUMPRODUCT((Rules!$A$2:$A$60=G$1)*Rules!$C$2:$C$60*ISNUMBER(SEARCH(Rules!$D$2:$D$60,$D712)))</f>
        <v>0</v>
      </c>
      <c r="H712" s="0" t="n">
        <f aca="false">SUMPRODUCT((Rules!$A$2:$A$60=H$1)*Rules!$C$2:$C$60*ISNUMBER(SEARCH(Rules!$D$2:$D$60,$D712)))</f>
        <v>0</v>
      </c>
      <c r="I712" s="0" t="n">
        <f aca="false">SUMPRODUCT((Rules!$A$2:$A$60=I$1)*Rules!$C$2:$C$60*ISNUMBER(SEARCH(Rules!$D$2:$D$60,$D712)))</f>
        <v>0</v>
      </c>
      <c r="J712" s="0" t="n">
        <f aca="false">SUMPRODUCT((Rules!$A$2:$A$60=J$1)*Rules!$C$2:$C$60*ISNUMBER(SEARCH(Rules!$D$2:$D$60,$D712)))</f>
        <v>0</v>
      </c>
      <c r="K712" s="0" t="str">
        <f aca="false">IF(OR(MAX(E712:J712)&lt;Rules!$H$1,MAX(E712:J712)-LARGE(E712:J712,2)&lt;Rules!$H$2),"No label",INDEX($E$1:$J$1,MATCH(MAX(E712:J712),E712:J712,0)))</f>
        <v>No label</v>
      </c>
      <c r="L712" s="0" t="n">
        <f aca="false">SUMPRODUCT((Rules!$A$2:$A$60=L$1)*Rules!$C$2:$C$60*ISNUMBER(SEARCH(Rules!$E$2:$E$60,$D712)))</f>
        <v>0</v>
      </c>
      <c r="M712" s="0" t="n">
        <f aca="false">SUMPRODUCT((Rules!$A$2:$A$60=M$1)*Rules!$C$2:$C$60*ISNUMBER(SEARCH(Rules!$E$2:$E$60,$D712)))</f>
        <v>2</v>
      </c>
      <c r="N712" s="0" t="n">
        <f aca="false">SUMPRODUCT((Rules!$A$2:$A$60=N$1)*Rules!$C$2:$C$60*ISNUMBER(SEARCH(Rules!$E$2:$E$60,$D712)))</f>
        <v>0</v>
      </c>
      <c r="O712" s="0" t="n">
        <f aca="false">SUMPRODUCT((Rules!$A$2:$A$60=O$1)*Rules!$C$2:$C$60*ISNUMBER(SEARCH(Rules!$E$2:$E$60,$D712)))</f>
        <v>0</v>
      </c>
      <c r="P712" s="0" t="n">
        <f aca="false">SUMPRODUCT((Rules!$A$2:$A$60=P$1)*Rules!$C$2:$C$60*ISNUMBER(SEARCH(Rules!$E$2:$E$60,$D712)))</f>
        <v>0</v>
      </c>
      <c r="Q712" s="0" t="n">
        <f aca="false">SUMPRODUCT((Rules!$A$2:$A$60=Q$1)*Rules!$C$2:$C$60*ISNUMBER(SEARCH(Rules!$E$2:$E$60,$D712)))</f>
        <v>0</v>
      </c>
      <c r="R712" s="0" t="str">
        <f aca="false">IF(OR(MAX(L712:Q712)&lt;Rules!$H$1,MAX(L712:Q712)-LARGE(L712:Q712,2)&lt;Rules!$H$2),"No label",INDEX($L$1:$Q$1,MATCH(MAX(L712:Q712),L712:Q712,0)))</f>
        <v>No label</v>
      </c>
      <c r="S712" s="0" t="n">
        <f aca="false">SUMPRODUCT(ISNUMBER(SEARCH(" "&amp;Terms!$A$3:$A$821&amp;" ",$D712))*Terms!B$3:B$821)+Terms!B$2</f>
        <v>-3.34625155141814</v>
      </c>
      <c r="T712" s="0" t="n">
        <f aca="false">SUMPRODUCT(ISNUMBER(SEARCH(" "&amp;Terms!$A$3:$A$821&amp;" ",$D712))*Terms!C$3:C$821)+Terms!C$2</f>
        <v>-2.21793555926251</v>
      </c>
      <c r="U712" s="0" t="n">
        <f aca="false">SUMPRODUCT(ISNUMBER(SEARCH(" "&amp;Terms!$A$3:$A$821&amp;" ",$D712))*Terms!D$3:D$821)+Terms!D$2</f>
        <v>3.6668227432189</v>
      </c>
      <c r="V712" s="0" t="n">
        <f aca="false">SUMPRODUCT(ISNUMBER(SEARCH(" "&amp;Terms!$A$3:$A$821&amp;" ",$D712))*Terms!E$3:E$821)+Terms!E$2</f>
        <v>-3.8053541948695</v>
      </c>
      <c r="W712" s="0" t="n">
        <f aca="false">SUMPRODUCT(ISNUMBER(SEARCH(" "&amp;Terms!$A$3:$A$821&amp;" ",$D712))*Terms!F$3:F$821)+Terms!F$2</f>
        <v>-3.48949726793872</v>
      </c>
      <c r="X712" s="0" t="n">
        <f aca="false">SUMPRODUCT(ISNUMBER(SEARCH(" "&amp;Terms!$A$3:$A$821&amp;" ",$D712))*Terms!G$3:G$821)+Terms!G$2</f>
        <v>9.19221583027007</v>
      </c>
      <c r="Y712" s="0" t="str">
        <f aca="false">INDEX($S$1:$X$1,MATCH(MAX(S712:X712),S712:X712,0))</f>
        <v>Mis-selling</v>
      </c>
      <c r="Z712" s="0" t="s">
        <v>2608</v>
      </c>
    </row>
    <row r="713" customFormat="false" ht="15" hidden="false" customHeight="false" outlineLevel="0" collapsed="false">
      <c r="A713" s="0" t="str">
        <f aca="false">Complaints!A713</f>
        <v>C0712</v>
      </c>
      <c r="B713" s="0" t="str">
        <f aca="false">Complaints!B713</f>
        <v>The account maintenance fee was taken twice this month. I want this put right.</v>
      </c>
      <c r="C713" s="0" t="str">
        <f aca="false">Complaints!C713</f>
        <v>Fees &amp; Charges</v>
      </c>
      <c r="D713" s="0" t="str">
        <f aca="false">" "&amp;TRIM(SUBSTITUTE(SUBSTITUTE(SUBSTITUTE(SUBSTITUTE(SUBSTITUTE(SUBSTITUTE(SUBSTITUTE(SUBSTITUTE(SUBSTITUTE(SUBSTITUTE(SUBSTITUTE(SUBSTITUTE(SUBSTITUTE(SUBSTITUTE(SUBSTITUTE(SUBSTITUTE(LOWER(B713),"."," "),","," "),"'"," "),"’"," "),"!"," "),"?"," "),";"," "),":"," "),"-"," "),"("," "),")"," "),"""", " "),"£"," "),"&amp;"," "),"/"," "),"%"," "))&amp;" "</f>
        <v> the account maintenance fee was taken twice this month i want this put right </v>
      </c>
      <c r="E713" s="0" t="n">
        <f aca="false">SUMPRODUCT((Rules!$A$2:$A$60=E$1)*Rules!$C$2:$C$60*ISNUMBER(SEARCH(Rules!$D$2:$D$60,$D713)))</f>
        <v>0</v>
      </c>
      <c r="F713" s="0" t="n">
        <f aca="false">SUMPRODUCT((Rules!$A$2:$A$60=F$1)*Rules!$C$2:$C$60*ISNUMBER(SEARCH(Rules!$D$2:$D$60,$D713)))</f>
        <v>0</v>
      </c>
      <c r="G713" s="0" t="n">
        <f aca="false">SUMPRODUCT((Rules!$A$2:$A$60=G$1)*Rules!$C$2:$C$60*ISNUMBER(SEARCH(Rules!$D$2:$D$60,$D713)))</f>
        <v>0</v>
      </c>
      <c r="H713" s="0" t="n">
        <f aca="false">SUMPRODUCT((Rules!$A$2:$A$60=H$1)*Rules!$C$2:$C$60*ISNUMBER(SEARCH(Rules!$D$2:$D$60,$D713)))</f>
        <v>2</v>
      </c>
      <c r="I713" s="0" t="n">
        <f aca="false">SUMPRODUCT((Rules!$A$2:$A$60=I$1)*Rules!$C$2:$C$60*ISNUMBER(SEARCH(Rules!$D$2:$D$60,$D713)))</f>
        <v>0</v>
      </c>
      <c r="J713" s="0" t="n">
        <f aca="false">SUMPRODUCT((Rules!$A$2:$A$60=J$1)*Rules!$C$2:$C$60*ISNUMBER(SEARCH(Rules!$D$2:$D$60,$D713)))</f>
        <v>0</v>
      </c>
      <c r="K713" s="0" t="str">
        <f aca="false">IF(OR(MAX(E713:J713)&lt;Rules!$H$1,MAX(E713:J713)-LARGE(E713:J713,2)&lt;Rules!$H$2),"No label",INDEX($E$1:$J$1,MATCH(MAX(E713:J713),E713:J713,0)))</f>
        <v>No label</v>
      </c>
      <c r="L713" s="0" t="n">
        <f aca="false">SUMPRODUCT((Rules!$A$2:$A$60=L$1)*Rules!$C$2:$C$60*ISNUMBER(SEARCH(Rules!$E$2:$E$60,$D713)))</f>
        <v>0</v>
      </c>
      <c r="M713" s="0" t="n">
        <f aca="false">SUMPRODUCT((Rules!$A$2:$A$60=M$1)*Rules!$C$2:$C$60*ISNUMBER(SEARCH(Rules!$E$2:$E$60,$D713)))</f>
        <v>0</v>
      </c>
      <c r="N713" s="0" t="n">
        <f aca="false">SUMPRODUCT((Rules!$A$2:$A$60=N$1)*Rules!$C$2:$C$60*ISNUMBER(SEARCH(Rules!$E$2:$E$60,$D713)))</f>
        <v>0</v>
      </c>
      <c r="O713" s="0" t="n">
        <f aca="false">SUMPRODUCT((Rules!$A$2:$A$60=O$1)*Rules!$C$2:$C$60*ISNUMBER(SEARCH(Rules!$E$2:$E$60,$D713)))</f>
        <v>2</v>
      </c>
      <c r="P713" s="0" t="n">
        <f aca="false">SUMPRODUCT((Rules!$A$2:$A$60=P$1)*Rules!$C$2:$C$60*ISNUMBER(SEARCH(Rules!$E$2:$E$60,$D713)))</f>
        <v>0</v>
      </c>
      <c r="Q713" s="0" t="n">
        <f aca="false">SUMPRODUCT((Rules!$A$2:$A$60=Q$1)*Rules!$C$2:$C$60*ISNUMBER(SEARCH(Rules!$E$2:$E$60,$D713)))</f>
        <v>0</v>
      </c>
      <c r="R713" s="0" t="str">
        <f aca="false">IF(OR(MAX(L713:Q713)&lt;Rules!$H$1,MAX(L713:Q713)-LARGE(L713:Q713,2)&lt;Rules!$H$2),"No label",INDEX($L$1:$Q$1,MATCH(MAX(L713:Q713),L713:Q713,0)))</f>
        <v>No label</v>
      </c>
      <c r="S713" s="0" t="n">
        <f aca="false">SUMPRODUCT(ISNUMBER(SEARCH(" "&amp;Terms!$A$3:$A$821&amp;" ",$D713))*Terms!B$3:B$821)+Terms!B$2</f>
        <v>-2.19395171204825</v>
      </c>
      <c r="T713" s="0" t="n">
        <f aca="false">SUMPRODUCT(ISNUMBER(SEARCH(" "&amp;Terms!$A$3:$A$821&amp;" ",$D713))*Terms!C$3:C$821)+Terms!C$2</f>
        <v>-4.62622094773255</v>
      </c>
      <c r="U713" s="0" t="n">
        <f aca="false">SUMPRODUCT(ISNUMBER(SEARCH(" "&amp;Terms!$A$3:$A$821&amp;" ",$D713))*Terms!D$3:D$821)+Terms!D$2</f>
        <v>-0.483620778638712</v>
      </c>
      <c r="V713" s="0" t="n">
        <f aca="false">SUMPRODUCT(ISNUMBER(SEARCH(" "&amp;Terms!$A$3:$A$821&amp;" ",$D713))*Terms!E$3:E$821)+Terms!E$2</f>
        <v>13.0086892660953</v>
      </c>
      <c r="W713" s="0" t="n">
        <f aca="false">SUMPRODUCT(ISNUMBER(SEARCH(" "&amp;Terms!$A$3:$A$821&amp;" ",$D713))*Terms!F$3:F$821)+Terms!F$2</f>
        <v>-0.160886748160245</v>
      </c>
      <c r="X713" s="0" t="n">
        <f aca="false">SUMPRODUCT(ISNUMBER(SEARCH(" "&amp;Terms!$A$3:$A$821&amp;" ",$D713))*Terms!G$3:G$821)+Terms!G$2</f>
        <v>-5.54400907951544</v>
      </c>
      <c r="Y713" s="0" t="str">
        <f aca="false">INDEX($S$1:$X$1,MATCH(MAX(S713:X713),S713:X713,0))</f>
        <v>Fees &amp; Charges</v>
      </c>
      <c r="Z713" s="0" t="s">
        <v>2607</v>
      </c>
    </row>
    <row r="714" customFormat="false" ht="15" hidden="false" customHeight="false" outlineLevel="0" collapsed="false">
      <c r="A714" s="0" t="str">
        <f aca="false">Complaints!A714</f>
        <v>C0713</v>
      </c>
      <c r="B714" s="0" t="str">
        <f aca="false">Complaints!B714</f>
        <v>To whom it may concern, The account maintenance fee was taken twice this month. I could not log in to check either. I expect compensation.</v>
      </c>
      <c r="C714" s="0" t="str">
        <f aca="false">Complaints!C714</f>
        <v>Fees &amp; Charges</v>
      </c>
      <c r="D714" s="0" t="str">
        <f aca="false">" "&amp;TRIM(SUBSTITUTE(SUBSTITUTE(SUBSTITUTE(SUBSTITUTE(SUBSTITUTE(SUBSTITUTE(SUBSTITUTE(SUBSTITUTE(SUBSTITUTE(SUBSTITUTE(SUBSTITUTE(SUBSTITUTE(SUBSTITUTE(SUBSTITUTE(SUBSTITUTE(SUBSTITUTE(LOWER(B714),"."," "),","," "),"'"," "),"’"," "),"!"," "),"?"," "),";"," "),":"," "),"-"," "),"("," "),")"," "),"""", " "),"£"," "),"&amp;"," "),"/"," "),"%"," "))&amp;" "</f>
        <v> to whom it may concern the account maintenance fee was taken twice this month i could not log in to check either i expect compensation </v>
      </c>
      <c r="E714" s="0" t="n">
        <f aca="false">SUMPRODUCT((Rules!$A$2:$A$60=E$1)*Rules!$C$2:$C$60*ISNUMBER(SEARCH(Rules!$D$2:$D$60,$D714)))</f>
        <v>0</v>
      </c>
      <c r="F714" s="0" t="n">
        <f aca="false">SUMPRODUCT((Rules!$A$2:$A$60=F$1)*Rules!$C$2:$C$60*ISNUMBER(SEARCH(Rules!$D$2:$D$60,$D714)))</f>
        <v>0</v>
      </c>
      <c r="G714" s="0" t="n">
        <f aca="false">SUMPRODUCT((Rules!$A$2:$A$60=G$1)*Rules!$C$2:$C$60*ISNUMBER(SEARCH(Rules!$D$2:$D$60,$D714)))</f>
        <v>3</v>
      </c>
      <c r="H714" s="0" t="n">
        <f aca="false">SUMPRODUCT((Rules!$A$2:$A$60=H$1)*Rules!$C$2:$C$60*ISNUMBER(SEARCH(Rules!$D$2:$D$60,$D714)))</f>
        <v>2</v>
      </c>
      <c r="I714" s="0" t="n">
        <f aca="false">SUMPRODUCT((Rules!$A$2:$A$60=I$1)*Rules!$C$2:$C$60*ISNUMBER(SEARCH(Rules!$D$2:$D$60,$D714)))</f>
        <v>0</v>
      </c>
      <c r="J714" s="0" t="n">
        <f aca="false">SUMPRODUCT((Rules!$A$2:$A$60=J$1)*Rules!$C$2:$C$60*ISNUMBER(SEARCH(Rules!$D$2:$D$60,$D714)))</f>
        <v>0</v>
      </c>
      <c r="K714" s="0" t="str">
        <f aca="false">IF(OR(MAX(E714:J714)&lt;Rules!$H$1,MAX(E714:J714)-LARGE(E714:J714,2)&lt;Rules!$H$2),"No label",INDEX($E$1:$J$1,MATCH(MAX(E714:J714),E714:J714,0)))</f>
        <v>No label</v>
      </c>
      <c r="L714" s="0" t="n">
        <f aca="false">SUMPRODUCT((Rules!$A$2:$A$60=L$1)*Rules!$C$2:$C$60*ISNUMBER(SEARCH(Rules!$E$2:$E$60,$D714)))</f>
        <v>0</v>
      </c>
      <c r="M714" s="0" t="n">
        <f aca="false">SUMPRODUCT((Rules!$A$2:$A$60=M$1)*Rules!$C$2:$C$60*ISNUMBER(SEARCH(Rules!$E$2:$E$60,$D714)))</f>
        <v>0</v>
      </c>
      <c r="N714" s="0" t="n">
        <f aca="false">SUMPRODUCT((Rules!$A$2:$A$60=N$1)*Rules!$C$2:$C$60*ISNUMBER(SEARCH(Rules!$E$2:$E$60,$D714)))</f>
        <v>3</v>
      </c>
      <c r="O714" s="0" t="n">
        <f aca="false">SUMPRODUCT((Rules!$A$2:$A$60=O$1)*Rules!$C$2:$C$60*ISNUMBER(SEARCH(Rules!$E$2:$E$60,$D714)))</f>
        <v>2</v>
      </c>
      <c r="P714" s="0" t="n">
        <f aca="false">SUMPRODUCT((Rules!$A$2:$A$60=P$1)*Rules!$C$2:$C$60*ISNUMBER(SEARCH(Rules!$E$2:$E$60,$D714)))</f>
        <v>0</v>
      </c>
      <c r="Q714" s="0" t="n">
        <f aca="false">SUMPRODUCT((Rules!$A$2:$A$60=Q$1)*Rules!$C$2:$C$60*ISNUMBER(SEARCH(Rules!$E$2:$E$60,$D714)))</f>
        <v>0</v>
      </c>
      <c r="R714" s="0" t="str">
        <f aca="false">IF(OR(MAX(L714:Q714)&lt;Rules!$H$1,MAX(L714:Q714)-LARGE(L714:Q714,2)&lt;Rules!$H$2),"No label",INDEX($L$1:$Q$1,MATCH(MAX(L714:Q714),L714:Q714,0)))</f>
        <v>No label</v>
      </c>
      <c r="S714" s="0" t="n">
        <f aca="false">SUMPRODUCT(ISNUMBER(SEARCH(" "&amp;Terms!$A$3:$A$821&amp;" ",$D714))*Terms!B$3:B$821)+Terms!B$2</f>
        <v>0.859091866316128</v>
      </c>
      <c r="T714" s="0" t="n">
        <f aca="false">SUMPRODUCT(ISNUMBER(SEARCH(" "&amp;Terms!$A$3:$A$821&amp;" ",$D714))*Terms!C$3:C$821)+Terms!C$2</f>
        <v>-3.68135642655248</v>
      </c>
      <c r="U714" s="0" t="n">
        <f aca="false">SUMPRODUCT(ISNUMBER(SEARCH(" "&amp;Terms!$A$3:$A$821&amp;" ",$D714))*Terms!D$3:D$821)+Terms!D$2</f>
        <v>-0.555207169124978</v>
      </c>
      <c r="V714" s="0" t="n">
        <f aca="false">SUMPRODUCT(ISNUMBER(SEARCH(" "&amp;Terms!$A$3:$A$821&amp;" ",$D714))*Terms!E$3:E$821)+Terms!E$2</f>
        <v>12.5643531808133</v>
      </c>
      <c r="W714" s="0" t="n">
        <f aca="false">SUMPRODUCT(ISNUMBER(SEARCH(" "&amp;Terms!$A$3:$A$821&amp;" ",$D714))*Terms!F$3:F$821)+Terms!F$2</f>
        <v>-1.76991893304801</v>
      </c>
      <c r="X714" s="0" t="n">
        <f aca="false">SUMPRODUCT(ISNUMBER(SEARCH(" "&amp;Terms!$A$3:$A$821&amp;" ",$D714))*Terms!G$3:G$821)+Terms!G$2</f>
        <v>-7.41696251840389</v>
      </c>
      <c r="Y714" s="0" t="str">
        <f aca="false">INDEX($S$1:$X$1,MATCH(MAX(S714:X714),S714:X714,0))</f>
        <v>Fees &amp; Charges</v>
      </c>
      <c r="Z714" s="0" t="s">
        <v>2607</v>
      </c>
    </row>
    <row r="715" customFormat="false" ht="15" hidden="false" customHeight="false" outlineLevel="0" collapsed="false">
      <c r="A715" s="0" t="str">
        <f aca="false">Complaints!A715</f>
        <v>C0714</v>
      </c>
      <c r="B715" s="0" t="str">
        <f aca="false">Complaints!B715</f>
        <v>The terms were very different from what I was promised at the time of sale. Please sort this out.</v>
      </c>
      <c r="C715" s="0" t="str">
        <f aca="false">Complaints!C715</f>
        <v>Mis-selling</v>
      </c>
      <c r="D715" s="0" t="str">
        <f aca="false">" "&amp;TRIM(SUBSTITUTE(SUBSTITUTE(SUBSTITUTE(SUBSTITUTE(SUBSTITUTE(SUBSTITUTE(SUBSTITUTE(SUBSTITUTE(SUBSTITUTE(SUBSTITUTE(SUBSTITUTE(SUBSTITUTE(SUBSTITUTE(SUBSTITUTE(SUBSTITUTE(SUBSTITUTE(LOWER(B715),"."," "),","," "),"'"," "),"’"," "),"!"," "),"?"," "),";"," "),":"," "),"-"," "),"("," "),")"," "),"""", " "),"£"," "),"&amp;"," "),"/"," "),"%"," "))&amp;" "</f>
        <v> the terms were very different from what i was promised at the time of sale please sort this out </v>
      </c>
      <c r="E715" s="0" t="n">
        <f aca="false">SUMPRODUCT((Rules!$A$2:$A$60=E$1)*Rules!$C$2:$C$60*ISNUMBER(SEARCH(Rules!$D$2:$D$60,$D715)))</f>
        <v>0</v>
      </c>
      <c r="F715" s="0" t="n">
        <f aca="false">SUMPRODUCT((Rules!$A$2:$A$60=F$1)*Rules!$C$2:$C$60*ISNUMBER(SEARCH(Rules!$D$2:$D$60,$D715)))</f>
        <v>1</v>
      </c>
      <c r="G715" s="0" t="n">
        <f aca="false">SUMPRODUCT((Rules!$A$2:$A$60=G$1)*Rules!$C$2:$C$60*ISNUMBER(SEARCH(Rules!$D$2:$D$60,$D715)))</f>
        <v>0</v>
      </c>
      <c r="H715" s="0" t="n">
        <f aca="false">SUMPRODUCT((Rules!$A$2:$A$60=H$1)*Rules!$C$2:$C$60*ISNUMBER(SEARCH(Rules!$D$2:$D$60,$D715)))</f>
        <v>0</v>
      </c>
      <c r="I715" s="0" t="n">
        <f aca="false">SUMPRODUCT((Rules!$A$2:$A$60=I$1)*Rules!$C$2:$C$60*ISNUMBER(SEARCH(Rules!$D$2:$D$60,$D715)))</f>
        <v>0</v>
      </c>
      <c r="J715" s="0" t="n">
        <f aca="false">SUMPRODUCT((Rules!$A$2:$A$60=J$1)*Rules!$C$2:$C$60*ISNUMBER(SEARCH(Rules!$D$2:$D$60,$D715)))</f>
        <v>0</v>
      </c>
      <c r="K715" s="0" t="str">
        <f aca="false">IF(OR(MAX(E715:J715)&lt;Rules!$H$1,MAX(E715:J715)-LARGE(E715:J715,2)&lt;Rules!$H$2),"No label",INDEX($E$1:$J$1,MATCH(MAX(E715:J715),E715:J715,0)))</f>
        <v>No label</v>
      </c>
      <c r="L715" s="0" t="n">
        <f aca="false">SUMPRODUCT((Rules!$A$2:$A$60=L$1)*Rules!$C$2:$C$60*ISNUMBER(SEARCH(Rules!$E$2:$E$60,$D715)))</f>
        <v>0</v>
      </c>
      <c r="M715" s="0" t="n">
        <f aca="false">SUMPRODUCT((Rules!$A$2:$A$60=M$1)*Rules!$C$2:$C$60*ISNUMBER(SEARCH(Rules!$E$2:$E$60,$D715)))</f>
        <v>1</v>
      </c>
      <c r="N715" s="0" t="n">
        <f aca="false">SUMPRODUCT((Rules!$A$2:$A$60=N$1)*Rules!$C$2:$C$60*ISNUMBER(SEARCH(Rules!$E$2:$E$60,$D715)))</f>
        <v>0</v>
      </c>
      <c r="O715" s="0" t="n">
        <f aca="false">SUMPRODUCT((Rules!$A$2:$A$60=O$1)*Rules!$C$2:$C$60*ISNUMBER(SEARCH(Rules!$E$2:$E$60,$D715)))</f>
        <v>0</v>
      </c>
      <c r="P715" s="0" t="n">
        <f aca="false">SUMPRODUCT((Rules!$A$2:$A$60=P$1)*Rules!$C$2:$C$60*ISNUMBER(SEARCH(Rules!$E$2:$E$60,$D715)))</f>
        <v>0</v>
      </c>
      <c r="Q715" s="0" t="n">
        <f aca="false">SUMPRODUCT((Rules!$A$2:$A$60=Q$1)*Rules!$C$2:$C$60*ISNUMBER(SEARCH(Rules!$E$2:$E$60,$D715)))</f>
        <v>0</v>
      </c>
      <c r="R715" s="0" t="str">
        <f aca="false">IF(OR(MAX(L715:Q715)&lt;Rules!$H$1,MAX(L715:Q715)-LARGE(L715:Q715,2)&lt;Rules!$H$2),"No label",INDEX($L$1:$Q$1,MATCH(MAX(L715:Q715),L715:Q715,0)))</f>
        <v>No label</v>
      </c>
      <c r="S715" s="0" t="n">
        <f aca="false">SUMPRODUCT(ISNUMBER(SEARCH(" "&amp;Terms!$A$3:$A$821&amp;" ",$D715))*Terms!B$3:B$821)+Terms!B$2</f>
        <v>-3.49070172397815</v>
      </c>
      <c r="T715" s="0" t="n">
        <f aca="false">SUMPRODUCT(ISNUMBER(SEARCH(" "&amp;Terms!$A$3:$A$821&amp;" ",$D715))*Terms!C$3:C$821)+Terms!C$2</f>
        <v>-1.21877882043906</v>
      </c>
      <c r="U715" s="0" t="n">
        <f aca="false">SUMPRODUCT(ISNUMBER(SEARCH(" "&amp;Terms!$A$3:$A$821&amp;" ",$D715))*Terms!D$3:D$821)+Terms!D$2</f>
        <v>2.43988801015313</v>
      </c>
      <c r="V715" s="0" t="n">
        <f aca="false">SUMPRODUCT(ISNUMBER(SEARCH(" "&amp;Terms!$A$3:$A$821&amp;" ",$D715))*Terms!E$3:E$821)+Terms!E$2</f>
        <v>-0.838460715124022</v>
      </c>
      <c r="W715" s="0" t="n">
        <f aca="false">SUMPRODUCT(ISNUMBER(SEARCH(" "&amp;Terms!$A$3:$A$821&amp;" ",$D715))*Terms!F$3:F$821)+Terms!F$2</f>
        <v>-3.47546165439648</v>
      </c>
      <c r="X715" s="0" t="n">
        <f aca="false">SUMPRODUCT(ISNUMBER(SEARCH(" "&amp;Terms!$A$3:$A$821&amp;" ",$D715))*Terms!G$3:G$821)+Terms!G$2</f>
        <v>6.58351490378467</v>
      </c>
      <c r="Y715" s="0" t="str">
        <f aca="false">INDEX($S$1:$X$1,MATCH(MAX(S715:X715),S715:X715,0))</f>
        <v>Mis-selling</v>
      </c>
      <c r="Z715" s="0" t="s">
        <v>2607</v>
      </c>
    </row>
    <row r="716" customFormat="false" ht="15" hidden="false" customHeight="false" outlineLevel="0" collapsed="false">
      <c r="A716" s="0" t="str">
        <f aca="false">Complaints!A716</f>
        <v>C0715</v>
      </c>
      <c r="B716" s="0" t="str">
        <f aca="false">Complaints!B716</f>
        <v>To whom it may concern, The brochure said guaranteed returns and my money has lost value. It has also been taking far too long.</v>
      </c>
      <c r="C716" s="0" t="str">
        <f aca="false">Complaints!C716</f>
        <v>Mis-selling</v>
      </c>
      <c r="D716" s="0" t="str">
        <f aca="false">" "&amp;TRIM(SUBSTITUTE(SUBSTITUTE(SUBSTITUTE(SUBSTITUTE(SUBSTITUTE(SUBSTITUTE(SUBSTITUTE(SUBSTITUTE(SUBSTITUTE(SUBSTITUTE(SUBSTITUTE(SUBSTITUTE(SUBSTITUTE(SUBSTITUTE(SUBSTITUTE(SUBSTITUTE(LOWER(B716),"."," "),","," "),"'"," "),"’"," "),"!"," "),"?"," "),";"," "),":"," "),"-"," "),"("," "),")"," "),"""", " "),"£"," "),"&amp;"," "),"/"," "),"%"," "))&amp;" "</f>
        <v> to whom it may concern the brochure said guaranteed returns and my money has lost value it has also been taking far too long </v>
      </c>
      <c r="E716" s="0" t="n">
        <f aca="false">SUMPRODUCT((Rules!$A$2:$A$60=E$1)*Rules!$C$2:$C$60*ISNUMBER(SEARCH(Rules!$D$2:$D$60,$D716)))</f>
        <v>0</v>
      </c>
      <c r="F716" s="0" t="n">
        <f aca="false">SUMPRODUCT((Rules!$A$2:$A$60=F$1)*Rules!$C$2:$C$60*ISNUMBER(SEARCH(Rules!$D$2:$D$60,$D716)))</f>
        <v>2</v>
      </c>
      <c r="G716" s="0" t="n">
        <f aca="false">SUMPRODUCT((Rules!$A$2:$A$60=G$1)*Rules!$C$2:$C$60*ISNUMBER(SEARCH(Rules!$D$2:$D$60,$D716)))</f>
        <v>0</v>
      </c>
      <c r="H716" s="0" t="n">
        <f aca="false">SUMPRODUCT((Rules!$A$2:$A$60=H$1)*Rules!$C$2:$C$60*ISNUMBER(SEARCH(Rules!$D$2:$D$60,$D716)))</f>
        <v>0</v>
      </c>
      <c r="I716" s="0" t="n">
        <f aca="false">SUMPRODUCT((Rules!$A$2:$A$60=I$1)*Rules!$C$2:$C$60*ISNUMBER(SEARCH(Rules!$D$2:$D$60,$D716)))</f>
        <v>0</v>
      </c>
      <c r="J716" s="0" t="n">
        <f aca="false">SUMPRODUCT((Rules!$A$2:$A$60=J$1)*Rules!$C$2:$C$60*ISNUMBER(SEARCH(Rules!$D$2:$D$60,$D716)))</f>
        <v>0</v>
      </c>
      <c r="K716" s="0" t="str">
        <f aca="false">IF(OR(MAX(E716:J716)&lt;Rules!$H$1,MAX(E716:J716)-LARGE(E716:J716,2)&lt;Rules!$H$2),"No label",INDEX($E$1:$J$1,MATCH(MAX(E716:J716),E716:J716,0)))</f>
        <v>No label</v>
      </c>
      <c r="L716" s="0" t="n">
        <f aca="false">SUMPRODUCT((Rules!$A$2:$A$60=L$1)*Rules!$C$2:$C$60*ISNUMBER(SEARCH(Rules!$E$2:$E$60,$D716)))</f>
        <v>0</v>
      </c>
      <c r="M716" s="0" t="n">
        <f aca="false">SUMPRODUCT((Rules!$A$2:$A$60=M$1)*Rules!$C$2:$C$60*ISNUMBER(SEARCH(Rules!$E$2:$E$60,$D716)))</f>
        <v>2</v>
      </c>
      <c r="N716" s="0" t="n">
        <f aca="false">SUMPRODUCT((Rules!$A$2:$A$60=N$1)*Rules!$C$2:$C$60*ISNUMBER(SEARCH(Rules!$E$2:$E$60,$D716)))</f>
        <v>0</v>
      </c>
      <c r="O716" s="0" t="n">
        <f aca="false">SUMPRODUCT((Rules!$A$2:$A$60=O$1)*Rules!$C$2:$C$60*ISNUMBER(SEARCH(Rules!$E$2:$E$60,$D716)))</f>
        <v>0</v>
      </c>
      <c r="P716" s="0" t="n">
        <f aca="false">SUMPRODUCT((Rules!$A$2:$A$60=P$1)*Rules!$C$2:$C$60*ISNUMBER(SEARCH(Rules!$E$2:$E$60,$D716)))</f>
        <v>0</v>
      </c>
      <c r="Q716" s="0" t="n">
        <f aca="false">SUMPRODUCT((Rules!$A$2:$A$60=Q$1)*Rules!$C$2:$C$60*ISNUMBER(SEARCH(Rules!$E$2:$E$60,$D716)))</f>
        <v>0</v>
      </c>
      <c r="R716" s="0" t="str">
        <f aca="false">IF(OR(MAX(L716:Q716)&lt;Rules!$H$1,MAX(L716:Q716)-LARGE(L716:Q716,2)&lt;Rules!$H$2),"No label",INDEX($L$1:$Q$1,MATCH(MAX(L716:Q716),L716:Q716,0)))</f>
        <v>No label</v>
      </c>
      <c r="S716" s="0" t="n">
        <f aca="false">SUMPRODUCT(ISNUMBER(SEARCH(" "&amp;Terms!$A$3:$A$821&amp;" ",$D716))*Terms!B$3:B$821)+Terms!B$2</f>
        <v>-5.19412729458122</v>
      </c>
      <c r="T716" s="0" t="n">
        <f aca="false">SUMPRODUCT(ISNUMBER(SEARCH(" "&amp;Terms!$A$3:$A$821&amp;" ",$D716))*Terms!C$3:C$821)+Terms!C$2</f>
        <v>-3.69827636233814</v>
      </c>
      <c r="U716" s="0" t="n">
        <f aca="false">SUMPRODUCT(ISNUMBER(SEARCH(" "&amp;Terms!$A$3:$A$821&amp;" ",$D716))*Terms!D$3:D$821)+Terms!D$2</f>
        <v>-0.421987933285551</v>
      </c>
      <c r="V716" s="0" t="n">
        <f aca="false">SUMPRODUCT(ISNUMBER(SEARCH(" "&amp;Terms!$A$3:$A$821&amp;" ",$D716))*Terms!E$3:E$821)+Terms!E$2</f>
        <v>-2.47848444643089</v>
      </c>
      <c r="W716" s="0" t="n">
        <f aca="false">SUMPRODUCT(ISNUMBER(SEARCH(" "&amp;Terms!$A$3:$A$821&amp;" ",$D716))*Terms!F$3:F$821)+Terms!F$2</f>
        <v>0.0618494137761103</v>
      </c>
      <c r="X716" s="0" t="n">
        <f aca="false">SUMPRODUCT(ISNUMBER(SEARCH(" "&amp;Terms!$A$3:$A$821&amp;" ",$D716))*Terms!G$3:G$821)+Terms!G$2</f>
        <v>11.7310266228598</v>
      </c>
      <c r="Y716" s="0" t="str">
        <f aca="false">INDEX($S$1:$X$1,MATCH(MAX(S716:X716),S716:X716,0))</f>
        <v>Mis-selling</v>
      </c>
      <c r="Z716" s="0" t="s">
        <v>2608</v>
      </c>
    </row>
    <row r="717" customFormat="false" ht="15" hidden="false" customHeight="false" outlineLevel="0" collapsed="false">
      <c r="A717" s="0" t="str">
        <f aca="false">Complaints!A717</f>
        <v>C0716</v>
      </c>
      <c r="B717" s="0" t="str">
        <f aca="false">Complaints!B717</f>
        <v>This is the second time I have raised this. My application has been stuck for weeks with no progress. Also, your advisor gave me different answers on two separate calls. This is not acceptable.</v>
      </c>
      <c r="C717" s="0" t="str">
        <f aca="false">Complaints!C717</f>
        <v>Delays &amp; Processing</v>
      </c>
      <c r="D717" s="0" t="str">
        <f aca="false">" "&amp;TRIM(SUBSTITUTE(SUBSTITUTE(SUBSTITUTE(SUBSTITUTE(SUBSTITUTE(SUBSTITUTE(SUBSTITUTE(SUBSTITUTE(SUBSTITUTE(SUBSTITUTE(SUBSTITUTE(SUBSTITUTE(SUBSTITUTE(SUBSTITUTE(SUBSTITUTE(SUBSTITUTE(LOWER(B717),"."," "),","," "),"'"," "),"’"," "),"!"," "),"?"," "),";"," "),":"," "),"-"," "),"("," "),")"," "),"""", " "),"£"," "),"&amp;"," "),"/"," "),"%"," "))&amp;" "</f>
        <v> this is the second time i have raised this my application has been stuck for weeks with no progress also your advisor gave me different answers on two separate calls this is not acceptable </v>
      </c>
      <c r="E717" s="0" t="n">
        <f aca="false">SUMPRODUCT((Rules!$A$2:$A$60=E$1)*Rules!$C$2:$C$60*ISNUMBER(SEARCH(Rules!$D$2:$D$60,$D717)))</f>
        <v>0</v>
      </c>
      <c r="F717" s="0" t="n">
        <f aca="false">SUMPRODUCT((Rules!$A$2:$A$60=F$1)*Rules!$C$2:$C$60*ISNUMBER(SEARCH(Rules!$D$2:$D$60,$D717)))</f>
        <v>0</v>
      </c>
      <c r="G717" s="0" t="n">
        <f aca="false">SUMPRODUCT((Rules!$A$2:$A$60=G$1)*Rules!$C$2:$C$60*ISNUMBER(SEARCH(Rules!$D$2:$D$60,$D717)))</f>
        <v>0</v>
      </c>
      <c r="H717" s="0" t="n">
        <f aca="false">SUMPRODUCT((Rules!$A$2:$A$60=H$1)*Rules!$C$2:$C$60*ISNUMBER(SEARCH(Rules!$D$2:$D$60,$D717)))</f>
        <v>0</v>
      </c>
      <c r="I717" s="0" t="n">
        <f aca="false">SUMPRODUCT((Rules!$A$2:$A$60=I$1)*Rules!$C$2:$C$60*ISNUMBER(SEARCH(Rules!$D$2:$D$60,$D717)))</f>
        <v>3</v>
      </c>
      <c r="J717" s="0" t="n">
        <f aca="false">SUMPRODUCT((Rules!$A$2:$A$60=J$1)*Rules!$C$2:$C$60*ISNUMBER(SEARCH(Rules!$D$2:$D$60,$D717)))</f>
        <v>1</v>
      </c>
      <c r="K717" s="0" t="str">
        <f aca="false">IF(OR(MAX(E717:J717)&lt;Rules!$H$1,MAX(E717:J717)-LARGE(E717:J717,2)&lt;Rules!$H$2),"No label",INDEX($E$1:$J$1,MATCH(MAX(E717:J717),E717:J717,0)))</f>
        <v>Delays &amp; Processing</v>
      </c>
      <c r="L717" s="0" t="n">
        <f aca="false">SUMPRODUCT((Rules!$A$2:$A$60=L$1)*Rules!$C$2:$C$60*ISNUMBER(SEARCH(Rules!$E$2:$E$60,$D717)))</f>
        <v>0</v>
      </c>
      <c r="M717" s="0" t="n">
        <f aca="false">SUMPRODUCT((Rules!$A$2:$A$60=M$1)*Rules!$C$2:$C$60*ISNUMBER(SEARCH(Rules!$E$2:$E$60,$D717)))</f>
        <v>4</v>
      </c>
      <c r="N717" s="0" t="n">
        <f aca="false">SUMPRODUCT((Rules!$A$2:$A$60=N$1)*Rules!$C$2:$C$60*ISNUMBER(SEARCH(Rules!$E$2:$E$60,$D717)))</f>
        <v>1</v>
      </c>
      <c r="O717" s="0" t="n">
        <f aca="false">SUMPRODUCT((Rules!$A$2:$A$60=O$1)*Rules!$C$2:$C$60*ISNUMBER(SEARCH(Rules!$E$2:$E$60,$D717)))</f>
        <v>0</v>
      </c>
      <c r="P717" s="0" t="n">
        <f aca="false">SUMPRODUCT((Rules!$A$2:$A$60=P$1)*Rules!$C$2:$C$60*ISNUMBER(SEARCH(Rules!$E$2:$E$60,$D717)))</f>
        <v>3</v>
      </c>
      <c r="Q717" s="0" t="n">
        <f aca="false">SUMPRODUCT((Rules!$A$2:$A$60=Q$1)*Rules!$C$2:$C$60*ISNUMBER(SEARCH(Rules!$E$2:$E$60,$D717)))</f>
        <v>1</v>
      </c>
      <c r="R717" s="0" t="str">
        <f aca="false">IF(OR(MAX(L717:Q717)&lt;Rules!$H$1,MAX(L717:Q717)-LARGE(L717:Q717,2)&lt;Rules!$H$2),"No label",INDEX($L$1:$Q$1,MATCH(MAX(L717:Q717),L717:Q717,0)))</f>
        <v>No label</v>
      </c>
      <c r="S717" s="0" t="n">
        <f aca="false">SUMPRODUCT(ISNUMBER(SEARCH(" "&amp;Terms!$A$3:$A$821&amp;" ",$D717))*Terms!B$3:B$821)+Terms!B$2</f>
        <v>-3.69855060199385</v>
      </c>
      <c r="T717" s="0" t="n">
        <f aca="false">SUMPRODUCT(ISNUMBER(SEARCH(" "&amp;Terms!$A$3:$A$821&amp;" ",$D717))*Terms!C$3:C$821)+Terms!C$2</f>
        <v>12.8322475636739</v>
      </c>
      <c r="U717" s="0" t="n">
        <f aca="false">SUMPRODUCT(ISNUMBER(SEARCH(" "&amp;Terms!$A$3:$A$821&amp;" ",$D717))*Terms!D$3:D$821)+Terms!D$2</f>
        <v>5.19511138784458</v>
      </c>
      <c r="V717" s="0" t="n">
        <f aca="false">SUMPRODUCT(ISNUMBER(SEARCH(" "&amp;Terms!$A$3:$A$821&amp;" ",$D717))*Terms!E$3:E$821)+Terms!E$2</f>
        <v>-6.8540001584931</v>
      </c>
      <c r="W717" s="0" t="n">
        <f aca="false">SUMPRODUCT(ISNUMBER(SEARCH(" "&amp;Terms!$A$3:$A$821&amp;" ",$D717))*Terms!F$3:F$821)+Terms!F$2</f>
        <v>-3.22814525389901</v>
      </c>
      <c r="X717" s="0" t="n">
        <f aca="false">SUMPRODUCT(ISNUMBER(SEARCH(" "&amp;Terms!$A$3:$A$821&amp;" ",$D717))*Terms!G$3:G$821)+Terms!G$2</f>
        <v>-4.24666293713241</v>
      </c>
      <c r="Y717" s="0" t="str">
        <f aca="false">INDEX($S$1:$X$1,MATCH(MAX(S717:X717),S717:X717,0))</f>
        <v>Customer Service</v>
      </c>
      <c r="Z717" s="0" t="s">
        <v>2608</v>
      </c>
    </row>
    <row r="718" customFormat="false" ht="15" hidden="false" customHeight="false" outlineLevel="0" collapsed="false">
      <c r="A718" s="0" t="str">
        <f aca="false">Complaints!A718</f>
        <v>C0717</v>
      </c>
      <c r="B718" s="0" t="str">
        <f aca="false">Complaints!B718</f>
        <v>To whom it may concern, Nobody has responded to my emails despite three reminders. Also, i am unable to access my account to see my balance. Please sort this out.</v>
      </c>
      <c r="C718" s="0" t="str">
        <f aca="false">Complaints!C718</f>
        <v>Customer Service</v>
      </c>
      <c r="D718" s="0" t="str">
        <f aca="false">" "&amp;TRIM(SUBSTITUTE(SUBSTITUTE(SUBSTITUTE(SUBSTITUTE(SUBSTITUTE(SUBSTITUTE(SUBSTITUTE(SUBSTITUTE(SUBSTITUTE(SUBSTITUTE(SUBSTITUTE(SUBSTITUTE(SUBSTITUTE(SUBSTITUTE(SUBSTITUTE(SUBSTITUTE(LOWER(B718),"."," "),","," "),"'"," "),"’"," "),"!"," "),"?"," "),";"," "),":"," "),"-"," "),"("," "),")"," "),"""", " "),"£"," "),"&amp;"," "),"/"," "),"%"," "))&amp;" "</f>
        <v> to whom it may concern nobody has responded to my emails despite three reminders also i am unable to access my account to see my balance please sort this out </v>
      </c>
      <c r="E718" s="0" t="n">
        <f aca="false">SUMPRODUCT((Rules!$A$2:$A$60=E$1)*Rules!$C$2:$C$60*ISNUMBER(SEARCH(Rules!$D$2:$D$60,$D718)))</f>
        <v>0</v>
      </c>
      <c r="F718" s="0" t="n">
        <f aca="false">SUMPRODUCT((Rules!$A$2:$A$60=F$1)*Rules!$C$2:$C$60*ISNUMBER(SEARCH(Rules!$D$2:$D$60,$D718)))</f>
        <v>0</v>
      </c>
      <c r="G718" s="0" t="n">
        <f aca="false">SUMPRODUCT((Rules!$A$2:$A$60=G$1)*Rules!$C$2:$C$60*ISNUMBER(SEARCH(Rules!$D$2:$D$60,$D718)))</f>
        <v>1</v>
      </c>
      <c r="H718" s="0" t="n">
        <f aca="false">SUMPRODUCT((Rules!$A$2:$A$60=H$1)*Rules!$C$2:$C$60*ISNUMBER(SEARCH(Rules!$D$2:$D$60,$D718)))</f>
        <v>0</v>
      </c>
      <c r="I718" s="0" t="n">
        <f aca="false">SUMPRODUCT((Rules!$A$2:$A$60=I$1)*Rules!$C$2:$C$60*ISNUMBER(SEARCH(Rules!$D$2:$D$60,$D718)))</f>
        <v>0</v>
      </c>
      <c r="J718" s="0" t="n">
        <f aca="false">SUMPRODUCT((Rules!$A$2:$A$60=J$1)*Rules!$C$2:$C$60*ISNUMBER(SEARCH(Rules!$D$2:$D$60,$D718)))</f>
        <v>2</v>
      </c>
      <c r="K718" s="0" t="str">
        <f aca="false">IF(OR(MAX(E718:J718)&lt;Rules!$H$1,MAX(E718:J718)-LARGE(E718:J718,2)&lt;Rules!$H$2),"No label",INDEX($E$1:$J$1,MATCH(MAX(E718:J718),E718:J718,0)))</f>
        <v>No label</v>
      </c>
      <c r="L718" s="0" t="n">
        <f aca="false">SUMPRODUCT((Rules!$A$2:$A$60=L$1)*Rules!$C$2:$C$60*ISNUMBER(SEARCH(Rules!$E$2:$E$60,$D718)))</f>
        <v>0</v>
      </c>
      <c r="M718" s="0" t="n">
        <f aca="false">SUMPRODUCT((Rules!$A$2:$A$60=M$1)*Rules!$C$2:$C$60*ISNUMBER(SEARCH(Rules!$E$2:$E$60,$D718)))</f>
        <v>0</v>
      </c>
      <c r="N718" s="0" t="n">
        <f aca="false">SUMPRODUCT((Rules!$A$2:$A$60=N$1)*Rules!$C$2:$C$60*ISNUMBER(SEARCH(Rules!$E$2:$E$60,$D718)))</f>
        <v>1</v>
      </c>
      <c r="O718" s="0" t="n">
        <f aca="false">SUMPRODUCT((Rules!$A$2:$A$60=O$1)*Rules!$C$2:$C$60*ISNUMBER(SEARCH(Rules!$E$2:$E$60,$D718)))</f>
        <v>0</v>
      </c>
      <c r="P718" s="0" t="n">
        <f aca="false">SUMPRODUCT((Rules!$A$2:$A$60=P$1)*Rules!$C$2:$C$60*ISNUMBER(SEARCH(Rules!$E$2:$E$60,$D718)))</f>
        <v>0</v>
      </c>
      <c r="Q718" s="0" t="n">
        <f aca="false">SUMPRODUCT((Rules!$A$2:$A$60=Q$1)*Rules!$C$2:$C$60*ISNUMBER(SEARCH(Rules!$E$2:$E$60,$D718)))</f>
        <v>2</v>
      </c>
      <c r="R718" s="0" t="str">
        <f aca="false">IF(OR(MAX(L718:Q718)&lt;Rules!$H$1,MAX(L718:Q718)-LARGE(L718:Q718,2)&lt;Rules!$H$2),"No label",INDEX($L$1:$Q$1,MATCH(MAX(L718:Q718),L718:Q718,0)))</f>
        <v>No label</v>
      </c>
      <c r="S718" s="0" t="n">
        <f aca="false">SUMPRODUCT(ISNUMBER(SEARCH(" "&amp;Terms!$A$3:$A$821&amp;" ",$D718))*Terms!B$3:B$821)+Terms!B$2</f>
        <v>1.50156037539443</v>
      </c>
      <c r="T718" s="0" t="n">
        <f aca="false">SUMPRODUCT(ISNUMBER(SEARCH(" "&amp;Terms!$A$3:$A$821&amp;" ",$D718))*Terms!C$3:C$821)+Terms!C$2</f>
        <v>6.42228707559368</v>
      </c>
      <c r="U718" s="0" t="n">
        <f aca="false">SUMPRODUCT(ISNUMBER(SEARCH(" "&amp;Terms!$A$3:$A$821&amp;" ",$D718))*Terms!D$3:D$821)+Terms!D$2</f>
        <v>-0.237571599744249</v>
      </c>
      <c r="V718" s="0" t="n">
        <f aca="false">SUMPRODUCT(ISNUMBER(SEARCH(" "&amp;Terms!$A$3:$A$821&amp;" ",$D718))*Terms!E$3:E$821)+Terms!E$2</f>
        <v>0.123014708100195</v>
      </c>
      <c r="W718" s="0" t="n">
        <f aca="false">SUMPRODUCT(ISNUMBER(SEARCH(" "&amp;Terms!$A$3:$A$821&amp;" ",$D718))*Terms!F$3:F$821)+Terms!F$2</f>
        <v>-2.78691044327042</v>
      </c>
      <c r="X718" s="0" t="n">
        <f aca="false">SUMPRODUCT(ISNUMBER(SEARCH(" "&amp;Terms!$A$3:$A$821&amp;" ",$D718))*Terms!G$3:G$821)+Terms!G$2</f>
        <v>-5.02238011607355</v>
      </c>
      <c r="Y718" s="0" t="str">
        <f aca="false">INDEX($S$1:$X$1,MATCH(MAX(S718:X718),S718:X718,0))</f>
        <v>Customer Service</v>
      </c>
      <c r="Z718" s="0" t="s">
        <v>2607</v>
      </c>
    </row>
    <row r="719" customFormat="false" ht="15" hidden="false" customHeight="false" outlineLevel="0" collapsed="false">
      <c r="A719" s="0" t="str">
        <f aca="false">Complaints!A719</f>
        <v>C0718</v>
      </c>
      <c r="B719" s="0" t="str">
        <f aca="false">Complaints!B719</f>
        <v>Nobody checked whether I could afford the credit agreement. Also, my account was frozen and I cannot get in to move money.</v>
      </c>
      <c r="C719" s="0" t="str">
        <f aca="false">Complaints!C719</f>
        <v>Mis-selling</v>
      </c>
      <c r="D719" s="0" t="str">
        <f aca="false">" "&amp;TRIM(SUBSTITUTE(SUBSTITUTE(SUBSTITUTE(SUBSTITUTE(SUBSTITUTE(SUBSTITUTE(SUBSTITUTE(SUBSTITUTE(SUBSTITUTE(SUBSTITUTE(SUBSTITUTE(SUBSTITUTE(SUBSTITUTE(SUBSTITUTE(SUBSTITUTE(SUBSTITUTE(LOWER(B719),"."," "),","," "),"'"," "),"’"," "),"!"," "),"?"," "),";"," "),":"," "),"-"," "),"("," "),")"," "),"""", " "),"£"," "),"&amp;"," "),"/"," "),"%"," "))&amp;" "</f>
        <v> nobody checked whether i could afford the credit agreement also my account was frozen and i cannot get in to move money </v>
      </c>
      <c r="E719" s="0" t="n">
        <f aca="false">SUMPRODUCT((Rules!$A$2:$A$60=E$1)*Rules!$C$2:$C$60*ISNUMBER(SEARCH(Rules!$D$2:$D$60,$D719)))</f>
        <v>0</v>
      </c>
      <c r="F719" s="0" t="n">
        <f aca="false">SUMPRODUCT((Rules!$A$2:$A$60=F$1)*Rules!$C$2:$C$60*ISNUMBER(SEARCH(Rules!$D$2:$D$60,$D719)))</f>
        <v>0</v>
      </c>
      <c r="G719" s="0" t="n">
        <f aca="false">SUMPRODUCT((Rules!$A$2:$A$60=G$1)*Rules!$C$2:$C$60*ISNUMBER(SEARCH(Rules!$D$2:$D$60,$D719)))</f>
        <v>0</v>
      </c>
      <c r="H719" s="0" t="n">
        <f aca="false">SUMPRODUCT((Rules!$A$2:$A$60=H$1)*Rules!$C$2:$C$60*ISNUMBER(SEARCH(Rules!$D$2:$D$60,$D719)))</f>
        <v>0</v>
      </c>
      <c r="I719" s="0" t="n">
        <f aca="false">SUMPRODUCT((Rules!$A$2:$A$60=I$1)*Rules!$C$2:$C$60*ISNUMBER(SEARCH(Rules!$D$2:$D$60,$D719)))</f>
        <v>0</v>
      </c>
      <c r="J719" s="0" t="n">
        <f aca="false">SUMPRODUCT((Rules!$A$2:$A$60=J$1)*Rules!$C$2:$C$60*ISNUMBER(SEARCH(Rules!$D$2:$D$60,$D719)))</f>
        <v>0</v>
      </c>
      <c r="K719" s="0" t="str">
        <f aca="false">IF(OR(MAX(E719:J719)&lt;Rules!$H$1,MAX(E719:J719)-LARGE(E719:J719,2)&lt;Rules!$H$2),"No label",INDEX($E$1:$J$1,MATCH(MAX(E719:J719),E719:J719,0)))</f>
        <v>No label</v>
      </c>
      <c r="L719" s="0" t="n">
        <f aca="false">SUMPRODUCT((Rules!$A$2:$A$60=L$1)*Rules!$C$2:$C$60*ISNUMBER(SEARCH(Rules!$E$2:$E$60,$D719)))</f>
        <v>0</v>
      </c>
      <c r="M719" s="0" t="n">
        <f aca="false">SUMPRODUCT((Rules!$A$2:$A$60=M$1)*Rules!$C$2:$C$60*ISNUMBER(SEARCH(Rules!$E$2:$E$60,$D719)))</f>
        <v>0</v>
      </c>
      <c r="N719" s="0" t="n">
        <f aca="false">SUMPRODUCT((Rules!$A$2:$A$60=N$1)*Rules!$C$2:$C$60*ISNUMBER(SEARCH(Rules!$E$2:$E$60,$D719)))</f>
        <v>0</v>
      </c>
      <c r="O719" s="0" t="n">
        <f aca="false">SUMPRODUCT((Rules!$A$2:$A$60=O$1)*Rules!$C$2:$C$60*ISNUMBER(SEARCH(Rules!$E$2:$E$60,$D719)))</f>
        <v>0</v>
      </c>
      <c r="P719" s="0" t="n">
        <f aca="false">SUMPRODUCT((Rules!$A$2:$A$60=P$1)*Rules!$C$2:$C$60*ISNUMBER(SEARCH(Rules!$E$2:$E$60,$D719)))</f>
        <v>0</v>
      </c>
      <c r="Q719" s="0" t="n">
        <f aca="false">SUMPRODUCT((Rules!$A$2:$A$60=Q$1)*Rules!$C$2:$C$60*ISNUMBER(SEARCH(Rules!$E$2:$E$60,$D719)))</f>
        <v>0</v>
      </c>
      <c r="R719" s="0" t="str">
        <f aca="false">IF(OR(MAX(L719:Q719)&lt;Rules!$H$1,MAX(L719:Q719)-LARGE(L719:Q719,2)&lt;Rules!$H$2),"No label",INDEX($L$1:$Q$1,MATCH(MAX(L719:Q719),L719:Q719,0)))</f>
        <v>No label</v>
      </c>
      <c r="S719" s="0" t="n">
        <f aca="false">SUMPRODUCT(ISNUMBER(SEARCH(" "&amp;Terms!$A$3:$A$821&amp;" ",$D719))*Terms!B$3:B$821)+Terms!B$2</f>
        <v>2.58852758689987</v>
      </c>
      <c r="T719" s="0" t="n">
        <f aca="false">SUMPRODUCT(ISNUMBER(SEARCH(" "&amp;Terms!$A$3:$A$821&amp;" ",$D719))*Terms!C$3:C$821)+Terms!C$2</f>
        <v>-6.15453381357572</v>
      </c>
      <c r="U719" s="0" t="n">
        <f aca="false">SUMPRODUCT(ISNUMBER(SEARCH(" "&amp;Terms!$A$3:$A$821&amp;" ",$D719))*Terms!D$3:D$821)+Terms!D$2</f>
        <v>-0.813224172177148</v>
      </c>
      <c r="V719" s="0" t="n">
        <f aca="false">SUMPRODUCT(ISNUMBER(SEARCH(" "&amp;Terms!$A$3:$A$821&amp;" ",$D719))*Terms!E$3:E$821)+Terms!E$2</f>
        <v>-1.21100237947583</v>
      </c>
      <c r="W719" s="0" t="n">
        <f aca="false">SUMPRODUCT(ISNUMBER(SEARCH(" "&amp;Terms!$A$3:$A$821&amp;" ",$D719))*Terms!F$3:F$821)+Terms!F$2</f>
        <v>-2.1521510359728</v>
      </c>
      <c r="X719" s="0" t="n">
        <f aca="false">SUMPRODUCT(ISNUMBER(SEARCH(" "&amp;Terms!$A$3:$A$821&amp;" ",$D719))*Terms!G$3:G$821)+Terms!G$2</f>
        <v>7.74238381430174</v>
      </c>
      <c r="Y719" s="0" t="str">
        <f aca="false">INDEX($S$1:$X$1,MATCH(MAX(S719:X719),S719:X719,0))</f>
        <v>Mis-selling</v>
      </c>
      <c r="Z719" s="0" t="s">
        <v>2607</v>
      </c>
    </row>
    <row r="720" customFormat="false" ht="15" hidden="false" customHeight="false" outlineLevel="0" collapsed="false">
      <c r="A720" s="0" t="str">
        <f aca="false">Complaints!A720</f>
        <v>C0719</v>
      </c>
      <c r="B720" s="0" t="str">
        <f aca="false">Complaints!B720</f>
        <v>This is the second time I have raised this. My transfer has been pending for over a week. Also, the terms were very different from what I was promised at the time of sale. This is not acceptable.</v>
      </c>
      <c r="C720" s="0" t="str">
        <f aca="false">Complaints!C720</f>
        <v>Delays &amp; Processing</v>
      </c>
      <c r="D720" s="0" t="str">
        <f aca="false">" "&amp;TRIM(SUBSTITUTE(SUBSTITUTE(SUBSTITUTE(SUBSTITUTE(SUBSTITUTE(SUBSTITUTE(SUBSTITUTE(SUBSTITUTE(SUBSTITUTE(SUBSTITUTE(SUBSTITUTE(SUBSTITUTE(SUBSTITUTE(SUBSTITUTE(SUBSTITUTE(SUBSTITUTE(LOWER(B720),"."," "),","," "),"'"," "),"’"," "),"!"," "),"?"," "),";"," "),":"," "),"-"," "),"("," "),")"," "),"""", " "),"£"," "),"&amp;"," "),"/"," "),"%"," "))&amp;" "</f>
        <v> this is the second time i have raised this my transfer has been pending for over a week also the terms were very different from what i was promised at the time of sale this is not acceptable </v>
      </c>
      <c r="E720" s="0" t="n">
        <f aca="false">SUMPRODUCT((Rules!$A$2:$A$60=E$1)*Rules!$C$2:$C$60*ISNUMBER(SEARCH(Rules!$D$2:$D$60,$D720)))</f>
        <v>0</v>
      </c>
      <c r="F720" s="0" t="n">
        <f aca="false">SUMPRODUCT((Rules!$A$2:$A$60=F$1)*Rules!$C$2:$C$60*ISNUMBER(SEARCH(Rules!$D$2:$D$60,$D720)))</f>
        <v>1</v>
      </c>
      <c r="G720" s="0" t="n">
        <f aca="false">SUMPRODUCT((Rules!$A$2:$A$60=G$1)*Rules!$C$2:$C$60*ISNUMBER(SEARCH(Rules!$D$2:$D$60,$D720)))</f>
        <v>0</v>
      </c>
      <c r="H720" s="0" t="n">
        <f aca="false">SUMPRODUCT((Rules!$A$2:$A$60=H$1)*Rules!$C$2:$C$60*ISNUMBER(SEARCH(Rules!$D$2:$D$60,$D720)))</f>
        <v>0</v>
      </c>
      <c r="I720" s="0" t="n">
        <f aca="false">SUMPRODUCT((Rules!$A$2:$A$60=I$1)*Rules!$C$2:$C$60*ISNUMBER(SEARCH(Rules!$D$2:$D$60,$D720)))</f>
        <v>2</v>
      </c>
      <c r="J720" s="0" t="n">
        <f aca="false">SUMPRODUCT((Rules!$A$2:$A$60=J$1)*Rules!$C$2:$C$60*ISNUMBER(SEARCH(Rules!$D$2:$D$60,$D720)))</f>
        <v>0</v>
      </c>
      <c r="K720" s="0" t="str">
        <f aca="false">IF(OR(MAX(E720:J720)&lt;Rules!$H$1,MAX(E720:J720)-LARGE(E720:J720,2)&lt;Rules!$H$2),"No label",INDEX($E$1:$J$1,MATCH(MAX(E720:J720),E720:J720,0)))</f>
        <v>No label</v>
      </c>
      <c r="L720" s="0" t="n">
        <f aca="false">SUMPRODUCT((Rules!$A$2:$A$60=L$1)*Rules!$C$2:$C$60*ISNUMBER(SEARCH(Rules!$E$2:$E$60,$D720)))</f>
        <v>0</v>
      </c>
      <c r="M720" s="0" t="n">
        <f aca="false">SUMPRODUCT((Rules!$A$2:$A$60=M$1)*Rules!$C$2:$C$60*ISNUMBER(SEARCH(Rules!$E$2:$E$60,$D720)))</f>
        <v>1</v>
      </c>
      <c r="N720" s="0" t="n">
        <f aca="false">SUMPRODUCT((Rules!$A$2:$A$60=N$1)*Rules!$C$2:$C$60*ISNUMBER(SEARCH(Rules!$E$2:$E$60,$D720)))</f>
        <v>1</v>
      </c>
      <c r="O720" s="0" t="n">
        <f aca="false">SUMPRODUCT((Rules!$A$2:$A$60=O$1)*Rules!$C$2:$C$60*ISNUMBER(SEARCH(Rules!$E$2:$E$60,$D720)))</f>
        <v>0</v>
      </c>
      <c r="P720" s="0" t="n">
        <f aca="false">SUMPRODUCT((Rules!$A$2:$A$60=P$1)*Rules!$C$2:$C$60*ISNUMBER(SEARCH(Rules!$E$2:$E$60,$D720)))</f>
        <v>2</v>
      </c>
      <c r="Q720" s="0" t="n">
        <f aca="false">SUMPRODUCT((Rules!$A$2:$A$60=Q$1)*Rules!$C$2:$C$60*ISNUMBER(SEARCH(Rules!$E$2:$E$60,$D720)))</f>
        <v>0</v>
      </c>
      <c r="R720" s="0" t="str">
        <f aca="false">IF(OR(MAX(L720:Q720)&lt;Rules!$H$1,MAX(L720:Q720)-LARGE(L720:Q720,2)&lt;Rules!$H$2),"No label",INDEX($L$1:$Q$1,MATCH(MAX(L720:Q720),L720:Q720,0)))</f>
        <v>No label</v>
      </c>
      <c r="S720" s="0" t="n">
        <f aca="false">SUMPRODUCT(ISNUMBER(SEARCH(" "&amp;Terms!$A$3:$A$821&amp;" ",$D720))*Terms!B$3:B$821)+Terms!B$2</f>
        <v>-4.01379737733714</v>
      </c>
      <c r="T720" s="0" t="n">
        <f aca="false">SUMPRODUCT(ISNUMBER(SEARCH(" "&amp;Terms!$A$3:$A$821&amp;" ",$D720))*Terms!C$3:C$821)+Terms!C$2</f>
        <v>-2.25678809530879</v>
      </c>
      <c r="U720" s="0" t="n">
        <f aca="false">SUMPRODUCT(ISNUMBER(SEARCH(" "&amp;Terms!$A$3:$A$821&amp;" ",$D720))*Terms!D$3:D$821)+Terms!D$2</f>
        <v>9.01870948928745</v>
      </c>
      <c r="V720" s="0" t="n">
        <f aca="false">SUMPRODUCT(ISNUMBER(SEARCH(" "&amp;Terms!$A$3:$A$821&amp;" ",$D720))*Terms!E$3:E$821)+Terms!E$2</f>
        <v>-5.63124024623741</v>
      </c>
      <c r="W720" s="0" t="n">
        <f aca="false">SUMPRODUCT(ISNUMBER(SEARCH(" "&amp;Terms!$A$3:$A$821&amp;" ",$D720))*Terms!F$3:F$821)+Terms!F$2</f>
        <v>-1.86834068884167</v>
      </c>
      <c r="X720" s="0" t="n">
        <f aca="false">SUMPRODUCT(ISNUMBER(SEARCH(" "&amp;Terms!$A$3:$A$821&amp;" ",$D720))*Terms!G$3:G$821)+Terms!G$2</f>
        <v>4.75145691843765</v>
      </c>
      <c r="Y720" s="0" t="str">
        <f aca="false">INDEX($S$1:$X$1,MATCH(MAX(S720:X720),S720:X720,0))</f>
        <v>Delays &amp; Processing</v>
      </c>
      <c r="Z720" s="0" t="s">
        <v>2607</v>
      </c>
    </row>
    <row r="721" customFormat="false" ht="15" hidden="false" customHeight="false" outlineLevel="0" collapsed="false">
      <c r="A721" s="0" t="str">
        <f aca="false">Complaints!A721</f>
        <v>C0720</v>
      </c>
      <c r="B721" s="0" t="str">
        <f aca="false">Complaints!B721</f>
        <v>Hello, My account was frozen and I cannot get in to move money.</v>
      </c>
      <c r="C721" s="0" t="str">
        <f aca="false">Complaints!C721</f>
        <v>Account Access</v>
      </c>
      <c r="D721" s="0" t="str">
        <f aca="false">" "&amp;TRIM(SUBSTITUTE(SUBSTITUTE(SUBSTITUTE(SUBSTITUTE(SUBSTITUTE(SUBSTITUTE(SUBSTITUTE(SUBSTITUTE(SUBSTITUTE(SUBSTITUTE(SUBSTITUTE(SUBSTITUTE(SUBSTITUTE(SUBSTITUTE(SUBSTITUTE(SUBSTITUTE(LOWER(B721),"."," "),","," "),"'"," "),"’"," "),"!"," "),"?"," "),";"," "),":"," "),"-"," "),"("," "),")"," "),"""", " "),"£"," "),"&amp;"," "),"/"," "),"%"," "))&amp;" "</f>
        <v> hello my account was frozen and i cannot get in to move money </v>
      </c>
      <c r="E721" s="0" t="n">
        <f aca="false">SUMPRODUCT((Rules!$A$2:$A$60=E$1)*Rules!$C$2:$C$60*ISNUMBER(SEARCH(Rules!$D$2:$D$60,$D721)))</f>
        <v>0</v>
      </c>
      <c r="F721" s="0" t="n">
        <f aca="false">SUMPRODUCT((Rules!$A$2:$A$60=F$1)*Rules!$C$2:$C$60*ISNUMBER(SEARCH(Rules!$D$2:$D$60,$D721)))</f>
        <v>0</v>
      </c>
      <c r="G721" s="0" t="n">
        <f aca="false">SUMPRODUCT((Rules!$A$2:$A$60=G$1)*Rules!$C$2:$C$60*ISNUMBER(SEARCH(Rules!$D$2:$D$60,$D721)))</f>
        <v>0</v>
      </c>
      <c r="H721" s="0" t="n">
        <f aca="false">SUMPRODUCT((Rules!$A$2:$A$60=H$1)*Rules!$C$2:$C$60*ISNUMBER(SEARCH(Rules!$D$2:$D$60,$D721)))</f>
        <v>0</v>
      </c>
      <c r="I721" s="0" t="n">
        <f aca="false">SUMPRODUCT((Rules!$A$2:$A$60=I$1)*Rules!$C$2:$C$60*ISNUMBER(SEARCH(Rules!$D$2:$D$60,$D721)))</f>
        <v>0</v>
      </c>
      <c r="J721" s="0" t="n">
        <f aca="false">SUMPRODUCT((Rules!$A$2:$A$60=J$1)*Rules!$C$2:$C$60*ISNUMBER(SEARCH(Rules!$D$2:$D$60,$D721)))</f>
        <v>0</v>
      </c>
      <c r="K721" s="0" t="str">
        <f aca="false">IF(OR(MAX(E721:J721)&lt;Rules!$H$1,MAX(E721:J721)-LARGE(E721:J721,2)&lt;Rules!$H$2),"No label",INDEX($E$1:$J$1,MATCH(MAX(E721:J721),E721:J721,0)))</f>
        <v>No label</v>
      </c>
      <c r="L721" s="0" t="n">
        <f aca="false">SUMPRODUCT((Rules!$A$2:$A$60=L$1)*Rules!$C$2:$C$60*ISNUMBER(SEARCH(Rules!$E$2:$E$60,$D721)))</f>
        <v>0</v>
      </c>
      <c r="M721" s="0" t="n">
        <f aca="false">SUMPRODUCT((Rules!$A$2:$A$60=M$1)*Rules!$C$2:$C$60*ISNUMBER(SEARCH(Rules!$E$2:$E$60,$D721)))</f>
        <v>0</v>
      </c>
      <c r="N721" s="0" t="n">
        <f aca="false">SUMPRODUCT((Rules!$A$2:$A$60=N$1)*Rules!$C$2:$C$60*ISNUMBER(SEARCH(Rules!$E$2:$E$60,$D721)))</f>
        <v>0</v>
      </c>
      <c r="O721" s="0" t="n">
        <f aca="false">SUMPRODUCT((Rules!$A$2:$A$60=O$1)*Rules!$C$2:$C$60*ISNUMBER(SEARCH(Rules!$E$2:$E$60,$D721)))</f>
        <v>0</v>
      </c>
      <c r="P721" s="0" t="n">
        <f aca="false">SUMPRODUCT((Rules!$A$2:$A$60=P$1)*Rules!$C$2:$C$60*ISNUMBER(SEARCH(Rules!$E$2:$E$60,$D721)))</f>
        <v>0</v>
      </c>
      <c r="Q721" s="0" t="n">
        <f aca="false">SUMPRODUCT((Rules!$A$2:$A$60=Q$1)*Rules!$C$2:$C$60*ISNUMBER(SEARCH(Rules!$E$2:$E$60,$D721)))</f>
        <v>0</v>
      </c>
      <c r="R721" s="0" t="str">
        <f aca="false">IF(OR(MAX(L721:Q721)&lt;Rules!$H$1,MAX(L721:Q721)-LARGE(L721:Q721,2)&lt;Rules!$H$2),"No label",INDEX($L$1:$Q$1,MATCH(MAX(L721:Q721),L721:Q721,0)))</f>
        <v>No label</v>
      </c>
      <c r="S721" s="0" t="n">
        <f aca="false">SUMPRODUCT(ISNUMBER(SEARCH(" "&amp;Terms!$A$3:$A$821&amp;" ",$D721))*Terms!B$3:B$821)+Terms!B$2</f>
        <v>5.26467370343049</v>
      </c>
      <c r="T721" s="0" t="n">
        <f aca="false">SUMPRODUCT(ISNUMBER(SEARCH(" "&amp;Terms!$A$3:$A$821&amp;" ",$D721))*Terms!C$3:C$821)+Terms!C$2</f>
        <v>-2.97318113273678</v>
      </c>
      <c r="U721" s="0" t="n">
        <f aca="false">SUMPRODUCT(ISNUMBER(SEARCH(" "&amp;Terms!$A$3:$A$821&amp;" ",$D721))*Terms!D$3:D$821)+Terms!D$2</f>
        <v>-0.733588375955036</v>
      </c>
      <c r="V721" s="0" t="n">
        <f aca="false">SUMPRODUCT(ISNUMBER(SEARCH(" "&amp;Terms!$A$3:$A$821&amp;" ",$D721))*Terms!E$3:E$821)+Terms!E$2</f>
        <v>-1.28669192873146</v>
      </c>
      <c r="W721" s="0" t="n">
        <f aca="false">SUMPRODUCT(ISNUMBER(SEARCH(" "&amp;Terms!$A$3:$A$821&amp;" ",$D721))*Terms!F$3:F$821)+Terms!F$2</f>
        <v>0.698466371106663</v>
      </c>
      <c r="X721" s="0" t="n">
        <f aca="false">SUMPRODUCT(ISNUMBER(SEARCH(" "&amp;Terms!$A$3:$A$821&amp;" ",$D721))*Terms!G$3:G$821)+Terms!G$2</f>
        <v>-0.969678637113792</v>
      </c>
      <c r="Y721" s="0" t="str">
        <f aca="false">INDEX($S$1:$X$1,MATCH(MAX(S721:X721),S721:X721,0))</f>
        <v>Account Access</v>
      </c>
      <c r="Z721" s="0" t="s">
        <v>2607</v>
      </c>
    </row>
    <row r="722" customFormat="false" ht="15" hidden="false" customHeight="false" outlineLevel="0" collapsed="false">
      <c r="A722" s="0" t="str">
        <f aca="false">Complaints!A722</f>
        <v>C0721</v>
      </c>
      <c r="B722" s="0" t="str">
        <f aca="false">Complaints!B722</f>
        <v>Hello, I am unable to access my account to see my balance. I would like a response in writing.</v>
      </c>
      <c r="C722" s="0" t="str">
        <f aca="false">Complaints!C722</f>
        <v>Account Access</v>
      </c>
      <c r="D722" s="0" t="str">
        <f aca="false">" "&amp;TRIM(SUBSTITUTE(SUBSTITUTE(SUBSTITUTE(SUBSTITUTE(SUBSTITUTE(SUBSTITUTE(SUBSTITUTE(SUBSTITUTE(SUBSTITUTE(SUBSTITUTE(SUBSTITUTE(SUBSTITUTE(SUBSTITUTE(SUBSTITUTE(SUBSTITUTE(SUBSTITUTE(LOWER(B722),"."," "),","," "),"'"," "),"’"," "),"!"," "),"?"," "),";"," "),":"," "),"-"," "),"("," "),")"," "),"""", " "),"£"," "),"&amp;"," "),"/"," "),"%"," "))&amp;" "</f>
        <v> hello i am unable to access my account to see my balance i would like a response in writing </v>
      </c>
      <c r="E722" s="0" t="n">
        <f aca="false">SUMPRODUCT((Rules!$A$2:$A$60=E$1)*Rules!$C$2:$C$60*ISNUMBER(SEARCH(Rules!$D$2:$D$60,$D722)))</f>
        <v>0</v>
      </c>
      <c r="F722" s="0" t="n">
        <f aca="false">SUMPRODUCT((Rules!$A$2:$A$60=F$1)*Rules!$C$2:$C$60*ISNUMBER(SEARCH(Rules!$D$2:$D$60,$D722)))</f>
        <v>0</v>
      </c>
      <c r="G722" s="0" t="n">
        <f aca="false">SUMPRODUCT((Rules!$A$2:$A$60=G$1)*Rules!$C$2:$C$60*ISNUMBER(SEARCH(Rules!$D$2:$D$60,$D722)))</f>
        <v>1</v>
      </c>
      <c r="H722" s="0" t="n">
        <f aca="false">SUMPRODUCT((Rules!$A$2:$A$60=H$1)*Rules!$C$2:$C$60*ISNUMBER(SEARCH(Rules!$D$2:$D$60,$D722)))</f>
        <v>0</v>
      </c>
      <c r="I722" s="0" t="n">
        <f aca="false">SUMPRODUCT((Rules!$A$2:$A$60=I$1)*Rules!$C$2:$C$60*ISNUMBER(SEARCH(Rules!$D$2:$D$60,$D722)))</f>
        <v>0</v>
      </c>
      <c r="J722" s="0" t="n">
        <f aca="false">SUMPRODUCT((Rules!$A$2:$A$60=J$1)*Rules!$C$2:$C$60*ISNUMBER(SEARCH(Rules!$D$2:$D$60,$D722)))</f>
        <v>0</v>
      </c>
      <c r="K722" s="0" t="str">
        <f aca="false">IF(OR(MAX(E722:J722)&lt;Rules!$H$1,MAX(E722:J722)-LARGE(E722:J722,2)&lt;Rules!$H$2),"No label",INDEX($E$1:$J$1,MATCH(MAX(E722:J722),E722:J722,0)))</f>
        <v>No label</v>
      </c>
      <c r="L722" s="0" t="n">
        <f aca="false">SUMPRODUCT((Rules!$A$2:$A$60=L$1)*Rules!$C$2:$C$60*ISNUMBER(SEARCH(Rules!$E$2:$E$60,$D722)))</f>
        <v>0</v>
      </c>
      <c r="M722" s="0" t="n">
        <f aca="false">SUMPRODUCT((Rules!$A$2:$A$60=M$1)*Rules!$C$2:$C$60*ISNUMBER(SEARCH(Rules!$E$2:$E$60,$D722)))</f>
        <v>0</v>
      </c>
      <c r="N722" s="0" t="n">
        <f aca="false">SUMPRODUCT((Rules!$A$2:$A$60=N$1)*Rules!$C$2:$C$60*ISNUMBER(SEARCH(Rules!$E$2:$E$60,$D722)))</f>
        <v>1</v>
      </c>
      <c r="O722" s="0" t="n">
        <f aca="false">SUMPRODUCT((Rules!$A$2:$A$60=O$1)*Rules!$C$2:$C$60*ISNUMBER(SEARCH(Rules!$E$2:$E$60,$D722)))</f>
        <v>0</v>
      </c>
      <c r="P722" s="0" t="n">
        <f aca="false">SUMPRODUCT((Rules!$A$2:$A$60=P$1)*Rules!$C$2:$C$60*ISNUMBER(SEARCH(Rules!$E$2:$E$60,$D722)))</f>
        <v>0</v>
      </c>
      <c r="Q722" s="0" t="n">
        <f aca="false">SUMPRODUCT((Rules!$A$2:$A$60=Q$1)*Rules!$C$2:$C$60*ISNUMBER(SEARCH(Rules!$E$2:$E$60,$D722)))</f>
        <v>0</v>
      </c>
      <c r="R722" s="0" t="str">
        <f aca="false">IF(OR(MAX(L722:Q722)&lt;Rules!$H$1,MAX(L722:Q722)-LARGE(L722:Q722,2)&lt;Rules!$H$2),"No label",INDEX($L$1:$Q$1,MATCH(MAX(L722:Q722),L722:Q722,0)))</f>
        <v>No label</v>
      </c>
      <c r="S722" s="0" t="n">
        <f aca="false">SUMPRODUCT(ISNUMBER(SEARCH(" "&amp;Terms!$A$3:$A$821&amp;" ",$D722))*Terms!B$3:B$821)+Terms!B$2</f>
        <v>7.65077743719296</v>
      </c>
      <c r="T722" s="0" t="n">
        <f aca="false">SUMPRODUCT(ISNUMBER(SEARCH(" "&amp;Terms!$A$3:$A$821&amp;" ",$D722))*Terms!C$3:C$821)+Terms!C$2</f>
        <v>-3.65208442426299</v>
      </c>
      <c r="U722" s="0" t="n">
        <f aca="false">SUMPRODUCT(ISNUMBER(SEARCH(" "&amp;Terms!$A$3:$A$821&amp;" ",$D722))*Terms!D$3:D$821)+Terms!D$2</f>
        <v>0.192144793702201</v>
      </c>
      <c r="V722" s="0" t="n">
        <f aca="false">SUMPRODUCT(ISNUMBER(SEARCH(" "&amp;Terms!$A$3:$A$821&amp;" ",$D722))*Terms!E$3:E$821)+Terms!E$2</f>
        <v>-1.41408741953335</v>
      </c>
      <c r="W722" s="0" t="n">
        <f aca="false">SUMPRODUCT(ISNUMBER(SEARCH(" "&amp;Terms!$A$3:$A$821&amp;" ",$D722))*Terms!F$3:F$821)+Terms!F$2</f>
        <v>-2.29678078093705</v>
      </c>
      <c r="X722" s="0" t="n">
        <f aca="false">SUMPRODUCT(ISNUMBER(SEARCH(" "&amp;Terms!$A$3:$A$821&amp;" ",$D722))*Terms!G$3:G$821)+Terms!G$2</f>
        <v>-0.479969606161685</v>
      </c>
      <c r="Y722" s="0" t="str">
        <f aca="false">INDEX($S$1:$X$1,MATCH(MAX(S722:X722),S722:X722,0))</f>
        <v>Account Access</v>
      </c>
      <c r="Z722" s="0" t="s">
        <v>2608</v>
      </c>
    </row>
    <row r="723" customFormat="false" ht="15" hidden="false" customHeight="false" outlineLevel="0" collapsed="false">
      <c r="A723" s="0" t="str">
        <f aca="false">Complaints!A723</f>
        <v>C0722</v>
      </c>
      <c r="B723" s="0" t="str">
        <f aca="false">Complaints!B723</f>
        <v>I cannot log in to the mobile app since the update. I am worried it ight be fraud. I expect compensation.</v>
      </c>
      <c r="C723" s="0" t="str">
        <f aca="false">Complaints!C723</f>
        <v>Account Access</v>
      </c>
      <c r="D723" s="0" t="str">
        <f aca="false">" "&amp;TRIM(SUBSTITUTE(SUBSTITUTE(SUBSTITUTE(SUBSTITUTE(SUBSTITUTE(SUBSTITUTE(SUBSTITUTE(SUBSTITUTE(SUBSTITUTE(SUBSTITUTE(SUBSTITUTE(SUBSTITUTE(SUBSTITUTE(SUBSTITUTE(SUBSTITUTE(SUBSTITUTE(LOWER(B723),"."," "),","," "),"'"," "),"’"," "),"!"," "),"?"," "),";"," "),":"," "),"-"," "),"("," "),")"," "),"""", " "),"£"," "),"&amp;"," "),"/"," "),"%"," "))&amp;" "</f>
        <v> i cannot log in to the mobile app since the update i am worried it ight be fraud i expect compensation </v>
      </c>
      <c r="E723" s="0" t="n">
        <f aca="false">SUMPRODUCT((Rules!$A$2:$A$60=E$1)*Rules!$C$2:$C$60*ISNUMBER(SEARCH(Rules!$D$2:$D$60,$D723)))</f>
        <v>3</v>
      </c>
      <c r="F723" s="0" t="n">
        <f aca="false">SUMPRODUCT((Rules!$A$2:$A$60=F$1)*Rules!$C$2:$C$60*ISNUMBER(SEARCH(Rules!$D$2:$D$60,$D723)))</f>
        <v>0</v>
      </c>
      <c r="G723" s="0" t="n">
        <f aca="false">SUMPRODUCT((Rules!$A$2:$A$60=G$1)*Rules!$C$2:$C$60*ISNUMBER(SEARCH(Rules!$D$2:$D$60,$D723)))</f>
        <v>4</v>
      </c>
      <c r="H723" s="0" t="n">
        <f aca="false">SUMPRODUCT((Rules!$A$2:$A$60=H$1)*Rules!$C$2:$C$60*ISNUMBER(SEARCH(Rules!$D$2:$D$60,$D723)))</f>
        <v>0</v>
      </c>
      <c r="I723" s="0" t="n">
        <f aca="false">SUMPRODUCT((Rules!$A$2:$A$60=I$1)*Rules!$C$2:$C$60*ISNUMBER(SEARCH(Rules!$D$2:$D$60,$D723)))</f>
        <v>0</v>
      </c>
      <c r="J723" s="0" t="n">
        <f aca="false">SUMPRODUCT((Rules!$A$2:$A$60=J$1)*Rules!$C$2:$C$60*ISNUMBER(SEARCH(Rules!$D$2:$D$60,$D723)))</f>
        <v>0</v>
      </c>
      <c r="K723" s="0" t="str">
        <f aca="false">IF(OR(MAX(E723:J723)&lt;Rules!$H$1,MAX(E723:J723)-LARGE(E723:J723,2)&lt;Rules!$H$2),"No label",INDEX($E$1:$J$1,MATCH(MAX(E723:J723),E723:J723,0)))</f>
        <v>No label</v>
      </c>
      <c r="L723" s="0" t="n">
        <f aca="false">SUMPRODUCT((Rules!$A$2:$A$60=L$1)*Rules!$C$2:$C$60*ISNUMBER(SEARCH(Rules!$E$2:$E$60,$D723)))</f>
        <v>3</v>
      </c>
      <c r="M723" s="0" t="n">
        <f aca="false">SUMPRODUCT((Rules!$A$2:$A$60=M$1)*Rules!$C$2:$C$60*ISNUMBER(SEARCH(Rules!$E$2:$E$60,$D723)))</f>
        <v>0</v>
      </c>
      <c r="N723" s="0" t="n">
        <f aca="false">SUMPRODUCT((Rules!$A$2:$A$60=N$1)*Rules!$C$2:$C$60*ISNUMBER(SEARCH(Rules!$E$2:$E$60,$D723)))</f>
        <v>4</v>
      </c>
      <c r="O723" s="0" t="n">
        <f aca="false">SUMPRODUCT((Rules!$A$2:$A$60=O$1)*Rules!$C$2:$C$60*ISNUMBER(SEARCH(Rules!$E$2:$E$60,$D723)))</f>
        <v>0</v>
      </c>
      <c r="P723" s="0" t="n">
        <f aca="false">SUMPRODUCT((Rules!$A$2:$A$60=P$1)*Rules!$C$2:$C$60*ISNUMBER(SEARCH(Rules!$E$2:$E$60,$D723)))</f>
        <v>0</v>
      </c>
      <c r="Q723" s="0" t="n">
        <f aca="false">SUMPRODUCT((Rules!$A$2:$A$60=Q$1)*Rules!$C$2:$C$60*ISNUMBER(SEARCH(Rules!$E$2:$E$60,$D723)))</f>
        <v>0</v>
      </c>
      <c r="R723" s="0" t="str">
        <f aca="false">IF(OR(MAX(L723:Q723)&lt;Rules!$H$1,MAX(L723:Q723)-LARGE(L723:Q723,2)&lt;Rules!$H$2),"No label",INDEX($L$1:$Q$1,MATCH(MAX(L723:Q723),L723:Q723,0)))</f>
        <v>No label</v>
      </c>
      <c r="S723" s="0" t="n">
        <f aca="false">SUMPRODUCT(ISNUMBER(SEARCH(" "&amp;Terms!$A$3:$A$821&amp;" ",$D723))*Terms!B$3:B$821)+Terms!B$2</f>
        <v>11.5871389916499</v>
      </c>
      <c r="T723" s="0" t="n">
        <f aca="false">SUMPRODUCT(ISNUMBER(SEARCH(" "&amp;Terms!$A$3:$A$821&amp;" ",$D723))*Terms!C$3:C$821)+Terms!C$2</f>
        <v>-2.34140413174992</v>
      </c>
      <c r="U723" s="0" t="n">
        <f aca="false">SUMPRODUCT(ISNUMBER(SEARCH(" "&amp;Terms!$A$3:$A$821&amp;" ",$D723))*Terms!D$3:D$821)+Terms!D$2</f>
        <v>-2.36116811990528</v>
      </c>
      <c r="V723" s="0" t="n">
        <f aca="false">SUMPRODUCT(ISNUMBER(SEARCH(" "&amp;Terms!$A$3:$A$821&amp;" ",$D723))*Terms!E$3:E$821)+Terms!E$2</f>
        <v>-2.63603585196064</v>
      </c>
      <c r="W723" s="0" t="n">
        <f aca="false">SUMPRODUCT(ISNUMBER(SEARCH(" "&amp;Terms!$A$3:$A$821&amp;" ",$D723))*Terms!F$3:F$821)+Terms!F$2</f>
        <v>-2.67710453048775</v>
      </c>
      <c r="X723" s="0" t="n">
        <f aca="false">SUMPRODUCT(ISNUMBER(SEARCH(" "&amp;Terms!$A$3:$A$821&amp;" ",$D723))*Terms!G$3:G$821)+Terms!G$2</f>
        <v>-1.57142635754626</v>
      </c>
      <c r="Y723" s="0" t="str">
        <f aca="false">INDEX($S$1:$X$1,MATCH(MAX(S723:X723),S723:X723,0))</f>
        <v>Account Access</v>
      </c>
      <c r="Z723" s="0" t="s">
        <v>2607</v>
      </c>
    </row>
    <row r="724" customFormat="false" ht="15" hidden="false" customHeight="false" outlineLevel="0" collapsed="false">
      <c r="A724" s="0" t="str">
        <f aca="false">Complaints!A724</f>
        <v>C0723</v>
      </c>
      <c r="B724" s="0" t="str">
        <f aca="false">Complaints!B724</f>
        <v>To whom it may concern, It has taken six weeks to process my claim and nobody has updated me. I would like a response in writing.</v>
      </c>
      <c r="C724" s="0" t="str">
        <f aca="false">Complaints!C724</f>
        <v>Delays &amp; Processing</v>
      </c>
      <c r="D724" s="0" t="str">
        <f aca="false">" "&amp;TRIM(SUBSTITUTE(SUBSTITUTE(SUBSTITUTE(SUBSTITUTE(SUBSTITUTE(SUBSTITUTE(SUBSTITUTE(SUBSTITUTE(SUBSTITUTE(SUBSTITUTE(SUBSTITUTE(SUBSTITUTE(SUBSTITUTE(SUBSTITUTE(SUBSTITUTE(SUBSTITUTE(LOWER(B724),"."," "),","," "),"'"," "),"’"," "),"!"," "),"?"," "),";"," "),":"," "),"-"," "),"("," "),")"," "),"""", " "),"£"," "),"&amp;"," "),"/"," "),"%"," "))&amp;" "</f>
        <v> to whom it may concern it has taken six weeks to process my claim and nobody has updated me i would like a response in writing </v>
      </c>
      <c r="E724" s="0" t="n">
        <f aca="false">SUMPRODUCT((Rules!$A$2:$A$60=E$1)*Rules!$C$2:$C$60*ISNUMBER(SEARCH(Rules!$D$2:$D$60,$D724)))</f>
        <v>0</v>
      </c>
      <c r="F724" s="0" t="n">
        <f aca="false">SUMPRODUCT((Rules!$A$2:$A$60=F$1)*Rules!$C$2:$C$60*ISNUMBER(SEARCH(Rules!$D$2:$D$60,$D724)))</f>
        <v>0</v>
      </c>
      <c r="G724" s="0" t="n">
        <f aca="false">SUMPRODUCT((Rules!$A$2:$A$60=G$1)*Rules!$C$2:$C$60*ISNUMBER(SEARCH(Rules!$D$2:$D$60,$D724)))</f>
        <v>0</v>
      </c>
      <c r="H724" s="0" t="n">
        <f aca="false">SUMPRODUCT((Rules!$A$2:$A$60=H$1)*Rules!$C$2:$C$60*ISNUMBER(SEARCH(Rules!$D$2:$D$60,$D724)))</f>
        <v>0</v>
      </c>
      <c r="I724" s="0" t="n">
        <f aca="false">SUMPRODUCT((Rules!$A$2:$A$60=I$1)*Rules!$C$2:$C$60*ISNUMBER(SEARCH(Rules!$D$2:$D$60,$D724)))</f>
        <v>2</v>
      </c>
      <c r="J724" s="0" t="n">
        <f aca="false">SUMPRODUCT((Rules!$A$2:$A$60=J$1)*Rules!$C$2:$C$60*ISNUMBER(SEARCH(Rules!$D$2:$D$60,$D724)))</f>
        <v>0</v>
      </c>
      <c r="K724" s="0" t="str">
        <f aca="false">IF(OR(MAX(E724:J724)&lt;Rules!$H$1,MAX(E724:J724)-LARGE(E724:J724,2)&lt;Rules!$H$2),"No label",INDEX($E$1:$J$1,MATCH(MAX(E724:J724),E724:J724,0)))</f>
        <v>No label</v>
      </c>
      <c r="L724" s="0" t="n">
        <f aca="false">SUMPRODUCT((Rules!$A$2:$A$60=L$1)*Rules!$C$2:$C$60*ISNUMBER(SEARCH(Rules!$E$2:$E$60,$D724)))</f>
        <v>0</v>
      </c>
      <c r="M724" s="0" t="n">
        <f aca="false">SUMPRODUCT((Rules!$A$2:$A$60=M$1)*Rules!$C$2:$C$60*ISNUMBER(SEARCH(Rules!$E$2:$E$60,$D724)))</f>
        <v>0</v>
      </c>
      <c r="N724" s="0" t="n">
        <f aca="false">SUMPRODUCT((Rules!$A$2:$A$60=N$1)*Rules!$C$2:$C$60*ISNUMBER(SEARCH(Rules!$E$2:$E$60,$D724)))</f>
        <v>0</v>
      </c>
      <c r="O724" s="0" t="n">
        <f aca="false">SUMPRODUCT((Rules!$A$2:$A$60=O$1)*Rules!$C$2:$C$60*ISNUMBER(SEARCH(Rules!$E$2:$E$60,$D724)))</f>
        <v>0</v>
      </c>
      <c r="P724" s="0" t="n">
        <f aca="false">SUMPRODUCT((Rules!$A$2:$A$60=P$1)*Rules!$C$2:$C$60*ISNUMBER(SEARCH(Rules!$E$2:$E$60,$D724)))</f>
        <v>2</v>
      </c>
      <c r="Q724" s="0" t="n">
        <f aca="false">SUMPRODUCT((Rules!$A$2:$A$60=Q$1)*Rules!$C$2:$C$60*ISNUMBER(SEARCH(Rules!$E$2:$E$60,$D724)))</f>
        <v>0</v>
      </c>
      <c r="R724" s="0" t="str">
        <f aca="false">IF(OR(MAX(L724:Q724)&lt;Rules!$H$1,MAX(L724:Q724)-LARGE(L724:Q724,2)&lt;Rules!$H$2),"No label",INDEX($L$1:$Q$1,MATCH(MAX(L724:Q724),L724:Q724,0)))</f>
        <v>No label</v>
      </c>
      <c r="S724" s="0" t="n">
        <f aca="false">SUMPRODUCT(ISNUMBER(SEARCH(" "&amp;Terms!$A$3:$A$821&amp;" ",$D724))*Terms!B$3:B$821)+Terms!B$2</f>
        <v>-2.07499089753197</v>
      </c>
      <c r="T724" s="0" t="n">
        <f aca="false">SUMPRODUCT(ISNUMBER(SEARCH(" "&amp;Terms!$A$3:$A$821&amp;" ",$D724))*Terms!C$3:C$821)+Terms!C$2</f>
        <v>-2.95184873875992</v>
      </c>
      <c r="U724" s="0" t="n">
        <f aca="false">SUMPRODUCT(ISNUMBER(SEARCH(" "&amp;Terms!$A$3:$A$821&amp;" ",$D724))*Terms!D$3:D$821)+Terms!D$2</f>
        <v>7.03886760570388</v>
      </c>
      <c r="V724" s="0" t="n">
        <f aca="false">SUMPRODUCT(ISNUMBER(SEARCH(" "&amp;Terms!$A$3:$A$821&amp;" ",$D724))*Terms!E$3:E$821)+Terms!E$2</f>
        <v>-0.605018381509265</v>
      </c>
      <c r="W724" s="0" t="n">
        <f aca="false">SUMPRODUCT(ISNUMBER(SEARCH(" "&amp;Terms!$A$3:$A$821&amp;" ",$D724))*Terms!F$3:F$821)+Terms!F$2</f>
        <v>-2.3337469883647</v>
      </c>
      <c r="X724" s="0" t="n">
        <f aca="false">SUMPRODUCT(ISNUMBER(SEARCH(" "&amp;Terms!$A$3:$A$821&amp;" ",$D724))*Terms!G$3:G$821)+Terms!G$2</f>
        <v>0.926737400462056</v>
      </c>
      <c r="Y724" s="0" t="str">
        <f aca="false">INDEX($S$1:$X$1,MATCH(MAX(S724:X724),S724:X724,0))</f>
        <v>Delays &amp; Processing</v>
      </c>
      <c r="Z724" s="0" t="s">
        <v>2607</v>
      </c>
    </row>
    <row r="725" customFormat="false" ht="15" hidden="false" customHeight="false" outlineLevel="0" collapsed="false">
      <c r="A725" s="0" t="str">
        <f aca="false">Complaints!A725</f>
        <v>C0724</v>
      </c>
      <c r="B725" s="0" t="str">
        <f aca="false">Complaints!B725</f>
        <v>Hello, The website will not let me register for online acces. I would like a response in writing.</v>
      </c>
      <c r="C725" s="0" t="str">
        <f aca="false">Complaints!C725</f>
        <v>Account Access</v>
      </c>
      <c r="D725" s="0" t="str">
        <f aca="false">" "&amp;TRIM(SUBSTITUTE(SUBSTITUTE(SUBSTITUTE(SUBSTITUTE(SUBSTITUTE(SUBSTITUTE(SUBSTITUTE(SUBSTITUTE(SUBSTITUTE(SUBSTITUTE(SUBSTITUTE(SUBSTITUTE(SUBSTITUTE(SUBSTITUTE(SUBSTITUTE(SUBSTITUTE(LOWER(B725),"."," "),","," "),"'"," "),"’"," "),"!"," "),"?"," "),";"," "),":"," "),"-"," "),"("," "),")"," "),"""", " "),"£"," "),"&amp;"," "),"/"," "),"%"," "))&amp;" "</f>
        <v> hello the website will not let me register for online acces i would like a response in writing </v>
      </c>
      <c r="E725" s="0" t="n">
        <f aca="false">SUMPRODUCT((Rules!$A$2:$A$60=E$1)*Rules!$C$2:$C$60*ISNUMBER(SEARCH(Rules!$D$2:$D$60,$D725)))</f>
        <v>0</v>
      </c>
      <c r="F725" s="0" t="n">
        <f aca="false">SUMPRODUCT((Rules!$A$2:$A$60=F$1)*Rules!$C$2:$C$60*ISNUMBER(SEARCH(Rules!$D$2:$D$60,$D725)))</f>
        <v>0</v>
      </c>
      <c r="G725" s="0" t="n">
        <f aca="false">SUMPRODUCT((Rules!$A$2:$A$60=G$1)*Rules!$C$2:$C$60*ISNUMBER(SEARCH(Rules!$D$2:$D$60,$D725)))</f>
        <v>0</v>
      </c>
      <c r="H725" s="0" t="n">
        <f aca="false">SUMPRODUCT((Rules!$A$2:$A$60=H$1)*Rules!$C$2:$C$60*ISNUMBER(SEARCH(Rules!$D$2:$D$60,$D725)))</f>
        <v>0</v>
      </c>
      <c r="I725" s="0" t="n">
        <f aca="false">SUMPRODUCT((Rules!$A$2:$A$60=I$1)*Rules!$C$2:$C$60*ISNUMBER(SEARCH(Rules!$D$2:$D$60,$D725)))</f>
        <v>0</v>
      </c>
      <c r="J725" s="0" t="n">
        <f aca="false">SUMPRODUCT((Rules!$A$2:$A$60=J$1)*Rules!$C$2:$C$60*ISNUMBER(SEARCH(Rules!$D$2:$D$60,$D725)))</f>
        <v>0</v>
      </c>
      <c r="K725" s="0" t="str">
        <f aca="false">IF(OR(MAX(E725:J725)&lt;Rules!$H$1,MAX(E725:J725)-LARGE(E725:J725,2)&lt;Rules!$H$2),"No label",INDEX($E$1:$J$1,MATCH(MAX(E725:J725),E725:J725,0)))</f>
        <v>No label</v>
      </c>
      <c r="L725" s="0" t="n">
        <f aca="false">SUMPRODUCT((Rules!$A$2:$A$60=L$1)*Rules!$C$2:$C$60*ISNUMBER(SEARCH(Rules!$E$2:$E$60,$D725)))</f>
        <v>0</v>
      </c>
      <c r="M725" s="0" t="n">
        <f aca="false">SUMPRODUCT((Rules!$A$2:$A$60=M$1)*Rules!$C$2:$C$60*ISNUMBER(SEARCH(Rules!$E$2:$E$60,$D725)))</f>
        <v>0</v>
      </c>
      <c r="N725" s="0" t="n">
        <f aca="false">SUMPRODUCT((Rules!$A$2:$A$60=N$1)*Rules!$C$2:$C$60*ISNUMBER(SEARCH(Rules!$E$2:$E$60,$D725)))</f>
        <v>1</v>
      </c>
      <c r="O725" s="0" t="n">
        <f aca="false">SUMPRODUCT((Rules!$A$2:$A$60=O$1)*Rules!$C$2:$C$60*ISNUMBER(SEARCH(Rules!$E$2:$E$60,$D725)))</f>
        <v>0</v>
      </c>
      <c r="P725" s="0" t="n">
        <f aca="false">SUMPRODUCT((Rules!$A$2:$A$60=P$1)*Rules!$C$2:$C$60*ISNUMBER(SEARCH(Rules!$E$2:$E$60,$D725)))</f>
        <v>0</v>
      </c>
      <c r="Q725" s="0" t="n">
        <f aca="false">SUMPRODUCT((Rules!$A$2:$A$60=Q$1)*Rules!$C$2:$C$60*ISNUMBER(SEARCH(Rules!$E$2:$E$60,$D725)))</f>
        <v>0</v>
      </c>
      <c r="R725" s="0" t="str">
        <f aca="false">IF(OR(MAX(L725:Q725)&lt;Rules!$H$1,MAX(L725:Q725)-LARGE(L725:Q725,2)&lt;Rules!$H$2),"No label",INDEX($L$1:$Q$1,MATCH(MAX(L725:Q725),L725:Q725,0)))</f>
        <v>No label</v>
      </c>
      <c r="S725" s="0" t="n">
        <f aca="false">SUMPRODUCT(ISNUMBER(SEARCH(" "&amp;Terms!$A$3:$A$821&amp;" ",$D725))*Terms!B$3:B$821)+Terms!B$2</f>
        <v>6.4794130160424</v>
      </c>
      <c r="T725" s="0" t="n">
        <f aca="false">SUMPRODUCT(ISNUMBER(SEARCH(" "&amp;Terms!$A$3:$A$821&amp;" ",$D725))*Terms!C$3:C$821)+Terms!C$2</f>
        <v>-2.49586552825911</v>
      </c>
      <c r="U725" s="0" t="n">
        <f aca="false">SUMPRODUCT(ISNUMBER(SEARCH(" "&amp;Terms!$A$3:$A$821&amp;" ",$D725))*Terms!D$3:D$821)+Terms!D$2</f>
        <v>-2.61082931706801</v>
      </c>
      <c r="V725" s="0" t="n">
        <f aca="false">SUMPRODUCT(ISNUMBER(SEARCH(" "&amp;Terms!$A$3:$A$821&amp;" ",$D725))*Terms!E$3:E$821)+Terms!E$2</f>
        <v>-1.8377850031643</v>
      </c>
      <c r="W725" s="0" t="n">
        <f aca="false">SUMPRODUCT(ISNUMBER(SEARCH(" "&amp;Terms!$A$3:$A$821&amp;" ",$D725))*Terms!F$3:F$821)+Terms!F$2</f>
        <v>-1.99518891977085</v>
      </c>
      <c r="X725" s="0" t="n">
        <f aca="false">SUMPRODUCT(ISNUMBER(SEARCH(" "&amp;Terms!$A$3:$A$821&amp;" ",$D725))*Terms!G$3:G$821)+Terms!G$2</f>
        <v>2.46025575221996</v>
      </c>
      <c r="Y725" s="0" t="str">
        <f aca="false">INDEX($S$1:$X$1,MATCH(MAX(S725:X725),S725:X725,0))</f>
        <v>Account Access</v>
      </c>
      <c r="Z725" s="0" t="s">
        <v>2607</v>
      </c>
    </row>
    <row r="726" customFormat="false" ht="15" hidden="false" customHeight="false" outlineLevel="0" collapsed="false">
      <c r="A726" s="0" t="str">
        <f aca="false">Complaints!A726</f>
        <v>C0725</v>
      </c>
      <c r="B726" s="0" t="str">
        <f aca="false">Complaints!B726</f>
        <v>I have had enough of the way this has gone. Please sort this out.</v>
      </c>
      <c r="C726" s="0" t="str">
        <f aca="false">Complaints!C726</f>
        <v>Fees &amp; Charges</v>
      </c>
      <c r="D726" s="0" t="str">
        <f aca="false">" "&amp;TRIM(SUBSTITUTE(SUBSTITUTE(SUBSTITUTE(SUBSTITUTE(SUBSTITUTE(SUBSTITUTE(SUBSTITUTE(SUBSTITUTE(SUBSTITUTE(SUBSTITUTE(SUBSTITUTE(SUBSTITUTE(SUBSTITUTE(SUBSTITUTE(SUBSTITUTE(SUBSTITUTE(LOWER(B726),"."," "),","," "),"'"," "),"’"," "),"!"," "),"?"," "),";"," "),":"," "),"-"," "),"("," "),")"," "),"""", " "),"£"," "),"&amp;"," "),"/"," "),"%"," "))&amp;" "</f>
        <v> i have had enough of the way this has gone please sort this out </v>
      </c>
      <c r="E726" s="0" t="n">
        <f aca="false">SUMPRODUCT((Rules!$A$2:$A$60=E$1)*Rules!$C$2:$C$60*ISNUMBER(SEARCH(Rules!$D$2:$D$60,$D726)))</f>
        <v>0</v>
      </c>
      <c r="F726" s="0" t="n">
        <f aca="false">SUMPRODUCT((Rules!$A$2:$A$60=F$1)*Rules!$C$2:$C$60*ISNUMBER(SEARCH(Rules!$D$2:$D$60,$D726)))</f>
        <v>0</v>
      </c>
      <c r="G726" s="0" t="n">
        <f aca="false">SUMPRODUCT((Rules!$A$2:$A$60=G$1)*Rules!$C$2:$C$60*ISNUMBER(SEARCH(Rules!$D$2:$D$60,$D726)))</f>
        <v>0</v>
      </c>
      <c r="H726" s="0" t="n">
        <f aca="false">SUMPRODUCT((Rules!$A$2:$A$60=H$1)*Rules!$C$2:$C$60*ISNUMBER(SEARCH(Rules!$D$2:$D$60,$D726)))</f>
        <v>0</v>
      </c>
      <c r="I726" s="0" t="n">
        <f aca="false">SUMPRODUCT((Rules!$A$2:$A$60=I$1)*Rules!$C$2:$C$60*ISNUMBER(SEARCH(Rules!$D$2:$D$60,$D726)))</f>
        <v>0</v>
      </c>
      <c r="J726" s="0" t="n">
        <f aca="false">SUMPRODUCT((Rules!$A$2:$A$60=J$1)*Rules!$C$2:$C$60*ISNUMBER(SEARCH(Rules!$D$2:$D$60,$D726)))</f>
        <v>0</v>
      </c>
      <c r="K726" s="0" t="str">
        <f aca="false">IF(OR(MAX(E726:J726)&lt;Rules!$H$1,MAX(E726:J726)-LARGE(E726:J726,2)&lt;Rules!$H$2),"No label",INDEX($E$1:$J$1,MATCH(MAX(E726:J726),E726:J726,0)))</f>
        <v>No label</v>
      </c>
      <c r="L726" s="0" t="n">
        <f aca="false">SUMPRODUCT((Rules!$A$2:$A$60=L$1)*Rules!$C$2:$C$60*ISNUMBER(SEARCH(Rules!$E$2:$E$60,$D726)))</f>
        <v>0</v>
      </c>
      <c r="M726" s="0" t="n">
        <f aca="false">SUMPRODUCT((Rules!$A$2:$A$60=M$1)*Rules!$C$2:$C$60*ISNUMBER(SEARCH(Rules!$E$2:$E$60,$D726)))</f>
        <v>0</v>
      </c>
      <c r="N726" s="0" t="n">
        <f aca="false">SUMPRODUCT((Rules!$A$2:$A$60=N$1)*Rules!$C$2:$C$60*ISNUMBER(SEARCH(Rules!$E$2:$E$60,$D726)))</f>
        <v>0</v>
      </c>
      <c r="O726" s="0" t="n">
        <f aca="false">SUMPRODUCT((Rules!$A$2:$A$60=O$1)*Rules!$C$2:$C$60*ISNUMBER(SEARCH(Rules!$E$2:$E$60,$D726)))</f>
        <v>0</v>
      </c>
      <c r="P726" s="0" t="n">
        <f aca="false">SUMPRODUCT((Rules!$A$2:$A$60=P$1)*Rules!$C$2:$C$60*ISNUMBER(SEARCH(Rules!$E$2:$E$60,$D726)))</f>
        <v>0</v>
      </c>
      <c r="Q726" s="0" t="n">
        <f aca="false">SUMPRODUCT((Rules!$A$2:$A$60=Q$1)*Rules!$C$2:$C$60*ISNUMBER(SEARCH(Rules!$E$2:$E$60,$D726)))</f>
        <v>0</v>
      </c>
      <c r="R726" s="0" t="str">
        <f aca="false">IF(OR(MAX(L726:Q726)&lt;Rules!$H$1,MAX(L726:Q726)-LARGE(L726:Q726,2)&lt;Rules!$H$2),"No label",INDEX($L$1:$Q$1,MATCH(MAX(L726:Q726),L726:Q726,0)))</f>
        <v>No label</v>
      </c>
      <c r="S726" s="0" t="n">
        <f aca="false">SUMPRODUCT(ISNUMBER(SEARCH(" "&amp;Terms!$A$3:$A$821&amp;" ",$D726))*Terms!B$3:B$821)+Terms!B$2</f>
        <v>-1.32751172685638</v>
      </c>
      <c r="T726" s="0" t="n">
        <f aca="false">SUMPRODUCT(ISNUMBER(SEARCH(" "&amp;Terms!$A$3:$A$821&amp;" ",$D726))*Terms!C$3:C$821)+Terms!C$2</f>
        <v>0.711561300278434</v>
      </c>
      <c r="U726" s="0" t="n">
        <f aca="false">SUMPRODUCT(ISNUMBER(SEARCH(" "&amp;Terms!$A$3:$A$821&amp;" ",$D726))*Terms!D$3:D$821)+Terms!D$2</f>
        <v>0.285918344152182</v>
      </c>
      <c r="V726" s="0" t="n">
        <f aca="false">SUMPRODUCT(ISNUMBER(SEARCH(" "&amp;Terms!$A$3:$A$821&amp;" ",$D726))*Terms!E$3:E$821)+Terms!E$2</f>
        <v>3.10359045754391</v>
      </c>
      <c r="W726" s="0" t="n">
        <f aca="false">SUMPRODUCT(ISNUMBER(SEARCH(" "&amp;Terms!$A$3:$A$821&amp;" ",$D726))*Terms!F$3:F$821)+Terms!F$2</f>
        <v>-1.80616845449838</v>
      </c>
      <c r="X726" s="0" t="n">
        <f aca="false">SUMPRODUCT(ISNUMBER(SEARCH(" "&amp;Terms!$A$3:$A$821&amp;" ",$D726))*Terms!G$3:G$821)+Terms!G$2</f>
        <v>-0.967389920619668</v>
      </c>
      <c r="Y726" s="0" t="str">
        <f aca="false">INDEX($S$1:$X$1,MATCH(MAX(S726:X726),S726:X726,0))</f>
        <v>Fees &amp; Charges</v>
      </c>
      <c r="Z726" s="0" t="s">
        <v>2608</v>
      </c>
    </row>
    <row r="727" customFormat="false" ht="15" hidden="false" customHeight="false" outlineLevel="0" collapsed="false">
      <c r="A727" s="0" t="str">
        <f aca="false">Complaints!A727</f>
        <v>C0726</v>
      </c>
      <c r="B727" s="0" t="str">
        <f aca="false">Complaints!B727</f>
        <v>The app crashes every time I try to open my statements. There was also a fee involved.</v>
      </c>
      <c r="C727" s="0" t="str">
        <f aca="false">Complaints!C727</f>
        <v>Account Access</v>
      </c>
      <c r="D727" s="0" t="str">
        <f aca="false">" "&amp;TRIM(SUBSTITUTE(SUBSTITUTE(SUBSTITUTE(SUBSTITUTE(SUBSTITUTE(SUBSTITUTE(SUBSTITUTE(SUBSTITUTE(SUBSTITUTE(SUBSTITUTE(SUBSTITUTE(SUBSTITUTE(SUBSTITUTE(SUBSTITUTE(SUBSTITUTE(SUBSTITUTE(LOWER(B727),"."," "),","," "),"'"," "),"’"," "),"!"," "),"?"," "),";"," "),":"," "),"-"," "),"("," "),")"," "),"""", " "),"£"," "),"&amp;"," "),"/"," "),"%"," "))&amp;" "</f>
        <v> the app crashes every time i try to open my statements there was also a fee involved </v>
      </c>
      <c r="E727" s="0" t="n">
        <f aca="false">SUMPRODUCT((Rules!$A$2:$A$60=E$1)*Rules!$C$2:$C$60*ISNUMBER(SEARCH(Rules!$D$2:$D$60,$D727)))</f>
        <v>0</v>
      </c>
      <c r="F727" s="0" t="n">
        <f aca="false">SUMPRODUCT((Rules!$A$2:$A$60=F$1)*Rules!$C$2:$C$60*ISNUMBER(SEARCH(Rules!$D$2:$D$60,$D727)))</f>
        <v>0</v>
      </c>
      <c r="G727" s="0" t="n">
        <f aca="false">SUMPRODUCT((Rules!$A$2:$A$60=G$1)*Rules!$C$2:$C$60*ISNUMBER(SEARCH(Rules!$D$2:$D$60,$D727)))</f>
        <v>3</v>
      </c>
      <c r="H727" s="0" t="n">
        <f aca="false">SUMPRODUCT((Rules!$A$2:$A$60=H$1)*Rules!$C$2:$C$60*ISNUMBER(SEARCH(Rules!$D$2:$D$60,$D727)))</f>
        <v>2</v>
      </c>
      <c r="I727" s="0" t="n">
        <f aca="false">SUMPRODUCT((Rules!$A$2:$A$60=I$1)*Rules!$C$2:$C$60*ISNUMBER(SEARCH(Rules!$D$2:$D$60,$D727)))</f>
        <v>0</v>
      </c>
      <c r="J727" s="0" t="n">
        <f aca="false">SUMPRODUCT((Rules!$A$2:$A$60=J$1)*Rules!$C$2:$C$60*ISNUMBER(SEARCH(Rules!$D$2:$D$60,$D727)))</f>
        <v>0</v>
      </c>
      <c r="K727" s="0" t="str">
        <f aca="false">IF(OR(MAX(E727:J727)&lt;Rules!$H$1,MAX(E727:J727)-LARGE(E727:J727,2)&lt;Rules!$H$2),"No label",INDEX($E$1:$J$1,MATCH(MAX(E727:J727),E727:J727,0)))</f>
        <v>No label</v>
      </c>
      <c r="L727" s="0" t="n">
        <f aca="false">SUMPRODUCT((Rules!$A$2:$A$60=L$1)*Rules!$C$2:$C$60*ISNUMBER(SEARCH(Rules!$E$2:$E$60,$D727)))</f>
        <v>0</v>
      </c>
      <c r="M727" s="0" t="n">
        <f aca="false">SUMPRODUCT((Rules!$A$2:$A$60=M$1)*Rules!$C$2:$C$60*ISNUMBER(SEARCH(Rules!$E$2:$E$60,$D727)))</f>
        <v>0</v>
      </c>
      <c r="N727" s="0" t="n">
        <f aca="false">SUMPRODUCT((Rules!$A$2:$A$60=N$1)*Rules!$C$2:$C$60*ISNUMBER(SEARCH(Rules!$E$2:$E$60,$D727)))</f>
        <v>3</v>
      </c>
      <c r="O727" s="0" t="n">
        <f aca="false">SUMPRODUCT((Rules!$A$2:$A$60=O$1)*Rules!$C$2:$C$60*ISNUMBER(SEARCH(Rules!$E$2:$E$60,$D727)))</f>
        <v>3</v>
      </c>
      <c r="P727" s="0" t="n">
        <f aca="false">SUMPRODUCT((Rules!$A$2:$A$60=P$1)*Rules!$C$2:$C$60*ISNUMBER(SEARCH(Rules!$E$2:$E$60,$D727)))</f>
        <v>0</v>
      </c>
      <c r="Q727" s="0" t="n">
        <f aca="false">SUMPRODUCT((Rules!$A$2:$A$60=Q$1)*Rules!$C$2:$C$60*ISNUMBER(SEARCH(Rules!$E$2:$E$60,$D727)))</f>
        <v>0</v>
      </c>
      <c r="R727" s="0" t="str">
        <f aca="false">IF(OR(MAX(L727:Q727)&lt;Rules!$H$1,MAX(L727:Q727)-LARGE(L727:Q727,2)&lt;Rules!$H$2),"No label",INDEX($L$1:$Q$1,MATCH(MAX(L727:Q727),L727:Q727,0)))</f>
        <v>No label</v>
      </c>
      <c r="S727" s="0" t="n">
        <f aca="false">SUMPRODUCT(ISNUMBER(SEARCH(" "&amp;Terms!$A$3:$A$821&amp;" ",$D727))*Terms!B$3:B$821)+Terms!B$2</f>
        <v>9.4442178235435</v>
      </c>
      <c r="T727" s="0" t="n">
        <f aca="false">SUMPRODUCT(ISNUMBER(SEARCH(" "&amp;Terms!$A$3:$A$821&amp;" ",$D727))*Terms!C$3:C$821)+Terms!C$2</f>
        <v>-1.89128464463755</v>
      </c>
      <c r="U727" s="0" t="n">
        <f aca="false">SUMPRODUCT(ISNUMBER(SEARCH(" "&amp;Terms!$A$3:$A$821&amp;" ",$D727))*Terms!D$3:D$821)+Terms!D$2</f>
        <v>-2.57761565494816</v>
      </c>
      <c r="V727" s="0" t="n">
        <f aca="false">SUMPRODUCT(ISNUMBER(SEARCH(" "&amp;Terms!$A$3:$A$821&amp;" ",$D727))*Terms!E$3:E$821)+Terms!E$2</f>
        <v>1.24161390479435</v>
      </c>
      <c r="W727" s="0" t="n">
        <f aca="false">SUMPRODUCT(ISNUMBER(SEARCH(" "&amp;Terms!$A$3:$A$821&amp;" ",$D727))*Terms!F$3:F$821)+Terms!F$2</f>
        <v>-3.49774825987935</v>
      </c>
      <c r="X727" s="0" t="n">
        <f aca="false">SUMPRODUCT(ISNUMBER(SEARCH(" "&amp;Terms!$A$3:$A$821&amp;" ",$D727))*Terms!G$3:G$821)+Terms!G$2</f>
        <v>-2.71918316887268</v>
      </c>
      <c r="Y727" s="0" t="str">
        <f aca="false">INDEX($S$1:$X$1,MATCH(MAX(S727:X727),S727:X727,0))</f>
        <v>Account Access</v>
      </c>
      <c r="Z727" s="0" t="s">
        <v>2607</v>
      </c>
    </row>
    <row r="728" customFormat="false" ht="15" hidden="false" customHeight="false" outlineLevel="0" collapsed="false">
      <c r="A728" s="0" t="str">
        <f aca="false">Complaints!A728</f>
        <v>C0727</v>
      </c>
      <c r="B728" s="0" t="str">
        <f aca="false">Complaints!B728</f>
        <v>I have been a customer for years. The fraud team closed my case without investigating properly. Please sort this out.</v>
      </c>
      <c r="C728" s="0" t="str">
        <f aca="false">Complaints!C728</f>
        <v>Fraud &amp; Scams</v>
      </c>
      <c r="D728" s="0" t="str">
        <f aca="false">" "&amp;TRIM(SUBSTITUTE(SUBSTITUTE(SUBSTITUTE(SUBSTITUTE(SUBSTITUTE(SUBSTITUTE(SUBSTITUTE(SUBSTITUTE(SUBSTITUTE(SUBSTITUTE(SUBSTITUTE(SUBSTITUTE(SUBSTITUTE(SUBSTITUTE(SUBSTITUTE(SUBSTITUTE(LOWER(B728),"."," "),","," "),"'"," "),"’"," "),"!"," "),"?"," "),";"," "),":"," "),"-"," "),"("," "),")"," "),"""", " "),"£"," "),"&amp;"," "),"/"," "),"%"," "))&amp;" "</f>
        <v> i have been a customer for years the fraud team closed my case without investigating properly please sort this out </v>
      </c>
      <c r="E728" s="0" t="n">
        <f aca="false">SUMPRODUCT((Rules!$A$2:$A$60=E$1)*Rules!$C$2:$C$60*ISNUMBER(SEARCH(Rules!$D$2:$D$60,$D728)))</f>
        <v>3</v>
      </c>
      <c r="F728" s="0" t="n">
        <f aca="false">SUMPRODUCT((Rules!$A$2:$A$60=F$1)*Rules!$C$2:$C$60*ISNUMBER(SEARCH(Rules!$D$2:$D$60,$D728)))</f>
        <v>0</v>
      </c>
      <c r="G728" s="0" t="n">
        <f aca="false">SUMPRODUCT((Rules!$A$2:$A$60=G$1)*Rules!$C$2:$C$60*ISNUMBER(SEARCH(Rules!$D$2:$D$60,$D728)))</f>
        <v>0</v>
      </c>
      <c r="H728" s="0" t="n">
        <f aca="false">SUMPRODUCT((Rules!$A$2:$A$60=H$1)*Rules!$C$2:$C$60*ISNUMBER(SEARCH(Rules!$D$2:$D$60,$D728)))</f>
        <v>0</v>
      </c>
      <c r="I728" s="0" t="n">
        <f aca="false">SUMPRODUCT((Rules!$A$2:$A$60=I$1)*Rules!$C$2:$C$60*ISNUMBER(SEARCH(Rules!$D$2:$D$60,$D728)))</f>
        <v>0</v>
      </c>
      <c r="J728" s="0" t="n">
        <f aca="false">SUMPRODUCT((Rules!$A$2:$A$60=J$1)*Rules!$C$2:$C$60*ISNUMBER(SEARCH(Rules!$D$2:$D$60,$D728)))</f>
        <v>0</v>
      </c>
      <c r="K728" s="0" t="str">
        <f aca="false">IF(OR(MAX(E728:J728)&lt;Rules!$H$1,MAX(E728:J728)-LARGE(E728:J728,2)&lt;Rules!$H$2),"No label",INDEX($E$1:$J$1,MATCH(MAX(E728:J728),E728:J728,0)))</f>
        <v>Fraud &amp; Scams</v>
      </c>
      <c r="L728" s="0" t="n">
        <f aca="false">SUMPRODUCT((Rules!$A$2:$A$60=L$1)*Rules!$C$2:$C$60*ISNUMBER(SEARCH(Rules!$E$2:$E$60,$D728)))</f>
        <v>3</v>
      </c>
      <c r="M728" s="0" t="n">
        <f aca="false">SUMPRODUCT((Rules!$A$2:$A$60=M$1)*Rules!$C$2:$C$60*ISNUMBER(SEARCH(Rules!$E$2:$E$60,$D728)))</f>
        <v>0</v>
      </c>
      <c r="N728" s="0" t="n">
        <f aca="false">SUMPRODUCT((Rules!$A$2:$A$60=N$1)*Rules!$C$2:$C$60*ISNUMBER(SEARCH(Rules!$E$2:$E$60,$D728)))</f>
        <v>0</v>
      </c>
      <c r="O728" s="0" t="n">
        <f aca="false">SUMPRODUCT((Rules!$A$2:$A$60=O$1)*Rules!$C$2:$C$60*ISNUMBER(SEARCH(Rules!$E$2:$E$60,$D728)))</f>
        <v>0</v>
      </c>
      <c r="P728" s="0" t="n">
        <f aca="false">SUMPRODUCT((Rules!$A$2:$A$60=P$1)*Rules!$C$2:$C$60*ISNUMBER(SEARCH(Rules!$E$2:$E$60,$D728)))</f>
        <v>0</v>
      </c>
      <c r="Q728" s="0" t="n">
        <f aca="false">SUMPRODUCT((Rules!$A$2:$A$60=Q$1)*Rules!$C$2:$C$60*ISNUMBER(SEARCH(Rules!$E$2:$E$60,$D728)))</f>
        <v>0</v>
      </c>
      <c r="R728" s="0" t="str">
        <f aca="false">IF(OR(MAX(L728:Q728)&lt;Rules!$H$1,MAX(L728:Q728)-LARGE(L728:Q728,2)&lt;Rules!$H$2),"No label",INDEX($L$1:$Q$1,MATCH(MAX(L728:Q728),L728:Q728,0)))</f>
        <v>Fraud &amp; Scams</v>
      </c>
      <c r="S728" s="0" t="n">
        <f aca="false">SUMPRODUCT(ISNUMBER(SEARCH(" "&amp;Terms!$A$3:$A$821&amp;" ",$D728))*Terms!B$3:B$821)+Terms!B$2</f>
        <v>-4.83279673532104</v>
      </c>
      <c r="T728" s="0" t="n">
        <f aca="false">SUMPRODUCT(ISNUMBER(SEARCH(" "&amp;Terms!$A$3:$A$821&amp;" ",$D728))*Terms!C$3:C$821)+Terms!C$2</f>
        <v>1.39024459625827</v>
      </c>
      <c r="U728" s="0" t="n">
        <f aca="false">SUMPRODUCT(ISNUMBER(SEARCH(" "&amp;Terms!$A$3:$A$821&amp;" ",$D728))*Terms!D$3:D$821)+Terms!D$2</f>
        <v>-1.37750805189712</v>
      </c>
      <c r="V728" s="0" t="n">
        <f aca="false">SUMPRODUCT(ISNUMBER(SEARCH(" "&amp;Terms!$A$3:$A$821&amp;" ",$D728))*Terms!E$3:E$821)+Terms!E$2</f>
        <v>-2.57989386837393</v>
      </c>
      <c r="W728" s="0" t="n">
        <f aca="false">SUMPRODUCT(ISNUMBER(SEARCH(" "&amp;Terms!$A$3:$A$821&amp;" ",$D728))*Terms!F$3:F$821)+Terms!F$2</f>
        <v>10.6035620983333</v>
      </c>
      <c r="X728" s="0" t="n">
        <f aca="false">SUMPRODUCT(ISNUMBER(SEARCH(" "&amp;Terms!$A$3:$A$821&amp;" ",$D728))*Terms!G$3:G$821)+Terms!G$2</f>
        <v>-3.2036080389994</v>
      </c>
      <c r="Y728" s="0" t="str">
        <f aca="false">INDEX($S$1:$X$1,MATCH(MAX(S728:X728),S728:X728,0))</f>
        <v>Fraud &amp; Scams</v>
      </c>
      <c r="Z728" s="0" t="s">
        <v>2608</v>
      </c>
    </row>
    <row r="729" customFormat="false" ht="15" hidden="false" customHeight="false" outlineLevel="0" collapsed="false">
      <c r="A729" s="0" t="str">
        <f aca="false">Complaints!A729</f>
        <v>C0728</v>
      </c>
      <c r="B729" s="0" t="str">
        <f aca="false">Complaints!B729</f>
        <v>Frankly, I spent an hour on hold and then the call was cut off. Also, my application has been stuck for weeks with no progress. I want this put right.</v>
      </c>
      <c r="C729" s="0" t="str">
        <f aca="false">Complaints!C729</f>
        <v>Customer Service</v>
      </c>
      <c r="D729" s="0" t="str">
        <f aca="false">" "&amp;TRIM(SUBSTITUTE(SUBSTITUTE(SUBSTITUTE(SUBSTITUTE(SUBSTITUTE(SUBSTITUTE(SUBSTITUTE(SUBSTITUTE(SUBSTITUTE(SUBSTITUTE(SUBSTITUTE(SUBSTITUTE(SUBSTITUTE(SUBSTITUTE(SUBSTITUTE(SUBSTITUTE(LOWER(B729),"."," "),","," "),"'"," "),"’"," "),"!"," "),"?"," "),";"," "),":"," "),"-"," "),"("," "),")"," "),"""", " "),"£"," "),"&amp;"," "),"/"," "),"%"," "))&amp;" "</f>
        <v> frankly i spent an hour on hold and then the call was cut off also my application has been stuck for weeks with no progress i want this put right </v>
      </c>
      <c r="E729" s="0" t="n">
        <f aca="false">SUMPRODUCT((Rules!$A$2:$A$60=E$1)*Rules!$C$2:$C$60*ISNUMBER(SEARCH(Rules!$D$2:$D$60,$D729)))</f>
        <v>0</v>
      </c>
      <c r="F729" s="0" t="n">
        <f aca="false">SUMPRODUCT((Rules!$A$2:$A$60=F$1)*Rules!$C$2:$C$60*ISNUMBER(SEARCH(Rules!$D$2:$D$60,$D729)))</f>
        <v>0</v>
      </c>
      <c r="G729" s="0" t="n">
        <f aca="false">SUMPRODUCT((Rules!$A$2:$A$60=G$1)*Rules!$C$2:$C$60*ISNUMBER(SEARCH(Rules!$D$2:$D$60,$D729)))</f>
        <v>0</v>
      </c>
      <c r="H729" s="0" t="n">
        <f aca="false">SUMPRODUCT((Rules!$A$2:$A$60=H$1)*Rules!$C$2:$C$60*ISNUMBER(SEARCH(Rules!$D$2:$D$60,$D729)))</f>
        <v>0</v>
      </c>
      <c r="I729" s="0" t="n">
        <f aca="false">SUMPRODUCT((Rules!$A$2:$A$60=I$1)*Rules!$C$2:$C$60*ISNUMBER(SEARCH(Rules!$D$2:$D$60,$D729)))</f>
        <v>3</v>
      </c>
      <c r="J729" s="0" t="n">
        <f aca="false">SUMPRODUCT((Rules!$A$2:$A$60=J$1)*Rules!$C$2:$C$60*ISNUMBER(SEARCH(Rules!$D$2:$D$60,$D729)))</f>
        <v>3</v>
      </c>
      <c r="K729" s="0" t="str">
        <f aca="false">IF(OR(MAX(E729:J729)&lt;Rules!$H$1,MAX(E729:J729)-LARGE(E729:J729,2)&lt;Rules!$H$2),"No label",INDEX($E$1:$J$1,MATCH(MAX(E729:J729),E729:J729,0)))</f>
        <v>No label</v>
      </c>
      <c r="L729" s="0" t="n">
        <f aca="false">SUMPRODUCT((Rules!$A$2:$A$60=L$1)*Rules!$C$2:$C$60*ISNUMBER(SEARCH(Rules!$E$2:$E$60,$D729)))</f>
        <v>0</v>
      </c>
      <c r="M729" s="0" t="n">
        <f aca="false">SUMPRODUCT((Rules!$A$2:$A$60=M$1)*Rules!$C$2:$C$60*ISNUMBER(SEARCH(Rules!$E$2:$E$60,$D729)))</f>
        <v>0</v>
      </c>
      <c r="N729" s="0" t="n">
        <f aca="false">SUMPRODUCT((Rules!$A$2:$A$60=N$1)*Rules!$C$2:$C$60*ISNUMBER(SEARCH(Rules!$E$2:$E$60,$D729)))</f>
        <v>0</v>
      </c>
      <c r="O729" s="0" t="n">
        <f aca="false">SUMPRODUCT((Rules!$A$2:$A$60=O$1)*Rules!$C$2:$C$60*ISNUMBER(SEARCH(Rules!$E$2:$E$60,$D729)))</f>
        <v>0</v>
      </c>
      <c r="P729" s="0" t="n">
        <f aca="false">SUMPRODUCT((Rules!$A$2:$A$60=P$1)*Rules!$C$2:$C$60*ISNUMBER(SEARCH(Rules!$E$2:$E$60,$D729)))</f>
        <v>3</v>
      </c>
      <c r="Q729" s="0" t="n">
        <f aca="false">SUMPRODUCT((Rules!$A$2:$A$60=Q$1)*Rules!$C$2:$C$60*ISNUMBER(SEARCH(Rules!$E$2:$E$60,$D729)))</f>
        <v>3</v>
      </c>
      <c r="R729" s="0" t="str">
        <f aca="false">IF(OR(MAX(L729:Q729)&lt;Rules!$H$1,MAX(L729:Q729)-LARGE(L729:Q729,2)&lt;Rules!$H$2),"No label",INDEX($L$1:$Q$1,MATCH(MAX(L729:Q729),L729:Q729,0)))</f>
        <v>No label</v>
      </c>
      <c r="S729" s="0" t="n">
        <f aca="false">SUMPRODUCT(ISNUMBER(SEARCH(" "&amp;Terms!$A$3:$A$821&amp;" ",$D729))*Terms!B$3:B$821)+Terms!B$2</f>
        <v>-5.26251943585478</v>
      </c>
      <c r="T729" s="0" t="n">
        <f aca="false">SUMPRODUCT(ISNUMBER(SEARCH(" "&amp;Terms!$A$3:$A$821&amp;" ",$D729))*Terms!C$3:C$821)+Terms!C$2</f>
        <v>4.91658283003334</v>
      </c>
      <c r="U729" s="0" t="n">
        <f aca="false">SUMPRODUCT(ISNUMBER(SEARCH(" "&amp;Terms!$A$3:$A$821&amp;" ",$D729))*Terms!D$3:D$821)+Terms!D$2</f>
        <v>5.54587435377682</v>
      </c>
      <c r="V729" s="0" t="n">
        <f aca="false">SUMPRODUCT(ISNUMBER(SEARCH(" "&amp;Terms!$A$3:$A$821&amp;" ",$D729))*Terms!E$3:E$821)+Terms!E$2</f>
        <v>-2.84812147057849</v>
      </c>
      <c r="W729" s="0" t="n">
        <f aca="false">SUMPRODUCT(ISNUMBER(SEARCH(" "&amp;Terms!$A$3:$A$821&amp;" ",$D729))*Terms!F$3:F$821)+Terms!F$2</f>
        <v>-0.691407117837109</v>
      </c>
      <c r="X729" s="0" t="n">
        <f aca="false">SUMPRODUCT(ISNUMBER(SEARCH(" "&amp;Terms!$A$3:$A$821&amp;" ",$D729))*Terms!G$3:G$821)+Terms!G$2</f>
        <v>-1.66040915953967</v>
      </c>
      <c r="Y729" s="0" t="str">
        <f aca="false">INDEX($S$1:$X$1,MATCH(MAX(S729:X729),S729:X729,0))</f>
        <v>Delays &amp; Processing</v>
      </c>
      <c r="Z729" s="0" t="s">
        <v>2607</v>
      </c>
    </row>
    <row r="730" customFormat="false" ht="15" hidden="false" customHeight="false" outlineLevel="0" collapsed="false">
      <c r="A730" s="0" t="str">
        <f aca="false">Complaints!A730</f>
        <v>C0729</v>
      </c>
      <c r="B730" s="0" t="str">
        <f aca="false">Complaints!B730</f>
        <v>My application has been stuck for weeks with no progress. Also, i was tricked into moving savings to a safe account that was not safe. Please escalate this.</v>
      </c>
      <c r="C730" s="0" t="str">
        <f aca="false">Complaints!C730</f>
        <v>Delays &amp; Processing</v>
      </c>
      <c r="D730" s="0" t="str">
        <f aca="false">" "&amp;TRIM(SUBSTITUTE(SUBSTITUTE(SUBSTITUTE(SUBSTITUTE(SUBSTITUTE(SUBSTITUTE(SUBSTITUTE(SUBSTITUTE(SUBSTITUTE(SUBSTITUTE(SUBSTITUTE(SUBSTITUTE(SUBSTITUTE(SUBSTITUTE(SUBSTITUTE(SUBSTITUTE(LOWER(B730),"."," "),","," "),"'"," "),"’"," "),"!"," "),"?"," "),";"," "),":"," "),"-"," "),"("," "),")"," "),"""", " "),"£"," "),"&amp;"," "),"/"," "),"%"," "))&amp;" "</f>
        <v> my application has been stuck for weeks with no progress also i was tricked into moving savings to a safe account that was not safe please escalate this </v>
      </c>
      <c r="E730" s="0" t="n">
        <f aca="false">SUMPRODUCT((Rules!$A$2:$A$60=E$1)*Rules!$C$2:$C$60*ISNUMBER(SEARCH(Rules!$D$2:$D$60,$D730)))</f>
        <v>2</v>
      </c>
      <c r="F730" s="0" t="n">
        <f aca="false">SUMPRODUCT((Rules!$A$2:$A$60=F$1)*Rules!$C$2:$C$60*ISNUMBER(SEARCH(Rules!$D$2:$D$60,$D730)))</f>
        <v>0</v>
      </c>
      <c r="G730" s="0" t="n">
        <f aca="false">SUMPRODUCT((Rules!$A$2:$A$60=G$1)*Rules!$C$2:$C$60*ISNUMBER(SEARCH(Rules!$D$2:$D$60,$D730)))</f>
        <v>0</v>
      </c>
      <c r="H730" s="0" t="n">
        <f aca="false">SUMPRODUCT((Rules!$A$2:$A$60=H$1)*Rules!$C$2:$C$60*ISNUMBER(SEARCH(Rules!$D$2:$D$60,$D730)))</f>
        <v>0</v>
      </c>
      <c r="I730" s="0" t="n">
        <f aca="false">SUMPRODUCT((Rules!$A$2:$A$60=I$1)*Rules!$C$2:$C$60*ISNUMBER(SEARCH(Rules!$D$2:$D$60,$D730)))</f>
        <v>3</v>
      </c>
      <c r="J730" s="0" t="n">
        <f aca="false">SUMPRODUCT((Rules!$A$2:$A$60=J$1)*Rules!$C$2:$C$60*ISNUMBER(SEARCH(Rules!$D$2:$D$60,$D730)))</f>
        <v>0</v>
      </c>
      <c r="K730" s="0" t="str">
        <f aca="false">IF(OR(MAX(E730:J730)&lt;Rules!$H$1,MAX(E730:J730)-LARGE(E730:J730,2)&lt;Rules!$H$2),"No label",INDEX($E$1:$J$1,MATCH(MAX(E730:J730),E730:J730,0)))</f>
        <v>No label</v>
      </c>
      <c r="L730" s="0" t="n">
        <f aca="false">SUMPRODUCT((Rules!$A$2:$A$60=L$1)*Rules!$C$2:$C$60*ISNUMBER(SEARCH(Rules!$E$2:$E$60,$D730)))</f>
        <v>2</v>
      </c>
      <c r="M730" s="0" t="n">
        <f aca="false">SUMPRODUCT((Rules!$A$2:$A$60=M$1)*Rules!$C$2:$C$60*ISNUMBER(SEARCH(Rules!$E$2:$E$60,$D730)))</f>
        <v>0</v>
      </c>
      <c r="N730" s="0" t="n">
        <f aca="false">SUMPRODUCT((Rules!$A$2:$A$60=N$1)*Rules!$C$2:$C$60*ISNUMBER(SEARCH(Rules!$E$2:$E$60,$D730)))</f>
        <v>0</v>
      </c>
      <c r="O730" s="0" t="n">
        <f aca="false">SUMPRODUCT((Rules!$A$2:$A$60=O$1)*Rules!$C$2:$C$60*ISNUMBER(SEARCH(Rules!$E$2:$E$60,$D730)))</f>
        <v>0</v>
      </c>
      <c r="P730" s="0" t="n">
        <f aca="false">SUMPRODUCT((Rules!$A$2:$A$60=P$1)*Rules!$C$2:$C$60*ISNUMBER(SEARCH(Rules!$E$2:$E$60,$D730)))</f>
        <v>3</v>
      </c>
      <c r="Q730" s="0" t="n">
        <f aca="false">SUMPRODUCT((Rules!$A$2:$A$60=Q$1)*Rules!$C$2:$C$60*ISNUMBER(SEARCH(Rules!$E$2:$E$60,$D730)))</f>
        <v>0</v>
      </c>
      <c r="R730" s="0" t="str">
        <f aca="false">IF(OR(MAX(L730:Q730)&lt;Rules!$H$1,MAX(L730:Q730)-LARGE(L730:Q730,2)&lt;Rules!$H$2),"No label",INDEX($L$1:$Q$1,MATCH(MAX(L730:Q730),L730:Q730,0)))</f>
        <v>No label</v>
      </c>
      <c r="S730" s="0" t="n">
        <f aca="false">SUMPRODUCT(ISNUMBER(SEARCH(" "&amp;Terms!$A$3:$A$821&amp;" ",$D730))*Terms!B$3:B$821)+Terms!B$2</f>
        <v>-4.20237791558179</v>
      </c>
      <c r="T730" s="0" t="n">
        <f aca="false">SUMPRODUCT(ISNUMBER(SEARCH(" "&amp;Terms!$A$3:$A$821&amp;" ",$D730))*Terms!C$3:C$821)+Terms!C$2</f>
        <v>-5.57469314844138</v>
      </c>
      <c r="U730" s="0" t="n">
        <f aca="false">SUMPRODUCT(ISNUMBER(SEARCH(" "&amp;Terms!$A$3:$A$821&amp;" ",$D730))*Terms!D$3:D$821)+Terms!D$2</f>
        <v>10.2855153305217</v>
      </c>
      <c r="V730" s="0" t="n">
        <f aca="false">SUMPRODUCT(ISNUMBER(SEARCH(" "&amp;Terms!$A$3:$A$821&amp;" ",$D730))*Terms!E$3:E$821)+Terms!E$2</f>
        <v>-2.02652519089246</v>
      </c>
      <c r="W730" s="0" t="n">
        <f aca="false">SUMPRODUCT(ISNUMBER(SEARCH(" "&amp;Terms!$A$3:$A$821&amp;" ",$D730))*Terms!F$3:F$821)+Terms!F$2</f>
        <v>6.78755050775997</v>
      </c>
      <c r="X730" s="0" t="n">
        <f aca="false">SUMPRODUCT(ISNUMBER(SEARCH(" "&amp;Terms!$A$3:$A$821&amp;" ",$D730))*Terms!G$3:G$821)+Terms!G$2</f>
        <v>-5.26946958336592</v>
      </c>
      <c r="Y730" s="0" t="str">
        <f aca="false">INDEX($S$1:$X$1,MATCH(MAX(S730:X730),S730:X730,0))</f>
        <v>Delays &amp; Processing</v>
      </c>
      <c r="Z730" s="0" t="s">
        <v>2607</v>
      </c>
    </row>
    <row r="731" customFormat="false" ht="15" hidden="false" customHeight="false" outlineLevel="0" collapsed="false">
      <c r="A731" s="0" t="str">
        <f aca="false">Complaints!A731</f>
        <v>C0730</v>
      </c>
      <c r="B731" s="0" t="str">
        <f aca="false">Complaints!B731</f>
        <v>I am writing to complain. My transfer has been pending for over a week. Also, the staff member was rude and dismissive when I called. Please escalate this.</v>
      </c>
      <c r="C731" s="0" t="str">
        <f aca="false">Complaints!C731</f>
        <v>Delays &amp; Processing</v>
      </c>
      <c r="D731" s="0" t="str">
        <f aca="false">" "&amp;TRIM(SUBSTITUTE(SUBSTITUTE(SUBSTITUTE(SUBSTITUTE(SUBSTITUTE(SUBSTITUTE(SUBSTITUTE(SUBSTITUTE(SUBSTITUTE(SUBSTITUTE(SUBSTITUTE(SUBSTITUTE(SUBSTITUTE(SUBSTITUTE(SUBSTITUTE(SUBSTITUTE(LOWER(B731),"."," "),","," "),"'"," "),"’"," "),"!"," "),"?"," "),";"," "),":"," "),"-"," "),"("," "),")"," "),"""", " "),"£"," "),"&amp;"," "),"/"," "),"%"," "))&amp;" "</f>
        <v> i am writing to complain my transfer has been pending for over a week also the staff member was rude and dismissive when i called please escalate this </v>
      </c>
      <c r="E731" s="0" t="n">
        <f aca="false">SUMPRODUCT((Rules!$A$2:$A$60=E$1)*Rules!$C$2:$C$60*ISNUMBER(SEARCH(Rules!$D$2:$D$60,$D731)))</f>
        <v>0</v>
      </c>
      <c r="F731" s="0" t="n">
        <f aca="false">SUMPRODUCT((Rules!$A$2:$A$60=F$1)*Rules!$C$2:$C$60*ISNUMBER(SEARCH(Rules!$D$2:$D$60,$D731)))</f>
        <v>0</v>
      </c>
      <c r="G731" s="0" t="n">
        <f aca="false">SUMPRODUCT((Rules!$A$2:$A$60=G$1)*Rules!$C$2:$C$60*ISNUMBER(SEARCH(Rules!$D$2:$D$60,$D731)))</f>
        <v>0</v>
      </c>
      <c r="H731" s="0" t="n">
        <f aca="false">SUMPRODUCT((Rules!$A$2:$A$60=H$1)*Rules!$C$2:$C$60*ISNUMBER(SEARCH(Rules!$D$2:$D$60,$D731)))</f>
        <v>0</v>
      </c>
      <c r="I731" s="0" t="n">
        <f aca="false">SUMPRODUCT((Rules!$A$2:$A$60=I$1)*Rules!$C$2:$C$60*ISNUMBER(SEARCH(Rules!$D$2:$D$60,$D731)))</f>
        <v>2</v>
      </c>
      <c r="J731" s="0" t="n">
        <f aca="false">SUMPRODUCT((Rules!$A$2:$A$60=J$1)*Rules!$C$2:$C$60*ISNUMBER(SEARCH(Rules!$D$2:$D$60,$D731)))</f>
        <v>4</v>
      </c>
      <c r="K731" s="0" t="str">
        <f aca="false">IF(OR(MAX(E731:J731)&lt;Rules!$H$1,MAX(E731:J731)-LARGE(E731:J731,2)&lt;Rules!$H$2),"No label",INDEX($E$1:$J$1,MATCH(MAX(E731:J731),E731:J731,0)))</f>
        <v>Customer Service</v>
      </c>
      <c r="L731" s="0" t="n">
        <f aca="false">SUMPRODUCT((Rules!$A$2:$A$60=L$1)*Rules!$C$2:$C$60*ISNUMBER(SEARCH(Rules!$E$2:$E$60,$D731)))</f>
        <v>0</v>
      </c>
      <c r="M731" s="0" t="n">
        <f aca="false">SUMPRODUCT((Rules!$A$2:$A$60=M$1)*Rules!$C$2:$C$60*ISNUMBER(SEARCH(Rules!$E$2:$E$60,$D731)))</f>
        <v>0</v>
      </c>
      <c r="N731" s="0" t="n">
        <f aca="false">SUMPRODUCT((Rules!$A$2:$A$60=N$1)*Rules!$C$2:$C$60*ISNUMBER(SEARCH(Rules!$E$2:$E$60,$D731)))</f>
        <v>0</v>
      </c>
      <c r="O731" s="0" t="n">
        <f aca="false">SUMPRODUCT((Rules!$A$2:$A$60=O$1)*Rules!$C$2:$C$60*ISNUMBER(SEARCH(Rules!$E$2:$E$60,$D731)))</f>
        <v>0</v>
      </c>
      <c r="P731" s="0" t="n">
        <f aca="false">SUMPRODUCT((Rules!$A$2:$A$60=P$1)*Rules!$C$2:$C$60*ISNUMBER(SEARCH(Rules!$E$2:$E$60,$D731)))</f>
        <v>2</v>
      </c>
      <c r="Q731" s="0" t="n">
        <f aca="false">SUMPRODUCT((Rules!$A$2:$A$60=Q$1)*Rules!$C$2:$C$60*ISNUMBER(SEARCH(Rules!$E$2:$E$60,$D731)))</f>
        <v>4</v>
      </c>
      <c r="R731" s="0" t="str">
        <f aca="false">IF(OR(MAX(L731:Q731)&lt;Rules!$H$1,MAX(L731:Q731)-LARGE(L731:Q731,2)&lt;Rules!$H$2),"No label",INDEX($L$1:$Q$1,MATCH(MAX(L731:Q731),L731:Q731,0)))</f>
        <v>Customer Service</v>
      </c>
      <c r="S731" s="0" t="n">
        <f aca="false">SUMPRODUCT(ISNUMBER(SEARCH(" "&amp;Terms!$A$3:$A$821&amp;" ",$D731))*Terms!B$3:B$821)+Terms!B$2</f>
        <v>-5.80457007540826</v>
      </c>
      <c r="T731" s="0" t="n">
        <f aca="false">SUMPRODUCT(ISNUMBER(SEARCH(" "&amp;Terms!$A$3:$A$821&amp;" ",$D731))*Terms!C$3:C$821)+Terms!C$2</f>
        <v>9.30258523508743</v>
      </c>
      <c r="U731" s="0" t="n">
        <f aca="false">SUMPRODUCT(ISNUMBER(SEARCH(" "&amp;Terms!$A$3:$A$821&amp;" ",$D731))*Terms!D$3:D$821)+Terms!D$2</f>
        <v>7.28295870413068</v>
      </c>
      <c r="V731" s="0" t="n">
        <f aca="false">SUMPRODUCT(ISNUMBER(SEARCH(" "&amp;Terms!$A$3:$A$821&amp;" ",$D731))*Terms!E$3:E$821)+Terms!E$2</f>
        <v>-2.94047608644197</v>
      </c>
      <c r="W731" s="0" t="n">
        <f aca="false">SUMPRODUCT(ISNUMBER(SEARCH(" "&amp;Terms!$A$3:$A$821&amp;" ",$D731))*Terms!F$3:F$821)+Terms!F$2</f>
        <v>-3.15298113921744</v>
      </c>
      <c r="X731" s="0" t="n">
        <f aca="false">SUMPRODUCT(ISNUMBER(SEARCH(" "&amp;Terms!$A$3:$A$821&amp;" ",$D731))*Terms!G$3:G$821)+Terms!G$2</f>
        <v>-4.68751663815036</v>
      </c>
      <c r="Y731" s="0" t="str">
        <f aca="false">INDEX($S$1:$X$1,MATCH(MAX(S731:X731),S731:X731,0))</f>
        <v>Customer Service</v>
      </c>
      <c r="Z731" s="0" t="s">
        <v>2607</v>
      </c>
    </row>
    <row r="732" customFormat="false" ht="15" hidden="false" customHeight="false" outlineLevel="0" collapsed="false">
      <c r="A732" s="0" t="str">
        <f aca="false">Complaints!A732</f>
        <v>C0731</v>
      </c>
      <c r="B732" s="0" t="str">
        <f aca="false">Complaints!B732</f>
        <v>Hello, I feel I was treated badly because of my age. Also, a late payment fee appeared and I want it refunded.</v>
      </c>
      <c r="C732" s="0" t="str">
        <f aca="false">Complaints!C732</f>
        <v>Customer Service</v>
      </c>
      <c r="D732" s="0" t="str">
        <f aca="false">" "&amp;TRIM(SUBSTITUTE(SUBSTITUTE(SUBSTITUTE(SUBSTITUTE(SUBSTITUTE(SUBSTITUTE(SUBSTITUTE(SUBSTITUTE(SUBSTITUTE(SUBSTITUTE(SUBSTITUTE(SUBSTITUTE(SUBSTITUTE(SUBSTITUTE(SUBSTITUTE(SUBSTITUTE(LOWER(B732),"."," "),","," "),"'"," "),"’"," "),"!"," "),"?"," "),";"," "),":"," "),"-"," "),"("," "),")"," "),"""", " "),"£"," "),"&amp;"," "),"/"," "),"%"," "))&amp;" "</f>
        <v> hello i feel i was treated badly because of my age also a late payment fee appeared and i want it refunded </v>
      </c>
      <c r="E732" s="0" t="n">
        <f aca="false">SUMPRODUCT((Rules!$A$2:$A$60=E$1)*Rules!$C$2:$C$60*ISNUMBER(SEARCH(Rules!$D$2:$D$60,$D732)))</f>
        <v>0</v>
      </c>
      <c r="F732" s="0" t="n">
        <f aca="false">SUMPRODUCT((Rules!$A$2:$A$60=F$1)*Rules!$C$2:$C$60*ISNUMBER(SEARCH(Rules!$D$2:$D$60,$D732)))</f>
        <v>0</v>
      </c>
      <c r="G732" s="0" t="n">
        <f aca="false">SUMPRODUCT((Rules!$A$2:$A$60=G$1)*Rules!$C$2:$C$60*ISNUMBER(SEARCH(Rules!$D$2:$D$60,$D732)))</f>
        <v>0</v>
      </c>
      <c r="H732" s="0" t="n">
        <f aca="false">SUMPRODUCT((Rules!$A$2:$A$60=H$1)*Rules!$C$2:$C$60*ISNUMBER(SEARCH(Rules!$D$2:$D$60,$D732)))</f>
        <v>2</v>
      </c>
      <c r="I732" s="0" t="n">
        <f aca="false">SUMPRODUCT((Rules!$A$2:$A$60=I$1)*Rules!$C$2:$C$60*ISNUMBER(SEARCH(Rules!$D$2:$D$60,$D732)))</f>
        <v>0</v>
      </c>
      <c r="J732" s="0" t="n">
        <f aca="false">SUMPRODUCT((Rules!$A$2:$A$60=J$1)*Rules!$C$2:$C$60*ISNUMBER(SEARCH(Rules!$D$2:$D$60,$D732)))</f>
        <v>3</v>
      </c>
      <c r="K732" s="0" t="str">
        <f aca="false">IF(OR(MAX(E732:J732)&lt;Rules!$H$1,MAX(E732:J732)-LARGE(E732:J732,2)&lt;Rules!$H$2),"No label",INDEX($E$1:$J$1,MATCH(MAX(E732:J732),E732:J732,0)))</f>
        <v>No label</v>
      </c>
      <c r="L732" s="0" t="n">
        <f aca="false">SUMPRODUCT((Rules!$A$2:$A$60=L$1)*Rules!$C$2:$C$60*ISNUMBER(SEARCH(Rules!$E$2:$E$60,$D732)))</f>
        <v>0</v>
      </c>
      <c r="M732" s="0" t="n">
        <f aca="false">SUMPRODUCT((Rules!$A$2:$A$60=M$1)*Rules!$C$2:$C$60*ISNUMBER(SEARCH(Rules!$E$2:$E$60,$D732)))</f>
        <v>0</v>
      </c>
      <c r="N732" s="0" t="n">
        <f aca="false">SUMPRODUCT((Rules!$A$2:$A$60=N$1)*Rules!$C$2:$C$60*ISNUMBER(SEARCH(Rules!$E$2:$E$60,$D732)))</f>
        <v>0</v>
      </c>
      <c r="O732" s="0" t="n">
        <f aca="false">SUMPRODUCT((Rules!$A$2:$A$60=O$1)*Rules!$C$2:$C$60*ISNUMBER(SEARCH(Rules!$E$2:$E$60,$D732)))</f>
        <v>2</v>
      </c>
      <c r="P732" s="0" t="n">
        <f aca="false">SUMPRODUCT((Rules!$A$2:$A$60=P$1)*Rules!$C$2:$C$60*ISNUMBER(SEARCH(Rules!$E$2:$E$60,$D732)))</f>
        <v>0</v>
      </c>
      <c r="Q732" s="0" t="n">
        <f aca="false">SUMPRODUCT((Rules!$A$2:$A$60=Q$1)*Rules!$C$2:$C$60*ISNUMBER(SEARCH(Rules!$E$2:$E$60,$D732)))</f>
        <v>3</v>
      </c>
      <c r="R732" s="0" t="str">
        <f aca="false">IF(OR(MAX(L732:Q732)&lt;Rules!$H$1,MAX(L732:Q732)-LARGE(L732:Q732,2)&lt;Rules!$H$2),"No label",INDEX($L$1:$Q$1,MATCH(MAX(L732:Q732),L732:Q732,0)))</f>
        <v>No label</v>
      </c>
      <c r="S732" s="0" t="n">
        <f aca="false">SUMPRODUCT(ISNUMBER(SEARCH(" "&amp;Terms!$A$3:$A$821&amp;" ",$D732))*Terms!B$3:B$821)+Terms!B$2</f>
        <v>-3.42537762381917</v>
      </c>
      <c r="T732" s="0" t="n">
        <f aca="false">SUMPRODUCT(ISNUMBER(SEARCH(" "&amp;Terms!$A$3:$A$821&amp;" ",$D732))*Terms!C$3:C$821)+Terms!C$2</f>
        <v>2.91928835904538</v>
      </c>
      <c r="U732" s="0" t="n">
        <f aca="false">SUMPRODUCT(ISNUMBER(SEARCH(" "&amp;Terms!$A$3:$A$821&amp;" ",$D732))*Terms!D$3:D$821)+Terms!D$2</f>
        <v>-4.50250701984912</v>
      </c>
      <c r="V732" s="0" t="n">
        <f aca="false">SUMPRODUCT(ISNUMBER(SEARCH(" "&amp;Terms!$A$3:$A$821&amp;" ",$D732))*Terms!E$3:E$821)+Terms!E$2</f>
        <v>11.9976017385987</v>
      </c>
      <c r="W732" s="0" t="n">
        <f aca="false">SUMPRODUCT(ISNUMBER(SEARCH(" "&amp;Terms!$A$3:$A$821&amp;" ",$D732))*Terms!F$3:F$821)+Terms!F$2</f>
        <v>-1.32578848620334</v>
      </c>
      <c r="X732" s="0" t="n">
        <f aca="false">SUMPRODUCT(ISNUMBER(SEARCH(" "&amp;Terms!$A$3:$A$821&amp;" ",$D732))*Terms!G$3:G$821)+Terms!G$2</f>
        <v>-5.66321696777233</v>
      </c>
      <c r="Y732" s="0" t="str">
        <f aca="false">INDEX($S$1:$X$1,MATCH(MAX(S732:X732),S732:X732,0))</f>
        <v>Fees &amp; Charges</v>
      </c>
      <c r="Z732" s="0" t="s">
        <v>2607</v>
      </c>
    </row>
    <row r="733" customFormat="false" ht="15" hidden="false" customHeight="false" outlineLevel="0" collapsed="false">
      <c r="A733" s="0" t="str">
        <f aca="false">Complaints!A733</f>
        <v>C0732</v>
      </c>
      <c r="B733" s="0" t="str">
        <f aca="false">Complaints!B733</f>
        <v>Frankly, My transfer has been pending for over a week. Please sort this out.</v>
      </c>
      <c r="C733" s="0" t="str">
        <f aca="false">Complaints!C733</f>
        <v>Delays &amp; Processing</v>
      </c>
      <c r="D733" s="0" t="str">
        <f aca="false">" "&amp;TRIM(SUBSTITUTE(SUBSTITUTE(SUBSTITUTE(SUBSTITUTE(SUBSTITUTE(SUBSTITUTE(SUBSTITUTE(SUBSTITUTE(SUBSTITUTE(SUBSTITUTE(SUBSTITUTE(SUBSTITUTE(SUBSTITUTE(SUBSTITUTE(SUBSTITUTE(SUBSTITUTE(LOWER(B733),"."," "),","," "),"'"," "),"’"," "),"!"," "),"?"," "),";"," "),":"," "),"-"," "),"("," "),")"," "),"""", " "),"£"," "),"&amp;"," "),"/"," "),"%"," "))&amp;" "</f>
        <v> frankly my transfer has been pending for over a week please sort this out </v>
      </c>
      <c r="E733" s="0" t="n">
        <f aca="false">SUMPRODUCT((Rules!$A$2:$A$60=E$1)*Rules!$C$2:$C$60*ISNUMBER(SEARCH(Rules!$D$2:$D$60,$D733)))</f>
        <v>0</v>
      </c>
      <c r="F733" s="0" t="n">
        <f aca="false">SUMPRODUCT((Rules!$A$2:$A$60=F$1)*Rules!$C$2:$C$60*ISNUMBER(SEARCH(Rules!$D$2:$D$60,$D733)))</f>
        <v>0</v>
      </c>
      <c r="G733" s="0" t="n">
        <f aca="false">SUMPRODUCT((Rules!$A$2:$A$60=G$1)*Rules!$C$2:$C$60*ISNUMBER(SEARCH(Rules!$D$2:$D$60,$D733)))</f>
        <v>0</v>
      </c>
      <c r="H733" s="0" t="n">
        <f aca="false">SUMPRODUCT((Rules!$A$2:$A$60=H$1)*Rules!$C$2:$C$60*ISNUMBER(SEARCH(Rules!$D$2:$D$60,$D733)))</f>
        <v>0</v>
      </c>
      <c r="I733" s="0" t="n">
        <f aca="false">SUMPRODUCT((Rules!$A$2:$A$60=I$1)*Rules!$C$2:$C$60*ISNUMBER(SEARCH(Rules!$D$2:$D$60,$D733)))</f>
        <v>2</v>
      </c>
      <c r="J733" s="0" t="n">
        <f aca="false">SUMPRODUCT((Rules!$A$2:$A$60=J$1)*Rules!$C$2:$C$60*ISNUMBER(SEARCH(Rules!$D$2:$D$60,$D733)))</f>
        <v>0</v>
      </c>
      <c r="K733" s="0" t="str">
        <f aca="false">IF(OR(MAX(E733:J733)&lt;Rules!$H$1,MAX(E733:J733)-LARGE(E733:J733,2)&lt;Rules!$H$2),"No label",INDEX($E$1:$J$1,MATCH(MAX(E733:J733),E733:J733,0)))</f>
        <v>No label</v>
      </c>
      <c r="L733" s="0" t="n">
        <f aca="false">SUMPRODUCT((Rules!$A$2:$A$60=L$1)*Rules!$C$2:$C$60*ISNUMBER(SEARCH(Rules!$E$2:$E$60,$D733)))</f>
        <v>0</v>
      </c>
      <c r="M733" s="0" t="n">
        <f aca="false">SUMPRODUCT((Rules!$A$2:$A$60=M$1)*Rules!$C$2:$C$60*ISNUMBER(SEARCH(Rules!$E$2:$E$60,$D733)))</f>
        <v>0</v>
      </c>
      <c r="N733" s="0" t="n">
        <f aca="false">SUMPRODUCT((Rules!$A$2:$A$60=N$1)*Rules!$C$2:$C$60*ISNUMBER(SEARCH(Rules!$E$2:$E$60,$D733)))</f>
        <v>0</v>
      </c>
      <c r="O733" s="0" t="n">
        <f aca="false">SUMPRODUCT((Rules!$A$2:$A$60=O$1)*Rules!$C$2:$C$60*ISNUMBER(SEARCH(Rules!$E$2:$E$60,$D733)))</f>
        <v>0</v>
      </c>
      <c r="P733" s="0" t="n">
        <f aca="false">SUMPRODUCT((Rules!$A$2:$A$60=P$1)*Rules!$C$2:$C$60*ISNUMBER(SEARCH(Rules!$E$2:$E$60,$D733)))</f>
        <v>2</v>
      </c>
      <c r="Q733" s="0" t="n">
        <f aca="false">SUMPRODUCT((Rules!$A$2:$A$60=Q$1)*Rules!$C$2:$C$60*ISNUMBER(SEARCH(Rules!$E$2:$E$60,$D733)))</f>
        <v>0</v>
      </c>
      <c r="R733" s="0" t="str">
        <f aca="false">IF(OR(MAX(L733:Q733)&lt;Rules!$H$1,MAX(L733:Q733)-LARGE(L733:Q733,2)&lt;Rules!$H$2),"No label",INDEX($L$1:$Q$1,MATCH(MAX(L733:Q733),L733:Q733,0)))</f>
        <v>No label</v>
      </c>
      <c r="S733" s="0" t="n">
        <f aca="false">SUMPRODUCT(ISNUMBER(SEARCH(" "&amp;Terms!$A$3:$A$821&amp;" ",$D733))*Terms!B$3:B$821)+Terms!B$2</f>
        <v>-4.33652962912534</v>
      </c>
      <c r="T733" s="0" t="n">
        <f aca="false">SUMPRODUCT(ISNUMBER(SEARCH(" "&amp;Terms!$A$3:$A$821&amp;" ",$D733))*Terms!C$3:C$821)+Terms!C$2</f>
        <v>-0.0803108950572544</v>
      </c>
      <c r="U733" s="0" t="n">
        <f aca="false">SUMPRODUCT(ISNUMBER(SEARCH(" "&amp;Terms!$A$3:$A$821&amp;" ",$D733))*Terms!D$3:D$821)+Terms!D$2</f>
        <v>6.45899896816974</v>
      </c>
      <c r="V733" s="0" t="n">
        <f aca="false">SUMPRODUCT(ISNUMBER(SEARCH(" "&amp;Terms!$A$3:$A$821&amp;" ",$D733))*Terms!E$3:E$821)+Terms!E$2</f>
        <v>-0.643933150854083</v>
      </c>
      <c r="W733" s="0" t="n">
        <f aca="false">SUMPRODUCT(ISNUMBER(SEARCH(" "&amp;Terms!$A$3:$A$821&amp;" ",$D733))*Terms!F$3:F$821)+Terms!F$2</f>
        <v>0.46515758650759</v>
      </c>
      <c r="X733" s="0" t="n">
        <f aca="false">SUMPRODUCT(ISNUMBER(SEARCH(" "&amp;Terms!$A$3:$A$821&amp;" ",$D733))*Terms!G$3:G$821)+Terms!G$2</f>
        <v>-1.86338287964057</v>
      </c>
      <c r="Y733" s="0" t="str">
        <f aca="false">INDEX($S$1:$X$1,MATCH(MAX(S733:X733),S733:X733,0))</f>
        <v>Delays &amp; Processing</v>
      </c>
      <c r="Z733" s="0" t="s">
        <v>2608</v>
      </c>
    </row>
    <row r="734" customFormat="false" ht="15" hidden="false" customHeight="false" outlineLevel="0" collapsed="false">
      <c r="A734" s="0" t="str">
        <f aca="false">Complaints!A734</f>
        <v>C0733</v>
      </c>
      <c r="B734" s="0" t="str">
        <f aca="false">Complaints!B734</f>
        <v>The complaints handler was unhelpful and talked over me. I could not log in to check either. I would like a response in writing.</v>
      </c>
      <c r="C734" s="0" t="str">
        <f aca="false">Complaints!C734</f>
        <v>Customer Service</v>
      </c>
      <c r="D734" s="0" t="str">
        <f aca="false">" "&amp;TRIM(SUBSTITUTE(SUBSTITUTE(SUBSTITUTE(SUBSTITUTE(SUBSTITUTE(SUBSTITUTE(SUBSTITUTE(SUBSTITUTE(SUBSTITUTE(SUBSTITUTE(SUBSTITUTE(SUBSTITUTE(SUBSTITUTE(SUBSTITUTE(SUBSTITUTE(SUBSTITUTE(LOWER(B734),"."," "),","," "),"'"," "),"’"," "),"!"," "),"?"," "),";"," "),":"," "),"-"," "),"("," "),")"," "),"""", " "),"£"," "),"&amp;"," "),"/"," "),"%"," "))&amp;" "</f>
        <v> the complaints handler was unhelpful and talked over me i could not log in to check either i would like a response in writing </v>
      </c>
      <c r="E734" s="0" t="n">
        <f aca="false">SUMPRODUCT((Rules!$A$2:$A$60=E$1)*Rules!$C$2:$C$60*ISNUMBER(SEARCH(Rules!$D$2:$D$60,$D734)))</f>
        <v>0</v>
      </c>
      <c r="F734" s="0" t="n">
        <f aca="false">SUMPRODUCT((Rules!$A$2:$A$60=F$1)*Rules!$C$2:$C$60*ISNUMBER(SEARCH(Rules!$D$2:$D$60,$D734)))</f>
        <v>0</v>
      </c>
      <c r="G734" s="0" t="n">
        <f aca="false">SUMPRODUCT((Rules!$A$2:$A$60=G$1)*Rules!$C$2:$C$60*ISNUMBER(SEARCH(Rules!$D$2:$D$60,$D734)))</f>
        <v>3</v>
      </c>
      <c r="H734" s="0" t="n">
        <f aca="false">SUMPRODUCT((Rules!$A$2:$A$60=H$1)*Rules!$C$2:$C$60*ISNUMBER(SEARCH(Rules!$D$2:$D$60,$D734)))</f>
        <v>0</v>
      </c>
      <c r="I734" s="0" t="n">
        <f aca="false">SUMPRODUCT((Rules!$A$2:$A$60=I$1)*Rules!$C$2:$C$60*ISNUMBER(SEARCH(Rules!$D$2:$D$60,$D734)))</f>
        <v>0</v>
      </c>
      <c r="J734" s="0" t="n">
        <f aca="false">SUMPRODUCT((Rules!$A$2:$A$60=J$1)*Rules!$C$2:$C$60*ISNUMBER(SEARCH(Rules!$D$2:$D$60,$D734)))</f>
        <v>2</v>
      </c>
      <c r="K734" s="0" t="str">
        <f aca="false">IF(OR(MAX(E734:J734)&lt;Rules!$H$1,MAX(E734:J734)-LARGE(E734:J734,2)&lt;Rules!$H$2),"No label",INDEX($E$1:$J$1,MATCH(MAX(E734:J734),E734:J734,0)))</f>
        <v>No label</v>
      </c>
      <c r="L734" s="0" t="n">
        <f aca="false">SUMPRODUCT((Rules!$A$2:$A$60=L$1)*Rules!$C$2:$C$60*ISNUMBER(SEARCH(Rules!$E$2:$E$60,$D734)))</f>
        <v>0</v>
      </c>
      <c r="M734" s="0" t="n">
        <f aca="false">SUMPRODUCT((Rules!$A$2:$A$60=M$1)*Rules!$C$2:$C$60*ISNUMBER(SEARCH(Rules!$E$2:$E$60,$D734)))</f>
        <v>0</v>
      </c>
      <c r="N734" s="0" t="n">
        <f aca="false">SUMPRODUCT((Rules!$A$2:$A$60=N$1)*Rules!$C$2:$C$60*ISNUMBER(SEARCH(Rules!$E$2:$E$60,$D734)))</f>
        <v>3</v>
      </c>
      <c r="O734" s="0" t="n">
        <f aca="false">SUMPRODUCT((Rules!$A$2:$A$60=O$1)*Rules!$C$2:$C$60*ISNUMBER(SEARCH(Rules!$E$2:$E$60,$D734)))</f>
        <v>0</v>
      </c>
      <c r="P734" s="0" t="n">
        <f aca="false">SUMPRODUCT((Rules!$A$2:$A$60=P$1)*Rules!$C$2:$C$60*ISNUMBER(SEARCH(Rules!$E$2:$E$60,$D734)))</f>
        <v>0</v>
      </c>
      <c r="Q734" s="0" t="n">
        <f aca="false">SUMPRODUCT((Rules!$A$2:$A$60=Q$1)*Rules!$C$2:$C$60*ISNUMBER(SEARCH(Rules!$E$2:$E$60,$D734)))</f>
        <v>2</v>
      </c>
      <c r="R734" s="0" t="str">
        <f aca="false">IF(OR(MAX(L734:Q734)&lt;Rules!$H$1,MAX(L734:Q734)-LARGE(L734:Q734,2)&lt;Rules!$H$2),"No label",INDEX($L$1:$Q$1,MATCH(MAX(L734:Q734),L734:Q734,0)))</f>
        <v>No label</v>
      </c>
      <c r="S734" s="0" t="n">
        <f aca="false">SUMPRODUCT(ISNUMBER(SEARCH(" "&amp;Terms!$A$3:$A$821&amp;" ",$D734))*Terms!B$3:B$821)+Terms!B$2</f>
        <v>-1.13883990456373</v>
      </c>
      <c r="T734" s="0" t="n">
        <f aca="false">SUMPRODUCT(ISNUMBER(SEARCH(" "&amp;Terms!$A$3:$A$821&amp;" ",$D734))*Terms!C$3:C$821)+Terms!C$2</f>
        <v>7.68737173375883</v>
      </c>
      <c r="U734" s="0" t="n">
        <f aca="false">SUMPRODUCT(ISNUMBER(SEARCH(" "&amp;Terms!$A$3:$A$821&amp;" ",$D734))*Terms!D$3:D$821)+Terms!D$2</f>
        <v>-3.07154979530779</v>
      </c>
      <c r="V734" s="0" t="n">
        <f aca="false">SUMPRODUCT(ISNUMBER(SEARCH(" "&amp;Terms!$A$3:$A$821&amp;" ",$D734))*Terms!E$3:E$821)+Terms!E$2</f>
        <v>-1.32046511586544</v>
      </c>
      <c r="W734" s="0" t="n">
        <f aca="false">SUMPRODUCT(ISNUMBER(SEARCH(" "&amp;Terms!$A$3:$A$821&amp;" ",$D734))*Terms!F$3:F$821)+Terms!F$2</f>
        <v>-3.96960357597255</v>
      </c>
      <c r="X734" s="0" t="n">
        <f aca="false">SUMPRODUCT(ISNUMBER(SEARCH(" "&amp;Terms!$A$3:$A$821&amp;" ",$D734))*Terms!G$3:G$821)+Terms!G$2</f>
        <v>1.81308665795078</v>
      </c>
      <c r="Y734" s="0" t="str">
        <f aca="false">INDEX($S$1:$X$1,MATCH(MAX(S734:X734),S734:X734,0))</f>
        <v>Customer Service</v>
      </c>
      <c r="Z734" s="0" t="s">
        <v>2608</v>
      </c>
    </row>
    <row r="735" customFormat="false" ht="15" hidden="false" customHeight="false" outlineLevel="0" collapsed="false">
      <c r="A735" s="0" t="str">
        <f aca="false">Complaints!A735</f>
        <v>C0734</v>
      </c>
      <c r="B735" s="0" t="str">
        <f aca="false">Complaints!B735</f>
        <v>There is an unexpected charge on my statement of £48. I would like a response in writing.</v>
      </c>
      <c r="C735" s="0" t="str">
        <f aca="false">Complaints!C735</f>
        <v>Fees &amp; Charges</v>
      </c>
      <c r="D735" s="0" t="str">
        <f aca="false">" "&amp;TRIM(SUBSTITUTE(SUBSTITUTE(SUBSTITUTE(SUBSTITUTE(SUBSTITUTE(SUBSTITUTE(SUBSTITUTE(SUBSTITUTE(SUBSTITUTE(SUBSTITUTE(SUBSTITUTE(SUBSTITUTE(SUBSTITUTE(SUBSTITUTE(SUBSTITUTE(SUBSTITUTE(LOWER(B735),"."," "),","," "),"'"," "),"’"," "),"!"," "),"?"," "),";"," "),":"," "),"-"," "),"("," "),")"," "),"""", " "),"£"," "),"&amp;"," "),"/"," "),"%"," "))&amp;" "</f>
        <v> there is an unexpected charge on my statement of 48 i would like a response in writing </v>
      </c>
      <c r="E735" s="0" t="n">
        <f aca="false">SUMPRODUCT((Rules!$A$2:$A$60=E$1)*Rules!$C$2:$C$60*ISNUMBER(SEARCH(Rules!$D$2:$D$60,$D735)))</f>
        <v>0</v>
      </c>
      <c r="F735" s="0" t="n">
        <f aca="false">SUMPRODUCT((Rules!$A$2:$A$60=F$1)*Rules!$C$2:$C$60*ISNUMBER(SEARCH(Rules!$D$2:$D$60,$D735)))</f>
        <v>0</v>
      </c>
      <c r="G735" s="0" t="n">
        <f aca="false">SUMPRODUCT((Rules!$A$2:$A$60=G$1)*Rules!$C$2:$C$60*ISNUMBER(SEARCH(Rules!$D$2:$D$60,$D735)))</f>
        <v>0</v>
      </c>
      <c r="H735" s="0" t="n">
        <f aca="false">SUMPRODUCT((Rules!$A$2:$A$60=H$1)*Rules!$C$2:$C$60*ISNUMBER(SEARCH(Rules!$D$2:$D$60,$D735)))</f>
        <v>3</v>
      </c>
      <c r="I735" s="0" t="n">
        <f aca="false">SUMPRODUCT((Rules!$A$2:$A$60=I$1)*Rules!$C$2:$C$60*ISNUMBER(SEARCH(Rules!$D$2:$D$60,$D735)))</f>
        <v>0</v>
      </c>
      <c r="J735" s="0" t="n">
        <f aca="false">SUMPRODUCT((Rules!$A$2:$A$60=J$1)*Rules!$C$2:$C$60*ISNUMBER(SEARCH(Rules!$D$2:$D$60,$D735)))</f>
        <v>0</v>
      </c>
      <c r="K735" s="0" t="str">
        <f aca="false">IF(OR(MAX(E735:J735)&lt;Rules!$H$1,MAX(E735:J735)-LARGE(E735:J735,2)&lt;Rules!$H$2),"No label",INDEX($E$1:$J$1,MATCH(MAX(E735:J735),E735:J735,0)))</f>
        <v>Fees &amp; Charges</v>
      </c>
      <c r="L735" s="0" t="n">
        <f aca="false">SUMPRODUCT((Rules!$A$2:$A$60=L$1)*Rules!$C$2:$C$60*ISNUMBER(SEARCH(Rules!$E$2:$E$60,$D735)))</f>
        <v>0</v>
      </c>
      <c r="M735" s="0" t="n">
        <f aca="false">SUMPRODUCT((Rules!$A$2:$A$60=M$1)*Rules!$C$2:$C$60*ISNUMBER(SEARCH(Rules!$E$2:$E$60,$D735)))</f>
        <v>0</v>
      </c>
      <c r="N735" s="0" t="n">
        <f aca="false">SUMPRODUCT((Rules!$A$2:$A$60=N$1)*Rules!$C$2:$C$60*ISNUMBER(SEARCH(Rules!$E$2:$E$60,$D735)))</f>
        <v>0</v>
      </c>
      <c r="O735" s="0" t="n">
        <f aca="false">SUMPRODUCT((Rules!$A$2:$A$60=O$1)*Rules!$C$2:$C$60*ISNUMBER(SEARCH(Rules!$E$2:$E$60,$D735)))</f>
        <v>5</v>
      </c>
      <c r="P735" s="0" t="n">
        <f aca="false">SUMPRODUCT((Rules!$A$2:$A$60=P$1)*Rules!$C$2:$C$60*ISNUMBER(SEARCH(Rules!$E$2:$E$60,$D735)))</f>
        <v>0</v>
      </c>
      <c r="Q735" s="0" t="n">
        <f aca="false">SUMPRODUCT((Rules!$A$2:$A$60=Q$1)*Rules!$C$2:$C$60*ISNUMBER(SEARCH(Rules!$E$2:$E$60,$D735)))</f>
        <v>0</v>
      </c>
      <c r="R735" s="0" t="str">
        <f aca="false">IF(OR(MAX(L735:Q735)&lt;Rules!$H$1,MAX(L735:Q735)-LARGE(L735:Q735,2)&lt;Rules!$H$2),"No label",INDEX($L$1:$Q$1,MATCH(MAX(L735:Q735),L735:Q735,0)))</f>
        <v>Fees &amp; Charges</v>
      </c>
      <c r="S735" s="0" t="n">
        <f aca="false">SUMPRODUCT(ISNUMBER(SEARCH(" "&amp;Terms!$A$3:$A$821&amp;" ",$D735))*Terms!B$3:B$821)+Terms!B$2</f>
        <v>-2.79936304821495</v>
      </c>
      <c r="T735" s="0" t="n">
        <f aca="false">SUMPRODUCT(ISNUMBER(SEARCH(" "&amp;Terms!$A$3:$A$821&amp;" ",$D735))*Terms!C$3:C$821)+Terms!C$2</f>
        <v>-2.05926595333829</v>
      </c>
      <c r="U735" s="0" t="n">
        <f aca="false">SUMPRODUCT(ISNUMBER(SEARCH(" "&amp;Terms!$A$3:$A$821&amp;" ",$D735))*Terms!D$3:D$821)+Terms!D$2</f>
        <v>-2.32802568753095</v>
      </c>
      <c r="V735" s="0" t="n">
        <f aca="false">SUMPRODUCT(ISNUMBER(SEARCH(" "&amp;Terms!$A$3:$A$821&amp;" ",$D735))*Terms!E$3:E$821)+Terms!E$2</f>
        <v>9.33013992513392</v>
      </c>
      <c r="W735" s="0" t="n">
        <f aca="false">SUMPRODUCT(ISNUMBER(SEARCH(" "&amp;Terms!$A$3:$A$821&amp;" ",$D735))*Terms!F$3:F$821)+Terms!F$2</f>
        <v>-1.77104411316622</v>
      </c>
      <c r="X735" s="0" t="n">
        <f aca="false">SUMPRODUCT(ISNUMBER(SEARCH(" "&amp;Terms!$A$3:$A$821&amp;" ",$D735))*Terms!G$3:G$821)+Terms!G$2</f>
        <v>-0.37244112288341</v>
      </c>
      <c r="Y735" s="0" t="str">
        <f aca="false">INDEX($S$1:$X$1,MATCH(MAX(S735:X735),S735:X735,0))</f>
        <v>Fees &amp; Charges</v>
      </c>
      <c r="Z735" s="0" t="s">
        <v>2607</v>
      </c>
    </row>
    <row r="736" customFormat="false" ht="15" hidden="false" customHeight="false" outlineLevel="0" collapsed="false">
      <c r="A736" s="0" t="str">
        <f aca="false">Complaints!A736</f>
        <v>C0735</v>
      </c>
      <c r="B736" s="0" t="str">
        <f aca="false">Complaints!B736</f>
        <v>I am very unhappy with how this has been handled.</v>
      </c>
      <c r="C736" s="0" t="str">
        <f aca="false">Complaints!C736</f>
        <v>Account Access</v>
      </c>
      <c r="D736" s="0" t="str">
        <f aca="false">" "&amp;TRIM(SUBSTITUTE(SUBSTITUTE(SUBSTITUTE(SUBSTITUTE(SUBSTITUTE(SUBSTITUTE(SUBSTITUTE(SUBSTITUTE(SUBSTITUTE(SUBSTITUTE(SUBSTITUTE(SUBSTITUTE(SUBSTITUTE(SUBSTITUTE(SUBSTITUTE(SUBSTITUTE(LOWER(B736),"."," "),","," "),"'"," "),"’"," "),"!"," "),"?"," "),";"," "),":"," "),"-"," "),"("," "),")"," "),"""", " "),"£"," "),"&amp;"," "),"/"," "),"%"," "))&amp;" "</f>
        <v> i am very unhappy with how this has been handled </v>
      </c>
      <c r="E736" s="0" t="n">
        <f aca="false">SUMPRODUCT((Rules!$A$2:$A$60=E$1)*Rules!$C$2:$C$60*ISNUMBER(SEARCH(Rules!$D$2:$D$60,$D736)))</f>
        <v>0</v>
      </c>
      <c r="F736" s="0" t="n">
        <f aca="false">SUMPRODUCT((Rules!$A$2:$A$60=F$1)*Rules!$C$2:$C$60*ISNUMBER(SEARCH(Rules!$D$2:$D$60,$D736)))</f>
        <v>0</v>
      </c>
      <c r="G736" s="0" t="n">
        <f aca="false">SUMPRODUCT((Rules!$A$2:$A$60=G$1)*Rules!$C$2:$C$60*ISNUMBER(SEARCH(Rules!$D$2:$D$60,$D736)))</f>
        <v>0</v>
      </c>
      <c r="H736" s="0" t="n">
        <f aca="false">SUMPRODUCT((Rules!$A$2:$A$60=H$1)*Rules!$C$2:$C$60*ISNUMBER(SEARCH(Rules!$D$2:$D$60,$D736)))</f>
        <v>0</v>
      </c>
      <c r="I736" s="0" t="n">
        <f aca="false">SUMPRODUCT((Rules!$A$2:$A$60=I$1)*Rules!$C$2:$C$60*ISNUMBER(SEARCH(Rules!$D$2:$D$60,$D736)))</f>
        <v>0</v>
      </c>
      <c r="J736" s="0" t="n">
        <f aca="false">SUMPRODUCT((Rules!$A$2:$A$60=J$1)*Rules!$C$2:$C$60*ISNUMBER(SEARCH(Rules!$D$2:$D$60,$D736)))</f>
        <v>0</v>
      </c>
      <c r="K736" s="0" t="str">
        <f aca="false">IF(OR(MAX(E736:J736)&lt;Rules!$H$1,MAX(E736:J736)-LARGE(E736:J736,2)&lt;Rules!$H$2),"No label",INDEX($E$1:$J$1,MATCH(MAX(E736:J736),E736:J736,0)))</f>
        <v>No label</v>
      </c>
      <c r="L736" s="0" t="n">
        <f aca="false">SUMPRODUCT((Rules!$A$2:$A$60=L$1)*Rules!$C$2:$C$60*ISNUMBER(SEARCH(Rules!$E$2:$E$60,$D736)))</f>
        <v>0</v>
      </c>
      <c r="M736" s="0" t="n">
        <f aca="false">SUMPRODUCT((Rules!$A$2:$A$60=M$1)*Rules!$C$2:$C$60*ISNUMBER(SEARCH(Rules!$E$2:$E$60,$D736)))</f>
        <v>0</v>
      </c>
      <c r="N736" s="0" t="n">
        <f aca="false">SUMPRODUCT((Rules!$A$2:$A$60=N$1)*Rules!$C$2:$C$60*ISNUMBER(SEARCH(Rules!$E$2:$E$60,$D736)))</f>
        <v>0</v>
      </c>
      <c r="O736" s="0" t="n">
        <f aca="false">SUMPRODUCT((Rules!$A$2:$A$60=O$1)*Rules!$C$2:$C$60*ISNUMBER(SEARCH(Rules!$E$2:$E$60,$D736)))</f>
        <v>0</v>
      </c>
      <c r="P736" s="0" t="n">
        <f aca="false">SUMPRODUCT((Rules!$A$2:$A$60=P$1)*Rules!$C$2:$C$60*ISNUMBER(SEARCH(Rules!$E$2:$E$60,$D736)))</f>
        <v>0</v>
      </c>
      <c r="Q736" s="0" t="n">
        <f aca="false">SUMPRODUCT((Rules!$A$2:$A$60=Q$1)*Rules!$C$2:$C$60*ISNUMBER(SEARCH(Rules!$E$2:$E$60,$D736)))</f>
        <v>0</v>
      </c>
      <c r="R736" s="0" t="str">
        <f aca="false">IF(OR(MAX(L736:Q736)&lt;Rules!$H$1,MAX(L736:Q736)-LARGE(L736:Q736,2)&lt;Rules!$H$2),"No label",INDEX($L$1:$Q$1,MATCH(MAX(L736:Q736),L736:Q736,0)))</f>
        <v>No label</v>
      </c>
      <c r="S736" s="0" t="n">
        <f aca="false">SUMPRODUCT(ISNUMBER(SEARCH(" "&amp;Terms!$A$3:$A$821&amp;" ",$D736))*Terms!B$3:B$821)+Terms!B$2</f>
        <v>2.99645341264486</v>
      </c>
      <c r="T736" s="0" t="n">
        <f aca="false">SUMPRODUCT(ISNUMBER(SEARCH(" "&amp;Terms!$A$3:$A$821&amp;" ",$D736))*Terms!C$3:C$821)+Terms!C$2</f>
        <v>-1.43996461408986</v>
      </c>
      <c r="U736" s="0" t="n">
        <f aca="false">SUMPRODUCT(ISNUMBER(SEARCH(" "&amp;Terms!$A$3:$A$821&amp;" ",$D736))*Terms!D$3:D$821)+Terms!D$2</f>
        <v>1.6312258974019</v>
      </c>
      <c r="V736" s="0" t="n">
        <f aca="false">SUMPRODUCT(ISNUMBER(SEARCH(" "&amp;Terms!$A$3:$A$821&amp;" ",$D736))*Terms!E$3:E$821)+Terms!E$2</f>
        <v>0.232432241751821</v>
      </c>
      <c r="W736" s="0" t="n">
        <f aca="false">SUMPRODUCT(ISNUMBER(SEARCH(" "&amp;Terms!$A$3:$A$821&amp;" ",$D736))*Terms!F$3:F$821)+Terms!F$2</f>
        <v>-1.86833282639485</v>
      </c>
      <c r="X736" s="0" t="n">
        <f aca="false">SUMPRODUCT(ISNUMBER(SEARCH(" "&amp;Terms!$A$3:$A$821&amp;" ",$D736))*Terms!G$3:G$821)+Terms!G$2</f>
        <v>-1.55181411131377</v>
      </c>
      <c r="Y736" s="0" t="str">
        <f aca="false">INDEX($S$1:$X$1,MATCH(MAX(S736:X736),S736:X736,0))</f>
        <v>Account Access</v>
      </c>
      <c r="Z736" s="0" t="s">
        <v>2607</v>
      </c>
    </row>
    <row r="737" customFormat="false" ht="15" hidden="false" customHeight="false" outlineLevel="0" collapsed="false">
      <c r="A737" s="0" t="str">
        <f aca="false">Complaints!A737</f>
        <v>C0736</v>
      </c>
      <c r="B737" s="0" t="str">
        <f aca="false">Complaints!B737</f>
        <v>The account maintenance fee was taken twice this month. I want this put right.</v>
      </c>
      <c r="C737" s="0" t="str">
        <f aca="false">Complaints!C737</f>
        <v>Fees &amp; Charges</v>
      </c>
      <c r="D737" s="0" t="str">
        <f aca="false">" "&amp;TRIM(SUBSTITUTE(SUBSTITUTE(SUBSTITUTE(SUBSTITUTE(SUBSTITUTE(SUBSTITUTE(SUBSTITUTE(SUBSTITUTE(SUBSTITUTE(SUBSTITUTE(SUBSTITUTE(SUBSTITUTE(SUBSTITUTE(SUBSTITUTE(SUBSTITUTE(SUBSTITUTE(LOWER(B737),"."," "),","," "),"'"," "),"’"," "),"!"," "),"?"," "),";"," "),":"," "),"-"," "),"("," "),")"," "),"""", " "),"£"," "),"&amp;"," "),"/"," "),"%"," "))&amp;" "</f>
        <v> the account maintenance fee was taken twice this month i want this put right </v>
      </c>
      <c r="E737" s="0" t="n">
        <f aca="false">SUMPRODUCT((Rules!$A$2:$A$60=E$1)*Rules!$C$2:$C$60*ISNUMBER(SEARCH(Rules!$D$2:$D$60,$D737)))</f>
        <v>0</v>
      </c>
      <c r="F737" s="0" t="n">
        <f aca="false">SUMPRODUCT((Rules!$A$2:$A$60=F$1)*Rules!$C$2:$C$60*ISNUMBER(SEARCH(Rules!$D$2:$D$60,$D737)))</f>
        <v>0</v>
      </c>
      <c r="G737" s="0" t="n">
        <f aca="false">SUMPRODUCT((Rules!$A$2:$A$60=G$1)*Rules!$C$2:$C$60*ISNUMBER(SEARCH(Rules!$D$2:$D$60,$D737)))</f>
        <v>0</v>
      </c>
      <c r="H737" s="0" t="n">
        <f aca="false">SUMPRODUCT((Rules!$A$2:$A$60=H$1)*Rules!$C$2:$C$60*ISNUMBER(SEARCH(Rules!$D$2:$D$60,$D737)))</f>
        <v>2</v>
      </c>
      <c r="I737" s="0" t="n">
        <f aca="false">SUMPRODUCT((Rules!$A$2:$A$60=I$1)*Rules!$C$2:$C$60*ISNUMBER(SEARCH(Rules!$D$2:$D$60,$D737)))</f>
        <v>0</v>
      </c>
      <c r="J737" s="0" t="n">
        <f aca="false">SUMPRODUCT((Rules!$A$2:$A$60=J$1)*Rules!$C$2:$C$60*ISNUMBER(SEARCH(Rules!$D$2:$D$60,$D737)))</f>
        <v>0</v>
      </c>
      <c r="K737" s="0" t="str">
        <f aca="false">IF(OR(MAX(E737:J737)&lt;Rules!$H$1,MAX(E737:J737)-LARGE(E737:J737,2)&lt;Rules!$H$2),"No label",INDEX($E$1:$J$1,MATCH(MAX(E737:J737),E737:J737,0)))</f>
        <v>No label</v>
      </c>
      <c r="L737" s="0" t="n">
        <f aca="false">SUMPRODUCT((Rules!$A$2:$A$60=L$1)*Rules!$C$2:$C$60*ISNUMBER(SEARCH(Rules!$E$2:$E$60,$D737)))</f>
        <v>0</v>
      </c>
      <c r="M737" s="0" t="n">
        <f aca="false">SUMPRODUCT((Rules!$A$2:$A$60=M$1)*Rules!$C$2:$C$60*ISNUMBER(SEARCH(Rules!$E$2:$E$60,$D737)))</f>
        <v>0</v>
      </c>
      <c r="N737" s="0" t="n">
        <f aca="false">SUMPRODUCT((Rules!$A$2:$A$60=N$1)*Rules!$C$2:$C$60*ISNUMBER(SEARCH(Rules!$E$2:$E$60,$D737)))</f>
        <v>0</v>
      </c>
      <c r="O737" s="0" t="n">
        <f aca="false">SUMPRODUCT((Rules!$A$2:$A$60=O$1)*Rules!$C$2:$C$60*ISNUMBER(SEARCH(Rules!$E$2:$E$60,$D737)))</f>
        <v>2</v>
      </c>
      <c r="P737" s="0" t="n">
        <f aca="false">SUMPRODUCT((Rules!$A$2:$A$60=P$1)*Rules!$C$2:$C$60*ISNUMBER(SEARCH(Rules!$E$2:$E$60,$D737)))</f>
        <v>0</v>
      </c>
      <c r="Q737" s="0" t="n">
        <f aca="false">SUMPRODUCT((Rules!$A$2:$A$60=Q$1)*Rules!$C$2:$C$60*ISNUMBER(SEARCH(Rules!$E$2:$E$60,$D737)))</f>
        <v>0</v>
      </c>
      <c r="R737" s="0" t="str">
        <f aca="false">IF(OR(MAX(L737:Q737)&lt;Rules!$H$1,MAX(L737:Q737)-LARGE(L737:Q737,2)&lt;Rules!$H$2),"No label",INDEX($L$1:$Q$1,MATCH(MAX(L737:Q737),L737:Q737,0)))</f>
        <v>No label</v>
      </c>
      <c r="S737" s="0" t="n">
        <f aca="false">SUMPRODUCT(ISNUMBER(SEARCH(" "&amp;Terms!$A$3:$A$821&amp;" ",$D737))*Terms!B$3:B$821)+Terms!B$2</f>
        <v>-2.19395171204825</v>
      </c>
      <c r="T737" s="0" t="n">
        <f aca="false">SUMPRODUCT(ISNUMBER(SEARCH(" "&amp;Terms!$A$3:$A$821&amp;" ",$D737))*Terms!C$3:C$821)+Terms!C$2</f>
        <v>-4.62622094773255</v>
      </c>
      <c r="U737" s="0" t="n">
        <f aca="false">SUMPRODUCT(ISNUMBER(SEARCH(" "&amp;Terms!$A$3:$A$821&amp;" ",$D737))*Terms!D$3:D$821)+Terms!D$2</f>
        <v>-0.483620778638712</v>
      </c>
      <c r="V737" s="0" t="n">
        <f aca="false">SUMPRODUCT(ISNUMBER(SEARCH(" "&amp;Terms!$A$3:$A$821&amp;" ",$D737))*Terms!E$3:E$821)+Terms!E$2</f>
        <v>13.0086892660953</v>
      </c>
      <c r="W737" s="0" t="n">
        <f aca="false">SUMPRODUCT(ISNUMBER(SEARCH(" "&amp;Terms!$A$3:$A$821&amp;" ",$D737))*Terms!F$3:F$821)+Terms!F$2</f>
        <v>-0.160886748160245</v>
      </c>
      <c r="X737" s="0" t="n">
        <f aca="false">SUMPRODUCT(ISNUMBER(SEARCH(" "&amp;Terms!$A$3:$A$821&amp;" ",$D737))*Terms!G$3:G$821)+Terms!G$2</f>
        <v>-5.54400907951544</v>
      </c>
      <c r="Y737" s="0" t="str">
        <f aca="false">INDEX($S$1:$X$1,MATCH(MAX(S737:X737),S737:X737,0))</f>
        <v>Fees &amp; Charges</v>
      </c>
      <c r="Z737" s="0" t="s">
        <v>2607</v>
      </c>
    </row>
    <row r="738" customFormat="false" ht="15" hidden="false" customHeight="false" outlineLevel="0" collapsed="false">
      <c r="A738" s="0" t="str">
        <f aca="false">Complaints!A738</f>
        <v>C0737</v>
      </c>
      <c r="B738" s="0" t="str">
        <f aca="false">Complaints!B738</f>
        <v>The staff member was rude and dismissive when I called.</v>
      </c>
      <c r="C738" s="0" t="str">
        <f aca="false">Complaints!C738</f>
        <v>Customer Service</v>
      </c>
      <c r="D738" s="0" t="str">
        <f aca="false">" "&amp;TRIM(SUBSTITUTE(SUBSTITUTE(SUBSTITUTE(SUBSTITUTE(SUBSTITUTE(SUBSTITUTE(SUBSTITUTE(SUBSTITUTE(SUBSTITUTE(SUBSTITUTE(SUBSTITUTE(SUBSTITUTE(SUBSTITUTE(SUBSTITUTE(SUBSTITUTE(SUBSTITUTE(LOWER(B738),"."," "),","," "),"'"," "),"’"," "),"!"," "),"?"," "),";"," "),":"," "),"-"," "),"("," "),")"," "),"""", " "),"£"," "),"&amp;"," "),"/"," "),"%"," "))&amp;" "</f>
        <v> the staff member was rude and dismissive when i called </v>
      </c>
      <c r="E738" s="0" t="n">
        <f aca="false">SUMPRODUCT((Rules!$A$2:$A$60=E$1)*Rules!$C$2:$C$60*ISNUMBER(SEARCH(Rules!$D$2:$D$60,$D738)))</f>
        <v>0</v>
      </c>
      <c r="F738" s="0" t="n">
        <f aca="false">SUMPRODUCT((Rules!$A$2:$A$60=F$1)*Rules!$C$2:$C$60*ISNUMBER(SEARCH(Rules!$D$2:$D$60,$D738)))</f>
        <v>0</v>
      </c>
      <c r="G738" s="0" t="n">
        <f aca="false">SUMPRODUCT((Rules!$A$2:$A$60=G$1)*Rules!$C$2:$C$60*ISNUMBER(SEARCH(Rules!$D$2:$D$60,$D738)))</f>
        <v>0</v>
      </c>
      <c r="H738" s="0" t="n">
        <f aca="false">SUMPRODUCT((Rules!$A$2:$A$60=H$1)*Rules!$C$2:$C$60*ISNUMBER(SEARCH(Rules!$D$2:$D$60,$D738)))</f>
        <v>0</v>
      </c>
      <c r="I738" s="0" t="n">
        <f aca="false">SUMPRODUCT((Rules!$A$2:$A$60=I$1)*Rules!$C$2:$C$60*ISNUMBER(SEARCH(Rules!$D$2:$D$60,$D738)))</f>
        <v>0</v>
      </c>
      <c r="J738" s="0" t="n">
        <f aca="false">SUMPRODUCT((Rules!$A$2:$A$60=J$1)*Rules!$C$2:$C$60*ISNUMBER(SEARCH(Rules!$D$2:$D$60,$D738)))</f>
        <v>4</v>
      </c>
      <c r="K738" s="0" t="str">
        <f aca="false">IF(OR(MAX(E738:J738)&lt;Rules!$H$1,MAX(E738:J738)-LARGE(E738:J738,2)&lt;Rules!$H$2),"No label",INDEX($E$1:$J$1,MATCH(MAX(E738:J738),E738:J738,0)))</f>
        <v>Customer Service</v>
      </c>
      <c r="L738" s="0" t="n">
        <f aca="false">SUMPRODUCT((Rules!$A$2:$A$60=L$1)*Rules!$C$2:$C$60*ISNUMBER(SEARCH(Rules!$E$2:$E$60,$D738)))</f>
        <v>0</v>
      </c>
      <c r="M738" s="0" t="n">
        <f aca="false">SUMPRODUCT((Rules!$A$2:$A$60=M$1)*Rules!$C$2:$C$60*ISNUMBER(SEARCH(Rules!$E$2:$E$60,$D738)))</f>
        <v>0</v>
      </c>
      <c r="N738" s="0" t="n">
        <f aca="false">SUMPRODUCT((Rules!$A$2:$A$60=N$1)*Rules!$C$2:$C$60*ISNUMBER(SEARCH(Rules!$E$2:$E$60,$D738)))</f>
        <v>0</v>
      </c>
      <c r="O738" s="0" t="n">
        <f aca="false">SUMPRODUCT((Rules!$A$2:$A$60=O$1)*Rules!$C$2:$C$60*ISNUMBER(SEARCH(Rules!$E$2:$E$60,$D738)))</f>
        <v>0</v>
      </c>
      <c r="P738" s="0" t="n">
        <f aca="false">SUMPRODUCT((Rules!$A$2:$A$60=P$1)*Rules!$C$2:$C$60*ISNUMBER(SEARCH(Rules!$E$2:$E$60,$D738)))</f>
        <v>0</v>
      </c>
      <c r="Q738" s="0" t="n">
        <f aca="false">SUMPRODUCT((Rules!$A$2:$A$60=Q$1)*Rules!$C$2:$C$60*ISNUMBER(SEARCH(Rules!$E$2:$E$60,$D738)))</f>
        <v>4</v>
      </c>
      <c r="R738" s="0" t="str">
        <f aca="false">IF(OR(MAX(L738:Q738)&lt;Rules!$H$1,MAX(L738:Q738)-LARGE(L738:Q738,2)&lt;Rules!$H$2),"No label",INDEX($L$1:$Q$1,MATCH(MAX(L738:Q738),L738:Q738,0)))</f>
        <v>Customer Service</v>
      </c>
      <c r="S738" s="0" t="n">
        <f aca="false">SUMPRODUCT(ISNUMBER(SEARCH(" "&amp;Terms!$A$3:$A$821&amp;" ",$D738))*Terms!B$3:B$821)+Terms!B$2</f>
        <v>-3.70756659305493</v>
      </c>
      <c r="T738" s="0" t="n">
        <f aca="false">SUMPRODUCT(ISNUMBER(SEARCH(" "&amp;Terms!$A$3:$A$821&amp;" ",$D738))*Terms!C$3:C$821)+Terms!C$2</f>
        <v>9.41758830638922</v>
      </c>
      <c r="U738" s="0" t="n">
        <f aca="false">SUMPRODUCT(ISNUMBER(SEARCH(" "&amp;Terms!$A$3:$A$821&amp;" ",$D738))*Terms!D$3:D$821)+Terms!D$2</f>
        <v>-0.653455392733719</v>
      </c>
      <c r="V738" s="0" t="n">
        <f aca="false">SUMPRODUCT(ISNUMBER(SEARCH(" "&amp;Terms!$A$3:$A$821&amp;" ",$D738))*Terms!E$3:E$821)+Terms!E$2</f>
        <v>0.396299031732916</v>
      </c>
      <c r="W738" s="0" t="n">
        <f aca="false">SUMPRODUCT(ISNUMBER(SEARCH(" "&amp;Terms!$A$3:$A$821&amp;" ",$D738))*Terms!F$3:F$821)+Terms!F$2</f>
        <v>-2.29252872980821</v>
      </c>
      <c r="X738" s="0" t="n">
        <f aca="false">SUMPRODUCT(ISNUMBER(SEARCH(" "&amp;Terms!$A$3:$A$821&amp;" ",$D738))*Terms!G$3:G$821)+Terms!G$2</f>
        <v>-3.1603366225252</v>
      </c>
      <c r="Y738" s="0" t="str">
        <f aca="false">INDEX($S$1:$X$1,MATCH(MAX(S738:X738),S738:X738,0))</f>
        <v>Customer Service</v>
      </c>
      <c r="Z738" s="0" t="s">
        <v>2608</v>
      </c>
    </row>
    <row r="739" customFormat="false" ht="15" hidden="false" customHeight="false" outlineLevel="0" collapsed="false">
      <c r="A739" s="0" t="str">
        <f aca="false">Complaints!A739</f>
        <v>C0738</v>
      </c>
      <c r="B739" s="0" t="str">
        <f aca="false">Complaints!B739</f>
        <v>The password reset keeps failing and I am locked out. Also, nobody checked whether I could afford the credit agreement.</v>
      </c>
      <c r="C739" s="0" t="str">
        <f aca="false">Complaints!C739</f>
        <v>Account Access</v>
      </c>
      <c r="D739" s="0" t="str">
        <f aca="false">" "&amp;TRIM(SUBSTITUTE(SUBSTITUTE(SUBSTITUTE(SUBSTITUTE(SUBSTITUTE(SUBSTITUTE(SUBSTITUTE(SUBSTITUTE(SUBSTITUTE(SUBSTITUTE(SUBSTITUTE(SUBSTITUTE(SUBSTITUTE(SUBSTITUTE(SUBSTITUTE(SUBSTITUTE(LOWER(B739),"."," "),","," "),"'"," "),"’"," "),"!"," "),"?"," "),";"," "),":"," "),"-"," "),"("," "),")"," "),"""", " "),"£"," "),"&amp;"," "),"/"," "),"%"," "))&amp;" "</f>
        <v> the password reset keeps failing and i am locked out also nobody checked whether i could afford the credit agreement </v>
      </c>
      <c r="E739" s="0" t="n">
        <f aca="false">SUMPRODUCT((Rules!$A$2:$A$60=E$1)*Rules!$C$2:$C$60*ISNUMBER(SEARCH(Rules!$D$2:$D$60,$D739)))</f>
        <v>0</v>
      </c>
      <c r="F739" s="0" t="n">
        <f aca="false">SUMPRODUCT((Rules!$A$2:$A$60=F$1)*Rules!$C$2:$C$60*ISNUMBER(SEARCH(Rules!$D$2:$D$60,$D739)))</f>
        <v>0</v>
      </c>
      <c r="G739" s="0" t="n">
        <f aca="false">SUMPRODUCT((Rules!$A$2:$A$60=G$1)*Rules!$C$2:$C$60*ISNUMBER(SEARCH(Rules!$D$2:$D$60,$D739)))</f>
        <v>8</v>
      </c>
      <c r="H739" s="0" t="n">
        <f aca="false">SUMPRODUCT((Rules!$A$2:$A$60=H$1)*Rules!$C$2:$C$60*ISNUMBER(SEARCH(Rules!$D$2:$D$60,$D739)))</f>
        <v>0</v>
      </c>
      <c r="I739" s="0" t="n">
        <f aca="false">SUMPRODUCT((Rules!$A$2:$A$60=I$1)*Rules!$C$2:$C$60*ISNUMBER(SEARCH(Rules!$D$2:$D$60,$D739)))</f>
        <v>0</v>
      </c>
      <c r="J739" s="0" t="n">
        <f aca="false">SUMPRODUCT((Rules!$A$2:$A$60=J$1)*Rules!$C$2:$C$60*ISNUMBER(SEARCH(Rules!$D$2:$D$60,$D739)))</f>
        <v>0</v>
      </c>
      <c r="K739" s="0" t="str">
        <f aca="false">IF(OR(MAX(E739:J739)&lt;Rules!$H$1,MAX(E739:J739)-LARGE(E739:J739,2)&lt;Rules!$H$2),"No label",INDEX($E$1:$J$1,MATCH(MAX(E739:J739),E739:J739,0)))</f>
        <v>Account Access</v>
      </c>
      <c r="L739" s="0" t="n">
        <f aca="false">SUMPRODUCT((Rules!$A$2:$A$60=L$1)*Rules!$C$2:$C$60*ISNUMBER(SEARCH(Rules!$E$2:$E$60,$D739)))</f>
        <v>0</v>
      </c>
      <c r="M739" s="0" t="n">
        <f aca="false">SUMPRODUCT((Rules!$A$2:$A$60=M$1)*Rules!$C$2:$C$60*ISNUMBER(SEARCH(Rules!$E$2:$E$60,$D739)))</f>
        <v>0</v>
      </c>
      <c r="N739" s="0" t="n">
        <f aca="false">SUMPRODUCT((Rules!$A$2:$A$60=N$1)*Rules!$C$2:$C$60*ISNUMBER(SEARCH(Rules!$E$2:$E$60,$D739)))</f>
        <v>8</v>
      </c>
      <c r="O739" s="0" t="n">
        <f aca="false">SUMPRODUCT((Rules!$A$2:$A$60=O$1)*Rules!$C$2:$C$60*ISNUMBER(SEARCH(Rules!$E$2:$E$60,$D739)))</f>
        <v>0</v>
      </c>
      <c r="P739" s="0" t="n">
        <f aca="false">SUMPRODUCT((Rules!$A$2:$A$60=P$1)*Rules!$C$2:$C$60*ISNUMBER(SEARCH(Rules!$E$2:$E$60,$D739)))</f>
        <v>0</v>
      </c>
      <c r="Q739" s="0" t="n">
        <f aca="false">SUMPRODUCT((Rules!$A$2:$A$60=Q$1)*Rules!$C$2:$C$60*ISNUMBER(SEARCH(Rules!$E$2:$E$60,$D739)))</f>
        <v>0</v>
      </c>
      <c r="R739" s="0" t="str">
        <f aca="false">IF(OR(MAX(L739:Q739)&lt;Rules!$H$1,MAX(L739:Q739)-LARGE(L739:Q739,2)&lt;Rules!$H$2),"No label",INDEX($L$1:$Q$1,MATCH(MAX(L739:Q739),L739:Q739,0)))</f>
        <v>Account Access</v>
      </c>
      <c r="S739" s="0" t="n">
        <f aca="false">SUMPRODUCT(ISNUMBER(SEARCH(" "&amp;Terms!$A$3:$A$821&amp;" ",$D739))*Terms!B$3:B$821)+Terms!B$2</f>
        <v>8.97187122009402</v>
      </c>
      <c r="T739" s="0" t="n">
        <f aca="false">SUMPRODUCT(ISNUMBER(SEARCH(" "&amp;Terms!$A$3:$A$821&amp;" ",$D739))*Terms!C$3:C$821)+Terms!C$2</f>
        <v>-7.67003635183056</v>
      </c>
      <c r="U739" s="0" t="n">
        <f aca="false">SUMPRODUCT(ISNUMBER(SEARCH(" "&amp;Terms!$A$3:$A$821&amp;" ",$D739))*Terms!D$3:D$821)+Terms!D$2</f>
        <v>-3.51801869981895</v>
      </c>
      <c r="V739" s="0" t="n">
        <f aca="false">SUMPRODUCT(ISNUMBER(SEARCH(" "&amp;Terms!$A$3:$A$821&amp;" ",$D739))*Terms!E$3:E$821)+Terms!E$2</f>
        <v>-1.18177504318895</v>
      </c>
      <c r="W739" s="0" t="n">
        <f aca="false">SUMPRODUCT(ISNUMBER(SEARCH(" "&amp;Terms!$A$3:$A$821&amp;" ",$D739))*Terms!F$3:F$821)+Terms!F$2</f>
        <v>-5.20629811541112</v>
      </c>
      <c r="X739" s="0" t="n">
        <f aca="false">SUMPRODUCT(ISNUMBER(SEARCH(" "&amp;Terms!$A$3:$A$821&amp;" ",$D739))*Terms!G$3:G$821)+Terms!G$2</f>
        <v>8.60425699015569</v>
      </c>
      <c r="Y739" s="0" t="str">
        <f aca="false">INDEX($S$1:$X$1,MATCH(MAX(S739:X739),S739:X739,0))</f>
        <v>Account Access</v>
      </c>
      <c r="Z739" s="0" t="s">
        <v>2608</v>
      </c>
    </row>
    <row r="740" customFormat="false" ht="15" hidden="false" customHeight="false" outlineLevel="0" collapsed="false">
      <c r="A740" s="0" t="str">
        <f aca="false">Complaints!A740</f>
        <v>C0739</v>
      </c>
      <c r="B740" s="0" t="str">
        <f aca="false">Complaints!B740</f>
        <v>Frankly, I have been billed an annual fee I never agreed to. I expect compensation.</v>
      </c>
      <c r="C740" s="0" t="str">
        <f aca="false">Complaints!C740</f>
        <v>Fees &amp; Charges</v>
      </c>
      <c r="D740" s="0" t="str">
        <f aca="false">" "&amp;TRIM(SUBSTITUTE(SUBSTITUTE(SUBSTITUTE(SUBSTITUTE(SUBSTITUTE(SUBSTITUTE(SUBSTITUTE(SUBSTITUTE(SUBSTITUTE(SUBSTITUTE(SUBSTITUTE(SUBSTITUTE(SUBSTITUTE(SUBSTITUTE(SUBSTITUTE(SUBSTITUTE(LOWER(B740),"."," "),","," "),"'"," "),"’"," "),"!"," "),"?"," "),";"," "),":"," "),"-"," "),"("," "),")"," "),"""", " "),"£"," "),"&amp;"," "),"/"," "),"%"," "))&amp;" "</f>
        <v> frankly i have been billed an annual fee i never agreed to i expect compensation </v>
      </c>
      <c r="E740" s="0" t="n">
        <f aca="false">SUMPRODUCT((Rules!$A$2:$A$60=E$1)*Rules!$C$2:$C$60*ISNUMBER(SEARCH(Rules!$D$2:$D$60,$D740)))</f>
        <v>0</v>
      </c>
      <c r="F740" s="0" t="n">
        <f aca="false">SUMPRODUCT((Rules!$A$2:$A$60=F$1)*Rules!$C$2:$C$60*ISNUMBER(SEARCH(Rules!$D$2:$D$60,$D740)))</f>
        <v>0</v>
      </c>
      <c r="G740" s="0" t="n">
        <f aca="false">SUMPRODUCT((Rules!$A$2:$A$60=G$1)*Rules!$C$2:$C$60*ISNUMBER(SEARCH(Rules!$D$2:$D$60,$D740)))</f>
        <v>0</v>
      </c>
      <c r="H740" s="0" t="n">
        <f aca="false">SUMPRODUCT((Rules!$A$2:$A$60=H$1)*Rules!$C$2:$C$60*ISNUMBER(SEARCH(Rules!$D$2:$D$60,$D740)))</f>
        <v>4</v>
      </c>
      <c r="I740" s="0" t="n">
        <f aca="false">SUMPRODUCT((Rules!$A$2:$A$60=I$1)*Rules!$C$2:$C$60*ISNUMBER(SEARCH(Rules!$D$2:$D$60,$D740)))</f>
        <v>0</v>
      </c>
      <c r="J740" s="0" t="n">
        <f aca="false">SUMPRODUCT((Rules!$A$2:$A$60=J$1)*Rules!$C$2:$C$60*ISNUMBER(SEARCH(Rules!$D$2:$D$60,$D740)))</f>
        <v>0</v>
      </c>
      <c r="K740" s="0" t="str">
        <f aca="false">IF(OR(MAX(E740:J740)&lt;Rules!$H$1,MAX(E740:J740)-LARGE(E740:J740,2)&lt;Rules!$H$2),"No label",INDEX($E$1:$J$1,MATCH(MAX(E740:J740),E740:J740,0)))</f>
        <v>Fees &amp; Charges</v>
      </c>
      <c r="L740" s="0" t="n">
        <f aca="false">SUMPRODUCT((Rules!$A$2:$A$60=L$1)*Rules!$C$2:$C$60*ISNUMBER(SEARCH(Rules!$E$2:$E$60,$D740)))</f>
        <v>0</v>
      </c>
      <c r="M740" s="0" t="n">
        <f aca="false">SUMPRODUCT((Rules!$A$2:$A$60=M$1)*Rules!$C$2:$C$60*ISNUMBER(SEARCH(Rules!$E$2:$E$60,$D740)))</f>
        <v>0</v>
      </c>
      <c r="N740" s="0" t="n">
        <f aca="false">SUMPRODUCT((Rules!$A$2:$A$60=N$1)*Rules!$C$2:$C$60*ISNUMBER(SEARCH(Rules!$E$2:$E$60,$D740)))</f>
        <v>0</v>
      </c>
      <c r="O740" s="0" t="n">
        <f aca="false">SUMPRODUCT((Rules!$A$2:$A$60=O$1)*Rules!$C$2:$C$60*ISNUMBER(SEARCH(Rules!$E$2:$E$60,$D740)))</f>
        <v>4</v>
      </c>
      <c r="P740" s="0" t="n">
        <f aca="false">SUMPRODUCT((Rules!$A$2:$A$60=P$1)*Rules!$C$2:$C$60*ISNUMBER(SEARCH(Rules!$E$2:$E$60,$D740)))</f>
        <v>0</v>
      </c>
      <c r="Q740" s="0" t="n">
        <f aca="false">SUMPRODUCT((Rules!$A$2:$A$60=Q$1)*Rules!$C$2:$C$60*ISNUMBER(SEARCH(Rules!$E$2:$E$60,$D740)))</f>
        <v>0</v>
      </c>
      <c r="R740" s="0" t="str">
        <f aca="false">IF(OR(MAX(L740:Q740)&lt;Rules!$H$1,MAX(L740:Q740)-LARGE(L740:Q740,2)&lt;Rules!$H$2),"No label",INDEX($L$1:$Q$1,MATCH(MAX(L740:Q740),L740:Q740,0)))</f>
        <v>Fees &amp; Charges</v>
      </c>
      <c r="S740" s="0" t="n">
        <f aca="false">SUMPRODUCT(ISNUMBER(SEARCH(" "&amp;Terms!$A$3:$A$821&amp;" ",$D740))*Terms!B$3:B$821)+Terms!B$2</f>
        <v>1.45324939712527</v>
      </c>
      <c r="T740" s="0" t="n">
        <f aca="false">SUMPRODUCT(ISNUMBER(SEARCH(" "&amp;Terms!$A$3:$A$821&amp;" ",$D740))*Terms!C$3:C$821)+Terms!C$2</f>
        <v>-2.41921036097393</v>
      </c>
      <c r="U740" s="0" t="n">
        <f aca="false">SUMPRODUCT(ISNUMBER(SEARCH(" "&amp;Terms!$A$3:$A$821&amp;" ",$D740))*Terms!D$3:D$821)+Terms!D$2</f>
        <v>-3.40104203047999</v>
      </c>
      <c r="V740" s="0" t="n">
        <f aca="false">SUMPRODUCT(ISNUMBER(SEARCH(" "&amp;Terms!$A$3:$A$821&amp;" ",$D740))*Terms!E$3:E$821)+Terms!E$2</f>
        <v>11.1310344138966</v>
      </c>
      <c r="W740" s="0" t="n">
        <f aca="false">SUMPRODUCT(ISNUMBER(SEARCH(" "&amp;Terms!$A$3:$A$821&amp;" ",$D740))*Terms!F$3:F$821)+Terms!F$2</f>
        <v>-3.46282659820145</v>
      </c>
      <c r="X740" s="0" t="n">
        <f aca="false">SUMPRODUCT(ISNUMBER(SEARCH(" "&amp;Terms!$A$3:$A$821&amp;" ",$D740))*Terms!G$3:G$821)+Terms!G$2</f>
        <v>-3.30120482136639</v>
      </c>
      <c r="Y740" s="0" t="str">
        <f aca="false">INDEX($S$1:$X$1,MATCH(MAX(S740:X740),S740:X740,0))</f>
        <v>Fees &amp; Charges</v>
      </c>
      <c r="Z740" s="0" t="s">
        <v>2607</v>
      </c>
    </row>
    <row r="741" customFormat="false" ht="15" hidden="false" customHeight="false" outlineLevel="0" collapsed="false">
      <c r="A741" s="0" t="str">
        <f aca="false">Complaints!A741</f>
        <v>C0740</v>
      </c>
      <c r="B741" s="0" t="str">
        <f aca="false">Complaints!B741</f>
        <v>To whom it may concern, I was charged a monthly fee that nobody told me about.</v>
      </c>
      <c r="C741" s="0" t="str">
        <f aca="false">Complaints!C741</f>
        <v>Fees &amp; Charges</v>
      </c>
      <c r="D741" s="0" t="str">
        <f aca="false">" "&amp;TRIM(SUBSTITUTE(SUBSTITUTE(SUBSTITUTE(SUBSTITUTE(SUBSTITUTE(SUBSTITUTE(SUBSTITUTE(SUBSTITUTE(SUBSTITUTE(SUBSTITUTE(SUBSTITUTE(SUBSTITUTE(SUBSTITUTE(SUBSTITUTE(SUBSTITUTE(SUBSTITUTE(LOWER(B741),"."," "),","," "),"'"," "),"’"," "),"!"," "),"?"," "),";"," "),":"," "),"-"," "),"("," "),")"," "),"""", " "),"£"," "),"&amp;"," "),"/"," "),"%"," "))&amp;" "</f>
        <v> to whom it may concern i was charged a monthly fee that nobody told me about </v>
      </c>
      <c r="E741" s="0" t="n">
        <f aca="false">SUMPRODUCT((Rules!$A$2:$A$60=E$1)*Rules!$C$2:$C$60*ISNUMBER(SEARCH(Rules!$D$2:$D$60,$D741)))</f>
        <v>0</v>
      </c>
      <c r="F741" s="0" t="n">
        <f aca="false">SUMPRODUCT((Rules!$A$2:$A$60=F$1)*Rules!$C$2:$C$60*ISNUMBER(SEARCH(Rules!$D$2:$D$60,$D741)))</f>
        <v>0</v>
      </c>
      <c r="G741" s="0" t="n">
        <f aca="false">SUMPRODUCT((Rules!$A$2:$A$60=G$1)*Rules!$C$2:$C$60*ISNUMBER(SEARCH(Rules!$D$2:$D$60,$D741)))</f>
        <v>0</v>
      </c>
      <c r="H741" s="0" t="n">
        <f aca="false">SUMPRODUCT((Rules!$A$2:$A$60=H$1)*Rules!$C$2:$C$60*ISNUMBER(SEARCH(Rules!$D$2:$D$60,$D741)))</f>
        <v>4</v>
      </c>
      <c r="I741" s="0" t="n">
        <f aca="false">SUMPRODUCT((Rules!$A$2:$A$60=I$1)*Rules!$C$2:$C$60*ISNUMBER(SEARCH(Rules!$D$2:$D$60,$D741)))</f>
        <v>0</v>
      </c>
      <c r="J741" s="0" t="n">
        <f aca="false">SUMPRODUCT((Rules!$A$2:$A$60=J$1)*Rules!$C$2:$C$60*ISNUMBER(SEARCH(Rules!$D$2:$D$60,$D741)))</f>
        <v>0</v>
      </c>
      <c r="K741" s="0" t="str">
        <f aca="false">IF(OR(MAX(E741:J741)&lt;Rules!$H$1,MAX(E741:J741)-LARGE(E741:J741,2)&lt;Rules!$H$2),"No label",INDEX($E$1:$J$1,MATCH(MAX(E741:J741),E741:J741,0)))</f>
        <v>Fees &amp; Charges</v>
      </c>
      <c r="L741" s="0" t="n">
        <f aca="false">SUMPRODUCT((Rules!$A$2:$A$60=L$1)*Rules!$C$2:$C$60*ISNUMBER(SEARCH(Rules!$E$2:$E$60,$D741)))</f>
        <v>0</v>
      </c>
      <c r="M741" s="0" t="n">
        <f aca="false">SUMPRODUCT((Rules!$A$2:$A$60=M$1)*Rules!$C$2:$C$60*ISNUMBER(SEARCH(Rules!$E$2:$E$60,$D741)))</f>
        <v>0</v>
      </c>
      <c r="N741" s="0" t="n">
        <f aca="false">SUMPRODUCT((Rules!$A$2:$A$60=N$1)*Rules!$C$2:$C$60*ISNUMBER(SEARCH(Rules!$E$2:$E$60,$D741)))</f>
        <v>0</v>
      </c>
      <c r="O741" s="0" t="n">
        <f aca="false">SUMPRODUCT((Rules!$A$2:$A$60=O$1)*Rules!$C$2:$C$60*ISNUMBER(SEARCH(Rules!$E$2:$E$60,$D741)))</f>
        <v>6</v>
      </c>
      <c r="P741" s="0" t="n">
        <f aca="false">SUMPRODUCT((Rules!$A$2:$A$60=P$1)*Rules!$C$2:$C$60*ISNUMBER(SEARCH(Rules!$E$2:$E$60,$D741)))</f>
        <v>0</v>
      </c>
      <c r="Q741" s="0" t="n">
        <f aca="false">SUMPRODUCT((Rules!$A$2:$A$60=Q$1)*Rules!$C$2:$C$60*ISNUMBER(SEARCH(Rules!$E$2:$E$60,$D741)))</f>
        <v>0</v>
      </c>
      <c r="R741" s="0" t="str">
        <f aca="false">IF(OR(MAX(L741:Q741)&lt;Rules!$H$1,MAX(L741:Q741)-LARGE(L741:Q741,2)&lt;Rules!$H$2),"No label",INDEX($L$1:$Q$1,MATCH(MAX(L741:Q741),L741:Q741,0)))</f>
        <v>Fees &amp; Charges</v>
      </c>
      <c r="S741" s="0" t="n">
        <f aca="false">SUMPRODUCT(ISNUMBER(SEARCH(" "&amp;Terms!$A$3:$A$821&amp;" ",$D741))*Terms!B$3:B$821)+Terms!B$2</f>
        <v>-1.9958720275291</v>
      </c>
      <c r="T741" s="0" t="n">
        <f aca="false">SUMPRODUCT(ISNUMBER(SEARCH(" "&amp;Terms!$A$3:$A$821&amp;" ",$D741))*Terms!C$3:C$821)+Terms!C$2</f>
        <v>-4.23850261741207</v>
      </c>
      <c r="U741" s="0" t="n">
        <f aca="false">SUMPRODUCT(ISNUMBER(SEARCH(" "&amp;Terms!$A$3:$A$821&amp;" ",$D741))*Terms!D$3:D$821)+Terms!D$2</f>
        <v>-2.32438779626858</v>
      </c>
      <c r="V741" s="0" t="n">
        <f aca="false">SUMPRODUCT(ISNUMBER(SEARCH(" "&amp;Terms!$A$3:$A$821&amp;" ",$D741))*Terms!E$3:E$821)+Terms!E$2</f>
        <v>12.1767148034006</v>
      </c>
      <c r="W741" s="0" t="n">
        <f aca="false">SUMPRODUCT(ISNUMBER(SEARCH(" "&amp;Terms!$A$3:$A$821&amp;" ",$D741))*Terms!F$3:F$821)+Terms!F$2</f>
        <v>-2.85771541634066</v>
      </c>
      <c r="X741" s="0" t="n">
        <f aca="false">SUMPRODUCT(ISNUMBER(SEARCH(" "&amp;Terms!$A$3:$A$821&amp;" ",$D741))*Terms!G$3:G$821)+Terms!G$2</f>
        <v>-0.760236945850098</v>
      </c>
      <c r="Y741" s="0" t="str">
        <f aca="false">INDEX($S$1:$X$1,MATCH(MAX(S741:X741),S741:X741,0))</f>
        <v>Fees &amp; Charges</v>
      </c>
      <c r="Z741" s="0" t="s">
        <v>2607</v>
      </c>
    </row>
    <row r="742" customFormat="false" ht="15" hidden="false" customHeight="false" outlineLevel="0" collapsed="false">
      <c r="A742" s="0" t="str">
        <f aca="false">Complaints!A742</f>
        <v>C0741</v>
      </c>
      <c r="B742" s="0" t="str">
        <f aca="false">Complaints!B742</f>
        <v>The closure of my old account has dragged on for months. I could not log in to check either. Please sort this out.</v>
      </c>
      <c r="C742" s="0" t="str">
        <f aca="false">Complaints!C742</f>
        <v>Delays &amp; Processing</v>
      </c>
      <c r="D742" s="0" t="str">
        <f aca="false">" "&amp;TRIM(SUBSTITUTE(SUBSTITUTE(SUBSTITUTE(SUBSTITUTE(SUBSTITUTE(SUBSTITUTE(SUBSTITUTE(SUBSTITUTE(SUBSTITUTE(SUBSTITUTE(SUBSTITUTE(SUBSTITUTE(SUBSTITUTE(SUBSTITUTE(SUBSTITUTE(SUBSTITUTE(LOWER(B742),"."," "),","," "),"'"," "),"’"," "),"!"," "),"?"," "),";"," "),":"," "),"-"," "),"("," "),")"," "),"""", " "),"£"," "),"&amp;"," "),"/"," "),"%"," "))&amp;" "</f>
        <v> the closure of my old account has dragged on for months i could not log in to check either please sort this out </v>
      </c>
      <c r="E742" s="0" t="n">
        <f aca="false">SUMPRODUCT((Rules!$A$2:$A$60=E$1)*Rules!$C$2:$C$60*ISNUMBER(SEARCH(Rules!$D$2:$D$60,$D742)))</f>
        <v>0</v>
      </c>
      <c r="F742" s="0" t="n">
        <f aca="false">SUMPRODUCT((Rules!$A$2:$A$60=F$1)*Rules!$C$2:$C$60*ISNUMBER(SEARCH(Rules!$D$2:$D$60,$D742)))</f>
        <v>0</v>
      </c>
      <c r="G742" s="0" t="n">
        <f aca="false">SUMPRODUCT((Rules!$A$2:$A$60=G$1)*Rules!$C$2:$C$60*ISNUMBER(SEARCH(Rules!$D$2:$D$60,$D742)))</f>
        <v>3</v>
      </c>
      <c r="H742" s="0" t="n">
        <f aca="false">SUMPRODUCT((Rules!$A$2:$A$60=H$1)*Rules!$C$2:$C$60*ISNUMBER(SEARCH(Rules!$D$2:$D$60,$D742)))</f>
        <v>0</v>
      </c>
      <c r="I742" s="0" t="n">
        <f aca="false">SUMPRODUCT((Rules!$A$2:$A$60=I$1)*Rules!$C$2:$C$60*ISNUMBER(SEARCH(Rules!$D$2:$D$60,$D742)))</f>
        <v>2</v>
      </c>
      <c r="J742" s="0" t="n">
        <f aca="false">SUMPRODUCT((Rules!$A$2:$A$60=J$1)*Rules!$C$2:$C$60*ISNUMBER(SEARCH(Rules!$D$2:$D$60,$D742)))</f>
        <v>0</v>
      </c>
      <c r="K742" s="0" t="str">
        <f aca="false">IF(OR(MAX(E742:J742)&lt;Rules!$H$1,MAX(E742:J742)-LARGE(E742:J742,2)&lt;Rules!$H$2),"No label",INDEX($E$1:$J$1,MATCH(MAX(E742:J742),E742:J742,0)))</f>
        <v>No label</v>
      </c>
      <c r="L742" s="0" t="n">
        <f aca="false">SUMPRODUCT((Rules!$A$2:$A$60=L$1)*Rules!$C$2:$C$60*ISNUMBER(SEARCH(Rules!$E$2:$E$60,$D742)))</f>
        <v>0</v>
      </c>
      <c r="M742" s="0" t="n">
        <f aca="false">SUMPRODUCT((Rules!$A$2:$A$60=M$1)*Rules!$C$2:$C$60*ISNUMBER(SEARCH(Rules!$E$2:$E$60,$D742)))</f>
        <v>0</v>
      </c>
      <c r="N742" s="0" t="n">
        <f aca="false">SUMPRODUCT((Rules!$A$2:$A$60=N$1)*Rules!$C$2:$C$60*ISNUMBER(SEARCH(Rules!$E$2:$E$60,$D742)))</f>
        <v>3</v>
      </c>
      <c r="O742" s="0" t="n">
        <f aca="false">SUMPRODUCT((Rules!$A$2:$A$60=O$1)*Rules!$C$2:$C$60*ISNUMBER(SEARCH(Rules!$E$2:$E$60,$D742)))</f>
        <v>0</v>
      </c>
      <c r="P742" s="0" t="n">
        <f aca="false">SUMPRODUCT((Rules!$A$2:$A$60=P$1)*Rules!$C$2:$C$60*ISNUMBER(SEARCH(Rules!$E$2:$E$60,$D742)))</f>
        <v>2</v>
      </c>
      <c r="Q742" s="0" t="n">
        <f aca="false">SUMPRODUCT((Rules!$A$2:$A$60=Q$1)*Rules!$C$2:$C$60*ISNUMBER(SEARCH(Rules!$E$2:$E$60,$D742)))</f>
        <v>0</v>
      </c>
      <c r="R742" s="0" t="str">
        <f aca="false">IF(OR(MAX(L742:Q742)&lt;Rules!$H$1,MAX(L742:Q742)-LARGE(L742:Q742,2)&lt;Rules!$H$2),"No label",INDEX($L$1:$Q$1,MATCH(MAX(L742:Q742),L742:Q742,0)))</f>
        <v>No label</v>
      </c>
      <c r="S742" s="0" t="n">
        <f aca="false">SUMPRODUCT(ISNUMBER(SEARCH(" "&amp;Terms!$A$3:$A$821&amp;" ",$D742))*Terms!B$3:B$821)+Terms!B$2</f>
        <v>-3.12446528919486</v>
      </c>
      <c r="T742" s="0" t="n">
        <f aca="false">SUMPRODUCT(ISNUMBER(SEARCH(" "&amp;Terms!$A$3:$A$821&amp;" ",$D742))*Terms!C$3:C$821)+Terms!C$2</f>
        <v>-1.41647323164853</v>
      </c>
      <c r="U742" s="0" t="n">
        <f aca="false">SUMPRODUCT(ISNUMBER(SEARCH(" "&amp;Terms!$A$3:$A$821&amp;" ",$D742))*Terms!D$3:D$821)+Terms!D$2</f>
        <v>10.0613552896652</v>
      </c>
      <c r="V742" s="0" t="n">
        <f aca="false">SUMPRODUCT(ISNUMBER(SEARCH(" "&amp;Terms!$A$3:$A$821&amp;" ",$D742))*Terms!E$3:E$821)+Terms!E$2</f>
        <v>-1.04206121834879</v>
      </c>
      <c r="W742" s="0" t="n">
        <f aca="false">SUMPRODUCT(ISNUMBER(SEARCH(" "&amp;Terms!$A$3:$A$821&amp;" ",$D742))*Terms!F$3:F$821)+Terms!F$2</f>
        <v>-0.775856567699554</v>
      </c>
      <c r="X742" s="0" t="n">
        <f aca="false">SUMPRODUCT(ISNUMBER(SEARCH(" "&amp;Terms!$A$3:$A$821&amp;" ",$D742))*Terms!G$3:G$821)+Terms!G$2</f>
        <v>-3.70249898277334</v>
      </c>
      <c r="Y742" s="0" t="str">
        <f aca="false">INDEX($S$1:$X$1,MATCH(MAX(S742:X742),S742:X742,0))</f>
        <v>Delays &amp; Processing</v>
      </c>
      <c r="Z742" s="0" t="s">
        <v>2607</v>
      </c>
    </row>
    <row r="743" customFormat="false" ht="15" hidden="false" customHeight="false" outlineLevel="0" collapsed="false">
      <c r="A743" s="0" t="str">
        <f aca="false">Complaints!A743</f>
        <v>C0742</v>
      </c>
      <c r="B743" s="0" t="str">
        <f aca="false">Complaints!B743</f>
        <v>My account was frozen and I cannot get in to move money.</v>
      </c>
      <c r="C743" s="0" t="str">
        <f aca="false">Complaints!C743</f>
        <v>Account Access</v>
      </c>
      <c r="D743" s="0" t="str">
        <f aca="false">" "&amp;TRIM(SUBSTITUTE(SUBSTITUTE(SUBSTITUTE(SUBSTITUTE(SUBSTITUTE(SUBSTITUTE(SUBSTITUTE(SUBSTITUTE(SUBSTITUTE(SUBSTITUTE(SUBSTITUTE(SUBSTITUTE(SUBSTITUTE(SUBSTITUTE(SUBSTITUTE(SUBSTITUTE(LOWER(B743),"."," "),","," "),"'"," "),"’"," "),"!"," "),"?"," "),";"," "),":"," "),"-"," "),"("," "),")"," "),"""", " "),"£"," "),"&amp;"," "),"/"," "),"%"," "))&amp;" "</f>
        <v> my account was frozen and i cannot get in to move money </v>
      </c>
      <c r="E743" s="0" t="n">
        <f aca="false">SUMPRODUCT((Rules!$A$2:$A$60=E$1)*Rules!$C$2:$C$60*ISNUMBER(SEARCH(Rules!$D$2:$D$60,$D743)))</f>
        <v>0</v>
      </c>
      <c r="F743" s="0" t="n">
        <f aca="false">SUMPRODUCT((Rules!$A$2:$A$60=F$1)*Rules!$C$2:$C$60*ISNUMBER(SEARCH(Rules!$D$2:$D$60,$D743)))</f>
        <v>0</v>
      </c>
      <c r="G743" s="0" t="n">
        <f aca="false">SUMPRODUCT((Rules!$A$2:$A$60=G$1)*Rules!$C$2:$C$60*ISNUMBER(SEARCH(Rules!$D$2:$D$60,$D743)))</f>
        <v>0</v>
      </c>
      <c r="H743" s="0" t="n">
        <f aca="false">SUMPRODUCT((Rules!$A$2:$A$60=H$1)*Rules!$C$2:$C$60*ISNUMBER(SEARCH(Rules!$D$2:$D$60,$D743)))</f>
        <v>0</v>
      </c>
      <c r="I743" s="0" t="n">
        <f aca="false">SUMPRODUCT((Rules!$A$2:$A$60=I$1)*Rules!$C$2:$C$60*ISNUMBER(SEARCH(Rules!$D$2:$D$60,$D743)))</f>
        <v>0</v>
      </c>
      <c r="J743" s="0" t="n">
        <f aca="false">SUMPRODUCT((Rules!$A$2:$A$60=J$1)*Rules!$C$2:$C$60*ISNUMBER(SEARCH(Rules!$D$2:$D$60,$D743)))</f>
        <v>0</v>
      </c>
      <c r="K743" s="0" t="str">
        <f aca="false">IF(OR(MAX(E743:J743)&lt;Rules!$H$1,MAX(E743:J743)-LARGE(E743:J743,2)&lt;Rules!$H$2),"No label",INDEX($E$1:$J$1,MATCH(MAX(E743:J743),E743:J743,0)))</f>
        <v>No label</v>
      </c>
      <c r="L743" s="0" t="n">
        <f aca="false">SUMPRODUCT((Rules!$A$2:$A$60=L$1)*Rules!$C$2:$C$60*ISNUMBER(SEARCH(Rules!$E$2:$E$60,$D743)))</f>
        <v>0</v>
      </c>
      <c r="M743" s="0" t="n">
        <f aca="false">SUMPRODUCT((Rules!$A$2:$A$60=M$1)*Rules!$C$2:$C$60*ISNUMBER(SEARCH(Rules!$E$2:$E$60,$D743)))</f>
        <v>0</v>
      </c>
      <c r="N743" s="0" t="n">
        <f aca="false">SUMPRODUCT((Rules!$A$2:$A$60=N$1)*Rules!$C$2:$C$60*ISNUMBER(SEARCH(Rules!$E$2:$E$60,$D743)))</f>
        <v>0</v>
      </c>
      <c r="O743" s="0" t="n">
        <f aca="false">SUMPRODUCT((Rules!$A$2:$A$60=O$1)*Rules!$C$2:$C$60*ISNUMBER(SEARCH(Rules!$E$2:$E$60,$D743)))</f>
        <v>0</v>
      </c>
      <c r="P743" s="0" t="n">
        <f aca="false">SUMPRODUCT((Rules!$A$2:$A$60=P$1)*Rules!$C$2:$C$60*ISNUMBER(SEARCH(Rules!$E$2:$E$60,$D743)))</f>
        <v>0</v>
      </c>
      <c r="Q743" s="0" t="n">
        <f aca="false">SUMPRODUCT((Rules!$A$2:$A$60=Q$1)*Rules!$C$2:$C$60*ISNUMBER(SEARCH(Rules!$E$2:$E$60,$D743)))</f>
        <v>0</v>
      </c>
      <c r="R743" s="0" t="str">
        <f aca="false">IF(OR(MAX(L743:Q743)&lt;Rules!$H$1,MAX(L743:Q743)-LARGE(L743:Q743,2)&lt;Rules!$H$2),"No label",INDEX($L$1:$Q$1,MATCH(MAX(L743:Q743),L743:Q743,0)))</f>
        <v>No label</v>
      </c>
      <c r="S743" s="0" t="n">
        <f aca="false">SUMPRODUCT(ISNUMBER(SEARCH(" "&amp;Terms!$A$3:$A$821&amp;" ",$D743))*Terms!B$3:B$821)+Terms!B$2</f>
        <v>4.81783837625391</v>
      </c>
      <c r="T743" s="0" t="n">
        <f aca="false">SUMPRODUCT(ISNUMBER(SEARCH(" "&amp;Terms!$A$3:$A$821&amp;" ",$D743))*Terms!C$3:C$821)+Terms!C$2</f>
        <v>-3.42100619733689</v>
      </c>
      <c r="U743" s="0" t="n">
        <f aca="false">SUMPRODUCT(ISNUMBER(SEARCH(" "&amp;Terms!$A$3:$A$821&amp;" ",$D743))*Terms!D$3:D$821)+Terms!D$2</f>
        <v>0.517035329045385</v>
      </c>
      <c r="V743" s="0" t="n">
        <f aca="false">SUMPRODUCT(ISNUMBER(SEARCH(" "&amp;Terms!$A$3:$A$821&amp;" ",$D743))*Terms!E$3:E$821)+Terms!E$2</f>
        <v>-1.74903362970946</v>
      </c>
      <c r="W743" s="0" t="n">
        <f aca="false">SUMPRODUCT(ISNUMBER(SEARCH(" "&amp;Terms!$A$3:$A$821&amp;" ",$D743))*Terms!F$3:F$821)+Terms!F$2</f>
        <v>0.894862426136672</v>
      </c>
      <c r="X743" s="0" t="n">
        <f aca="false">SUMPRODUCT(ISNUMBER(SEARCH(" "&amp;Terms!$A$3:$A$821&amp;" ",$D743))*Terms!G$3:G$821)+Terms!G$2</f>
        <v>-1.05969630438954</v>
      </c>
      <c r="Y743" s="0" t="str">
        <f aca="false">INDEX($S$1:$X$1,MATCH(MAX(S743:X743),S743:X743,0))</f>
        <v>Account Access</v>
      </c>
      <c r="Z743" s="0" t="s">
        <v>2607</v>
      </c>
    </row>
    <row r="744" customFormat="false" ht="15" hidden="false" customHeight="false" outlineLevel="0" collapsed="false">
      <c r="A744" s="0" t="str">
        <f aca="false">Complaints!A744</f>
        <v>C0743</v>
      </c>
      <c r="B744" s="0" t="str">
        <f aca="false">Complaints!B744</f>
        <v>The salesperson pushed me into a plan I did not need. This is not acceptable.</v>
      </c>
      <c r="C744" s="0" t="str">
        <f aca="false">Complaints!C744</f>
        <v>Mis-selling</v>
      </c>
      <c r="D744" s="0" t="str">
        <f aca="false">" "&amp;TRIM(SUBSTITUTE(SUBSTITUTE(SUBSTITUTE(SUBSTITUTE(SUBSTITUTE(SUBSTITUTE(SUBSTITUTE(SUBSTITUTE(SUBSTITUTE(SUBSTITUTE(SUBSTITUTE(SUBSTITUTE(SUBSTITUTE(SUBSTITUTE(SUBSTITUTE(SUBSTITUTE(LOWER(B744),"."," "),","," "),"'"," "),"’"," "),"!"," "),"?"," "),";"," "),":"," "),"-"," "),"("," "),")"," "),"""", " "),"£"," "),"&amp;"," "),"/"," "),"%"," "))&amp;" "</f>
        <v> the salesperson pushed me into a plan i did not need this is not acceptable </v>
      </c>
      <c r="E744" s="0" t="n">
        <f aca="false">SUMPRODUCT((Rules!$A$2:$A$60=E$1)*Rules!$C$2:$C$60*ISNUMBER(SEARCH(Rules!$D$2:$D$60,$D744)))</f>
        <v>0</v>
      </c>
      <c r="F744" s="0" t="n">
        <f aca="false">SUMPRODUCT((Rules!$A$2:$A$60=F$1)*Rules!$C$2:$C$60*ISNUMBER(SEARCH(Rules!$D$2:$D$60,$D744)))</f>
        <v>2</v>
      </c>
      <c r="G744" s="0" t="n">
        <f aca="false">SUMPRODUCT((Rules!$A$2:$A$60=G$1)*Rules!$C$2:$C$60*ISNUMBER(SEARCH(Rules!$D$2:$D$60,$D744)))</f>
        <v>0</v>
      </c>
      <c r="H744" s="0" t="n">
        <f aca="false">SUMPRODUCT((Rules!$A$2:$A$60=H$1)*Rules!$C$2:$C$60*ISNUMBER(SEARCH(Rules!$D$2:$D$60,$D744)))</f>
        <v>0</v>
      </c>
      <c r="I744" s="0" t="n">
        <f aca="false">SUMPRODUCT((Rules!$A$2:$A$60=I$1)*Rules!$C$2:$C$60*ISNUMBER(SEARCH(Rules!$D$2:$D$60,$D744)))</f>
        <v>0</v>
      </c>
      <c r="J744" s="0" t="n">
        <f aca="false">SUMPRODUCT((Rules!$A$2:$A$60=J$1)*Rules!$C$2:$C$60*ISNUMBER(SEARCH(Rules!$D$2:$D$60,$D744)))</f>
        <v>0</v>
      </c>
      <c r="K744" s="0" t="str">
        <f aca="false">IF(OR(MAX(E744:J744)&lt;Rules!$H$1,MAX(E744:J744)-LARGE(E744:J744,2)&lt;Rules!$H$2),"No label",INDEX($E$1:$J$1,MATCH(MAX(E744:J744),E744:J744,0)))</f>
        <v>No label</v>
      </c>
      <c r="L744" s="0" t="n">
        <f aca="false">SUMPRODUCT((Rules!$A$2:$A$60=L$1)*Rules!$C$2:$C$60*ISNUMBER(SEARCH(Rules!$E$2:$E$60,$D744)))</f>
        <v>0</v>
      </c>
      <c r="M744" s="0" t="n">
        <f aca="false">SUMPRODUCT((Rules!$A$2:$A$60=M$1)*Rules!$C$2:$C$60*ISNUMBER(SEARCH(Rules!$E$2:$E$60,$D744)))</f>
        <v>2</v>
      </c>
      <c r="N744" s="0" t="n">
        <f aca="false">SUMPRODUCT((Rules!$A$2:$A$60=N$1)*Rules!$C$2:$C$60*ISNUMBER(SEARCH(Rules!$E$2:$E$60,$D744)))</f>
        <v>1</v>
      </c>
      <c r="O744" s="0" t="n">
        <f aca="false">SUMPRODUCT((Rules!$A$2:$A$60=O$1)*Rules!$C$2:$C$60*ISNUMBER(SEARCH(Rules!$E$2:$E$60,$D744)))</f>
        <v>0</v>
      </c>
      <c r="P744" s="0" t="n">
        <f aca="false">SUMPRODUCT((Rules!$A$2:$A$60=P$1)*Rules!$C$2:$C$60*ISNUMBER(SEARCH(Rules!$E$2:$E$60,$D744)))</f>
        <v>0</v>
      </c>
      <c r="Q744" s="0" t="n">
        <f aca="false">SUMPRODUCT((Rules!$A$2:$A$60=Q$1)*Rules!$C$2:$C$60*ISNUMBER(SEARCH(Rules!$E$2:$E$60,$D744)))</f>
        <v>0</v>
      </c>
      <c r="R744" s="0" t="str">
        <f aca="false">IF(OR(MAX(L744:Q744)&lt;Rules!$H$1,MAX(L744:Q744)-LARGE(L744:Q744,2)&lt;Rules!$H$2),"No label",INDEX($L$1:$Q$1,MATCH(MAX(L744:Q744),L744:Q744,0)))</f>
        <v>No label</v>
      </c>
      <c r="S744" s="0" t="n">
        <f aca="false">SUMPRODUCT(ISNUMBER(SEARCH(" "&amp;Terms!$A$3:$A$821&amp;" ",$D744))*Terms!B$3:B$821)+Terms!B$2</f>
        <v>-2.13035482852774</v>
      </c>
      <c r="T744" s="0" t="n">
        <f aca="false">SUMPRODUCT(ISNUMBER(SEARCH(" "&amp;Terms!$A$3:$A$821&amp;" ",$D744))*Terms!C$3:C$821)+Terms!C$2</f>
        <v>-0.696896161863289</v>
      </c>
      <c r="U744" s="0" t="n">
        <f aca="false">SUMPRODUCT(ISNUMBER(SEARCH(" "&amp;Terms!$A$3:$A$821&amp;" ",$D744))*Terms!D$3:D$821)+Terms!D$2</f>
        <v>-3.50648838644607</v>
      </c>
      <c r="V744" s="0" t="n">
        <f aca="false">SUMPRODUCT(ISNUMBER(SEARCH(" "&amp;Terms!$A$3:$A$821&amp;" ",$D744))*Terms!E$3:E$821)+Terms!E$2</f>
        <v>-3.07770016080691</v>
      </c>
      <c r="W744" s="0" t="n">
        <f aca="false">SUMPRODUCT(ISNUMBER(SEARCH(" "&amp;Terms!$A$3:$A$821&amp;" ",$D744))*Terms!F$3:F$821)+Terms!F$2</f>
        <v>0.539961864415063</v>
      </c>
      <c r="X744" s="0" t="n">
        <f aca="false">SUMPRODUCT(ISNUMBER(SEARCH(" "&amp;Terms!$A$3:$A$821&amp;" ",$D744))*Terms!G$3:G$821)+Terms!G$2</f>
        <v>8.87147767322905</v>
      </c>
      <c r="Y744" s="0" t="str">
        <f aca="false">INDEX($S$1:$X$1,MATCH(MAX(S744:X744),S744:X744,0))</f>
        <v>Mis-selling</v>
      </c>
      <c r="Z744" s="0" t="s">
        <v>2608</v>
      </c>
    </row>
    <row r="745" customFormat="false" ht="15" hidden="false" customHeight="false" outlineLevel="0" collapsed="false">
      <c r="A745" s="0" t="str">
        <f aca="false">Complaints!A745</f>
        <v>C0744</v>
      </c>
      <c r="B745" s="0" t="str">
        <f aca="false">Complaints!B745</f>
        <v>Frankly, I was charged a monthly fee that nobody told me about. I also spent ages on hold when I called about it. This is not acceptable.</v>
      </c>
      <c r="C745" s="0" t="str">
        <f aca="false">Complaints!C745</f>
        <v>Fees &amp; Charges</v>
      </c>
      <c r="D745" s="0" t="str">
        <f aca="false">" "&amp;TRIM(SUBSTITUTE(SUBSTITUTE(SUBSTITUTE(SUBSTITUTE(SUBSTITUTE(SUBSTITUTE(SUBSTITUTE(SUBSTITUTE(SUBSTITUTE(SUBSTITUTE(SUBSTITUTE(SUBSTITUTE(SUBSTITUTE(SUBSTITUTE(SUBSTITUTE(SUBSTITUTE(LOWER(B745),"."," "),","," "),"'"," "),"’"," "),"!"," "),"?"," "),";"," "),":"," "),"-"," "),"("," "),")"," "),"""", " "),"£"," "),"&amp;"," "),"/"," "),"%"," "))&amp;" "</f>
        <v> frankly i was charged a monthly fee that nobody told me about i also spent ages on hold when i called about it this is not acceptable </v>
      </c>
      <c r="E745" s="0" t="n">
        <f aca="false">SUMPRODUCT((Rules!$A$2:$A$60=E$1)*Rules!$C$2:$C$60*ISNUMBER(SEARCH(Rules!$D$2:$D$60,$D745)))</f>
        <v>0</v>
      </c>
      <c r="F745" s="0" t="n">
        <f aca="false">SUMPRODUCT((Rules!$A$2:$A$60=F$1)*Rules!$C$2:$C$60*ISNUMBER(SEARCH(Rules!$D$2:$D$60,$D745)))</f>
        <v>0</v>
      </c>
      <c r="G745" s="0" t="n">
        <f aca="false">SUMPRODUCT((Rules!$A$2:$A$60=G$1)*Rules!$C$2:$C$60*ISNUMBER(SEARCH(Rules!$D$2:$D$60,$D745)))</f>
        <v>0</v>
      </c>
      <c r="H745" s="0" t="n">
        <f aca="false">SUMPRODUCT((Rules!$A$2:$A$60=H$1)*Rules!$C$2:$C$60*ISNUMBER(SEARCH(Rules!$D$2:$D$60,$D745)))</f>
        <v>4</v>
      </c>
      <c r="I745" s="0" t="n">
        <f aca="false">SUMPRODUCT((Rules!$A$2:$A$60=I$1)*Rules!$C$2:$C$60*ISNUMBER(SEARCH(Rules!$D$2:$D$60,$D745)))</f>
        <v>0</v>
      </c>
      <c r="J745" s="0" t="n">
        <f aca="false">SUMPRODUCT((Rules!$A$2:$A$60=J$1)*Rules!$C$2:$C$60*ISNUMBER(SEARCH(Rules!$D$2:$D$60,$D745)))</f>
        <v>3</v>
      </c>
      <c r="K745" s="0" t="str">
        <f aca="false">IF(OR(MAX(E745:J745)&lt;Rules!$H$1,MAX(E745:J745)-LARGE(E745:J745,2)&lt;Rules!$H$2),"No label",INDEX($E$1:$J$1,MATCH(MAX(E745:J745),E745:J745,0)))</f>
        <v>No label</v>
      </c>
      <c r="L745" s="0" t="n">
        <f aca="false">SUMPRODUCT((Rules!$A$2:$A$60=L$1)*Rules!$C$2:$C$60*ISNUMBER(SEARCH(Rules!$E$2:$E$60,$D745)))</f>
        <v>0</v>
      </c>
      <c r="M745" s="0" t="n">
        <f aca="false">SUMPRODUCT((Rules!$A$2:$A$60=M$1)*Rules!$C$2:$C$60*ISNUMBER(SEARCH(Rules!$E$2:$E$60,$D745)))</f>
        <v>0</v>
      </c>
      <c r="N745" s="0" t="n">
        <f aca="false">SUMPRODUCT((Rules!$A$2:$A$60=N$1)*Rules!$C$2:$C$60*ISNUMBER(SEARCH(Rules!$E$2:$E$60,$D745)))</f>
        <v>1</v>
      </c>
      <c r="O745" s="0" t="n">
        <f aca="false">SUMPRODUCT((Rules!$A$2:$A$60=O$1)*Rules!$C$2:$C$60*ISNUMBER(SEARCH(Rules!$E$2:$E$60,$D745)))</f>
        <v>6</v>
      </c>
      <c r="P745" s="0" t="n">
        <f aca="false">SUMPRODUCT((Rules!$A$2:$A$60=P$1)*Rules!$C$2:$C$60*ISNUMBER(SEARCH(Rules!$E$2:$E$60,$D745)))</f>
        <v>0</v>
      </c>
      <c r="Q745" s="0" t="n">
        <f aca="false">SUMPRODUCT((Rules!$A$2:$A$60=Q$1)*Rules!$C$2:$C$60*ISNUMBER(SEARCH(Rules!$E$2:$E$60,$D745)))</f>
        <v>3</v>
      </c>
      <c r="R745" s="0" t="str">
        <f aca="false">IF(OR(MAX(L745:Q745)&lt;Rules!$H$1,MAX(L745:Q745)-LARGE(L745:Q745,2)&lt;Rules!$H$2),"No label",INDEX($L$1:$Q$1,MATCH(MAX(L745:Q745),L745:Q745,0)))</f>
        <v>Fees &amp; Charges</v>
      </c>
      <c r="S745" s="0" t="n">
        <f aca="false">SUMPRODUCT(ISNUMBER(SEARCH(" "&amp;Terms!$A$3:$A$821&amp;" ",$D745))*Terms!B$3:B$821)+Terms!B$2</f>
        <v>-1.67755515289319</v>
      </c>
      <c r="T745" s="0" t="n">
        <f aca="false">SUMPRODUCT(ISNUMBER(SEARCH(" "&amp;Terms!$A$3:$A$821&amp;" ",$D745))*Terms!C$3:C$821)+Terms!C$2</f>
        <v>-4.15364103852355</v>
      </c>
      <c r="U745" s="0" t="n">
        <f aca="false">SUMPRODUCT(ISNUMBER(SEARCH(" "&amp;Terms!$A$3:$A$821&amp;" ",$D745))*Terms!D$3:D$821)+Terms!D$2</f>
        <v>-2.36025208498026</v>
      </c>
      <c r="V745" s="0" t="n">
        <f aca="false">SUMPRODUCT(ISNUMBER(SEARCH(" "&amp;Terms!$A$3:$A$821&amp;" ",$D745))*Terms!E$3:E$821)+Terms!E$2</f>
        <v>10.2402950362961</v>
      </c>
      <c r="W745" s="0" t="n">
        <f aca="false">SUMPRODUCT(ISNUMBER(SEARCH(" "&amp;Terms!$A$3:$A$821&amp;" ",$D745))*Terms!F$3:F$821)+Terms!F$2</f>
        <v>-2.60838652436335</v>
      </c>
      <c r="X745" s="0" t="n">
        <f aca="false">SUMPRODUCT(ISNUMBER(SEARCH(" "&amp;Terms!$A$3:$A$821&amp;" ",$D745))*Terms!G$3:G$821)+Terms!G$2</f>
        <v>0.559539764464377</v>
      </c>
      <c r="Y745" s="0" t="str">
        <f aca="false">INDEX($S$1:$X$1,MATCH(MAX(S745:X745),S745:X745,0))</f>
        <v>Fees &amp; Charges</v>
      </c>
      <c r="Z745" s="0" t="s">
        <v>2607</v>
      </c>
    </row>
    <row r="746" customFormat="false" ht="15" hidden="false" customHeight="false" outlineLevel="0" collapsed="false">
      <c r="A746" s="0" t="str">
        <f aca="false">Complaints!A746</f>
        <v>C0745</v>
      </c>
      <c r="B746" s="0" t="str">
        <f aca="false">Complaints!B746</f>
        <v>The webchat agent ended the conversation without solving anything. There was also a fee involved. I want this put right.</v>
      </c>
      <c r="C746" s="0" t="str">
        <f aca="false">Complaints!C746</f>
        <v>Customer Service</v>
      </c>
      <c r="D746" s="0" t="str">
        <f aca="false">" "&amp;TRIM(SUBSTITUTE(SUBSTITUTE(SUBSTITUTE(SUBSTITUTE(SUBSTITUTE(SUBSTITUTE(SUBSTITUTE(SUBSTITUTE(SUBSTITUTE(SUBSTITUTE(SUBSTITUTE(SUBSTITUTE(SUBSTITUTE(SUBSTITUTE(SUBSTITUTE(SUBSTITUTE(LOWER(B746),"."," "),","," "),"'"," "),"’"," "),"!"," "),"?"," "),";"," "),":"," "),"-"," "),"("," "),")"," "),"""", " "),"£"," "),"&amp;"," "),"/"," "),"%"," "))&amp;" "</f>
        <v> the webchat agent ended the conversation without solving anything there was also a fee involved i want this put right </v>
      </c>
      <c r="E746" s="0" t="n">
        <f aca="false">SUMPRODUCT((Rules!$A$2:$A$60=E$1)*Rules!$C$2:$C$60*ISNUMBER(SEARCH(Rules!$D$2:$D$60,$D746)))</f>
        <v>0</v>
      </c>
      <c r="F746" s="0" t="n">
        <f aca="false">SUMPRODUCT((Rules!$A$2:$A$60=F$1)*Rules!$C$2:$C$60*ISNUMBER(SEARCH(Rules!$D$2:$D$60,$D746)))</f>
        <v>0</v>
      </c>
      <c r="G746" s="0" t="n">
        <f aca="false">SUMPRODUCT((Rules!$A$2:$A$60=G$1)*Rules!$C$2:$C$60*ISNUMBER(SEARCH(Rules!$D$2:$D$60,$D746)))</f>
        <v>0</v>
      </c>
      <c r="H746" s="0" t="n">
        <f aca="false">SUMPRODUCT((Rules!$A$2:$A$60=H$1)*Rules!$C$2:$C$60*ISNUMBER(SEARCH(Rules!$D$2:$D$60,$D746)))</f>
        <v>2</v>
      </c>
      <c r="I746" s="0" t="n">
        <f aca="false">SUMPRODUCT((Rules!$A$2:$A$60=I$1)*Rules!$C$2:$C$60*ISNUMBER(SEARCH(Rules!$D$2:$D$60,$D746)))</f>
        <v>0</v>
      </c>
      <c r="J746" s="0" t="n">
        <f aca="false">SUMPRODUCT((Rules!$A$2:$A$60=J$1)*Rules!$C$2:$C$60*ISNUMBER(SEARCH(Rules!$D$2:$D$60,$D746)))</f>
        <v>2</v>
      </c>
      <c r="K746" s="0" t="str">
        <f aca="false">IF(OR(MAX(E746:J746)&lt;Rules!$H$1,MAX(E746:J746)-LARGE(E746:J746,2)&lt;Rules!$H$2),"No label",INDEX($E$1:$J$1,MATCH(MAX(E746:J746),E746:J746,0)))</f>
        <v>No label</v>
      </c>
      <c r="L746" s="0" t="n">
        <f aca="false">SUMPRODUCT((Rules!$A$2:$A$60=L$1)*Rules!$C$2:$C$60*ISNUMBER(SEARCH(Rules!$E$2:$E$60,$D746)))</f>
        <v>0</v>
      </c>
      <c r="M746" s="0" t="n">
        <f aca="false">SUMPRODUCT((Rules!$A$2:$A$60=M$1)*Rules!$C$2:$C$60*ISNUMBER(SEARCH(Rules!$E$2:$E$60,$D746)))</f>
        <v>0</v>
      </c>
      <c r="N746" s="0" t="n">
        <f aca="false">SUMPRODUCT((Rules!$A$2:$A$60=N$1)*Rules!$C$2:$C$60*ISNUMBER(SEARCH(Rules!$E$2:$E$60,$D746)))</f>
        <v>0</v>
      </c>
      <c r="O746" s="0" t="n">
        <f aca="false">SUMPRODUCT((Rules!$A$2:$A$60=O$1)*Rules!$C$2:$C$60*ISNUMBER(SEARCH(Rules!$E$2:$E$60,$D746)))</f>
        <v>2</v>
      </c>
      <c r="P746" s="0" t="n">
        <f aca="false">SUMPRODUCT((Rules!$A$2:$A$60=P$1)*Rules!$C$2:$C$60*ISNUMBER(SEARCH(Rules!$E$2:$E$60,$D746)))</f>
        <v>0</v>
      </c>
      <c r="Q746" s="0" t="n">
        <f aca="false">SUMPRODUCT((Rules!$A$2:$A$60=Q$1)*Rules!$C$2:$C$60*ISNUMBER(SEARCH(Rules!$E$2:$E$60,$D746)))</f>
        <v>2</v>
      </c>
      <c r="R746" s="0" t="str">
        <f aca="false">IF(OR(MAX(L746:Q746)&lt;Rules!$H$1,MAX(L746:Q746)-LARGE(L746:Q746,2)&lt;Rules!$H$2),"No label",INDEX($L$1:$Q$1,MATCH(MAX(L746:Q746),L746:Q746,0)))</f>
        <v>No label</v>
      </c>
      <c r="S746" s="0" t="n">
        <f aca="false">SUMPRODUCT(ISNUMBER(SEARCH(" "&amp;Terms!$A$3:$A$821&amp;" ",$D746))*Terms!B$3:B$821)+Terms!B$2</f>
        <v>-1.75441957299161</v>
      </c>
      <c r="T746" s="0" t="n">
        <f aca="false">SUMPRODUCT(ISNUMBER(SEARCH(" "&amp;Terms!$A$3:$A$821&amp;" ",$D746))*Terms!C$3:C$821)+Terms!C$2</f>
        <v>6.58154638815956</v>
      </c>
      <c r="U746" s="0" t="n">
        <f aca="false">SUMPRODUCT(ISNUMBER(SEARCH(" "&amp;Terms!$A$3:$A$821&amp;" ",$D746))*Terms!D$3:D$821)+Terms!D$2</f>
        <v>-3.33437444933044</v>
      </c>
      <c r="V746" s="0" t="n">
        <f aca="false">SUMPRODUCT(ISNUMBER(SEARCH(" "&amp;Terms!$A$3:$A$821&amp;" ",$D746))*Terms!E$3:E$821)+Terms!E$2</f>
        <v>0.82254463186814</v>
      </c>
      <c r="W746" s="0" t="n">
        <f aca="false">SUMPRODUCT(ISNUMBER(SEARCH(" "&amp;Terms!$A$3:$A$821&amp;" ",$D746))*Terms!F$3:F$821)+Terms!F$2</f>
        <v>-0.328022598177685</v>
      </c>
      <c r="X746" s="0" t="n">
        <f aca="false">SUMPRODUCT(ISNUMBER(SEARCH(" "&amp;Terms!$A$3:$A$821&amp;" ",$D746))*Terms!G$3:G$821)+Terms!G$2</f>
        <v>-1.98727439952786</v>
      </c>
      <c r="Y746" s="0" t="str">
        <f aca="false">INDEX($S$1:$X$1,MATCH(MAX(S746:X746),S746:X746,0))</f>
        <v>Customer Service</v>
      </c>
      <c r="Z746" s="0" t="s">
        <v>2608</v>
      </c>
    </row>
    <row r="747" customFormat="false" ht="15" hidden="false" customHeight="false" outlineLevel="0" collapsed="false">
      <c r="A747" s="0" t="str">
        <f aca="false">Complaints!A747</f>
        <v>C0746</v>
      </c>
      <c r="B747" s="0" t="str">
        <f aca="false">Complaints!B747</f>
        <v>I was advised to take out cover that duplicates what I already had. Please sort this out.</v>
      </c>
      <c r="C747" s="0" t="str">
        <f aca="false">Complaints!C747</f>
        <v>Mis-selling</v>
      </c>
      <c r="D747" s="0" t="str">
        <f aca="false">" "&amp;TRIM(SUBSTITUTE(SUBSTITUTE(SUBSTITUTE(SUBSTITUTE(SUBSTITUTE(SUBSTITUTE(SUBSTITUTE(SUBSTITUTE(SUBSTITUTE(SUBSTITUTE(SUBSTITUTE(SUBSTITUTE(SUBSTITUTE(SUBSTITUTE(SUBSTITUTE(SUBSTITUTE(LOWER(B747),"."," "),","," "),"'"," "),"’"," "),"!"," "),"?"," "),";"," "),":"," "),"-"," "),"("," "),")"," "),"""", " "),"£"," "),"&amp;"," "),"/"," "),"%"," "))&amp;" "</f>
        <v> i was advised to take out cover that duplicates what i already had please sort this out </v>
      </c>
      <c r="E747" s="0" t="n">
        <f aca="false">SUMPRODUCT((Rules!$A$2:$A$60=E$1)*Rules!$C$2:$C$60*ISNUMBER(SEARCH(Rules!$D$2:$D$60,$D747)))</f>
        <v>0</v>
      </c>
      <c r="F747" s="0" t="n">
        <f aca="false">SUMPRODUCT((Rules!$A$2:$A$60=F$1)*Rules!$C$2:$C$60*ISNUMBER(SEARCH(Rules!$D$2:$D$60,$D747)))</f>
        <v>0</v>
      </c>
      <c r="G747" s="0" t="n">
        <f aca="false">SUMPRODUCT((Rules!$A$2:$A$60=G$1)*Rules!$C$2:$C$60*ISNUMBER(SEARCH(Rules!$D$2:$D$60,$D747)))</f>
        <v>0</v>
      </c>
      <c r="H747" s="0" t="n">
        <f aca="false">SUMPRODUCT((Rules!$A$2:$A$60=H$1)*Rules!$C$2:$C$60*ISNUMBER(SEARCH(Rules!$D$2:$D$60,$D747)))</f>
        <v>0</v>
      </c>
      <c r="I747" s="0" t="n">
        <f aca="false">SUMPRODUCT((Rules!$A$2:$A$60=I$1)*Rules!$C$2:$C$60*ISNUMBER(SEARCH(Rules!$D$2:$D$60,$D747)))</f>
        <v>0</v>
      </c>
      <c r="J747" s="0" t="n">
        <f aca="false">SUMPRODUCT((Rules!$A$2:$A$60=J$1)*Rules!$C$2:$C$60*ISNUMBER(SEARCH(Rules!$D$2:$D$60,$D747)))</f>
        <v>0</v>
      </c>
      <c r="K747" s="0" t="str">
        <f aca="false">IF(OR(MAX(E747:J747)&lt;Rules!$H$1,MAX(E747:J747)-LARGE(E747:J747,2)&lt;Rules!$H$2),"No label",INDEX($E$1:$J$1,MATCH(MAX(E747:J747),E747:J747,0)))</f>
        <v>No label</v>
      </c>
      <c r="L747" s="0" t="n">
        <f aca="false">SUMPRODUCT((Rules!$A$2:$A$60=L$1)*Rules!$C$2:$C$60*ISNUMBER(SEARCH(Rules!$E$2:$E$60,$D747)))</f>
        <v>0</v>
      </c>
      <c r="M747" s="0" t="n">
        <f aca="false">SUMPRODUCT((Rules!$A$2:$A$60=M$1)*Rules!$C$2:$C$60*ISNUMBER(SEARCH(Rules!$E$2:$E$60,$D747)))</f>
        <v>4</v>
      </c>
      <c r="N747" s="0" t="n">
        <f aca="false">SUMPRODUCT((Rules!$A$2:$A$60=N$1)*Rules!$C$2:$C$60*ISNUMBER(SEARCH(Rules!$E$2:$E$60,$D747)))</f>
        <v>0</v>
      </c>
      <c r="O747" s="0" t="n">
        <f aca="false">SUMPRODUCT((Rules!$A$2:$A$60=O$1)*Rules!$C$2:$C$60*ISNUMBER(SEARCH(Rules!$E$2:$E$60,$D747)))</f>
        <v>0</v>
      </c>
      <c r="P747" s="0" t="n">
        <f aca="false">SUMPRODUCT((Rules!$A$2:$A$60=P$1)*Rules!$C$2:$C$60*ISNUMBER(SEARCH(Rules!$E$2:$E$60,$D747)))</f>
        <v>0</v>
      </c>
      <c r="Q747" s="0" t="n">
        <f aca="false">SUMPRODUCT((Rules!$A$2:$A$60=Q$1)*Rules!$C$2:$C$60*ISNUMBER(SEARCH(Rules!$E$2:$E$60,$D747)))</f>
        <v>1</v>
      </c>
      <c r="R747" s="0" t="str">
        <f aca="false">IF(OR(MAX(L747:Q747)&lt;Rules!$H$1,MAX(L747:Q747)-LARGE(L747:Q747,2)&lt;Rules!$H$2),"No label",INDEX($L$1:$Q$1,MATCH(MAX(L747:Q747),L747:Q747,0)))</f>
        <v>Mis-selling</v>
      </c>
      <c r="S747" s="0" t="n">
        <f aca="false">SUMPRODUCT(ISNUMBER(SEARCH(" "&amp;Terms!$A$3:$A$821&amp;" ",$D747))*Terms!B$3:B$821)+Terms!B$2</f>
        <v>-2.98478949560957</v>
      </c>
      <c r="T747" s="0" t="n">
        <f aca="false">SUMPRODUCT(ISNUMBER(SEARCH(" "&amp;Terms!$A$3:$A$821&amp;" ",$D747))*Terms!C$3:C$821)+Terms!C$2</f>
        <v>0.153430315889953</v>
      </c>
      <c r="U747" s="0" t="n">
        <f aca="false">SUMPRODUCT(ISNUMBER(SEARCH(" "&amp;Terms!$A$3:$A$821&amp;" ",$D747))*Terms!D$3:D$821)+Terms!D$2</f>
        <v>-1.33973433395848</v>
      </c>
      <c r="V747" s="0" t="n">
        <f aca="false">SUMPRODUCT(ISNUMBER(SEARCH(" "&amp;Terms!$A$3:$A$821&amp;" ",$D747))*Terms!E$3:E$821)+Terms!E$2</f>
        <v>0.0379423444823796</v>
      </c>
      <c r="W747" s="0" t="n">
        <f aca="false">SUMPRODUCT(ISNUMBER(SEARCH(" "&amp;Terms!$A$3:$A$821&amp;" ",$D747))*Terms!F$3:F$821)+Terms!F$2</f>
        <v>-1.22482065847801</v>
      </c>
      <c r="X747" s="0" t="n">
        <f aca="false">SUMPRODUCT(ISNUMBER(SEARCH(" "&amp;Terms!$A$3:$A$821&amp;" ",$D747))*Terms!G$3:G$821)+Terms!G$2</f>
        <v>5.3579718276738</v>
      </c>
      <c r="Y747" s="0" t="str">
        <f aca="false">INDEX($S$1:$X$1,MATCH(MAX(S747:X747),S747:X747,0))</f>
        <v>Mis-selling</v>
      </c>
      <c r="Z747" s="0" t="s">
        <v>2607</v>
      </c>
    </row>
    <row r="748" customFormat="false" ht="15" hidden="false" customHeight="false" outlineLevel="0" collapsed="false">
      <c r="A748" s="0" t="str">
        <f aca="false">Complaints!A748</f>
        <v>C0747</v>
      </c>
      <c r="B748" s="0" t="str">
        <f aca="false">Complaints!B748</f>
        <v>I have been a customer for years. The complaints handler was unhelpful and talked over me. Also, i was hit with a penalty charge for a payment I made on time. I expect compensation.</v>
      </c>
      <c r="C748" s="0" t="str">
        <f aca="false">Complaints!C748</f>
        <v>Customer Service</v>
      </c>
      <c r="D748" s="0" t="str">
        <f aca="false">" "&amp;TRIM(SUBSTITUTE(SUBSTITUTE(SUBSTITUTE(SUBSTITUTE(SUBSTITUTE(SUBSTITUTE(SUBSTITUTE(SUBSTITUTE(SUBSTITUTE(SUBSTITUTE(SUBSTITUTE(SUBSTITUTE(SUBSTITUTE(SUBSTITUTE(SUBSTITUTE(SUBSTITUTE(LOWER(B748),"."," "),","," "),"'"," "),"’"," "),"!"," "),"?"," "),";"," "),":"," "),"-"," "),"("," "),")"," "),"""", " "),"£"," "),"&amp;"," "),"/"," "),"%"," "))&amp;" "</f>
        <v> i have been a customer for years the complaints handler was unhelpful and talked over me also i was hit with a penalty charge for a payment i made on time i expect compensation </v>
      </c>
      <c r="E748" s="0" t="n">
        <f aca="false">SUMPRODUCT((Rules!$A$2:$A$60=E$1)*Rules!$C$2:$C$60*ISNUMBER(SEARCH(Rules!$D$2:$D$60,$D748)))</f>
        <v>0</v>
      </c>
      <c r="F748" s="0" t="n">
        <f aca="false">SUMPRODUCT((Rules!$A$2:$A$60=F$1)*Rules!$C$2:$C$60*ISNUMBER(SEARCH(Rules!$D$2:$D$60,$D748)))</f>
        <v>0</v>
      </c>
      <c r="G748" s="0" t="n">
        <f aca="false">SUMPRODUCT((Rules!$A$2:$A$60=G$1)*Rules!$C$2:$C$60*ISNUMBER(SEARCH(Rules!$D$2:$D$60,$D748)))</f>
        <v>0</v>
      </c>
      <c r="H748" s="0" t="n">
        <f aca="false">SUMPRODUCT((Rules!$A$2:$A$60=H$1)*Rules!$C$2:$C$60*ISNUMBER(SEARCH(Rules!$D$2:$D$60,$D748)))</f>
        <v>4</v>
      </c>
      <c r="I748" s="0" t="n">
        <f aca="false">SUMPRODUCT((Rules!$A$2:$A$60=I$1)*Rules!$C$2:$C$60*ISNUMBER(SEARCH(Rules!$D$2:$D$60,$D748)))</f>
        <v>0</v>
      </c>
      <c r="J748" s="0" t="n">
        <f aca="false">SUMPRODUCT((Rules!$A$2:$A$60=J$1)*Rules!$C$2:$C$60*ISNUMBER(SEARCH(Rules!$D$2:$D$60,$D748)))</f>
        <v>2</v>
      </c>
      <c r="K748" s="0" t="str">
        <f aca="false">IF(OR(MAX(E748:J748)&lt;Rules!$H$1,MAX(E748:J748)-LARGE(E748:J748,2)&lt;Rules!$H$2),"No label",INDEX($E$1:$J$1,MATCH(MAX(E748:J748),E748:J748,0)))</f>
        <v>Fees &amp; Charges</v>
      </c>
      <c r="L748" s="0" t="n">
        <f aca="false">SUMPRODUCT((Rules!$A$2:$A$60=L$1)*Rules!$C$2:$C$60*ISNUMBER(SEARCH(Rules!$E$2:$E$60,$D748)))</f>
        <v>0</v>
      </c>
      <c r="M748" s="0" t="n">
        <f aca="false">SUMPRODUCT((Rules!$A$2:$A$60=M$1)*Rules!$C$2:$C$60*ISNUMBER(SEARCH(Rules!$E$2:$E$60,$D748)))</f>
        <v>0</v>
      </c>
      <c r="N748" s="0" t="n">
        <f aca="false">SUMPRODUCT((Rules!$A$2:$A$60=N$1)*Rules!$C$2:$C$60*ISNUMBER(SEARCH(Rules!$E$2:$E$60,$D748)))</f>
        <v>0</v>
      </c>
      <c r="O748" s="0" t="n">
        <f aca="false">SUMPRODUCT((Rules!$A$2:$A$60=O$1)*Rules!$C$2:$C$60*ISNUMBER(SEARCH(Rules!$E$2:$E$60,$D748)))</f>
        <v>6</v>
      </c>
      <c r="P748" s="0" t="n">
        <f aca="false">SUMPRODUCT((Rules!$A$2:$A$60=P$1)*Rules!$C$2:$C$60*ISNUMBER(SEARCH(Rules!$E$2:$E$60,$D748)))</f>
        <v>0</v>
      </c>
      <c r="Q748" s="0" t="n">
        <f aca="false">SUMPRODUCT((Rules!$A$2:$A$60=Q$1)*Rules!$C$2:$C$60*ISNUMBER(SEARCH(Rules!$E$2:$E$60,$D748)))</f>
        <v>2</v>
      </c>
      <c r="R748" s="0" t="str">
        <f aca="false">IF(OR(MAX(L748:Q748)&lt;Rules!$H$1,MAX(L748:Q748)-LARGE(L748:Q748,2)&lt;Rules!$H$2),"No label",INDEX($L$1:$Q$1,MATCH(MAX(L748:Q748),L748:Q748,0)))</f>
        <v>Fees &amp; Charges</v>
      </c>
      <c r="S748" s="0" t="n">
        <f aca="false">SUMPRODUCT(ISNUMBER(SEARCH(" "&amp;Terms!$A$3:$A$821&amp;" ",$D748))*Terms!B$3:B$821)+Terms!B$2</f>
        <v>-1.98823606768517</v>
      </c>
      <c r="T748" s="0" t="n">
        <f aca="false">SUMPRODUCT(ISNUMBER(SEARCH(" "&amp;Terms!$A$3:$A$821&amp;" ",$D748))*Terms!C$3:C$821)+Terms!C$2</f>
        <v>8.02816937931185</v>
      </c>
      <c r="U748" s="0" t="n">
        <f aca="false">SUMPRODUCT(ISNUMBER(SEARCH(" "&amp;Terms!$A$3:$A$821&amp;" ",$D748))*Terms!D$3:D$821)+Terms!D$2</f>
        <v>-4.87218624567672</v>
      </c>
      <c r="V748" s="0" t="n">
        <f aca="false">SUMPRODUCT(ISNUMBER(SEARCH(" "&amp;Terms!$A$3:$A$821&amp;" ",$D748))*Terms!E$3:E$821)+Terms!E$2</f>
        <v>6.92661726331289</v>
      </c>
      <c r="W748" s="0" t="n">
        <f aca="false">SUMPRODUCT(ISNUMBER(SEARCH(" "&amp;Terms!$A$3:$A$821&amp;" ",$D748))*Terms!F$3:F$821)+Terms!F$2</f>
        <v>-3.14260809961739</v>
      </c>
      <c r="X748" s="0" t="n">
        <f aca="false">SUMPRODUCT(ISNUMBER(SEARCH(" "&amp;Terms!$A$3:$A$821&amp;" ",$D748))*Terms!G$3:G$821)+Terms!G$2</f>
        <v>-4.95175622964538</v>
      </c>
      <c r="Y748" s="0" t="str">
        <f aca="false">INDEX($S$1:$X$1,MATCH(MAX(S748:X748),S748:X748,0))</f>
        <v>Customer Service</v>
      </c>
      <c r="Z748" s="0" t="s">
        <v>2607</v>
      </c>
    </row>
    <row r="749" customFormat="false" ht="15" hidden="false" customHeight="false" outlineLevel="0" collapsed="false">
      <c r="A749" s="0" t="str">
        <f aca="false">Complaints!A749</f>
        <v>C0748</v>
      </c>
      <c r="B749" s="0" t="str">
        <f aca="false">Complaints!B749</f>
        <v>I am extremely disappointed and want this resolved. I expect compensation.</v>
      </c>
      <c r="C749" s="0" t="str">
        <f aca="false">Complaints!C749</f>
        <v>Fees &amp; Charges</v>
      </c>
      <c r="D749" s="0" t="str">
        <f aca="false">" "&amp;TRIM(SUBSTITUTE(SUBSTITUTE(SUBSTITUTE(SUBSTITUTE(SUBSTITUTE(SUBSTITUTE(SUBSTITUTE(SUBSTITUTE(SUBSTITUTE(SUBSTITUTE(SUBSTITUTE(SUBSTITUTE(SUBSTITUTE(SUBSTITUTE(SUBSTITUTE(SUBSTITUTE(LOWER(B749),"."," "),","," "),"'"," "),"’"," "),"!"," "),"?"," "),";"," "),":"," "),"-"," "),"("," "),")"," "),"""", " "),"£"," "),"&amp;"," "),"/"," "),"%"," "))&amp;" "</f>
        <v> i am extremely disappointed and want this resolved i expect compensation </v>
      </c>
      <c r="E749" s="0" t="n">
        <f aca="false">SUMPRODUCT((Rules!$A$2:$A$60=E$1)*Rules!$C$2:$C$60*ISNUMBER(SEARCH(Rules!$D$2:$D$60,$D749)))</f>
        <v>0</v>
      </c>
      <c r="F749" s="0" t="n">
        <f aca="false">SUMPRODUCT((Rules!$A$2:$A$60=F$1)*Rules!$C$2:$C$60*ISNUMBER(SEARCH(Rules!$D$2:$D$60,$D749)))</f>
        <v>0</v>
      </c>
      <c r="G749" s="0" t="n">
        <f aca="false">SUMPRODUCT((Rules!$A$2:$A$60=G$1)*Rules!$C$2:$C$60*ISNUMBER(SEARCH(Rules!$D$2:$D$60,$D749)))</f>
        <v>0</v>
      </c>
      <c r="H749" s="0" t="n">
        <f aca="false">SUMPRODUCT((Rules!$A$2:$A$60=H$1)*Rules!$C$2:$C$60*ISNUMBER(SEARCH(Rules!$D$2:$D$60,$D749)))</f>
        <v>0</v>
      </c>
      <c r="I749" s="0" t="n">
        <f aca="false">SUMPRODUCT((Rules!$A$2:$A$60=I$1)*Rules!$C$2:$C$60*ISNUMBER(SEARCH(Rules!$D$2:$D$60,$D749)))</f>
        <v>0</v>
      </c>
      <c r="J749" s="0" t="n">
        <f aca="false">SUMPRODUCT((Rules!$A$2:$A$60=J$1)*Rules!$C$2:$C$60*ISNUMBER(SEARCH(Rules!$D$2:$D$60,$D749)))</f>
        <v>0</v>
      </c>
      <c r="K749" s="0" t="str">
        <f aca="false">IF(OR(MAX(E749:J749)&lt;Rules!$H$1,MAX(E749:J749)-LARGE(E749:J749,2)&lt;Rules!$H$2),"No label",INDEX($E$1:$J$1,MATCH(MAX(E749:J749),E749:J749,0)))</f>
        <v>No label</v>
      </c>
      <c r="L749" s="0" t="n">
        <f aca="false">SUMPRODUCT((Rules!$A$2:$A$60=L$1)*Rules!$C$2:$C$60*ISNUMBER(SEARCH(Rules!$E$2:$E$60,$D749)))</f>
        <v>0</v>
      </c>
      <c r="M749" s="0" t="n">
        <f aca="false">SUMPRODUCT((Rules!$A$2:$A$60=M$1)*Rules!$C$2:$C$60*ISNUMBER(SEARCH(Rules!$E$2:$E$60,$D749)))</f>
        <v>0</v>
      </c>
      <c r="N749" s="0" t="n">
        <f aca="false">SUMPRODUCT((Rules!$A$2:$A$60=N$1)*Rules!$C$2:$C$60*ISNUMBER(SEARCH(Rules!$E$2:$E$60,$D749)))</f>
        <v>0</v>
      </c>
      <c r="O749" s="0" t="n">
        <f aca="false">SUMPRODUCT((Rules!$A$2:$A$60=O$1)*Rules!$C$2:$C$60*ISNUMBER(SEARCH(Rules!$E$2:$E$60,$D749)))</f>
        <v>0</v>
      </c>
      <c r="P749" s="0" t="n">
        <f aca="false">SUMPRODUCT((Rules!$A$2:$A$60=P$1)*Rules!$C$2:$C$60*ISNUMBER(SEARCH(Rules!$E$2:$E$60,$D749)))</f>
        <v>0</v>
      </c>
      <c r="Q749" s="0" t="n">
        <f aca="false">SUMPRODUCT((Rules!$A$2:$A$60=Q$1)*Rules!$C$2:$C$60*ISNUMBER(SEARCH(Rules!$E$2:$E$60,$D749)))</f>
        <v>0</v>
      </c>
      <c r="R749" s="0" t="str">
        <f aca="false">IF(OR(MAX(L749:Q749)&lt;Rules!$H$1,MAX(L749:Q749)-LARGE(L749:Q749,2)&lt;Rules!$H$2),"No label",INDEX($L$1:$Q$1,MATCH(MAX(L749:Q749),L749:Q749,0)))</f>
        <v>No label</v>
      </c>
      <c r="S749" s="0" t="n">
        <f aca="false">SUMPRODUCT(ISNUMBER(SEARCH(" "&amp;Terms!$A$3:$A$821&amp;" ",$D749))*Terms!B$3:B$821)+Terms!B$2</f>
        <v>2.48542277119107</v>
      </c>
      <c r="T749" s="0" t="n">
        <f aca="false">SUMPRODUCT(ISNUMBER(SEARCH(" "&amp;Terms!$A$3:$A$821&amp;" ",$D749))*Terms!C$3:C$821)+Terms!C$2</f>
        <v>-0.4797440261649</v>
      </c>
      <c r="U749" s="0" t="n">
        <f aca="false">SUMPRODUCT(ISNUMBER(SEARCH(" "&amp;Terms!$A$3:$A$821&amp;" ",$D749))*Terms!D$3:D$821)+Terms!D$2</f>
        <v>-3.19837977262198</v>
      </c>
      <c r="V749" s="0" t="n">
        <f aca="false">SUMPRODUCT(ISNUMBER(SEARCH(" "&amp;Terms!$A$3:$A$821&amp;" ",$D749))*Terms!E$3:E$821)+Terms!E$2</f>
        <v>-2.02103884246687</v>
      </c>
      <c r="W749" s="0" t="n">
        <f aca="false">SUMPRODUCT(ISNUMBER(SEARCH(" "&amp;Terms!$A$3:$A$821&amp;" ",$D749))*Terms!F$3:F$821)+Terms!F$2</f>
        <v>3.51225249652396</v>
      </c>
      <c r="X749" s="0" t="n">
        <f aca="false">SUMPRODUCT(ISNUMBER(SEARCH(" "&amp;Terms!$A$3:$A$821&amp;" ",$D749))*Terms!G$3:G$821)+Terms!G$2</f>
        <v>-0.298512626461182</v>
      </c>
      <c r="Y749" s="0" t="str">
        <f aca="false">INDEX($S$1:$X$1,MATCH(MAX(S749:X749),S749:X749,0))</f>
        <v>Fraud &amp; Scams</v>
      </c>
      <c r="Z749" s="0" t="s">
        <v>2608</v>
      </c>
    </row>
    <row r="750" customFormat="false" ht="15" hidden="false" customHeight="false" outlineLevel="0" collapsed="false">
      <c r="A750" s="0" t="str">
        <f aca="false">Complaints!A750</f>
        <v>C0749</v>
      </c>
      <c r="B750" s="0" t="str">
        <f aca="false">Complaints!B750</f>
        <v>I was hit with a penalty charge for a payment I made on time. I am worried it might be fraud. I expect compensation.</v>
      </c>
      <c r="C750" s="0" t="str">
        <f aca="false">Complaints!C750</f>
        <v>Fees &amp; Charges</v>
      </c>
      <c r="D750" s="0" t="str">
        <f aca="false">" "&amp;TRIM(SUBSTITUTE(SUBSTITUTE(SUBSTITUTE(SUBSTITUTE(SUBSTITUTE(SUBSTITUTE(SUBSTITUTE(SUBSTITUTE(SUBSTITUTE(SUBSTITUTE(SUBSTITUTE(SUBSTITUTE(SUBSTITUTE(SUBSTITUTE(SUBSTITUTE(SUBSTITUTE(LOWER(B750),"."," "),","," "),"'"," "),"’"," "),"!"," "),"?"," "),";"," "),":"," "),"-"," "),"("," "),")"," "),"""", " "),"£"," "),"&amp;"," "),"/"," "),"%"," "))&amp;" "</f>
        <v> i was hit with a penalty charge for a payment i made on time i am worried it might be fraud i expect compensation </v>
      </c>
      <c r="E750" s="0" t="n">
        <f aca="false">SUMPRODUCT((Rules!$A$2:$A$60=E$1)*Rules!$C$2:$C$60*ISNUMBER(SEARCH(Rules!$D$2:$D$60,$D750)))</f>
        <v>3</v>
      </c>
      <c r="F750" s="0" t="n">
        <f aca="false">SUMPRODUCT((Rules!$A$2:$A$60=F$1)*Rules!$C$2:$C$60*ISNUMBER(SEARCH(Rules!$D$2:$D$60,$D750)))</f>
        <v>0</v>
      </c>
      <c r="G750" s="0" t="n">
        <f aca="false">SUMPRODUCT((Rules!$A$2:$A$60=G$1)*Rules!$C$2:$C$60*ISNUMBER(SEARCH(Rules!$D$2:$D$60,$D750)))</f>
        <v>0</v>
      </c>
      <c r="H750" s="0" t="n">
        <f aca="false">SUMPRODUCT((Rules!$A$2:$A$60=H$1)*Rules!$C$2:$C$60*ISNUMBER(SEARCH(Rules!$D$2:$D$60,$D750)))</f>
        <v>4</v>
      </c>
      <c r="I750" s="0" t="n">
        <f aca="false">SUMPRODUCT((Rules!$A$2:$A$60=I$1)*Rules!$C$2:$C$60*ISNUMBER(SEARCH(Rules!$D$2:$D$60,$D750)))</f>
        <v>0</v>
      </c>
      <c r="J750" s="0" t="n">
        <f aca="false">SUMPRODUCT((Rules!$A$2:$A$60=J$1)*Rules!$C$2:$C$60*ISNUMBER(SEARCH(Rules!$D$2:$D$60,$D750)))</f>
        <v>0</v>
      </c>
      <c r="K750" s="0" t="str">
        <f aca="false">IF(OR(MAX(E750:J750)&lt;Rules!$H$1,MAX(E750:J750)-LARGE(E750:J750,2)&lt;Rules!$H$2),"No label",INDEX($E$1:$J$1,MATCH(MAX(E750:J750),E750:J750,0)))</f>
        <v>No label</v>
      </c>
      <c r="L750" s="0" t="n">
        <f aca="false">SUMPRODUCT((Rules!$A$2:$A$60=L$1)*Rules!$C$2:$C$60*ISNUMBER(SEARCH(Rules!$E$2:$E$60,$D750)))</f>
        <v>3</v>
      </c>
      <c r="M750" s="0" t="n">
        <f aca="false">SUMPRODUCT((Rules!$A$2:$A$60=M$1)*Rules!$C$2:$C$60*ISNUMBER(SEARCH(Rules!$E$2:$E$60,$D750)))</f>
        <v>0</v>
      </c>
      <c r="N750" s="0" t="n">
        <f aca="false">SUMPRODUCT((Rules!$A$2:$A$60=N$1)*Rules!$C$2:$C$60*ISNUMBER(SEARCH(Rules!$E$2:$E$60,$D750)))</f>
        <v>0</v>
      </c>
      <c r="O750" s="0" t="n">
        <f aca="false">SUMPRODUCT((Rules!$A$2:$A$60=O$1)*Rules!$C$2:$C$60*ISNUMBER(SEARCH(Rules!$E$2:$E$60,$D750)))</f>
        <v>6</v>
      </c>
      <c r="P750" s="0" t="n">
        <f aca="false">SUMPRODUCT((Rules!$A$2:$A$60=P$1)*Rules!$C$2:$C$60*ISNUMBER(SEARCH(Rules!$E$2:$E$60,$D750)))</f>
        <v>0</v>
      </c>
      <c r="Q750" s="0" t="n">
        <f aca="false">SUMPRODUCT((Rules!$A$2:$A$60=Q$1)*Rules!$C$2:$C$60*ISNUMBER(SEARCH(Rules!$E$2:$E$60,$D750)))</f>
        <v>0</v>
      </c>
      <c r="R750" s="0" t="str">
        <f aca="false">IF(OR(MAX(L750:Q750)&lt;Rules!$H$1,MAX(L750:Q750)-LARGE(L750:Q750,2)&lt;Rules!$H$2),"No label",INDEX($L$1:$Q$1,MATCH(MAX(L750:Q750),L750:Q750,0)))</f>
        <v>Fees &amp; Charges</v>
      </c>
      <c r="S750" s="0" t="n">
        <f aca="false">SUMPRODUCT(ISNUMBER(SEARCH(" "&amp;Terms!$A$3:$A$821&amp;" ",$D750))*Terms!B$3:B$821)+Terms!B$2</f>
        <v>-1.10239653402897</v>
      </c>
      <c r="T750" s="0" t="n">
        <f aca="false">SUMPRODUCT(ISNUMBER(SEARCH(" "&amp;Terms!$A$3:$A$821&amp;" ",$D750))*Terms!C$3:C$821)+Terms!C$2</f>
        <v>-1.10621535636612</v>
      </c>
      <c r="U750" s="0" t="n">
        <f aca="false">SUMPRODUCT(ISNUMBER(SEARCH(" "&amp;Terms!$A$3:$A$821&amp;" ",$D750))*Terms!D$3:D$821)+Terms!D$2</f>
        <v>-2.12470126159307</v>
      </c>
      <c r="V750" s="0" t="n">
        <f aca="false">SUMPRODUCT(ISNUMBER(SEARCH(" "&amp;Terms!$A$3:$A$821&amp;" ",$D750))*Terms!E$3:E$821)+Terms!E$2</f>
        <v>8.57439245539201</v>
      </c>
      <c r="W750" s="0" t="n">
        <f aca="false">SUMPRODUCT(ISNUMBER(SEARCH(" "&amp;Terms!$A$3:$A$821&amp;" ",$D750))*Terms!F$3:F$821)+Terms!F$2</f>
        <v>-0.0555940431964615</v>
      </c>
      <c r="X750" s="0" t="n">
        <f aca="false">SUMPRODUCT(ISNUMBER(SEARCH(" "&amp;Terms!$A$3:$A$821&amp;" ",$D750))*Terms!G$3:G$821)+Terms!G$2</f>
        <v>-4.18548526020731</v>
      </c>
      <c r="Y750" s="0" t="str">
        <f aca="false">INDEX($S$1:$X$1,MATCH(MAX(S750:X750),S750:X750,0))</f>
        <v>Fees &amp; Charges</v>
      </c>
      <c r="Z750" s="0" t="s">
        <v>2607</v>
      </c>
    </row>
    <row r="751" customFormat="false" ht="15" hidden="false" customHeight="false" outlineLevel="0" collapsed="false">
      <c r="A751" s="0" t="str">
        <f aca="false">Complaints!A751</f>
        <v>C0750</v>
      </c>
      <c r="B751" s="0" t="str">
        <f aca="false">Complaints!B751</f>
        <v>Hello, The closure of my old account has dragged on for months.</v>
      </c>
      <c r="C751" s="0" t="str">
        <f aca="false">Complaints!C751</f>
        <v>Delays &amp; Processing</v>
      </c>
      <c r="D751" s="0" t="str">
        <f aca="false">" "&amp;TRIM(SUBSTITUTE(SUBSTITUTE(SUBSTITUTE(SUBSTITUTE(SUBSTITUTE(SUBSTITUTE(SUBSTITUTE(SUBSTITUTE(SUBSTITUTE(SUBSTITUTE(SUBSTITUTE(SUBSTITUTE(SUBSTITUTE(SUBSTITUTE(SUBSTITUTE(SUBSTITUTE(LOWER(B751),"."," "),","," "),"'"," "),"’"," "),"!"," "),"?"," "),";"," "),":"," "),"-"," "),"("," "),")"," "),"""", " "),"£"," "),"&amp;"," "),"/"," "),"%"," "))&amp;" "</f>
        <v> hello the closure of my old account has dragged on for months </v>
      </c>
      <c r="E751" s="0" t="n">
        <f aca="false">SUMPRODUCT((Rules!$A$2:$A$60=E$1)*Rules!$C$2:$C$60*ISNUMBER(SEARCH(Rules!$D$2:$D$60,$D751)))</f>
        <v>0</v>
      </c>
      <c r="F751" s="0" t="n">
        <f aca="false">SUMPRODUCT((Rules!$A$2:$A$60=F$1)*Rules!$C$2:$C$60*ISNUMBER(SEARCH(Rules!$D$2:$D$60,$D751)))</f>
        <v>0</v>
      </c>
      <c r="G751" s="0" t="n">
        <f aca="false">SUMPRODUCT((Rules!$A$2:$A$60=G$1)*Rules!$C$2:$C$60*ISNUMBER(SEARCH(Rules!$D$2:$D$60,$D751)))</f>
        <v>0</v>
      </c>
      <c r="H751" s="0" t="n">
        <f aca="false">SUMPRODUCT((Rules!$A$2:$A$60=H$1)*Rules!$C$2:$C$60*ISNUMBER(SEARCH(Rules!$D$2:$D$60,$D751)))</f>
        <v>0</v>
      </c>
      <c r="I751" s="0" t="n">
        <f aca="false">SUMPRODUCT((Rules!$A$2:$A$60=I$1)*Rules!$C$2:$C$60*ISNUMBER(SEARCH(Rules!$D$2:$D$60,$D751)))</f>
        <v>2</v>
      </c>
      <c r="J751" s="0" t="n">
        <f aca="false">SUMPRODUCT((Rules!$A$2:$A$60=J$1)*Rules!$C$2:$C$60*ISNUMBER(SEARCH(Rules!$D$2:$D$60,$D751)))</f>
        <v>0</v>
      </c>
      <c r="K751" s="0" t="str">
        <f aca="false">IF(OR(MAX(E751:J751)&lt;Rules!$H$1,MAX(E751:J751)-LARGE(E751:J751,2)&lt;Rules!$H$2),"No label",INDEX($E$1:$J$1,MATCH(MAX(E751:J751),E751:J751,0)))</f>
        <v>No label</v>
      </c>
      <c r="L751" s="0" t="n">
        <f aca="false">SUMPRODUCT((Rules!$A$2:$A$60=L$1)*Rules!$C$2:$C$60*ISNUMBER(SEARCH(Rules!$E$2:$E$60,$D751)))</f>
        <v>0</v>
      </c>
      <c r="M751" s="0" t="n">
        <f aca="false">SUMPRODUCT((Rules!$A$2:$A$60=M$1)*Rules!$C$2:$C$60*ISNUMBER(SEARCH(Rules!$E$2:$E$60,$D751)))</f>
        <v>0</v>
      </c>
      <c r="N751" s="0" t="n">
        <f aca="false">SUMPRODUCT((Rules!$A$2:$A$60=N$1)*Rules!$C$2:$C$60*ISNUMBER(SEARCH(Rules!$E$2:$E$60,$D751)))</f>
        <v>0</v>
      </c>
      <c r="O751" s="0" t="n">
        <f aca="false">SUMPRODUCT((Rules!$A$2:$A$60=O$1)*Rules!$C$2:$C$60*ISNUMBER(SEARCH(Rules!$E$2:$E$60,$D751)))</f>
        <v>0</v>
      </c>
      <c r="P751" s="0" t="n">
        <f aca="false">SUMPRODUCT((Rules!$A$2:$A$60=P$1)*Rules!$C$2:$C$60*ISNUMBER(SEARCH(Rules!$E$2:$E$60,$D751)))</f>
        <v>2</v>
      </c>
      <c r="Q751" s="0" t="n">
        <f aca="false">SUMPRODUCT((Rules!$A$2:$A$60=Q$1)*Rules!$C$2:$C$60*ISNUMBER(SEARCH(Rules!$E$2:$E$60,$D751)))</f>
        <v>0</v>
      </c>
      <c r="R751" s="0" t="str">
        <f aca="false">IF(OR(MAX(L751:Q751)&lt;Rules!$H$1,MAX(L751:Q751)-LARGE(L751:Q751,2)&lt;Rules!$H$2),"No label",INDEX($L$1:$Q$1,MATCH(MAX(L751:Q751),L751:Q751,0)))</f>
        <v>No label</v>
      </c>
      <c r="S751" s="0" t="n">
        <f aca="false">SUMPRODUCT(ISNUMBER(SEARCH(" "&amp;Terms!$A$3:$A$821&amp;" ",$D751))*Terms!B$3:B$821)+Terms!B$2</f>
        <v>-0.30567493983736</v>
      </c>
      <c r="T751" s="0" t="n">
        <f aca="false">SUMPRODUCT(ISNUMBER(SEARCH(" "&amp;Terms!$A$3:$A$821&amp;" ",$D751))*Terms!C$3:C$821)+Terms!C$2</f>
        <v>-1.54621791585541</v>
      </c>
      <c r="U751" s="0" t="n">
        <f aca="false">SUMPRODUCT(ISNUMBER(SEARCH(" "&amp;Terms!$A$3:$A$821&amp;" ",$D751))*Terms!D$3:D$821)+Terms!D$2</f>
        <v>8.09474061626906</v>
      </c>
      <c r="V751" s="0" t="n">
        <f aca="false">SUMPRODUCT(ISNUMBER(SEARCH(" "&amp;Terms!$A$3:$A$821&amp;" ",$D751))*Terms!E$3:E$821)+Terms!E$2</f>
        <v>-2.30193335633713</v>
      </c>
      <c r="W751" s="0" t="n">
        <f aca="false">SUMPRODUCT(ISNUMBER(SEARCH(" "&amp;Terms!$A$3:$A$821&amp;" ",$D751))*Terms!F$3:F$821)+Terms!F$2</f>
        <v>-0.729165218077194</v>
      </c>
      <c r="X751" s="0" t="n">
        <f aca="false">SUMPRODUCT(ISNUMBER(SEARCH(" "&amp;Terms!$A$3:$A$821&amp;" ",$D751))*Terms!G$3:G$821)+Terms!G$2</f>
        <v>-3.21174918616186</v>
      </c>
      <c r="Y751" s="0" t="str">
        <f aca="false">INDEX($S$1:$X$1,MATCH(MAX(S751:X751),S751:X751,0))</f>
        <v>Delays &amp; Processing</v>
      </c>
      <c r="Z751" s="0" t="s">
        <v>2607</v>
      </c>
    </row>
    <row r="752" customFormat="false" ht="15" hidden="false" customHeight="false" outlineLevel="0" collapsed="false">
      <c r="A752" s="0" t="str">
        <f aca="false">Complaints!A752</f>
        <v>C0751</v>
      </c>
      <c r="B752" s="0" t="str">
        <f aca="false">Complaints!B752</f>
        <v>Hello, I was hit with a penalty charge for a payment I made on time. Also, the pension transfer advice I received was poor and I have lost out.</v>
      </c>
      <c r="C752" s="0" t="str">
        <f aca="false">Complaints!C752</f>
        <v>Fees &amp; Charges</v>
      </c>
      <c r="D752" s="0" t="str">
        <f aca="false">" "&amp;TRIM(SUBSTITUTE(SUBSTITUTE(SUBSTITUTE(SUBSTITUTE(SUBSTITUTE(SUBSTITUTE(SUBSTITUTE(SUBSTITUTE(SUBSTITUTE(SUBSTITUTE(SUBSTITUTE(SUBSTITUTE(SUBSTITUTE(SUBSTITUTE(SUBSTITUTE(SUBSTITUTE(LOWER(B752),"."," "),","," "),"'"," "),"’"," "),"!"," "),"?"," "),";"," "),":"," "),"-"," "),"("," "),")"," "),"""", " "),"£"," "),"&amp;"," "),"/"," "),"%"," "))&amp;" "</f>
        <v> hello i was hit with a penalty charge for a payment i made on time also the pension transfer advice i received was poor and i have lost out </v>
      </c>
      <c r="E752" s="0" t="n">
        <f aca="false">SUMPRODUCT((Rules!$A$2:$A$60=E$1)*Rules!$C$2:$C$60*ISNUMBER(SEARCH(Rules!$D$2:$D$60,$D752)))</f>
        <v>0</v>
      </c>
      <c r="F752" s="0" t="n">
        <f aca="false">SUMPRODUCT((Rules!$A$2:$A$60=F$1)*Rules!$C$2:$C$60*ISNUMBER(SEARCH(Rules!$D$2:$D$60,$D752)))</f>
        <v>2</v>
      </c>
      <c r="G752" s="0" t="n">
        <f aca="false">SUMPRODUCT((Rules!$A$2:$A$60=G$1)*Rules!$C$2:$C$60*ISNUMBER(SEARCH(Rules!$D$2:$D$60,$D752)))</f>
        <v>0</v>
      </c>
      <c r="H752" s="0" t="n">
        <f aca="false">SUMPRODUCT((Rules!$A$2:$A$60=H$1)*Rules!$C$2:$C$60*ISNUMBER(SEARCH(Rules!$D$2:$D$60,$D752)))</f>
        <v>4</v>
      </c>
      <c r="I752" s="0" t="n">
        <f aca="false">SUMPRODUCT((Rules!$A$2:$A$60=I$1)*Rules!$C$2:$C$60*ISNUMBER(SEARCH(Rules!$D$2:$D$60,$D752)))</f>
        <v>0</v>
      </c>
      <c r="J752" s="0" t="n">
        <f aca="false">SUMPRODUCT((Rules!$A$2:$A$60=J$1)*Rules!$C$2:$C$60*ISNUMBER(SEARCH(Rules!$D$2:$D$60,$D752)))</f>
        <v>0</v>
      </c>
      <c r="K752" s="0" t="str">
        <f aca="false">IF(OR(MAX(E752:J752)&lt;Rules!$H$1,MAX(E752:J752)-LARGE(E752:J752,2)&lt;Rules!$H$2),"No label",INDEX($E$1:$J$1,MATCH(MAX(E752:J752),E752:J752,0)))</f>
        <v>Fees &amp; Charges</v>
      </c>
      <c r="L752" s="0" t="n">
        <f aca="false">SUMPRODUCT((Rules!$A$2:$A$60=L$1)*Rules!$C$2:$C$60*ISNUMBER(SEARCH(Rules!$E$2:$E$60,$D752)))</f>
        <v>0</v>
      </c>
      <c r="M752" s="0" t="n">
        <f aca="false">SUMPRODUCT((Rules!$A$2:$A$60=M$1)*Rules!$C$2:$C$60*ISNUMBER(SEARCH(Rules!$E$2:$E$60,$D752)))</f>
        <v>2</v>
      </c>
      <c r="N752" s="0" t="n">
        <f aca="false">SUMPRODUCT((Rules!$A$2:$A$60=N$1)*Rules!$C$2:$C$60*ISNUMBER(SEARCH(Rules!$E$2:$E$60,$D752)))</f>
        <v>0</v>
      </c>
      <c r="O752" s="0" t="n">
        <f aca="false">SUMPRODUCT((Rules!$A$2:$A$60=O$1)*Rules!$C$2:$C$60*ISNUMBER(SEARCH(Rules!$E$2:$E$60,$D752)))</f>
        <v>6</v>
      </c>
      <c r="P752" s="0" t="n">
        <f aca="false">SUMPRODUCT((Rules!$A$2:$A$60=P$1)*Rules!$C$2:$C$60*ISNUMBER(SEARCH(Rules!$E$2:$E$60,$D752)))</f>
        <v>0</v>
      </c>
      <c r="Q752" s="0" t="n">
        <f aca="false">SUMPRODUCT((Rules!$A$2:$A$60=Q$1)*Rules!$C$2:$C$60*ISNUMBER(SEARCH(Rules!$E$2:$E$60,$D752)))</f>
        <v>0</v>
      </c>
      <c r="R752" s="0" t="str">
        <f aca="false">IF(OR(MAX(L752:Q752)&lt;Rules!$H$1,MAX(L752:Q752)-LARGE(L752:Q752,2)&lt;Rules!$H$2),"No label",INDEX($L$1:$Q$1,MATCH(MAX(L752:Q752),L752:Q752,0)))</f>
        <v>Fees &amp; Charges</v>
      </c>
      <c r="S752" s="0" t="n">
        <f aca="false">SUMPRODUCT(ISNUMBER(SEARCH(" "&amp;Terms!$A$3:$A$821&amp;" ",$D752))*Terms!B$3:B$821)+Terms!B$2</f>
        <v>-6.92013361637119</v>
      </c>
      <c r="T752" s="0" t="n">
        <f aca="false">SUMPRODUCT(ISNUMBER(SEARCH(" "&amp;Terms!$A$3:$A$821&amp;" ",$D752))*Terms!C$3:C$821)+Terms!C$2</f>
        <v>-2.66968651134032</v>
      </c>
      <c r="U752" s="0" t="n">
        <f aca="false">SUMPRODUCT(ISNUMBER(SEARCH(" "&amp;Terms!$A$3:$A$821&amp;" ",$D752))*Terms!D$3:D$821)+Terms!D$2</f>
        <v>-0.482427830610687</v>
      </c>
      <c r="V752" s="0" t="n">
        <f aca="false">SUMPRODUCT(ISNUMBER(SEARCH(" "&amp;Terms!$A$3:$A$821&amp;" ",$D752))*Terms!E$3:E$821)+Terms!E$2</f>
        <v>7.12902283302277</v>
      </c>
      <c r="W752" s="0" t="n">
        <f aca="false">SUMPRODUCT(ISNUMBER(SEARCH(" "&amp;Terms!$A$3:$A$821&amp;" ",$D752))*Terms!F$3:F$821)+Terms!F$2</f>
        <v>-4.33876411029615</v>
      </c>
      <c r="X752" s="0" t="n">
        <f aca="false">SUMPRODUCT(ISNUMBER(SEARCH(" "&amp;Terms!$A$3:$A$821&amp;" ",$D752))*Terms!G$3:G$821)+Terms!G$2</f>
        <v>7.28198923559566</v>
      </c>
      <c r="Y752" s="0" t="str">
        <f aca="false">INDEX($S$1:$X$1,MATCH(MAX(S752:X752),S752:X752,0))</f>
        <v>Mis-selling</v>
      </c>
      <c r="Z752" s="0" t="s">
        <v>2607</v>
      </c>
    </row>
    <row r="753" customFormat="false" ht="15" hidden="false" customHeight="false" outlineLevel="0" collapsed="false">
      <c r="A753" s="0" t="str">
        <f aca="false">Complaints!A753</f>
        <v>C0752</v>
      </c>
      <c r="B753" s="0" t="str">
        <f aca="false">Complaints!B753</f>
        <v>Nothing has been done and I am losing patience. This is not acceptable.</v>
      </c>
      <c r="C753" s="0" t="str">
        <f aca="false">Complaints!C753</f>
        <v>Fraud &amp; Scams</v>
      </c>
      <c r="D753" s="0" t="str">
        <f aca="false">" "&amp;TRIM(SUBSTITUTE(SUBSTITUTE(SUBSTITUTE(SUBSTITUTE(SUBSTITUTE(SUBSTITUTE(SUBSTITUTE(SUBSTITUTE(SUBSTITUTE(SUBSTITUTE(SUBSTITUTE(SUBSTITUTE(SUBSTITUTE(SUBSTITUTE(SUBSTITUTE(SUBSTITUTE(LOWER(B753),"."," "),","," "),"'"," "),"’"," "),"!"," "),"?"," "),";"," "),":"," "),"-"," "),"("," "),")"," "),"""", " "),"£"," "),"&amp;"," "),"/"," "),"%"," "))&amp;" "</f>
        <v> nothing has been done and i am losing patience this is not acceptable </v>
      </c>
      <c r="E753" s="0" t="n">
        <f aca="false">SUMPRODUCT((Rules!$A$2:$A$60=E$1)*Rules!$C$2:$C$60*ISNUMBER(SEARCH(Rules!$D$2:$D$60,$D753)))</f>
        <v>0</v>
      </c>
      <c r="F753" s="0" t="n">
        <f aca="false">SUMPRODUCT((Rules!$A$2:$A$60=F$1)*Rules!$C$2:$C$60*ISNUMBER(SEARCH(Rules!$D$2:$D$60,$D753)))</f>
        <v>0</v>
      </c>
      <c r="G753" s="0" t="n">
        <f aca="false">SUMPRODUCT((Rules!$A$2:$A$60=G$1)*Rules!$C$2:$C$60*ISNUMBER(SEARCH(Rules!$D$2:$D$60,$D753)))</f>
        <v>0</v>
      </c>
      <c r="H753" s="0" t="n">
        <f aca="false">SUMPRODUCT((Rules!$A$2:$A$60=H$1)*Rules!$C$2:$C$60*ISNUMBER(SEARCH(Rules!$D$2:$D$60,$D753)))</f>
        <v>0</v>
      </c>
      <c r="I753" s="0" t="n">
        <f aca="false">SUMPRODUCT((Rules!$A$2:$A$60=I$1)*Rules!$C$2:$C$60*ISNUMBER(SEARCH(Rules!$D$2:$D$60,$D753)))</f>
        <v>0</v>
      </c>
      <c r="J753" s="0" t="n">
        <f aca="false">SUMPRODUCT((Rules!$A$2:$A$60=J$1)*Rules!$C$2:$C$60*ISNUMBER(SEARCH(Rules!$D$2:$D$60,$D753)))</f>
        <v>0</v>
      </c>
      <c r="K753" s="0" t="str">
        <f aca="false">IF(OR(MAX(E753:J753)&lt;Rules!$H$1,MAX(E753:J753)-LARGE(E753:J753,2)&lt;Rules!$H$2),"No label",INDEX($E$1:$J$1,MATCH(MAX(E753:J753),E753:J753,0)))</f>
        <v>No label</v>
      </c>
      <c r="L753" s="0" t="n">
        <f aca="false">SUMPRODUCT((Rules!$A$2:$A$60=L$1)*Rules!$C$2:$C$60*ISNUMBER(SEARCH(Rules!$E$2:$E$60,$D753)))</f>
        <v>0</v>
      </c>
      <c r="M753" s="0" t="n">
        <f aca="false">SUMPRODUCT((Rules!$A$2:$A$60=M$1)*Rules!$C$2:$C$60*ISNUMBER(SEARCH(Rules!$E$2:$E$60,$D753)))</f>
        <v>0</v>
      </c>
      <c r="N753" s="0" t="n">
        <f aca="false">SUMPRODUCT((Rules!$A$2:$A$60=N$1)*Rules!$C$2:$C$60*ISNUMBER(SEARCH(Rules!$E$2:$E$60,$D753)))</f>
        <v>1</v>
      </c>
      <c r="O753" s="0" t="n">
        <f aca="false">SUMPRODUCT((Rules!$A$2:$A$60=O$1)*Rules!$C$2:$C$60*ISNUMBER(SEARCH(Rules!$E$2:$E$60,$D753)))</f>
        <v>0</v>
      </c>
      <c r="P753" s="0" t="n">
        <f aca="false">SUMPRODUCT((Rules!$A$2:$A$60=P$1)*Rules!$C$2:$C$60*ISNUMBER(SEARCH(Rules!$E$2:$E$60,$D753)))</f>
        <v>0</v>
      </c>
      <c r="Q753" s="0" t="n">
        <f aca="false">SUMPRODUCT((Rules!$A$2:$A$60=Q$1)*Rules!$C$2:$C$60*ISNUMBER(SEARCH(Rules!$E$2:$E$60,$D753)))</f>
        <v>0</v>
      </c>
      <c r="R753" s="0" t="str">
        <f aca="false">IF(OR(MAX(L753:Q753)&lt;Rules!$H$1,MAX(L753:Q753)-LARGE(L753:Q753,2)&lt;Rules!$H$2),"No label",INDEX($L$1:$Q$1,MATCH(MAX(L753:Q753),L753:Q753,0)))</f>
        <v>No label</v>
      </c>
      <c r="S753" s="0" t="n">
        <f aca="false">SUMPRODUCT(ISNUMBER(SEARCH(" "&amp;Terms!$A$3:$A$821&amp;" ",$D753))*Terms!B$3:B$821)+Terms!B$2</f>
        <v>2.35889149746298</v>
      </c>
      <c r="T753" s="0" t="n">
        <f aca="false">SUMPRODUCT(ISNUMBER(SEARCH(" "&amp;Terms!$A$3:$A$821&amp;" ",$D753))*Terms!C$3:C$821)+Terms!C$2</f>
        <v>0.585634803946764</v>
      </c>
      <c r="U753" s="0" t="n">
        <f aca="false">SUMPRODUCT(ISNUMBER(SEARCH(" "&amp;Terms!$A$3:$A$821&amp;" ",$D753))*Terms!D$3:D$821)+Terms!D$2</f>
        <v>-1.3239968043428</v>
      </c>
      <c r="V753" s="0" t="n">
        <f aca="false">SUMPRODUCT(ISNUMBER(SEARCH(" "&amp;Terms!$A$3:$A$821&amp;" ",$D753))*Terms!E$3:E$821)+Terms!E$2</f>
        <v>-2.81239950694571</v>
      </c>
      <c r="W753" s="0" t="n">
        <f aca="false">SUMPRODUCT(ISNUMBER(SEARCH(" "&amp;Terms!$A$3:$A$821&amp;" ",$D753))*Terms!F$3:F$821)+Terms!F$2</f>
        <v>-1.86085173362798</v>
      </c>
      <c r="X753" s="0" t="n">
        <f aca="false">SUMPRODUCT(ISNUMBER(SEARCH(" "&amp;Terms!$A$3:$A$821&amp;" ",$D753))*Terms!G$3:G$821)+Terms!G$2</f>
        <v>3.05272174350684</v>
      </c>
      <c r="Y753" s="0" t="str">
        <f aca="false">INDEX($S$1:$X$1,MATCH(MAX(S753:X753),S753:X753,0))</f>
        <v>Mis-selling</v>
      </c>
      <c r="Z753" s="0" t="s">
        <v>2608</v>
      </c>
    </row>
    <row r="754" customFormat="false" ht="15" hidden="false" customHeight="false" outlineLevel="0" collapsed="false">
      <c r="A754" s="0" t="str">
        <f aca="false">Complaints!A754</f>
        <v>C0753</v>
      </c>
      <c r="B754" s="0" t="str">
        <f aca="false">Complaints!B754</f>
        <v>I was misled about what the insurance actually included. I am worried it might be fraud. Please sort this out.</v>
      </c>
      <c r="C754" s="0" t="str">
        <f aca="false">Complaints!C754</f>
        <v>Mis-selling</v>
      </c>
      <c r="D754" s="0" t="str">
        <f aca="false">" "&amp;TRIM(SUBSTITUTE(SUBSTITUTE(SUBSTITUTE(SUBSTITUTE(SUBSTITUTE(SUBSTITUTE(SUBSTITUTE(SUBSTITUTE(SUBSTITUTE(SUBSTITUTE(SUBSTITUTE(SUBSTITUTE(SUBSTITUTE(SUBSTITUTE(SUBSTITUTE(SUBSTITUTE(LOWER(B754),"."," "),","," "),"'"," "),"’"," "),"!"," "),"?"," "),";"," "),":"," "),"-"," "),"("," "),")"," "),"""", " "),"£"," "),"&amp;"," "),"/"," "),"%"," "))&amp;" "</f>
        <v> i was misled about what the insurance actually included i am worried it might be fraud please sort this out </v>
      </c>
      <c r="E754" s="0" t="n">
        <f aca="false">SUMPRODUCT((Rules!$A$2:$A$60=E$1)*Rules!$C$2:$C$60*ISNUMBER(SEARCH(Rules!$D$2:$D$60,$D754)))</f>
        <v>3</v>
      </c>
      <c r="F754" s="0" t="n">
        <f aca="false">SUMPRODUCT((Rules!$A$2:$A$60=F$1)*Rules!$C$2:$C$60*ISNUMBER(SEARCH(Rules!$D$2:$D$60,$D754)))</f>
        <v>4</v>
      </c>
      <c r="G754" s="0" t="n">
        <f aca="false">SUMPRODUCT((Rules!$A$2:$A$60=G$1)*Rules!$C$2:$C$60*ISNUMBER(SEARCH(Rules!$D$2:$D$60,$D754)))</f>
        <v>0</v>
      </c>
      <c r="H754" s="0" t="n">
        <f aca="false">SUMPRODUCT((Rules!$A$2:$A$60=H$1)*Rules!$C$2:$C$60*ISNUMBER(SEARCH(Rules!$D$2:$D$60,$D754)))</f>
        <v>0</v>
      </c>
      <c r="I754" s="0" t="n">
        <f aca="false">SUMPRODUCT((Rules!$A$2:$A$60=I$1)*Rules!$C$2:$C$60*ISNUMBER(SEARCH(Rules!$D$2:$D$60,$D754)))</f>
        <v>0</v>
      </c>
      <c r="J754" s="0" t="n">
        <f aca="false">SUMPRODUCT((Rules!$A$2:$A$60=J$1)*Rules!$C$2:$C$60*ISNUMBER(SEARCH(Rules!$D$2:$D$60,$D754)))</f>
        <v>0</v>
      </c>
      <c r="K754" s="0" t="str">
        <f aca="false">IF(OR(MAX(E754:J754)&lt;Rules!$H$1,MAX(E754:J754)-LARGE(E754:J754,2)&lt;Rules!$H$2),"No label",INDEX($E$1:$J$1,MATCH(MAX(E754:J754),E754:J754,0)))</f>
        <v>No label</v>
      </c>
      <c r="L754" s="0" t="n">
        <f aca="false">SUMPRODUCT((Rules!$A$2:$A$60=L$1)*Rules!$C$2:$C$60*ISNUMBER(SEARCH(Rules!$E$2:$E$60,$D754)))</f>
        <v>3</v>
      </c>
      <c r="M754" s="0" t="n">
        <f aca="false">SUMPRODUCT((Rules!$A$2:$A$60=M$1)*Rules!$C$2:$C$60*ISNUMBER(SEARCH(Rules!$E$2:$E$60,$D754)))</f>
        <v>4</v>
      </c>
      <c r="N754" s="0" t="n">
        <f aca="false">SUMPRODUCT((Rules!$A$2:$A$60=N$1)*Rules!$C$2:$C$60*ISNUMBER(SEARCH(Rules!$E$2:$E$60,$D754)))</f>
        <v>0</v>
      </c>
      <c r="O754" s="0" t="n">
        <f aca="false">SUMPRODUCT((Rules!$A$2:$A$60=O$1)*Rules!$C$2:$C$60*ISNUMBER(SEARCH(Rules!$E$2:$E$60,$D754)))</f>
        <v>0</v>
      </c>
      <c r="P754" s="0" t="n">
        <f aca="false">SUMPRODUCT((Rules!$A$2:$A$60=P$1)*Rules!$C$2:$C$60*ISNUMBER(SEARCH(Rules!$E$2:$E$60,$D754)))</f>
        <v>0</v>
      </c>
      <c r="Q754" s="0" t="n">
        <f aca="false">SUMPRODUCT((Rules!$A$2:$A$60=Q$1)*Rules!$C$2:$C$60*ISNUMBER(SEARCH(Rules!$E$2:$E$60,$D754)))</f>
        <v>0</v>
      </c>
      <c r="R754" s="0" t="str">
        <f aca="false">IF(OR(MAX(L754:Q754)&lt;Rules!$H$1,MAX(L754:Q754)-LARGE(L754:Q754,2)&lt;Rules!$H$2),"No label",INDEX($L$1:$Q$1,MATCH(MAX(L754:Q754),L754:Q754,0)))</f>
        <v>No label</v>
      </c>
      <c r="S754" s="0" t="n">
        <f aca="false">SUMPRODUCT(ISNUMBER(SEARCH(" "&amp;Terms!$A$3:$A$821&amp;" ",$D754))*Terms!B$3:B$821)+Terms!B$2</f>
        <v>-3.70898793630059</v>
      </c>
      <c r="T754" s="0" t="n">
        <f aca="false">SUMPRODUCT(ISNUMBER(SEARCH(" "&amp;Terms!$A$3:$A$821&amp;" ",$D754))*Terms!C$3:C$821)+Terms!C$2</f>
        <v>-3.20579449262102</v>
      </c>
      <c r="U754" s="0" t="n">
        <f aca="false">SUMPRODUCT(ISNUMBER(SEARCH(" "&amp;Terms!$A$3:$A$821&amp;" ",$D754))*Terms!D$3:D$821)+Terms!D$2</f>
        <v>-0.675484464581719</v>
      </c>
      <c r="V754" s="0" t="n">
        <f aca="false">SUMPRODUCT(ISNUMBER(SEARCH(" "&amp;Terms!$A$3:$A$821&amp;" ",$D754))*Terms!E$3:E$821)+Terms!E$2</f>
        <v>0.952166194869103</v>
      </c>
      <c r="W754" s="0" t="n">
        <f aca="false">SUMPRODUCT(ISNUMBER(SEARCH(" "&amp;Terms!$A$3:$A$821&amp;" ",$D754))*Terms!F$3:F$821)+Terms!F$2</f>
        <v>-4.33398840873887</v>
      </c>
      <c r="X754" s="0" t="n">
        <f aca="false">SUMPRODUCT(ISNUMBER(SEARCH(" "&amp;Terms!$A$3:$A$821&amp;" ",$D754))*Terms!G$3:G$821)+Terms!G$2</f>
        <v>10.9720891073732</v>
      </c>
      <c r="Y754" s="0" t="str">
        <f aca="false">INDEX($S$1:$X$1,MATCH(MAX(S754:X754),S754:X754,0))</f>
        <v>Mis-selling</v>
      </c>
      <c r="Z754" s="0" t="s">
        <v>2607</v>
      </c>
    </row>
    <row r="755" customFormat="false" ht="15" hidden="false" customHeight="false" outlineLevel="0" collapsed="false">
      <c r="A755" s="0" t="str">
        <f aca="false">Complaints!A755</f>
        <v>C0754</v>
      </c>
      <c r="B755" s="0" t="str">
        <f aca="false">Complaints!B755</f>
        <v>To whom it may concern, The account maintenance fee was taken twice this month. I could not log in to check either.</v>
      </c>
      <c r="C755" s="0" t="str">
        <f aca="false">Complaints!C755</f>
        <v>Fees &amp; Charges</v>
      </c>
      <c r="D755" s="0" t="str">
        <f aca="false">" "&amp;TRIM(SUBSTITUTE(SUBSTITUTE(SUBSTITUTE(SUBSTITUTE(SUBSTITUTE(SUBSTITUTE(SUBSTITUTE(SUBSTITUTE(SUBSTITUTE(SUBSTITUTE(SUBSTITUTE(SUBSTITUTE(SUBSTITUTE(SUBSTITUTE(SUBSTITUTE(SUBSTITUTE(LOWER(B755),"."," "),","," "),"'"," "),"’"," "),"!"," "),"?"," "),";"," "),":"," "),"-"," "),"("," "),")"," "),"""", " "),"£"," "),"&amp;"," "),"/"," "),"%"," "))&amp;" "</f>
        <v> to whom it may concern the account maintenance fee was taken twice this month i could not log in to check either </v>
      </c>
      <c r="E755" s="0" t="n">
        <f aca="false">SUMPRODUCT((Rules!$A$2:$A$60=E$1)*Rules!$C$2:$C$60*ISNUMBER(SEARCH(Rules!$D$2:$D$60,$D755)))</f>
        <v>0</v>
      </c>
      <c r="F755" s="0" t="n">
        <f aca="false">SUMPRODUCT((Rules!$A$2:$A$60=F$1)*Rules!$C$2:$C$60*ISNUMBER(SEARCH(Rules!$D$2:$D$60,$D755)))</f>
        <v>0</v>
      </c>
      <c r="G755" s="0" t="n">
        <f aca="false">SUMPRODUCT((Rules!$A$2:$A$60=G$1)*Rules!$C$2:$C$60*ISNUMBER(SEARCH(Rules!$D$2:$D$60,$D755)))</f>
        <v>3</v>
      </c>
      <c r="H755" s="0" t="n">
        <f aca="false">SUMPRODUCT((Rules!$A$2:$A$60=H$1)*Rules!$C$2:$C$60*ISNUMBER(SEARCH(Rules!$D$2:$D$60,$D755)))</f>
        <v>2</v>
      </c>
      <c r="I755" s="0" t="n">
        <f aca="false">SUMPRODUCT((Rules!$A$2:$A$60=I$1)*Rules!$C$2:$C$60*ISNUMBER(SEARCH(Rules!$D$2:$D$60,$D755)))</f>
        <v>0</v>
      </c>
      <c r="J755" s="0" t="n">
        <f aca="false">SUMPRODUCT((Rules!$A$2:$A$60=J$1)*Rules!$C$2:$C$60*ISNUMBER(SEARCH(Rules!$D$2:$D$60,$D755)))</f>
        <v>0</v>
      </c>
      <c r="K755" s="0" t="str">
        <f aca="false">IF(OR(MAX(E755:J755)&lt;Rules!$H$1,MAX(E755:J755)-LARGE(E755:J755,2)&lt;Rules!$H$2),"No label",INDEX($E$1:$J$1,MATCH(MAX(E755:J755),E755:J755,0)))</f>
        <v>No label</v>
      </c>
      <c r="L755" s="0" t="n">
        <f aca="false">SUMPRODUCT((Rules!$A$2:$A$60=L$1)*Rules!$C$2:$C$60*ISNUMBER(SEARCH(Rules!$E$2:$E$60,$D755)))</f>
        <v>0</v>
      </c>
      <c r="M755" s="0" t="n">
        <f aca="false">SUMPRODUCT((Rules!$A$2:$A$60=M$1)*Rules!$C$2:$C$60*ISNUMBER(SEARCH(Rules!$E$2:$E$60,$D755)))</f>
        <v>0</v>
      </c>
      <c r="N755" s="0" t="n">
        <f aca="false">SUMPRODUCT((Rules!$A$2:$A$60=N$1)*Rules!$C$2:$C$60*ISNUMBER(SEARCH(Rules!$E$2:$E$60,$D755)))</f>
        <v>3</v>
      </c>
      <c r="O755" s="0" t="n">
        <f aca="false">SUMPRODUCT((Rules!$A$2:$A$60=O$1)*Rules!$C$2:$C$60*ISNUMBER(SEARCH(Rules!$E$2:$E$60,$D755)))</f>
        <v>2</v>
      </c>
      <c r="P755" s="0" t="n">
        <f aca="false">SUMPRODUCT((Rules!$A$2:$A$60=P$1)*Rules!$C$2:$C$60*ISNUMBER(SEARCH(Rules!$E$2:$E$60,$D755)))</f>
        <v>0</v>
      </c>
      <c r="Q755" s="0" t="n">
        <f aca="false">SUMPRODUCT((Rules!$A$2:$A$60=Q$1)*Rules!$C$2:$C$60*ISNUMBER(SEARCH(Rules!$E$2:$E$60,$D755)))</f>
        <v>0</v>
      </c>
      <c r="R755" s="0" t="str">
        <f aca="false">IF(OR(MAX(L755:Q755)&lt;Rules!$H$1,MAX(L755:Q755)-LARGE(L755:Q755,2)&lt;Rules!$H$2),"No label",INDEX($L$1:$Q$1,MATCH(MAX(L755:Q755),L755:Q755,0)))</f>
        <v>No label</v>
      </c>
      <c r="S755" s="0" t="n">
        <f aca="false">SUMPRODUCT(ISNUMBER(SEARCH(" "&amp;Terms!$A$3:$A$821&amp;" ",$D755))*Terms!B$3:B$821)+Terms!B$2</f>
        <v>-1.56735260551539</v>
      </c>
      <c r="T755" s="0" t="n">
        <f aca="false">SUMPRODUCT(ISNUMBER(SEARCH(" "&amp;Terms!$A$3:$A$821&amp;" ",$D755))*Terms!C$3:C$821)+Terms!C$2</f>
        <v>-2.8905673486122</v>
      </c>
      <c r="U755" s="0" t="n">
        <f aca="false">SUMPRODUCT(ISNUMBER(SEARCH(" "&amp;Terms!$A$3:$A$821&amp;" ",$D755))*Terms!D$3:D$821)+Terms!D$2</f>
        <v>0.420241447702005</v>
      </c>
      <c r="V755" s="0" t="n">
        <f aca="false">SUMPRODUCT(ISNUMBER(SEARCH(" "&amp;Terms!$A$3:$A$821&amp;" ",$D755))*Terms!E$3:E$821)+Terms!E$2</f>
        <v>13.2074915161904</v>
      </c>
      <c r="W755" s="0" t="n">
        <f aca="false">SUMPRODUCT(ISNUMBER(SEARCH(" "&amp;Terms!$A$3:$A$821&amp;" ",$D755))*Terms!F$3:F$821)+Terms!F$2</f>
        <v>-3.19927896027736</v>
      </c>
      <c r="X755" s="0" t="n">
        <f aca="false">SUMPRODUCT(ISNUMBER(SEARCH(" "&amp;Terms!$A$3:$A$821&amp;" ",$D755))*Terms!G$3:G$821)+Terms!G$2</f>
        <v>-5.97053404948741</v>
      </c>
      <c r="Y755" s="0" t="str">
        <f aca="false">INDEX($S$1:$X$1,MATCH(MAX(S755:X755),S755:X755,0))</f>
        <v>Fees &amp; Charges</v>
      </c>
      <c r="Z755" s="0" t="s">
        <v>2607</v>
      </c>
    </row>
    <row r="756" customFormat="false" ht="15" hidden="false" customHeight="false" outlineLevel="0" collapsed="false">
      <c r="A756" s="0" t="str">
        <f aca="false">Complaints!A756</f>
        <v>C0755</v>
      </c>
      <c r="B756" s="0" t="str">
        <f aca="false">Complaints!B756</f>
        <v>I have had enough of the way this has gone. Please sort this out.</v>
      </c>
      <c r="C756" s="0" t="str">
        <f aca="false">Complaints!C756</f>
        <v>Fees &amp; Charges</v>
      </c>
      <c r="D756" s="0" t="str">
        <f aca="false">" "&amp;TRIM(SUBSTITUTE(SUBSTITUTE(SUBSTITUTE(SUBSTITUTE(SUBSTITUTE(SUBSTITUTE(SUBSTITUTE(SUBSTITUTE(SUBSTITUTE(SUBSTITUTE(SUBSTITUTE(SUBSTITUTE(SUBSTITUTE(SUBSTITUTE(SUBSTITUTE(SUBSTITUTE(LOWER(B756),"."," "),","," "),"'"," "),"’"," "),"!"," "),"?"," "),";"," "),":"," "),"-"," "),"("," "),")"," "),"""", " "),"£"," "),"&amp;"," "),"/"," "),"%"," "))&amp;" "</f>
        <v> i have had enough of the way this has gone please sort this out </v>
      </c>
      <c r="E756" s="0" t="n">
        <f aca="false">SUMPRODUCT((Rules!$A$2:$A$60=E$1)*Rules!$C$2:$C$60*ISNUMBER(SEARCH(Rules!$D$2:$D$60,$D756)))</f>
        <v>0</v>
      </c>
      <c r="F756" s="0" t="n">
        <f aca="false">SUMPRODUCT((Rules!$A$2:$A$60=F$1)*Rules!$C$2:$C$60*ISNUMBER(SEARCH(Rules!$D$2:$D$60,$D756)))</f>
        <v>0</v>
      </c>
      <c r="G756" s="0" t="n">
        <f aca="false">SUMPRODUCT((Rules!$A$2:$A$60=G$1)*Rules!$C$2:$C$60*ISNUMBER(SEARCH(Rules!$D$2:$D$60,$D756)))</f>
        <v>0</v>
      </c>
      <c r="H756" s="0" t="n">
        <f aca="false">SUMPRODUCT((Rules!$A$2:$A$60=H$1)*Rules!$C$2:$C$60*ISNUMBER(SEARCH(Rules!$D$2:$D$60,$D756)))</f>
        <v>0</v>
      </c>
      <c r="I756" s="0" t="n">
        <f aca="false">SUMPRODUCT((Rules!$A$2:$A$60=I$1)*Rules!$C$2:$C$60*ISNUMBER(SEARCH(Rules!$D$2:$D$60,$D756)))</f>
        <v>0</v>
      </c>
      <c r="J756" s="0" t="n">
        <f aca="false">SUMPRODUCT((Rules!$A$2:$A$60=J$1)*Rules!$C$2:$C$60*ISNUMBER(SEARCH(Rules!$D$2:$D$60,$D756)))</f>
        <v>0</v>
      </c>
      <c r="K756" s="0" t="str">
        <f aca="false">IF(OR(MAX(E756:J756)&lt;Rules!$H$1,MAX(E756:J756)-LARGE(E756:J756,2)&lt;Rules!$H$2),"No label",INDEX($E$1:$J$1,MATCH(MAX(E756:J756),E756:J756,0)))</f>
        <v>No label</v>
      </c>
      <c r="L756" s="0" t="n">
        <f aca="false">SUMPRODUCT((Rules!$A$2:$A$60=L$1)*Rules!$C$2:$C$60*ISNUMBER(SEARCH(Rules!$E$2:$E$60,$D756)))</f>
        <v>0</v>
      </c>
      <c r="M756" s="0" t="n">
        <f aca="false">SUMPRODUCT((Rules!$A$2:$A$60=M$1)*Rules!$C$2:$C$60*ISNUMBER(SEARCH(Rules!$E$2:$E$60,$D756)))</f>
        <v>0</v>
      </c>
      <c r="N756" s="0" t="n">
        <f aca="false">SUMPRODUCT((Rules!$A$2:$A$60=N$1)*Rules!$C$2:$C$60*ISNUMBER(SEARCH(Rules!$E$2:$E$60,$D756)))</f>
        <v>0</v>
      </c>
      <c r="O756" s="0" t="n">
        <f aca="false">SUMPRODUCT((Rules!$A$2:$A$60=O$1)*Rules!$C$2:$C$60*ISNUMBER(SEARCH(Rules!$E$2:$E$60,$D756)))</f>
        <v>0</v>
      </c>
      <c r="P756" s="0" t="n">
        <f aca="false">SUMPRODUCT((Rules!$A$2:$A$60=P$1)*Rules!$C$2:$C$60*ISNUMBER(SEARCH(Rules!$E$2:$E$60,$D756)))</f>
        <v>0</v>
      </c>
      <c r="Q756" s="0" t="n">
        <f aca="false">SUMPRODUCT((Rules!$A$2:$A$60=Q$1)*Rules!$C$2:$C$60*ISNUMBER(SEARCH(Rules!$E$2:$E$60,$D756)))</f>
        <v>0</v>
      </c>
      <c r="R756" s="0" t="str">
        <f aca="false">IF(OR(MAX(L756:Q756)&lt;Rules!$H$1,MAX(L756:Q756)-LARGE(L756:Q756,2)&lt;Rules!$H$2),"No label",INDEX($L$1:$Q$1,MATCH(MAX(L756:Q756),L756:Q756,0)))</f>
        <v>No label</v>
      </c>
      <c r="S756" s="0" t="n">
        <f aca="false">SUMPRODUCT(ISNUMBER(SEARCH(" "&amp;Terms!$A$3:$A$821&amp;" ",$D756))*Terms!B$3:B$821)+Terms!B$2</f>
        <v>-1.32751172685638</v>
      </c>
      <c r="T756" s="0" t="n">
        <f aca="false">SUMPRODUCT(ISNUMBER(SEARCH(" "&amp;Terms!$A$3:$A$821&amp;" ",$D756))*Terms!C$3:C$821)+Terms!C$2</f>
        <v>0.711561300278434</v>
      </c>
      <c r="U756" s="0" t="n">
        <f aca="false">SUMPRODUCT(ISNUMBER(SEARCH(" "&amp;Terms!$A$3:$A$821&amp;" ",$D756))*Terms!D$3:D$821)+Terms!D$2</f>
        <v>0.285918344152182</v>
      </c>
      <c r="V756" s="0" t="n">
        <f aca="false">SUMPRODUCT(ISNUMBER(SEARCH(" "&amp;Terms!$A$3:$A$821&amp;" ",$D756))*Terms!E$3:E$821)+Terms!E$2</f>
        <v>3.10359045754391</v>
      </c>
      <c r="W756" s="0" t="n">
        <f aca="false">SUMPRODUCT(ISNUMBER(SEARCH(" "&amp;Terms!$A$3:$A$821&amp;" ",$D756))*Terms!F$3:F$821)+Terms!F$2</f>
        <v>-1.80616845449838</v>
      </c>
      <c r="X756" s="0" t="n">
        <f aca="false">SUMPRODUCT(ISNUMBER(SEARCH(" "&amp;Terms!$A$3:$A$821&amp;" ",$D756))*Terms!G$3:G$821)+Terms!G$2</f>
        <v>-0.967389920619668</v>
      </c>
      <c r="Y756" s="0" t="str">
        <f aca="false">INDEX($S$1:$X$1,MATCH(MAX(S756:X756),S756:X756,0))</f>
        <v>Fees &amp; Charges</v>
      </c>
      <c r="Z756" s="0" t="s">
        <v>2607</v>
      </c>
    </row>
    <row r="757" customFormat="false" ht="15" hidden="false" customHeight="false" outlineLevel="0" collapsed="false">
      <c r="A757" s="0" t="str">
        <f aca="false">Complaints!A757</f>
        <v>C0756</v>
      </c>
      <c r="B757" s="0" t="str">
        <f aca="false">Complaints!B757</f>
        <v>Frankly, I was charged a monthly fee that nobody told me about. Also, i feel I was treated badly ecause of my age. I want this put right.</v>
      </c>
      <c r="C757" s="0" t="str">
        <f aca="false">Complaints!C757</f>
        <v>Fees &amp; Charges</v>
      </c>
      <c r="D757" s="0" t="str">
        <f aca="false">" "&amp;TRIM(SUBSTITUTE(SUBSTITUTE(SUBSTITUTE(SUBSTITUTE(SUBSTITUTE(SUBSTITUTE(SUBSTITUTE(SUBSTITUTE(SUBSTITUTE(SUBSTITUTE(SUBSTITUTE(SUBSTITUTE(SUBSTITUTE(SUBSTITUTE(SUBSTITUTE(SUBSTITUTE(LOWER(B757),"."," "),","," "),"'"," "),"’"," "),"!"," "),"?"," "),";"," "),":"," "),"-"," "),"("," "),")"," "),"""", " "),"£"," "),"&amp;"," "),"/"," "),"%"," "))&amp;" "</f>
        <v> frankly i was charged a monthly fee that nobody told me about also i feel i was treated badly ecause of my age i want this put right </v>
      </c>
      <c r="E757" s="0" t="n">
        <f aca="false">SUMPRODUCT((Rules!$A$2:$A$60=E$1)*Rules!$C$2:$C$60*ISNUMBER(SEARCH(Rules!$D$2:$D$60,$D757)))</f>
        <v>0</v>
      </c>
      <c r="F757" s="0" t="n">
        <f aca="false">SUMPRODUCT((Rules!$A$2:$A$60=F$1)*Rules!$C$2:$C$60*ISNUMBER(SEARCH(Rules!$D$2:$D$60,$D757)))</f>
        <v>0</v>
      </c>
      <c r="G757" s="0" t="n">
        <f aca="false">SUMPRODUCT((Rules!$A$2:$A$60=G$1)*Rules!$C$2:$C$60*ISNUMBER(SEARCH(Rules!$D$2:$D$60,$D757)))</f>
        <v>0</v>
      </c>
      <c r="H757" s="0" t="n">
        <f aca="false">SUMPRODUCT((Rules!$A$2:$A$60=H$1)*Rules!$C$2:$C$60*ISNUMBER(SEARCH(Rules!$D$2:$D$60,$D757)))</f>
        <v>4</v>
      </c>
      <c r="I757" s="0" t="n">
        <f aca="false">SUMPRODUCT((Rules!$A$2:$A$60=I$1)*Rules!$C$2:$C$60*ISNUMBER(SEARCH(Rules!$D$2:$D$60,$D757)))</f>
        <v>0</v>
      </c>
      <c r="J757" s="0" t="n">
        <f aca="false">SUMPRODUCT((Rules!$A$2:$A$60=J$1)*Rules!$C$2:$C$60*ISNUMBER(SEARCH(Rules!$D$2:$D$60,$D757)))</f>
        <v>3</v>
      </c>
      <c r="K757" s="0" t="str">
        <f aca="false">IF(OR(MAX(E757:J757)&lt;Rules!$H$1,MAX(E757:J757)-LARGE(E757:J757,2)&lt;Rules!$H$2),"No label",INDEX($E$1:$J$1,MATCH(MAX(E757:J757),E757:J757,0)))</f>
        <v>No label</v>
      </c>
      <c r="L757" s="0" t="n">
        <f aca="false">SUMPRODUCT((Rules!$A$2:$A$60=L$1)*Rules!$C$2:$C$60*ISNUMBER(SEARCH(Rules!$E$2:$E$60,$D757)))</f>
        <v>0</v>
      </c>
      <c r="M757" s="0" t="n">
        <f aca="false">SUMPRODUCT((Rules!$A$2:$A$60=M$1)*Rules!$C$2:$C$60*ISNUMBER(SEARCH(Rules!$E$2:$E$60,$D757)))</f>
        <v>0</v>
      </c>
      <c r="N757" s="0" t="n">
        <f aca="false">SUMPRODUCT((Rules!$A$2:$A$60=N$1)*Rules!$C$2:$C$60*ISNUMBER(SEARCH(Rules!$E$2:$E$60,$D757)))</f>
        <v>0</v>
      </c>
      <c r="O757" s="0" t="n">
        <f aca="false">SUMPRODUCT((Rules!$A$2:$A$60=O$1)*Rules!$C$2:$C$60*ISNUMBER(SEARCH(Rules!$E$2:$E$60,$D757)))</f>
        <v>6</v>
      </c>
      <c r="P757" s="0" t="n">
        <f aca="false">SUMPRODUCT((Rules!$A$2:$A$60=P$1)*Rules!$C$2:$C$60*ISNUMBER(SEARCH(Rules!$E$2:$E$60,$D757)))</f>
        <v>0</v>
      </c>
      <c r="Q757" s="0" t="n">
        <f aca="false">SUMPRODUCT((Rules!$A$2:$A$60=Q$1)*Rules!$C$2:$C$60*ISNUMBER(SEARCH(Rules!$E$2:$E$60,$D757)))</f>
        <v>3</v>
      </c>
      <c r="R757" s="0" t="str">
        <f aca="false">IF(OR(MAX(L757:Q757)&lt;Rules!$H$1,MAX(L757:Q757)-LARGE(L757:Q757,2)&lt;Rules!$H$2),"No label",INDEX($L$1:$Q$1,MATCH(MAX(L757:Q757),L757:Q757,0)))</f>
        <v>Fees &amp; Charges</v>
      </c>
      <c r="S757" s="0" t="n">
        <f aca="false">SUMPRODUCT(ISNUMBER(SEARCH(" "&amp;Terms!$A$3:$A$821&amp;" ",$D757))*Terms!B$3:B$821)+Terms!B$2</f>
        <v>-3.53598417229084</v>
      </c>
      <c r="T757" s="0" t="n">
        <f aca="false">SUMPRODUCT(ISNUMBER(SEARCH(" "&amp;Terms!$A$3:$A$821&amp;" ",$D757))*Terms!C$3:C$821)+Terms!C$2</f>
        <v>2.54565108178273</v>
      </c>
      <c r="U757" s="0" t="n">
        <f aca="false">SUMPRODUCT(ISNUMBER(SEARCH(" "&amp;Terms!$A$3:$A$821&amp;" ",$D757))*Terms!D$3:D$821)+Terms!D$2</f>
        <v>-6.45629148783269</v>
      </c>
      <c r="V757" s="0" t="n">
        <f aca="false">SUMPRODUCT(ISNUMBER(SEARCH(" "&amp;Terms!$A$3:$A$821&amp;" ",$D757))*Terms!E$3:E$821)+Terms!E$2</f>
        <v>9.80115997006367</v>
      </c>
      <c r="W757" s="0" t="n">
        <f aca="false">SUMPRODUCT(ISNUMBER(SEARCH(" "&amp;Terms!$A$3:$A$821&amp;" ",$D757))*Terms!F$3:F$821)+Terms!F$2</f>
        <v>-1.64034166972872</v>
      </c>
      <c r="X757" s="0" t="n">
        <f aca="false">SUMPRODUCT(ISNUMBER(SEARCH(" "&amp;Terms!$A$3:$A$821&amp;" ",$D757))*Terms!G$3:G$821)+Terms!G$2</f>
        <v>-0.714193721994024</v>
      </c>
      <c r="Y757" s="0" t="str">
        <f aca="false">INDEX($S$1:$X$1,MATCH(MAX(S757:X757),S757:X757,0))</f>
        <v>Fees &amp; Charges</v>
      </c>
      <c r="Z757" s="0" t="s">
        <v>2607</v>
      </c>
    </row>
    <row r="758" customFormat="false" ht="15" hidden="false" customHeight="false" outlineLevel="0" collapsed="false">
      <c r="A758" s="0" t="str">
        <f aca="false">Complaints!A758</f>
        <v>C0757</v>
      </c>
      <c r="B758" s="0" t="str">
        <f aca="false">Complaints!B758</f>
        <v>I have been a customer for years. The password reset keeps failing and I am locked out.</v>
      </c>
      <c r="C758" s="0" t="str">
        <f aca="false">Complaints!C758</f>
        <v>Account Access</v>
      </c>
      <c r="D758" s="0" t="str">
        <f aca="false">" "&amp;TRIM(SUBSTITUTE(SUBSTITUTE(SUBSTITUTE(SUBSTITUTE(SUBSTITUTE(SUBSTITUTE(SUBSTITUTE(SUBSTITUTE(SUBSTITUTE(SUBSTITUTE(SUBSTITUTE(SUBSTITUTE(SUBSTITUTE(SUBSTITUTE(SUBSTITUTE(SUBSTITUTE(LOWER(B758),"."," "),","," "),"'"," "),"’"," "),"!"," "),"?"," "),";"," "),":"," "),"-"," "),"("," "),")"," "),"""", " "),"£"," "),"&amp;"," "),"/"," "),"%"," "))&amp;" "</f>
        <v> i have been a customer for years the password reset keeps failing and i am locked out </v>
      </c>
      <c r="E758" s="0" t="n">
        <f aca="false">SUMPRODUCT((Rules!$A$2:$A$60=E$1)*Rules!$C$2:$C$60*ISNUMBER(SEARCH(Rules!$D$2:$D$60,$D758)))</f>
        <v>0</v>
      </c>
      <c r="F758" s="0" t="n">
        <f aca="false">SUMPRODUCT((Rules!$A$2:$A$60=F$1)*Rules!$C$2:$C$60*ISNUMBER(SEARCH(Rules!$D$2:$D$60,$D758)))</f>
        <v>0</v>
      </c>
      <c r="G758" s="0" t="n">
        <f aca="false">SUMPRODUCT((Rules!$A$2:$A$60=G$1)*Rules!$C$2:$C$60*ISNUMBER(SEARCH(Rules!$D$2:$D$60,$D758)))</f>
        <v>8</v>
      </c>
      <c r="H758" s="0" t="n">
        <f aca="false">SUMPRODUCT((Rules!$A$2:$A$60=H$1)*Rules!$C$2:$C$60*ISNUMBER(SEARCH(Rules!$D$2:$D$60,$D758)))</f>
        <v>0</v>
      </c>
      <c r="I758" s="0" t="n">
        <f aca="false">SUMPRODUCT((Rules!$A$2:$A$60=I$1)*Rules!$C$2:$C$60*ISNUMBER(SEARCH(Rules!$D$2:$D$60,$D758)))</f>
        <v>0</v>
      </c>
      <c r="J758" s="0" t="n">
        <f aca="false">SUMPRODUCT((Rules!$A$2:$A$60=J$1)*Rules!$C$2:$C$60*ISNUMBER(SEARCH(Rules!$D$2:$D$60,$D758)))</f>
        <v>0</v>
      </c>
      <c r="K758" s="0" t="str">
        <f aca="false">IF(OR(MAX(E758:J758)&lt;Rules!$H$1,MAX(E758:J758)-LARGE(E758:J758,2)&lt;Rules!$H$2),"No label",INDEX($E$1:$J$1,MATCH(MAX(E758:J758),E758:J758,0)))</f>
        <v>Account Access</v>
      </c>
      <c r="L758" s="0" t="n">
        <f aca="false">SUMPRODUCT((Rules!$A$2:$A$60=L$1)*Rules!$C$2:$C$60*ISNUMBER(SEARCH(Rules!$E$2:$E$60,$D758)))</f>
        <v>0</v>
      </c>
      <c r="M758" s="0" t="n">
        <f aca="false">SUMPRODUCT((Rules!$A$2:$A$60=M$1)*Rules!$C$2:$C$60*ISNUMBER(SEARCH(Rules!$E$2:$E$60,$D758)))</f>
        <v>0</v>
      </c>
      <c r="N758" s="0" t="n">
        <f aca="false">SUMPRODUCT((Rules!$A$2:$A$60=N$1)*Rules!$C$2:$C$60*ISNUMBER(SEARCH(Rules!$E$2:$E$60,$D758)))</f>
        <v>8</v>
      </c>
      <c r="O758" s="0" t="n">
        <f aca="false">SUMPRODUCT((Rules!$A$2:$A$60=O$1)*Rules!$C$2:$C$60*ISNUMBER(SEARCH(Rules!$E$2:$E$60,$D758)))</f>
        <v>0</v>
      </c>
      <c r="P758" s="0" t="n">
        <f aca="false">SUMPRODUCT((Rules!$A$2:$A$60=P$1)*Rules!$C$2:$C$60*ISNUMBER(SEARCH(Rules!$E$2:$E$60,$D758)))</f>
        <v>0</v>
      </c>
      <c r="Q758" s="0" t="n">
        <f aca="false">SUMPRODUCT((Rules!$A$2:$A$60=Q$1)*Rules!$C$2:$C$60*ISNUMBER(SEARCH(Rules!$E$2:$E$60,$D758)))</f>
        <v>0</v>
      </c>
      <c r="R758" s="0" t="str">
        <f aca="false">IF(OR(MAX(L758:Q758)&lt;Rules!$H$1,MAX(L758:Q758)-LARGE(L758:Q758,2)&lt;Rules!$H$2),"No label",INDEX($L$1:$Q$1,MATCH(MAX(L758:Q758),L758:Q758,0)))</f>
        <v>Account Access</v>
      </c>
      <c r="S758" s="0" t="n">
        <f aca="false">SUMPRODUCT(ISNUMBER(SEARCH(" "&amp;Terms!$A$3:$A$821&amp;" ",$D758))*Terms!B$3:B$821)+Terms!B$2</f>
        <v>11.9670847249313</v>
      </c>
      <c r="T758" s="0" t="n">
        <f aca="false">SUMPRODUCT(ISNUMBER(SEARCH(" "&amp;Terms!$A$3:$A$821&amp;" ",$D758))*Terms!C$3:C$821)+Terms!C$2</f>
        <v>-4.09452597865229</v>
      </c>
      <c r="U758" s="0" t="n">
        <f aca="false">SUMPRODUCT(ISNUMBER(SEARCH(" "&amp;Terms!$A$3:$A$821&amp;" ",$D758))*Terms!D$3:D$821)+Terms!D$2</f>
        <v>-1.37059805950013</v>
      </c>
      <c r="V758" s="0" t="n">
        <f aca="false">SUMPRODUCT(ISNUMBER(SEARCH(" "&amp;Terms!$A$3:$A$821&amp;" ",$D758))*Terms!E$3:E$821)+Terms!E$2</f>
        <v>-2.49763479223255</v>
      </c>
      <c r="W758" s="0" t="n">
        <f aca="false">SUMPRODUCT(ISNUMBER(SEARCH(" "&amp;Terms!$A$3:$A$821&amp;" ",$D758))*Terms!F$3:F$821)+Terms!F$2</f>
        <v>-3.00263617962008</v>
      </c>
      <c r="X758" s="0" t="n">
        <f aca="false">SUMPRODUCT(ISNUMBER(SEARCH(" "&amp;Terms!$A$3:$A$821&amp;" ",$D758))*Terms!G$3:G$821)+Terms!G$2</f>
        <v>-1.00168971492616</v>
      </c>
      <c r="Y758" s="0" t="str">
        <f aca="false">INDEX($S$1:$X$1,MATCH(MAX(S758:X758),S758:X758,0))</f>
        <v>Account Access</v>
      </c>
      <c r="Z758" s="0" t="s">
        <v>2607</v>
      </c>
    </row>
    <row r="759" customFormat="false" ht="15" hidden="false" customHeight="false" outlineLevel="0" collapsed="false">
      <c r="A759" s="0" t="str">
        <f aca="false">Complaints!A759</f>
        <v>C0758</v>
      </c>
      <c r="B759" s="0" t="str">
        <f aca="false">Complaints!B759</f>
        <v>Frankly, There are transactions on my card I do not recognise. Please escalate this.</v>
      </c>
      <c r="C759" s="0" t="str">
        <f aca="false">Complaints!C759</f>
        <v>Fraud &amp; Scams</v>
      </c>
      <c r="D759" s="0" t="str">
        <f aca="false">" "&amp;TRIM(SUBSTITUTE(SUBSTITUTE(SUBSTITUTE(SUBSTITUTE(SUBSTITUTE(SUBSTITUTE(SUBSTITUTE(SUBSTITUTE(SUBSTITUTE(SUBSTITUTE(SUBSTITUTE(SUBSTITUTE(SUBSTITUTE(SUBSTITUTE(SUBSTITUTE(SUBSTITUTE(LOWER(B759),"."," "),","," "),"'"," "),"’"," "),"!"," "),"?"," "),";"," "),":"," "),"-"," "),"("," "),")"," "),"""", " "),"£"," "),"&amp;"," "),"/"," "),"%"," "))&amp;" "</f>
        <v> frankly there are transactions on my card i do not recognise please escalate this </v>
      </c>
      <c r="E759" s="0" t="n">
        <f aca="false">SUMPRODUCT((Rules!$A$2:$A$60=E$1)*Rules!$C$2:$C$60*ISNUMBER(SEARCH(Rules!$D$2:$D$60,$D759)))</f>
        <v>2</v>
      </c>
      <c r="F759" s="0" t="n">
        <f aca="false">SUMPRODUCT((Rules!$A$2:$A$60=F$1)*Rules!$C$2:$C$60*ISNUMBER(SEARCH(Rules!$D$2:$D$60,$D759)))</f>
        <v>0</v>
      </c>
      <c r="G759" s="0" t="n">
        <f aca="false">SUMPRODUCT((Rules!$A$2:$A$60=G$1)*Rules!$C$2:$C$60*ISNUMBER(SEARCH(Rules!$D$2:$D$60,$D759)))</f>
        <v>0</v>
      </c>
      <c r="H759" s="0" t="n">
        <f aca="false">SUMPRODUCT((Rules!$A$2:$A$60=H$1)*Rules!$C$2:$C$60*ISNUMBER(SEARCH(Rules!$D$2:$D$60,$D759)))</f>
        <v>0</v>
      </c>
      <c r="I759" s="0" t="n">
        <f aca="false">SUMPRODUCT((Rules!$A$2:$A$60=I$1)*Rules!$C$2:$C$60*ISNUMBER(SEARCH(Rules!$D$2:$D$60,$D759)))</f>
        <v>0</v>
      </c>
      <c r="J759" s="0" t="n">
        <f aca="false">SUMPRODUCT((Rules!$A$2:$A$60=J$1)*Rules!$C$2:$C$60*ISNUMBER(SEARCH(Rules!$D$2:$D$60,$D759)))</f>
        <v>0</v>
      </c>
      <c r="K759" s="0" t="str">
        <f aca="false">IF(OR(MAX(E759:J759)&lt;Rules!$H$1,MAX(E759:J759)-LARGE(E759:J759,2)&lt;Rules!$H$2),"No label",INDEX($E$1:$J$1,MATCH(MAX(E759:J759),E759:J759,0)))</f>
        <v>No label</v>
      </c>
      <c r="L759" s="0" t="n">
        <f aca="false">SUMPRODUCT((Rules!$A$2:$A$60=L$1)*Rules!$C$2:$C$60*ISNUMBER(SEARCH(Rules!$E$2:$E$60,$D759)))</f>
        <v>2</v>
      </c>
      <c r="M759" s="0" t="n">
        <f aca="false">SUMPRODUCT((Rules!$A$2:$A$60=M$1)*Rules!$C$2:$C$60*ISNUMBER(SEARCH(Rules!$E$2:$E$60,$D759)))</f>
        <v>0</v>
      </c>
      <c r="N759" s="0" t="n">
        <f aca="false">SUMPRODUCT((Rules!$A$2:$A$60=N$1)*Rules!$C$2:$C$60*ISNUMBER(SEARCH(Rules!$E$2:$E$60,$D759)))</f>
        <v>0</v>
      </c>
      <c r="O759" s="0" t="n">
        <f aca="false">SUMPRODUCT((Rules!$A$2:$A$60=O$1)*Rules!$C$2:$C$60*ISNUMBER(SEARCH(Rules!$E$2:$E$60,$D759)))</f>
        <v>0</v>
      </c>
      <c r="P759" s="0" t="n">
        <f aca="false">SUMPRODUCT((Rules!$A$2:$A$60=P$1)*Rules!$C$2:$C$60*ISNUMBER(SEARCH(Rules!$E$2:$E$60,$D759)))</f>
        <v>0</v>
      </c>
      <c r="Q759" s="0" t="n">
        <f aca="false">SUMPRODUCT((Rules!$A$2:$A$60=Q$1)*Rules!$C$2:$C$60*ISNUMBER(SEARCH(Rules!$E$2:$E$60,$D759)))</f>
        <v>0</v>
      </c>
      <c r="R759" s="0" t="str">
        <f aca="false">IF(OR(MAX(L759:Q759)&lt;Rules!$H$1,MAX(L759:Q759)-LARGE(L759:Q759,2)&lt;Rules!$H$2),"No label",INDEX($L$1:$Q$1,MATCH(MAX(L759:Q759),L759:Q759,0)))</f>
        <v>No label</v>
      </c>
      <c r="S759" s="0" t="n">
        <f aca="false">SUMPRODUCT(ISNUMBER(SEARCH(" "&amp;Terms!$A$3:$A$821&amp;" ",$D759))*Terms!B$3:B$821)+Terms!B$2</f>
        <v>0.0547687871146816</v>
      </c>
      <c r="T759" s="0" t="n">
        <f aca="false">SUMPRODUCT(ISNUMBER(SEARCH(" "&amp;Terms!$A$3:$A$821&amp;" ",$D759))*Terms!C$3:C$821)+Terms!C$2</f>
        <v>-0.32983603897658</v>
      </c>
      <c r="U759" s="0" t="n">
        <f aca="false">SUMPRODUCT(ISNUMBER(SEARCH(" "&amp;Terms!$A$3:$A$821&amp;" ",$D759))*Terms!D$3:D$821)+Terms!D$2</f>
        <v>-2.37603740200299</v>
      </c>
      <c r="V759" s="0" t="n">
        <f aca="false">SUMPRODUCT(ISNUMBER(SEARCH(" "&amp;Terms!$A$3:$A$821&amp;" ",$D759))*Terms!E$3:E$821)+Terms!E$2</f>
        <v>-1.31804027474718</v>
      </c>
      <c r="W759" s="0" t="n">
        <f aca="false">SUMPRODUCT(ISNUMBER(SEARCH(" "&amp;Terms!$A$3:$A$821&amp;" ",$D759))*Terms!F$3:F$821)+Terms!F$2</f>
        <v>5.48475428461004</v>
      </c>
      <c r="X759" s="0" t="n">
        <f aca="false">SUMPRODUCT(ISNUMBER(SEARCH(" "&amp;Terms!$A$3:$A$821&amp;" ",$D759))*Terms!G$3:G$821)+Terms!G$2</f>
        <v>-1.51560935599787</v>
      </c>
      <c r="Y759" s="0" t="str">
        <f aca="false">INDEX($S$1:$X$1,MATCH(MAX(S759:X759),S759:X759,0))</f>
        <v>Fraud &amp; Scams</v>
      </c>
      <c r="Z759" s="0" t="s">
        <v>2607</v>
      </c>
    </row>
    <row r="760" customFormat="false" ht="15" hidden="false" customHeight="false" outlineLevel="0" collapsed="false">
      <c r="A760" s="0" t="str">
        <f aca="false">Complaints!A760</f>
        <v>C0759</v>
      </c>
      <c r="B760" s="0" t="str">
        <f aca="false">Complaints!B760</f>
        <v>I was charged a monthly fee that nobody told me about. It has also been taking far too long.</v>
      </c>
      <c r="C760" s="0" t="str">
        <f aca="false">Complaints!C760</f>
        <v>Fees &amp; Charges</v>
      </c>
      <c r="D760" s="0" t="str">
        <f aca="false">" "&amp;TRIM(SUBSTITUTE(SUBSTITUTE(SUBSTITUTE(SUBSTITUTE(SUBSTITUTE(SUBSTITUTE(SUBSTITUTE(SUBSTITUTE(SUBSTITUTE(SUBSTITUTE(SUBSTITUTE(SUBSTITUTE(SUBSTITUTE(SUBSTITUTE(SUBSTITUTE(SUBSTITUTE(LOWER(B760),"."," "),","," "),"'"," "),"’"," "),"!"," "),"?"," "),";"," "),":"," "),"-"," "),"("," "),")"," "),"""", " "),"£"," "),"&amp;"," "),"/"," "),"%"," "))&amp;" "</f>
        <v> i was charged a monthly fee that nobody told me about it has also been taking far too long </v>
      </c>
      <c r="E760" s="0" t="n">
        <f aca="false">SUMPRODUCT((Rules!$A$2:$A$60=E$1)*Rules!$C$2:$C$60*ISNUMBER(SEARCH(Rules!$D$2:$D$60,$D760)))</f>
        <v>0</v>
      </c>
      <c r="F760" s="0" t="n">
        <f aca="false">SUMPRODUCT((Rules!$A$2:$A$60=F$1)*Rules!$C$2:$C$60*ISNUMBER(SEARCH(Rules!$D$2:$D$60,$D760)))</f>
        <v>0</v>
      </c>
      <c r="G760" s="0" t="n">
        <f aca="false">SUMPRODUCT((Rules!$A$2:$A$60=G$1)*Rules!$C$2:$C$60*ISNUMBER(SEARCH(Rules!$D$2:$D$60,$D760)))</f>
        <v>0</v>
      </c>
      <c r="H760" s="0" t="n">
        <f aca="false">SUMPRODUCT((Rules!$A$2:$A$60=H$1)*Rules!$C$2:$C$60*ISNUMBER(SEARCH(Rules!$D$2:$D$60,$D760)))</f>
        <v>4</v>
      </c>
      <c r="I760" s="0" t="n">
        <f aca="false">SUMPRODUCT((Rules!$A$2:$A$60=I$1)*Rules!$C$2:$C$60*ISNUMBER(SEARCH(Rules!$D$2:$D$60,$D760)))</f>
        <v>0</v>
      </c>
      <c r="J760" s="0" t="n">
        <f aca="false">SUMPRODUCT((Rules!$A$2:$A$60=J$1)*Rules!$C$2:$C$60*ISNUMBER(SEARCH(Rules!$D$2:$D$60,$D760)))</f>
        <v>0</v>
      </c>
      <c r="K760" s="0" t="str">
        <f aca="false">IF(OR(MAX(E760:J760)&lt;Rules!$H$1,MAX(E760:J760)-LARGE(E760:J760,2)&lt;Rules!$H$2),"No label",INDEX($E$1:$J$1,MATCH(MAX(E760:J760),E760:J760,0)))</f>
        <v>Fees &amp; Charges</v>
      </c>
      <c r="L760" s="0" t="n">
        <f aca="false">SUMPRODUCT((Rules!$A$2:$A$60=L$1)*Rules!$C$2:$C$60*ISNUMBER(SEARCH(Rules!$E$2:$E$60,$D760)))</f>
        <v>0</v>
      </c>
      <c r="M760" s="0" t="n">
        <f aca="false">SUMPRODUCT((Rules!$A$2:$A$60=M$1)*Rules!$C$2:$C$60*ISNUMBER(SEARCH(Rules!$E$2:$E$60,$D760)))</f>
        <v>0</v>
      </c>
      <c r="N760" s="0" t="n">
        <f aca="false">SUMPRODUCT((Rules!$A$2:$A$60=N$1)*Rules!$C$2:$C$60*ISNUMBER(SEARCH(Rules!$E$2:$E$60,$D760)))</f>
        <v>0</v>
      </c>
      <c r="O760" s="0" t="n">
        <f aca="false">SUMPRODUCT((Rules!$A$2:$A$60=O$1)*Rules!$C$2:$C$60*ISNUMBER(SEARCH(Rules!$E$2:$E$60,$D760)))</f>
        <v>6</v>
      </c>
      <c r="P760" s="0" t="n">
        <f aca="false">SUMPRODUCT((Rules!$A$2:$A$60=P$1)*Rules!$C$2:$C$60*ISNUMBER(SEARCH(Rules!$E$2:$E$60,$D760)))</f>
        <v>0</v>
      </c>
      <c r="Q760" s="0" t="n">
        <f aca="false">SUMPRODUCT((Rules!$A$2:$A$60=Q$1)*Rules!$C$2:$C$60*ISNUMBER(SEARCH(Rules!$E$2:$E$60,$D760)))</f>
        <v>0</v>
      </c>
      <c r="R760" s="0" t="str">
        <f aca="false">IF(OR(MAX(L760:Q760)&lt;Rules!$H$1,MAX(L760:Q760)-LARGE(L760:Q760,2)&lt;Rules!$H$2),"No label",INDEX($L$1:$Q$1,MATCH(MAX(L760:Q760),L760:Q760,0)))</f>
        <v>Fees &amp; Charges</v>
      </c>
      <c r="S760" s="0" t="n">
        <f aca="false">SUMPRODUCT(ISNUMBER(SEARCH(" "&amp;Terms!$A$3:$A$821&amp;" ",$D760))*Terms!B$3:B$821)+Terms!B$2</f>
        <v>-2.68062936807388</v>
      </c>
      <c r="T760" s="0" t="n">
        <f aca="false">SUMPRODUCT(ISNUMBER(SEARCH(" "&amp;Terms!$A$3:$A$821&amp;" ",$D760))*Terms!C$3:C$821)+Terms!C$2</f>
        <v>-4.26765103084656</v>
      </c>
      <c r="U760" s="0" t="n">
        <f aca="false">SUMPRODUCT(ISNUMBER(SEARCH(" "&amp;Terms!$A$3:$A$821&amp;" ",$D760))*Terms!D$3:D$821)+Terms!D$2</f>
        <v>-1.45837227106379</v>
      </c>
      <c r="V760" s="0" t="n">
        <f aca="false">SUMPRODUCT(ISNUMBER(SEARCH(" "&amp;Terms!$A$3:$A$821&amp;" ",$D760))*Terms!E$3:E$821)+Terms!E$2</f>
        <v>11.7238890759987</v>
      </c>
      <c r="W760" s="0" t="n">
        <f aca="false">SUMPRODUCT(ISNUMBER(SEARCH(" "&amp;Terms!$A$3:$A$821&amp;" ",$D760))*Terms!F$3:F$821)+Terms!F$2</f>
        <v>-2.48942007270275</v>
      </c>
      <c r="X760" s="0" t="n">
        <f aca="false">SUMPRODUCT(ISNUMBER(SEARCH(" "&amp;Terms!$A$3:$A$821&amp;" ",$D760))*Terms!G$3:G$821)+Terms!G$2</f>
        <v>-0.827816333311604</v>
      </c>
      <c r="Y760" s="0" t="str">
        <f aca="false">INDEX($S$1:$X$1,MATCH(MAX(S760:X760),S760:X760,0))</f>
        <v>Fees &amp; Charges</v>
      </c>
      <c r="Z760" s="0" t="s">
        <v>2607</v>
      </c>
    </row>
    <row r="761" customFormat="false" ht="15" hidden="false" customHeight="false" outlineLevel="0" collapsed="false">
      <c r="A761" s="0" t="str">
        <f aca="false">Complaints!A761</f>
        <v>C0760</v>
      </c>
      <c r="B761" s="0" t="str">
        <f aca="false">Complaints!B761</f>
        <v>Nobody explained the foreig transaction charges before my holiday.</v>
      </c>
      <c r="C761" s="0" t="str">
        <f aca="false">Complaints!C761</f>
        <v>Fees &amp; Charges</v>
      </c>
      <c r="D761" s="0" t="str">
        <f aca="false">" "&amp;TRIM(SUBSTITUTE(SUBSTITUTE(SUBSTITUTE(SUBSTITUTE(SUBSTITUTE(SUBSTITUTE(SUBSTITUTE(SUBSTITUTE(SUBSTITUTE(SUBSTITUTE(SUBSTITUTE(SUBSTITUTE(SUBSTITUTE(SUBSTITUTE(SUBSTITUTE(SUBSTITUTE(LOWER(B761),"."," "),","," "),"'"," "),"’"," "),"!"," "),"?"," "),";"," "),":"," "),"-"," "),"("," "),")"," "),"""", " "),"£"," "),"&amp;"," "),"/"," "),"%"," "))&amp;" "</f>
        <v> nobody explained the foreig transaction charges before my holiday </v>
      </c>
      <c r="E761" s="0" t="n">
        <f aca="false">SUMPRODUCT((Rules!$A$2:$A$60=E$1)*Rules!$C$2:$C$60*ISNUMBER(SEARCH(Rules!$D$2:$D$60,$D761)))</f>
        <v>0</v>
      </c>
      <c r="F761" s="0" t="n">
        <f aca="false">SUMPRODUCT((Rules!$A$2:$A$60=F$1)*Rules!$C$2:$C$60*ISNUMBER(SEARCH(Rules!$D$2:$D$60,$D761)))</f>
        <v>0</v>
      </c>
      <c r="G761" s="0" t="n">
        <f aca="false">SUMPRODUCT((Rules!$A$2:$A$60=G$1)*Rules!$C$2:$C$60*ISNUMBER(SEARCH(Rules!$D$2:$D$60,$D761)))</f>
        <v>0</v>
      </c>
      <c r="H761" s="0" t="n">
        <f aca="false">SUMPRODUCT((Rules!$A$2:$A$60=H$1)*Rules!$C$2:$C$60*ISNUMBER(SEARCH(Rules!$D$2:$D$60,$D761)))</f>
        <v>0</v>
      </c>
      <c r="I761" s="0" t="n">
        <f aca="false">SUMPRODUCT((Rules!$A$2:$A$60=I$1)*Rules!$C$2:$C$60*ISNUMBER(SEARCH(Rules!$D$2:$D$60,$D761)))</f>
        <v>0</v>
      </c>
      <c r="J761" s="0" t="n">
        <f aca="false">SUMPRODUCT((Rules!$A$2:$A$60=J$1)*Rules!$C$2:$C$60*ISNUMBER(SEARCH(Rules!$D$2:$D$60,$D761)))</f>
        <v>0</v>
      </c>
      <c r="K761" s="0" t="str">
        <f aca="false">IF(OR(MAX(E761:J761)&lt;Rules!$H$1,MAX(E761:J761)-LARGE(E761:J761,2)&lt;Rules!$H$2),"No label",INDEX($E$1:$J$1,MATCH(MAX(E761:J761),E761:J761,0)))</f>
        <v>No label</v>
      </c>
      <c r="L761" s="0" t="n">
        <f aca="false">SUMPRODUCT((Rules!$A$2:$A$60=L$1)*Rules!$C$2:$C$60*ISNUMBER(SEARCH(Rules!$E$2:$E$60,$D761)))</f>
        <v>0</v>
      </c>
      <c r="M761" s="0" t="n">
        <f aca="false">SUMPRODUCT((Rules!$A$2:$A$60=M$1)*Rules!$C$2:$C$60*ISNUMBER(SEARCH(Rules!$E$2:$E$60,$D761)))</f>
        <v>0</v>
      </c>
      <c r="N761" s="0" t="n">
        <f aca="false">SUMPRODUCT((Rules!$A$2:$A$60=N$1)*Rules!$C$2:$C$60*ISNUMBER(SEARCH(Rules!$E$2:$E$60,$D761)))</f>
        <v>0</v>
      </c>
      <c r="O761" s="0" t="n">
        <f aca="false">SUMPRODUCT((Rules!$A$2:$A$60=O$1)*Rules!$C$2:$C$60*ISNUMBER(SEARCH(Rules!$E$2:$E$60,$D761)))</f>
        <v>4</v>
      </c>
      <c r="P761" s="0" t="n">
        <f aca="false">SUMPRODUCT((Rules!$A$2:$A$60=P$1)*Rules!$C$2:$C$60*ISNUMBER(SEARCH(Rules!$E$2:$E$60,$D761)))</f>
        <v>0</v>
      </c>
      <c r="Q761" s="0" t="n">
        <f aca="false">SUMPRODUCT((Rules!$A$2:$A$60=Q$1)*Rules!$C$2:$C$60*ISNUMBER(SEARCH(Rules!$E$2:$E$60,$D761)))</f>
        <v>0</v>
      </c>
      <c r="R761" s="0" t="str">
        <f aca="false">IF(OR(MAX(L761:Q761)&lt;Rules!$H$1,MAX(L761:Q761)-LARGE(L761:Q761,2)&lt;Rules!$H$2),"No label",INDEX($L$1:$Q$1,MATCH(MAX(L761:Q761),L761:Q761,0)))</f>
        <v>Fees &amp; Charges</v>
      </c>
      <c r="S761" s="0" t="n">
        <f aca="false">SUMPRODUCT(ISNUMBER(SEARCH(" "&amp;Terms!$A$3:$A$821&amp;" ",$D761))*Terms!B$3:B$821)+Terms!B$2</f>
        <v>-0.83794754644674</v>
      </c>
      <c r="T761" s="0" t="n">
        <f aca="false">SUMPRODUCT(ISNUMBER(SEARCH(" "&amp;Terms!$A$3:$A$821&amp;" ",$D761))*Terms!C$3:C$821)+Terms!C$2</f>
        <v>-0.829102619855826</v>
      </c>
      <c r="U761" s="0" t="n">
        <f aca="false">SUMPRODUCT(ISNUMBER(SEARCH(" "&amp;Terms!$A$3:$A$821&amp;" ",$D761))*Terms!D$3:D$821)+Terms!D$2</f>
        <v>-1.92336388409244</v>
      </c>
      <c r="V761" s="0" t="n">
        <f aca="false">SUMPRODUCT(ISNUMBER(SEARCH(" "&amp;Terms!$A$3:$A$821&amp;" ",$D761))*Terms!E$3:E$821)+Terms!E$2</f>
        <v>8.34175617966835</v>
      </c>
      <c r="W761" s="0" t="n">
        <f aca="false">SUMPRODUCT(ISNUMBER(SEARCH(" "&amp;Terms!$A$3:$A$821&amp;" ",$D761))*Terms!F$3:F$821)+Terms!F$2</f>
        <v>-2.47150573096598</v>
      </c>
      <c r="X761" s="0" t="n">
        <f aca="false">SUMPRODUCT(ISNUMBER(SEARCH(" "&amp;Terms!$A$3:$A$821&amp;" ",$D761))*Terms!G$3:G$821)+Terms!G$2</f>
        <v>-2.27983639830728</v>
      </c>
      <c r="Y761" s="0" t="str">
        <f aca="false">INDEX($S$1:$X$1,MATCH(MAX(S761:X761),S761:X761,0))</f>
        <v>Fees &amp; Charges</v>
      </c>
      <c r="Z761" s="0" t="s">
        <v>2607</v>
      </c>
    </row>
    <row r="762" customFormat="false" ht="15" hidden="false" customHeight="false" outlineLevel="0" collapsed="false">
      <c r="A762" s="0" t="str">
        <f aca="false">Complaints!A762</f>
        <v>C0761</v>
      </c>
      <c r="B762" s="0" t="str">
        <f aca="false">Complaints!B762</f>
        <v>I am very unhappy with how this has been handled. This is not acceptable.</v>
      </c>
      <c r="C762" s="0" t="str">
        <f aca="false">Complaints!C762</f>
        <v>Delays &amp; Processing</v>
      </c>
      <c r="D762" s="0" t="str">
        <f aca="false">" "&amp;TRIM(SUBSTITUTE(SUBSTITUTE(SUBSTITUTE(SUBSTITUTE(SUBSTITUTE(SUBSTITUTE(SUBSTITUTE(SUBSTITUTE(SUBSTITUTE(SUBSTITUTE(SUBSTITUTE(SUBSTITUTE(SUBSTITUTE(SUBSTITUTE(SUBSTITUTE(SUBSTITUTE(LOWER(B762),"."," "),","," "),"'"," "),"’"," "),"!"," "),"?"," "),";"," "),":"," "),"-"," "),"("," "),")"," "),"""", " "),"£"," "),"&amp;"," "),"/"," "),"%"," "))&amp;" "</f>
        <v> i am very unhappy with how this has been handled this is not acceptable </v>
      </c>
      <c r="E762" s="0" t="n">
        <f aca="false">SUMPRODUCT((Rules!$A$2:$A$60=E$1)*Rules!$C$2:$C$60*ISNUMBER(SEARCH(Rules!$D$2:$D$60,$D762)))</f>
        <v>0</v>
      </c>
      <c r="F762" s="0" t="n">
        <f aca="false">SUMPRODUCT((Rules!$A$2:$A$60=F$1)*Rules!$C$2:$C$60*ISNUMBER(SEARCH(Rules!$D$2:$D$60,$D762)))</f>
        <v>0</v>
      </c>
      <c r="G762" s="0" t="n">
        <f aca="false">SUMPRODUCT((Rules!$A$2:$A$60=G$1)*Rules!$C$2:$C$60*ISNUMBER(SEARCH(Rules!$D$2:$D$60,$D762)))</f>
        <v>0</v>
      </c>
      <c r="H762" s="0" t="n">
        <f aca="false">SUMPRODUCT((Rules!$A$2:$A$60=H$1)*Rules!$C$2:$C$60*ISNUMBER(SEARCH(Rules!$D$2:$D$60,$D762)))</f>
        <v>0</v>
      </c>
      <c r="I762" s="0" t="n">
        <f aca="false">SUMPRODUCT((Rules!$A$2:$A$60=I$1)*Rules!$C$2:$C$60*ISNUMBER(SEARCH(Rules!$D$2:$D$60,$D762)))</f>
        <v>0</v>
      </c>
      <c r="J762" s="0" t="n">
        <f aca="false">SUMPRODUCT((Rules!$A$2:$A$60=J$1)*Rules!$C$2:$C$60*ISNUMBER(SEARCH(Rules!$D$2:$D$60,$D762)))</f>
        <v>0</v>
      </c>
      <c r="K762" s="0" t="str">
        <f aca="false">IF(OR(MAX(E762:J762)&lt;Rules!$H$1,MAX(E762:J762)-LARGE(E762:J762,2)&lt;Rules!$H$2),"No label",INDEX($E$1:$J$1,MATCH(MAX(E762:J762),E762:J762,0)))</f>
        <v>No label</v>
      </c>
      <c r="L762" s="0" t="n">
        <f aca="false">SUMPRODUCT((Rules!$A$2:$A$60=L$1)*Rules!$C$2:$C$60*ISNUMBER(SEARCH(Rules!$E$2:$E$60,$D762)))</f>
        <v>0</v>
      </c>
      <c r="M762" s="0" t="n">
        <f aca="false">SUMPRODUCT((Rules!$A$2:$A$60=M$1)*Rules!$C$2:$C$60*ISNUMBER(SEARCH(Rules!$E$2:$E$60,$D762)))</f>
        <v>0</v>
      </c>
      <c r="N762" s="0" t="n">
        <f aca="false">SUMPRODUCT((Rules!$A$2:$A$60=N$1)*Rules!$C$2:$C$60*ISNUMBER(SEARCH(Rules!$E$2:$E$60,$D762)))</f>
        <v>1</v>
      </c>
      <c r="O762" s="0" t="n">
        <f aca="false">SUMPRODUCT((Rules!$A$2:$A$60=O$1)*Rules!$C$2:$C$60*ISNUMBER(SEARCH(Rules!$E$2:$E$60,$D762)))</f>
        <v>0</v>
      </c>
      <c r="P762" s="0" t="n">
        <f aca="false">SUMPRODUCT((Rules!$A$2:$A$60=P$1)*Rules!$C$2:$C$60*ISNUMBER(SEARCH(Rules!$E$2:$E$60,$D762)))</f>
        <v>0</v>
      </c>
      <c r="Q762" s="0" t="n">
        <f aca="false">SUMPRODUCT((Rules!$A$2:$A$60=Q$1)*Rules!$C$2:$C$60*ISNUMBER(SEARCH(Rules!$E$2:$E$60,$D762)))</f>
        <v>0</v>
      </c>
      <c r="R762" s="0" t="str">
        <f aca="false">IF(OR(MAX(L762:Q762)&lt;Rules!$H$1,MAX(L762:Q762)-LARGE(L762:Q762,2)&lt;Rules!$H$2),"No label",INDEX($L$1:$Q$1,MATCH(MAX(L762:Q762),L762:Q762,0)))</f>
        <v>No label</v>
      </c>
      <c r="S762" s="0" t="n">
        <f aca="false">SUMPRODUCT(ISNUMBER(SEARCH(" "&amp;Terms!$A$3:$A$821&amp;" ",$D762))*Terms!B$3:B$821)+Terms!B$2</f>
        <v>3.93034762494252</v>
      </c>
      <c r="T762" s="0" t="n">
        <f aca="false">SUMPRODUCT(ISNUMBER(SEARCH(" "&amp;Terms!$A$3:$A$821&amp;" ",$D762))*Terms!C$3:C$821)+Terms!C$2</f>
        <v>-2.58706501471117</v>
      </c>
      <c r="U762" s="0" t="n">
        <f aca="false">SUMPRODUCT(ISNUMBER(SEARCH(" "&amp;Terms!$A$3:$A$821&amp;" ",$D762))*Terms!D$3:D$821)+Terms!D$2</f>
        <v>2.1824198182986</v>
      </c>
      <c r="V762" s="0" t="n">
        <f aca="false">SUMPRODUCT(ISNUMBER(SEARCH(" "&amp;Terms!$A$3:$A$821&amp;" ",$D762))*Terms!E$3:E$821)+Terms!E$2</f>
        <v>-0.559276415252996</v>
      </c>
      <c r="W762" s="0" t="n">
        <f aca="false">SUMPRODUCT(ISNUMBER(SEARCH(" "&amp;Terms!$A$3:$A$821&amp;" ",$D762))*Terms!F$3:F$821)+Terms!F$2</f>
        <v>-1.68378499713018</v>
      </c>
      <c r="X762" s="0" t="n">
        <f aca="false">SUMPRODUCT(ISNUMBER(SEARCH(" "&amp;Terms!$A$3:$A$821&amp;" ",$D762))*Terms!G$3:G$821)+Terms!G$2</f>
        <v>-1.28264101614667</v>
      </c>
      <c r="Y762" s="0" t="str">
        <f aca="false">INDEX($S$1:$X$1,MATCH(MAX(S762:X762),S762:X762,0))</f>
        <v>Account Access</v>
      </c>
      <c r="Z762" s="0" t="s">
        <v>2607</v>
      </c>
    </row>
    <row r="763" customFormat="false" ht="15" hidden="false" customHeight="false" outlineLevel="0" collapsed="false">
      <c r="A763" s="0" t="str">
        <f aca="false">Complaints!A763</f>
        <v>C0762</v>
      </c>
      <c r="B763" s="0" t="str">
        <f aca="false">Complaints!B763</f>
        <v>I have been a customer for years. I have been billed an annual fee I never agreed to. Please sort this out.</v>
      </c>
      <c r="C763" s="0" t="str">
        <f aca="false">Complaints!C763</f>
        <v>Fees &amp; Charges</v>
      </c>
      <c r="D763" s="0" t="str">
        <f aca="false">" "&amp;TRIM(SUBSTITUTE(SUBSTITUTE(SUBSTITUTE(SUBSTITUTE(SUBSTITUTE(SUBSTITUTE(SUBSTITUTE(SUBSTITUTE(SUBSTITUTE(SUBSTITUTE(SUBSTITUTE(SUBSTITUTE(SUBSTITUTE(SUBSTITUTE(SUBSTITUTE(SUBSTITUTE(LOWER(B763),"."," "),","," "),"'"," "),"’"," "),"!"," "),"?"," "),";"," "),":"," "),"-"," "),"("," "),")"," "),"""", " "),"£"," "),"&amp;"," "),"/"," "),"%"," "))&amp;" "</f>
        <v> i have been a customer for years i have been billed an annual fee i never agreed to please sort this out </v>
      </c>
      <c r="E763" s="0" t="n">
        <f aca="false">SUMPRODUCT((Rules!$A$2:$A$60=E$1)*Rules!$C$2:$C$60*ISNUMBER(SEARCH(Rules!$D$2:$D$60,$D763)))</f>
        <v>0</v>
      </c>
      <c r="F763" s="0" t="n">
        <f aca="false">SUMPRODUCT((Rules!$A$2:$A$60=F$1)*Rules!$C$2:$C$60*ISNUMBER(SEARCH(Rules!$D$2:$D$60,$D763)))</f>
        <v>0</v>
      </c>
      <c r="G763" s="0" t="n">
        <f aca="false">SUMPRODUCT((Rules!$A$2:$A$60=G$1)*Rules!$C$2:$C$60*ISNUMBER(SEARCH(Rules!$D$2:$D$60,$D763)))</f>
        <v>0</v>
      </c>
      <c r="H763" s="0" t="n">
        <f aca="false">SUMPRODUCT((Rules!$A$2:$A$60=H$1)*Rules!$C$2:$C$60*ISNUMBER(SEARCH(Rules!$D$2:$D$60,$D763)))</f>
        <v>4</v>
      </c>
      <c r="I763" s="0" t="n">
        <f aca="false">SUMPRODUCT((Rules!$A$2:$A$60=I$1)*Rules!$C$2:$C$60*ISNUMBER(SEARCH(Rules!$D$2:$D$60,$D763)))</f>
        <v>0</v>
      </c>
      <c r="J763" s="0" t="n">
        <f aca="false">SUMPRODUCT((Rules!$A$2:$A$60=J$1)*Rules!$C$2:$C$60*ISNUMBER(SEARCH(Rules!$D$2:$D$60,$D763)))</f>
        <v>0</v>
      </c>
      <c r="K763" s="0" t="str">
        <f aca="false">IF(OR(MAX(E763:J763)&lt;Rules!$H$1,MAX(E763:J763)-LARGE(E763:J763,2)&lt;Rules!$H$2),"No label",INDEX($E$1:$J$1,MATCH(MAX(E763:J763),E763:J763,0)))</f>
        <v>Fees &amp; Charges</v>
      </c>
      <c r="L763" s="0" t="n">
        <f aca="false">SUMPRODUCT((Rules!$A$2:$A$60=L$1)*Rules!$C$2:$C$60*ISNUMBER(SEARCH(Rules!$E$2:$E$60,$D763)))</f>
        <v>0</v>
      </c>
      <c r="M763" s="0" t="n">
        <f aca="false">SUMPRODUCT((Rules!$A$2:$A$60=M$1)*Rules!$C$2:$C$60*ISNUMBER(SEARCH(Rules!$E$2:$E$60,$D763)))</f>
        <v>0</v>
      </c>
      <c r="N763" s="0" t="n">
        <f aca="false">SUMPRODUCT((Rules!$A$2:$A$60=N$1)*Rules!$C$2:$C$60*ISNUMBER(SEARCH(Rules!$E$2:$E$60,$D763)))</f>
        <v>0</v>
      </c>
      <c r="O763" s="0" t="n">
        <f aca="false">SUMPRODUCT((Rules!$A$2:$A$60=O$1)*Rules!$C$2:$C$60*ISNUMBER(SEARCH(Rules!$E$2:$E$60,$D763)))</f>
        <v>4</v>
      </c>
      <c r="P763" s="0" t="n">
        <f aca="false">SUMPRODUCT((Rules!$A$2:$A$60=P$1)*Rules!$C$2:$C$60*ISNUMBER(SEARCH(Rules!$E$2:$E$60,$D763)))</f>
        <v>0</v>
      </c>
      <c r="Q763" s="0" t="n">
        <f aca="false">SUMPRODUCT((Rules!$A$2:$A$60=Q$1)*Rules!$C$2:$C$60*ISNUMBER(SEARCH(Rules!$E$2:$E$60,$D763)))</f>
        <v>0</v>
      </c>
      <c r="R763" s="0" t="str">
        <f aca="false">IF(OR(MAX(L763:Q763)&lt;Rules!$H$1,MAX(L763:Q763)-LARGE(L763:Q763,2)&lt;Rules!$H$2),"No label",INDEX($L$1:$Q$1,MATCH(MAX(L763:Q763),L763:Q763,0)))</f>
        <v>Fees &amp; Charges</v>
      </c>
      <c r="S763" s="0" t="n">
        <f aca="false">SUMPRODUCT(ISNUMBER(SEARCH(" "&amp;Terms!$A$3:$A$821&amp;" ",$D763))*Terms!B$3:B$821)+Terms!B$2</f>
        <v>-1.86957114641412</v>
      </c>
      <c r="T763" s="0" t="n">
        <f aca="false">SUMPRODUCT(ISNUMBER(SEARCH(" "&amp;Terms!$A$3:$A$821&amp;" ",$D763))*Terms!C$3:C$821)+Terms!C$2</f>
        <v>0.0199942354796979</v>
      </c>
      <c r="U763" s="0" t="n">
        <f aca="false">SUMPRODUCT(ISNUMBER(SEARCH(" "&amp;Terms!$A$3:$A$821&amp;" ",$D763))*Terms!D$3:D$821)+Terms!D$2</f>
        <v>-0.969245330822716</v>
      </c>
      <c r="V763" s="0" t="n">
        <f aca="false">SUMPRODUCT(ISNUMBER(SEARCH(" "&amp;Terms!$A$3:$A$821&amp;" ",$D763))*Terms!E$3:E$821)+Terms!E$2</f>
        <v>11.788339811417</v>
      </c>
      <c r="W763" s="0" t="n">
        <f aca="false">SUMPRODUCT(ISNUMBER(SEARCH(" "&amp;Terms!$A$3:$A$821&amp;" ",$D763))*Terms!F$3:F$821)+Terms!F$2</f>
        <v>-5.82298341618267</v>
      </c>
      <c r="X763" s="0" t="n">
        <f aca="false">SUMPRODUCT(ISNUMBER(SEARCH(" "&amp;Terms!$A$3:$A$821&amp;" ",$D763))*Terms!G$3:G$821)+Terms!G$2</f>
        <v>-3.14653415347707</v>
      </c>
      <c r="Y763" s="0" t="str">
        <f aca="false">INDEX($S$1:$X$1,MATCH(MAX(S763:X763),S763:X763,0))</f>
        <v>Fees &amp; Charges</v>
      </c>
      <c r="Z763" s="0" t="s">
        <v>2607</v>
      </c>
    </row>
    <row r="764" customFormat="false" ht="15" hidden="false" customHeight="false" outlineLevel="0" collapsed="false">
      <c r="A764" s="0" t="str">
        <f aca="false">Complaints!A764</f>
        <v>C0763</v>
      </c>
      <c r="B764" s="0" t="str">
        <f aca="false">Complaints!B764</f>
        <v>This is the second time I have raised this. The fraud team closed my case without investigating properly. Also, the direct debit setup was delayed and I missed a bill because of it. This is not acceptable.</v>
      </c>
      <c r="C764" s="0" t="str">
        <f aca="false">Complaints!C764</f>
        <v>Fraud &amp; Scams</v>
      </c>
      <c r="D764" s="0" t="str">
        <f aca="false">" "&amp;TRIM(SUBSTITUTE(SUBSTITUTE(SUBSTITUTE(SUBSTITUTE(SUBSTITUTE(SUBSTITUTE(SUBSTITUTE(SUBSTITUTE(SUBSTITUTE(SUBSTITUTE(SUBSTITUTE(SUBSTITUTE(SUBSTITUTE(SUBSTITUTE(SUBSTITUTE(SUBSTITUTE(LOWER(B764),"."," "),","," "),"'"," "),"’"," "),"!"," "),"?"," "),";"," "),":"," "),"-"," "),"("," "),")"," "),"""", " "),"£"," "),"&amp;"," "),"/"," "),"%"," "))&amp;" "</f>
        <v> this is the second time i have raised this the fraud team closed my case without investigating properly also the direct debit setup was delayed and i missed a bill because of it this is not acceptable </v>
      </c>
      <c r="E764" s="0" t="n">
        <f aca="false">SUMPRODUCT((Rules!$A$2:$A$60=E$1)*Rules!$C$2:$C$60*ISNUMBER(SEARCH(Rules!$D$2:$D$60,$D764)))</f>
        <v>3</v>
      </c>
      <c r="F764" s="0" t="n">
        <f aca="false">SUMPRODUCT((Rules!$A$2:$A$60=F$1)*Rules!$C$2:$C$60*ISNUMBER(SEARCH(Rules!$D$2:$D$60,$D764)))</f>
        <v>0</v>
      </c>
      <c r="G764" s="0" t="n">
        <f aca="false">SUMPRODUCT((Rules!$A$2:$A$60=G$1)*Rules!$C$2:$C$60*ISNUMBER(SEARCH(Rules!$D$2:$D$60,$D764)))</f>
        <v>0</v>
      </c>
      <c r="H764" s="0" t="n">
        <f aca="false">SUMPRODUCT((Rules!$A$2:$A$60=H$1)*Rules!$C$2:$C$60*ISNUMBER(SEARCH(Rules!$D$2:$D$60,$D764)))</f>
        <v>0</v>
      </c>
      <c r="I764" s="0" t="n">
        <f aca="false">SUMPRODUCT((Rules!$A$2:$A$60=I$1)*Rules!$C$2:$C$60*ISNUMBER(SEARCH(Rules!$D$2:$D$60,$D764)))</f>
        <v>2</v>
      </c>
      <c r="J764" s="0" t="n">
        <f aca="false">SUMPRODUCT((Rules!$A$2:$A$60=J$1)*Rules!$C$2:$C$60*ISNUMBER(SEARCH(Rules!$D$2:$D$60,$D764)))</f>
        <v>0</v>
      </c>
      <c r="K764" s="0" t="str">
        <f aca="false">IF(OR(MAX(E764:J764)&lt;Rules!$H$1,MAX(E764:J764)-LARGE(E764:J764,2)&lt;Rules!$H$2),"No label",INDEX($E$1:$J$1,MATCH(MAX(E764:J764),E764:J764,0)))</f>
        <v>No label</v>
      </c>
      <c r="L764" s="0" t="n">
        <f aca="false">SUMPRODUCT((Rules!$A$2:$A$60=L$1)*Rules!$C$2:$C$60*ISNUMBER(SEARCH(Rules!$E$2:$E$60,$D764)))</f>
        <v>3</v>
      </c>
      <c r="M764" s="0" t="n">
        <f aca="false">SUMPRODUCT((Rules!$A$2:$A$60=M$1)*Rules!$C$2:$C$60*ISNUMBER(SEARCH(Rules!$E$2:$E$60,$D764)))</f>
        <v>0</v>
      </c>
      <c r="N764" s="0" t="n">
        <f aca="false">SUMPRODUCT((Rules!$A$2:$A$60=N$1)*Rules!$C$2:$C$60*ISNUMBER(SEARCH(Rules!$E$2:$E$60,$D764)))</f>
        <v>1</v>
      </c>
      <c r="O764" s="0" t="n">
        <f aca="false">SUMPRODUCT((Rules!$A$2:$A$60=O$1)*Rules!$C$2:$C$60*ISNUMBER(SEARCH(Rules!$E$2:$E$60,$D764)))</f>
        <v>2</v>
      </c>
      <c r="P764" s="0" t="n">
        <f aca="false">SUMPRODUCT((Rules!$A$2:$A$60=P$1)*Rules!$C$2:$C$60*ISNUMBER(SEARCH(Rules!$E$2:$E$60,$D764)))</f>
        <v>2</v>
      </c>
      <c r="Q764" s="0" t="n">
        <f aca="false">SUMPRODUCT((Rules!$A$2:$A$60=Q$1)*Rules!$C$2:$C$60*ISNUMBER(SEARCH(Rules!$E$2:$E$60,$D764)))</f>
        <v>0</v>
      </c>
      <c r="R764" s="0" t="str">
        <f aca="false">IF(OR(MAX(L764:Q764)&lt;Rules!$H$1,MAX(L764:Q764)-LARGE(L764:Q764,2)&lt;Rules!$H$2),"No label",INDEX($L$1:$Q$1,MATCH(MAX(L764:Q764),L764:Q764,0)))</f>
        <v>No label</v>
      </c>
      <c r="S764" s="0" t="n">
        <f aca="false">SUMPRODUCT(ISNUMBER(SEARCH(" "&amp;Terms!$A$3:$A$821&amp;" ",$D764))*Terms!B$3:B$821)+Terms!B$2</f>
        <v>-7.79231993672373</v>
      </c>
      <c r="T764" s="0" t="n">
        <f aca="false">SUMPRODUCT(ISNUMBER(SEARCH(" "&amp;Terms!$A$3:$A$821&amp;" ",$D764))*Terms!C$3:C$821)+Terms!C$2</f>
        <v>-1.99718358724554</v>
      </c>
      <c r="U764" s="0" t="n">
        <f aca="false">SUMPRODUCT(ISNUMBER(SEARCH(" "&amp;Terms!$A$3:$A$821&amp;" ",$D764))*Terms!D$3:D$821)+Terms!D$2</f>
        <v>8.65492305807749</v>
      </c>
      <c r="V764" s="0" t="n">
        <f aca="false">SUMPRODUCT(ISNUMBER(SEARCH(" "&amp;Terms!$A$3:$A$821&amp;" ",$D764))*Terms!E$3:E$821)+Terms!E$2</f>
        <v>-6.63877824622886</v>
      </c>
      <c r="W764" s="0" t="n">
        <f aca="false">SUMPRODUCT(ISNUMBER(SEARCH(" "&amp;Terms!$A$3:$A$821&amp;" ",$D764))*Terms!F$3:F$821)+Terms!F$2</f>
        <v>12.3899306994103</v>
      </c>
      <c r="X764" s="0" t="n">
        <f aca="false">SUMPRODUCT(ISNUMBER(SEARCH(" "&amp;Terms!$A$3:$A$821&amp;" ",$D764))*Terms!G$3:G$821)+Terms!G$2</f>
        <v>-4.61657198728958</v>
      </c>
      <c r="Y764" s="0" t="str">
        <f aca="false">INDEX($S$1:$X$1,MATCH(MAX(S764:X764),S764:X764,0))</f>
        <v>Fraud &amp; Scams</v>
      </c>
      <c r="Z764" s="0" t="s">
        <v>2607</v>
      </c>
    </row>
    <row r="765" customFormat="false" ht="15" hidden="false" customHeight="false" outlineLevel="0" collapsed="false">
      <c r="A765" s="0" t="str">
        <f aca="false">Complaints!A765</f>
        <v>C0764</v>
      </c>
      <c r="B765" s="0" t="str">
        <f aca="false">Complaints!B765</f>
        <v>The payment still has not arrived in my account. Also, i was advised to take out cover that duplicates what I already had.</v>
      </c>
      <c r="C765" s="0" t="str">
        <f aca="false">Complaints!C765</f>
        <v>Delays &amp; Processing</v>
      </c>
      <c r="D765" s="0" t="str">
        <f aca="false">" "&amp;TRIM(SUBSTITUTE(SUBSTITUTE(SUBSTITUTE(SUBSTITUTE(SUBSTITUTE(SUBSTITUTE(SUBSTITUTE(SUBSTITUTE(SUBSTITUTE(SUBSTITUTE(SUBSTITUTE(SUBSTITUTE(SUBSTITUTE(SUBSTITUTE(SUBSTITUTE(SUBSTITUTE(LOWER(B765),"."," "),","," "),"'"," "),"’"," "),"!"," "),"?"," "),";"," "),":"," "),"-"," "),"("," "),")"," "),"""", " "),"£"," "),"&amp;"," "),"/"," "),"%"," "))&amp;" "</f>
        <v> the payment still has not arrived in my account also i was advised to take out cover that duplicates what i already had </v>
      </c>
      <c r="E765" s="0" t="n">
        <f aca="false">SUMPRODUCT((Rules!$A$2:$A$60=E$1)*Rules!$C$2:$C$60*ISNUMBER(SEARCH(Rules!$D$2:$D$60,$D765)))</f>
        <v>0</v>
      </c>
      <c r="F765" s="0" t="n">
        <f aca="false">SUMPRODUCT((Rules!$A$2:$A$60=F$1)*Rules!$C$2:$C$60*ISNUMBER(SEARCH(Rules!$D$2:$D$60,$D765)))</f>
        <v>0</v>
      </c>
      <c r="G765" s="0" t="n">
        <f aca="false">SUMPRODUCT((Rules!$A$2:$A$60=G$1)*Rules!$C$2:$C$60*ISNUMBER(SEARCH(Rules!$D$2:$D$60,$D765)))</f>
        <v>0</v>
      </c>
      <c r="H765" s="0" t="n">
        <f aca="false">SUMPRODUCT((Rules!$A$2:$A$60=H$1)*Rules!$C$2:$C$60*ISNUMBER(SEARCH(Rules!$D$2:$D$60,$D765)))</f>
        <v>0</v>
      </c>
      <c r="I765" s="0" t="n">
        <f aca="false">SUMPRODUCT((Rules!$A$2:$A$60=I$1)*Rules!$C$2:$C$60*ISNUMBER(SEARCH(Rules!$D$2:$D$60,$D765)))</f>
        <v>2</v>
      </c>
      <c r="J765" s="0" t="n">
        <f aca="false">SUMPRODUCT((Rules!$A$2:$A$60=J$1)*Rules!$C$2:$C$60*ISNUMBER(SEARCH(Rules!$D$2:$D$60,$D765)))</f>
        <v>0</v>
      </c>
      <c r="K765" s="0" t="str">
        <f aca="false">IF(OR(MAX(E765:J765)&lt;Rules!$H$1,MAX(E765:J765)-LARGE(E765:J765,2)&lt;Rules!$H$2),"No label",INDEX($E$1:$J$1,MATCH(MAX(E765:J765),E765:J765,0)))</f>
        <v>No label</v>
      </c>
      <c r="L765" s="0" t="n">
        <f aca="false">SUMPRODUCT((Rules!$A$2:$A$60=L$1)*Rules!$C$2:$C$60*ISNUMBER(SEARCH(Rules!$E$2:$E$60,$D765)))</f>
        <v>0</v>
      </c>
      <c r="M765" s="0" t="n">
        <f aca="false">SUMPRODUCT((Rules!$A$2:$A$60=M$1)*Rules!$C$2:$C$60*ISNUMBER(SEARCH(Rules!$E$2:$E$60,$D765)))</f>
        <v>4</v>
      </c>
      <c r="N765" s="0" t="n">
        <f aca="false">SUMPRODUCT((Rules!$A$2:$A$60=N$1)*Rules!$C$2:$C$60*ISNUMBER(SEARCH(Rules!$E$2:$E$60,$D765)))</f>
        <v>0</v>
      </c>
      <c r="O765" s="0" t="n">
        <f aca="false">SUMPRODUCT((Rules!$A$2:$A$60=O$1)*Rules!$C$2:$C$60*ISNUMBER(SEARCH(Rules!$E$2:$E$60,$D765)))</f>
        <v>0</v>
      </c>
      <c r="P765" s="0" t="n">
        <f aca="false">SUMPRODUCT((Rules!$A$2:$A$60=P$1)*Rules!$C$2:$C$60*ISNUMBER(SEARCH(Rules!$E$2:$E$60,$D765)))</f>
        <v>2</v>
      </c>
      <c r="Q765" s="0" t="n">
        <f aca="false">SUMPRODUCT((Rules!$A$2:$A$60=Q$1)*Rules!$C$2:$C$60*ISNUMBER(SEARCH(Rules!$E$2:$E$60,$D765)))</f>
        <v>1</v>
      </c>
      <c r="R765" s="0" t="str">
        <f aca="false">IF(OR(MAX(L765:Q765)&lt;Rules!$H$1,MAX(L765:Q765)-LARGE(L765:Q765,2)&lt;Rules!$H$2),"No label",INDEX($L$1:$Q$1,MATCH(MAX(L765:Q765),L765:Q765,0)))</f>
        <v>Mis-selling</v>
      </c>
      <c r="S765" s="0" t="n">
        <f aca="false">SUMPRODUCT(ISNUMBER(SEARCH(" "&amp;Terms!$A$3:$A$821&amp;" ",$D765))*Terms!B$3:B$821)+Terms!B$2</f>
        <v>-0.447469490718602</v>
      </c>
      <c r="T765" s="0" t="n">
        <f aca="false">SUMPRODUCT(ISNUMBER(SEARCH(" "&amp;Terms!$A$3:$A$821&amp;" ",$D765))*Terms!C$3:C$821)+Terms!C$2</f>
        <v>-3.79393113058159</v>
      </c>
      <c r="U765" s="0" t="n">
        <f aca="false">SUMPRODUCT(ISNUMBER(SEARCH(" "&amp;Terms!$A$3:$A$821&amp;" ",$D765))*Terms!D$3:D$821)+Terms!D$2</f>
        <v>4.76041348833328</v>
      </c>
      <c r="V765" s="0" t="n">
        <f aca="false">SUMPRODUCT(ISNUMBER(SEARCH(" "&amp;Terms!$A$3:$A$821&amp;" ",$D765))*Terms!E$3:E$821)+Terms!E$2</f>
        <v>-1.84780230243026</v>
      </c>
      <c r="W765" s="0" t="n">
        <f aca="false">SUMPRODUCT(ISNUMBER(SEARCH(" "&amp;Terms!$A$3:$A$821&amp;" ",$D765))*Terms!F$3:F$821)+Terms!F$2</f>
        <v>-1.04976900536499</v>
      </c>
      <c r="X765" s="0" t="n">
        <f aca="false">SUMPRODUCT(ISNUMBER(SEARCH(" "&amp;Terms!$A$3:$A$821&amp;" ",$D765))*Terms!G$3:G$821)+Terms!G$2</f>
        <v>2.37855844076224</v>
      </c>
      <c r="Y765" s="0" t="str">
        <f aca="false">INDEX($S$1:$X$1,MATCH(MAX(S765:X765),S765:X765,0))</f>
        <v>Delays &amp; Processing</v>
      </c>
      <c r="Z765" s="0" t="s">
        <v>2608</v>
      </c>
    </row>
    <row r="766" customFormat="false" ht="15" hidden="false" customHeight="false" outlineLevel="0" collapsed="false">
      <c r="A766" s="0" t="str">
        <f aca="false">Complaints!A766</f>
        <v>C0765</v>
      </c>
      <c r="B766" s="0" t="str">
        <f aca="false">Complaints!B766</f>
        <v>My online banking is locked and the reset link never arrives. Also, nobody has responded to my emails despite three reminders. I would like a response in writing.</v>
      </c>
      <c r="C766" s="0" t="str">
        <f aca="false">Complaints!C766</f>
        <v>Account Access</v>
      </c>
      <c r="D766" s="0" t="str">
        <f aca="false">" "&amp;TRIM(SUBSTITUTE(SUBSTITUTE(SUBSTITUTE(SUBSTITUTE(SUBSTITUTE(SUBSTITUTE(SUBSTITUTE(SUBSTITUTE(SUBSTITUTE(SUBSTITUTE(SUBSTITUTE(SUBSTITUTE(SUBSTITUTE(SUBSTITUTE(SUBSTITUTE(SUBSTITUTE(LOWER(B766),"."," "),","," "),"'"," "),"’"," "),"!"," "),"?"," "),";"," "),":"," "),"-"," "),"("," "),")"," "),"""", " "),"£"," "),"&amp;"," "),"/"," "),"%"," "))&amp;" "</f>
        <v> my online banking is locked and the reset link never arrives also nobody has responded to my emails despite three reminders i would like a response in writing </v>
      </c>
      <c r="E766" s="0" t="n">
        <f aca="false">SUMPRODUCT((Rules!$A$2:$A$60=E$1)*Rules!$C$2:$C$60*ISNUMBER(SEARCH(Rules!$D$2:$D$60,$D766)))</f>
        <v>0</v>
      </c>
      <c r="F766" s="0" t="n">
        <f aca="false">SUMPRODUCT((Rules!$A$2:$A$60=F$1)*Rules!$C$2:$C$60*ISNUMBER(SEARCH(Rules!$D$2:$D$60,$D766)))</f>
        <v>0</v>
      </c>
      <c r="G766" s="0" t="n">
        <f aca="false">SUMPRODUCT((Rules!$A$2:$A$60=G$1)*Rules!$C$2:$C$60*ISNUMBER(SEARCH(Rules!$D$2:$D$60,$D766)))</f>
        <v>5</v>
      </c>
      <c r="H766" s="0" t="n">
        <f aca="false">SUMPRODUCT((Rules!$A$2:$A$60=H$1)*Rules!$C$2:$C$60*ISNUMBER(SEARCH(Rules!$D$2:$D$60,$D766)))</f>
        <v>0</v>
      </c>
      <c r="I766" s="0" t="n">
        <f aca="false">SUMPRODUCT((Rules!$A$2:$A$60=I$1)*Rules!$C$2:$C$60*ISNUMBER(SEARCH(Rules!$D$2:$D$60,$D766)))</f>
        <v>0</v>
      </c>
      <c r="J766" s="0" t="n">
        <f aca="false">SUMPRODUCT((Rules!$A$2:$A$60=J$1)*Rules!$C$2:$C$60*ISNUMBER(SEARCH(Rules!$D$2:$D$60,$D766)))</f>
        <v>2</v>
      </c>
      <c r="K766" s="0" t="str">
        <f aca="false">IF(OR(MAX(E766:J766)&lt;Rules!$H$1,MAX(E766:J766)-LARGE(E766:J766,2)&lt;Rules!$H$2),"No label",INDEX($E$1:$J$1,MATCH(MAX(E766:J766),E766:J766,0)))</f>
        <v>Account Access</v>
      </c>
      <c r="L766" s="0" t="n">
        <f aca="false">SUMPRODUCT((Rules!$A$2:$A$60=L$1)*Rules!$C$2:$C$60*ISNUMBER(SEARCH(Rules!$E$2:$E$60,$D766)))</f>
        <v>0</v>
      </c>
      <c r="M766" s="0" t="n">
        <f aca="false">SUMPRODUCT((Rules!$A$2:$A$60=M$1)*Rules!$C$2:$C$60*ISNUMBER(SEARCH(Rules!$E$2:$E$60,$D766)))</f>
        <v>0</v>
      </c>
      <c r="N766" s="0" t="n">
        <f aca="false">SUMPRODUCT((Rules!$A$2:$A$60=N$1)*Rules!$C$2:$C$60*ISNUMBER(SEARCH(Rules!$E$2:$E$60,$D766)))</f>
        <v>5</v>
      </c>
      <c r="O766" s="0" t="n">
        <f aca="false">SUMPRODUCT((Rules!$A$2:$A$60=O$1)*Rules!$C$2:$C$60*ISNUMBER(SEARCH(Rules!$E$2:$E$60,$D766)))</f>
        <v>0</v>
      </c>
      <c r="P766" s="0" t="n">
        <f aca="false">SUMPRODUCT((Rules!$A$2:$A$60=P$1)*Rules!$C$2:$C$60*ISNUMBER(SEARCH(Rules!$E$2:$E$60,$D766)))</f>
        <v>0</v>
      </c>
      <c r="Q766" s="0" t="n">
        <f aca="false">SUMPRODUCT((Rules!$A$2:$A$60=Q$1)*Rules!$C$2:$C$60*ISNUMBER(SEARCH(Rules!$E$2:$E$60,$D766)))</f>
        <v>2</v>
      </c>
      <c r="R766" s="0" t="str">
        <f aca="false">IF(OR(MAX(L766:Q766)&lt;Rules!$H$1,MAX(L766:Q766)-LARGE(L766:Q766,2)&lt;Rules!$H$2),"No label",INDEX($L$1:$Q$1,MATCH(MAX(L766:Q766),L766:Q766,0)))</f>
        <v>Account Access</v>
      </c>
      <c r="S766" s="0" t="n">
        <f aca="false">SUMPRODUCT(ISNUMBER(SEARCH(" "&amp;Terms!$A$3:$A$821&amp;" ",$D766))*Terms!B$3:B$821)+Terms!B$2</f>
        <v>6.90501674763226</v>
      </c>
      <c r="T766" s="0" t="n">
        <f aca="false">SUMPRODUCT(ISNUMBER(SEARCH(" "&amp;Terms!$A$3:$A$821&amp;" ",$D766))*Terms!C$3:C$821)+Terms!C$2</f>
        <v>3.71477363324736</v>
      </c>
      <c r="U766" s="0" t="n">
        <f aca="false">SUMPRODUCT(ISNUMBER(SEARCH(" "&amp;Terms!$A$3:$A$821&amp;" ",$D766))*Terms!D$3:D$821)+Terms!D$2</f>
        <v>-4.49749242350662</v>
      </c>
      <c r="V766" s="0" t="n">
        <f aca="false">SUMPRODUCT(ISNUMBER(SEARCH(" "&amp;Terms!$A$3:$A$821&amp;" ",$D766))*Terms!E$3:E$821)+Terms!E$2</f>
        <v>-1.89707163963927</v>
      </c>
      <c r="W766" s="0" t="n">
        <f aca="false">SUMPRODUCT(ISNUMBER(SEARCH(" "&amp;Terms!$A$3:$A$821&amp;" ",$D766))*Terms!F$3:F$821)+Terms!F$2</f>
        <v>-5.30541320225785</v>
      </c>
      <c r="X766" s="0" t="n">
        <f aca="false">SUMPRODUCT(ISNUMBER(SEARCH(" "&amp;Terms!$A$3:$A$821&amp;" ",$D766))*Terms!G$3:G$821)+Terms!G$2</f>
        <v>1.08018688452422</v>
      </c>
      <c r="Y766" s="0" t="str">
        <f aca="false">INDEX($S$1:$X$1,MATCH(MAX(S766:X766),S766:X766,0))</f>
        <v>Account Access</v>
      </c>
      <c r="Z766" s="0" t="s">
        <v>2608</v>
      </c>
    </row>
    <row r="767" customFormat="false" ht="15" hidden="false" customHeight="false" outlineLevel="0" collapsed="false">
      <c r="A767" s="0" t="str">
        <f aca="false">Complaints!A767</f>
        <v>C0766</v>
      </c>
      <c r="B767" s="0" t="str">
        <f aca="false">Complaints!B767</f>
        <v>This is the second time I have raised this. There is an unexpected charge on my statement of £25. It has also been taking far too long. I would like a response in writing.</v>
      </c>
      <c r="C767" s="0" t="str">
        <f aca="false">Complaints!C767</f>
        <v>Fees &amp; Charges</v>
      </c>
      <c r="D767" s="0" t="str">
        <f aca="false">" "&amp;TRIM(SUBSTITUTE(SUBSTITUTE(SUBSTITUTE(SUBSTITUTE(SUBSTITUTE(SUBSTITUTE(SUBSTITUTE(SUBSTITUTE(SUBSTITUTE(SUBSTITUTE(SUBSTITUTE(SUBSTITUTE(SUBSTITUTE(SUBSTITUTE(SUBSTITUTE(SUBSTITUTE(LOWER(B767),"."," "),","," "),"'"," "),"’"," "),"!"," "),"?"," "),";"," "),":"," "),"-"," "),"("," "),")"," "),"""", " "),"£"," "),"&amp;"," "),"/"," "),"%"," "))&amp;" "</f>
        <v> this is the second time i have raised this there is an unexpected charge on my statement of 25 it has also been taking far too long i would like a response in writing </v>
      </c>
      <c r="E767" s="0" t="n">
        <f aca="false">SUMPRODUCT((Rules!$A$2:$A$60=E$1)*Rules!$C$2:$C$60*ISNUMBER(SEARCH(Rules!$D$2:$D$60,$D767)))</f>
        <v>0</v>
      </c>
      <c r="F767" s="0" t="n">
        <f aca="false">SUMPRODUCT((Rules!$A$2:$A$60=F$1)*Rules!$C$2:$C$60*ISNUMBER(SEARCH(Rules!$D$2:$D$60,$D767)))</f>
        <v>0</v>
      </c>
      <c r="G767" s="0" t="n">
        <f aca="false">SUMPRODUCT((Rules!$A$2:$A$60=G$1)*Rules!$C$2:$C$60*ISNUMBER(SEARCH(Rules!$D$2:$D$60,$D767)))</f>
        <v>0</v>
      </c>
      <c r="H767" s="0" t="n">
        <f aca="false">SUMPRODUCT((Rules!$A$2:$A$60=H$1)*Rules!$C$2:$C$60*ISNUMBER(SEARCH(Rules!$D$2:$D$60,$D767)))</f>
        <v>3</v>
      </c>
      <c r="I767" s="0" t="n">
        <f aca="false">SUMPRODUCT((Rules!$A$2:$A$60=I$1)*Rules!$C$2:$C$60*ISNUMBER(SEARCH(Rules!$D$2:$D$60,$D767)))</f>
        <v>0</v>
      </c>
      <c r="J767" s="0" t="n">
        <f aca="false">SUMPRODUCT((Rules!$A$2:$A$60=J$1)*Rules!$C$2:$C$60*ISNUMBER(SEARCH(Rules!$D$2:$D$60,$D767)))</f>
        <v>0</v>
      </c>
      <c r="K767" s="0" t="str">
        <f aca="false">IF(OR(MAX(E767:J767)&lt;Rules!$H$1,MAX(E767:J767)-LARGE(E767:J767,2)&lt;Rules!$H$2),"No label",INDEX($E$1:$J$1,MATCH(MAX(E767:J767),E767:J767,0)))</f>
        <v>Fees &amp; Charges</v>
      </c>
      <c r="L767" s="0" t="n">
        <f aca="false">SUMPRODUCT((Rules!$A$2:$A$60=L$1)*Rules!$C$2:$C$60*ISNUMBER(SEARCH(Rules!$E$2:$E$60,$D767)))</f>
        <v>0</v>
      </c>
      <c r="M767" s="0" t="n">
        <f aca="false">SUMPRODUCT((Rules!$A$2:$A$60=M$1)*Rules!$C$2:$C$60*ISNUMBER(SEARCH(Rules!$E$2:$E$60,$D767)))</f>
        <v>0</v>
      </c>
      <c r="N767" s="0" t="n">
        <f aca="false">SUMPRODUCT((Rules!$A$2:$A$60=N$1)*Rules!$C$2:$C$60*ISNUMBER(SEARCH(Rules!$E$2:$E$60,$D767)))</f>
        <v>0</v>
      </c>
      <c r="O767" s="0" t="n">
        <f aca="false">SUMPRODUCT((Rules!$A$2:$A$60=O$1)*Rules!$C$2:$C$60*ISNUMBER(SEARCH(Rules!$E$2:$E$60,$D767)))</f>
        <v>5</v>
      </c>
      <c r="P767" s="0" t="n">
        <f aca="false">SUMPRODUCT((Rules!$A$2:$A$60=P$1)*Rules!$C$2:$C$60*ISNUMBER(SEARCH(Rules!$E$2:$E$60,$D767)))</f>
        <v>0</v>
      </c>
      <c r="Q767" s="0" t="n">
        <f aca="false">SUMPRODUCT((Rules!$A$2:$A$60=Q$1)*Rules!$C$2:$C$60*ISNUMBER(SEARCH(Rules!$E$2:$E$60,$D767)))</f>
        <v>0</v>
      </c>
      <c r="R767" s="0" t="str">
        <f aca="false">IF(OR(MAX(L767:Q767)&lt;Rules!$H$1,MAX(L767:Q767)-LARGE(L767:Q767,2)&lt;Rules!$H$2),"No label",INDEX($L$1:$Q$1,MATCH(MAX(L767:Q767),L767:Q767,0)))</f>
        <v>Fees &amp; Charges</v>
      </c>
      <c r="S767" s="0" t="n">
        <f aca="false">SUMPRODUCT(ISNUMBER(SEARCH(" "&amp;Terms!$A$3:$A$821&amp;" ",$D767))*Terms!B$3:B$821)+Terms!B$2</f>
        <v>-5.79787794027061</v>
      </c>
      <c r="T767" s="0" t="n">
        <f aca="false">SUMPRODUCT(ISNUMBER(SEARCH(" "&amp;Terms!$A$3:$A$821&amp;" ",$D767))*Terms!C$3:C$821)+Terms!C$2</f>
        <v>-0.15900295477278</v>
      </c>
      <c r="U767" s="0" t="n">
        <f aca="false">SUMPRODUCT(ISNUMBER(SEARCH(" "&amp;Terms!$A$3:$A$821&amp;" ",$D767))*Terms!D$3:D$821)+Terms!D$2</f>
        <v>-2.57411406119725</v>
      </c>
      <c r="V767" s="0" t="n">
        <f aca="false">SUMPRODUCT(ISNUMBER(SEARCH(" "&amp;Terms!$A$3:$A$821&amp;" ",$D767))*Terms!E$3:E$821)+Terms!E$2</f>
        <v>10.1474216905066</v>
      </c>
      <c r="W767" s="0" t="n">
        <f aca="false">SUMPRODUCT(ISNUMBER(SEARCH(" "&amp;Terms!$A$3:$A$821&amp;" ",$D767))*Terms!F$3:F$821)+Terms!F$2</f>
        <v>-0.996356938370259</v>
      </c>
      <c r="X767" s="0" t="n">
        <f aca="false">SUMPRODUCT(ISNUMBER(SEARCH(" "&amp;Terms!$A$3:$A$821&amp;" ",$D767))*Terms!G$3:G$821)+Terms!G$2</f>
        <v>-0.620069795895587</v>
      </c>
      <c r="Y767" s="0" t="str">
        <f aca="false">INDEX($S$1:$X$1,MATCH(MAX(S767:X767),S767:X767,0))</f>
        <v>Fees &amp; Charges</v>
      </c>
      <c r="Z767" s="0" t="s">
        <v>2607</v>
      </c>
    </row>
    <row r="768" customFormat="false" ht="15" hidden="false" customHeight="false" outlineLevel="0" collapsed="false">
      <c r="A768" s="0" t="str">
        <f aca="false">Complaints!A768</f>
        <v>C0767</v>
      </c>
      <c r="B768" s="0" t="str">
        <f aca="false">Complaints!B768</f>
        <v>My online banking is locked and the reset link never arrives. I expect compensation.</v>
      </c>
      <c r="C768" s="0" t="str">
        <f aca="false">Complaints!C768</f>
        <v>Account Access</v>
      </c>
      <c r="D768" s="0" t="str">
        <f aca="false">" "&amp;TRIM(SUBSTITUTE(SUBSTITUTE(SUBSTITUTE(SUBSTITUTE(SUBSTITUTE(SUBSTITUTE(SUBSTITUTE(SUBSTITUTE(SUBSTITUTE(SUBSTITUTE(SUBSTITUTE(SUBSTITUTE(SUBSTITUTE(SUBSTITUTE(SUBSTITUTE(SUBSTITUTE(LOWER(B768),"."," "),","," "),"'"," "),"’"," "),"!"," "),"?"," "),";"," "),":"," "),"-"," "),"("," "),")"," "),"""", " "),"£"," "),"&amp;"," "),"/"," "),"%"," "))&amp;" "</f>
        <v> my online banking is locked and the reset link never arrives i expect compensation </v>
      </c>
      <c r="E768" s="0" t="n">
        <f aca="false">SUMPRODUCT((Rules!$A$2:$A$60=E$1)*Rules!$C$2:$C$60*ISNUMBER(SEARCH(Rules!$D$2:$D$60,$D768)))</f>
        <v>0</v>
      </c>
      <c r="F768" s="0" t="n">
        <f aca="false">SUMPRODUCT((Rules!$A$2:$A$60=F$1)*Rules!$C$2:$C$60*ISNUMBER(SEARCH(Rules!$D$2:$D$60,$D768)))</f>
        <v>0</v>
      </c>
      <c r="G768" s="0" t="n">
        <f aca="false">SUMPRODUCT((Rules!$A$2:$A$60=G$1)*Rules!$C$2:$C$60*ISNUMBER(SEARCH(Rules!$D$2:$D$60,$D768)))</f>
        <v>5</v>
      </c>
      <c r="H768" s="0" t="n">
        <f aca="false">SUMPRODUCT((Rules!$A$2:$A$60=H$1)*Rules!$C$2:$C$60*ISNUMBER(SEARCH(Rules!$D$2:$D$60,$D768)))</f>
        <v>0</v>
      </c>
      <c r="I768" s="0" t="n">
        <f aca="false">SUMPRODUCT((Rules!$A$2:$A$60=I$1)*Rules!$C$2:$C$60*ISNUMBER(SEARCH(Rules!$D$2:$D$60,$D768)))</f>
        <v>0</v>
      </c>
      <c r="J768" s="0" t="n">
        <f aca="false">SUMPRODUCT((Rules!$A$2:$A$60=J$1)*Rules!$C$2:$C$60*ISNUMBER(SEARCH(Rules!$D$2:$D$60,$D768)))</f>
        <v>0</v>
      </c>
      <c r="K768" s="0" t="str">
        <f aca="false">IF(OR(MAX(E768:J768)&lt;Rules!$H$1,MAX(E768:J768)-LARGE(E768:J768,2)&lt;Rules!$H$2),"No label",INDEX($E$1:$J$1,MATCH(MAX(E768:J768),E768:J768,0)))</f>
        <v>Account Access</v>
      </c>
      <c r="L768" s="0" t="n">
        <f aca="false">SUMPRODUCT((Rules!$A$2:$A$60=L$1)*Rules!$C$2:$C$60*ISNUMBER(SEARCH(Rules!$E$2:$E$60,$D768)))</f>
        <v>0</v>
      </c>
      <c r="M768" s="0" t="n">
        <f aca="false">SUMPRODUCT((Rules!$A$2:$A$60=M$1)*Rules!$C$2:$C$60*ISNUMBER(SEARCH(Rules!$E$2:$E$60,$D768)))</f>
        <v>0</v>
      </c>
      <c r="N768" s="0" t="n">
        <f aca="false">SUMPRODUCT((Rules!$A$2:$A$60=N$1)*Rules!$C$2:$C$60*ISNUMBER(SEARCH(Rules!$E$2:$E$60,$D768)))</f>
        <v>5</v>
      </c>
      <c r="O768" s="0" t="n">
        <f aca="false">SUMPRODUCT((Rules!$A$2:$A$60=O$1)*Rules!$C$2:$C$60*ISNUMBER(SEARCH(Rules!$E$2:$E$60,$D768)))</f>
        <v>0</v>
      </c>
      <c r="P768" s="0" t="n">
        <f aca="false">SUMPRODUCT((Rules!$A$2:$A$60=P$1)*Rules!$C$2:$C$60*ISNUMBER(SEARCH(Rules!$E$2:$E$60,$D768)))</f>
        <v>0</v>
      </c>
      <c r="Q768" s="0" t="n">
        <f aca="false">SUMPRODUCT((Rules!$A$2:$A$60=Q$1)*Rules!$C$2:$C$60*ISNUMBER(SEARCH(Rules!$E$2:$E$60,$D768)))</f>
        <v>0</v>
      </c>
      <c r="R768" s="0" t="str">
        <f aca="false">IF(OR(MAX(L768:Q768)&lt;Rules!$H$1,MAX(L768:Q768)-LARGE(L768:Q768,2)&lt;Rules!$H$2),"No label",INDEX($L$1:$Q$1,MATCH(MAX(L768:Q768),L768:Q768,0)))</f>
        <v>Account Access</v>
      </c>
      <c r="S768" s="0" t="n">
        <f aca="false">SUMPRODUCT(ISNUMBER(SEARCH(" "&amp;Terms!$A$3:$A$821&amp;" ",$D768))*Terms!B$3:B$821)+Terms!B$2</f>
        <v>12.5582113155053</v>
      </c>
      <c r="T768" s="0" t="n">
        <f aca="false">SUMPRODUCT(ISNUMBER(SEARCH(" "&amp;Terms!$A$3:$A$821&amp;" ",$D768))*Terms!C$3:C$821)+Terms!C$2</f>
        <v>-6.01339796311134</v>
      </c>
      <c r="U768" s="0" t="n">
        <f aca="false">SUMPRODUCT(ISNUMBER(SEARCH(" "&amp;Terms!$A$3:$A$821&amp;" ",$D768))*Terms!D$3:D$821)+Terms!D$2</f>
        <v>-3.58193877418676</v>
      </c>
      <c r="V768" s="0" t="n">
        <f aca="false">SUMPRODUCT(ISNUMBER(SEARCH(" "&amp;Terms!$A$3:$A$821&amp;" ",$D768))*Terms!E$3:E$821)+Terms!E$2</f>
        <v>-0.609714775398215</v>
      </c>
      <c r="W768" s="0" t="n">
        <f aca="false">SUMPRODUCT(ISNUMBER(SEARCH(" "&amp;Terms!$A$3:$A$821&amp;" ",$D768))*Terms!F$3:F$821)+Terms!F$2</f>
        <v>-1.20669511765538</v>
      </c>
      <c r="X768" s="0" t="n">
        <f aca="false">SUMPRODUCT(ISNUMBER(SEARCH(" "&amp;Terms!$A$3:$A$821&amp;" ",$D768))*Terms!G$3:G$821)+Terms!G$2</f>
        <v>-1.14646468515348</v>
      </c>
      <c r="Y768" s="0" t="str">
        <f aca="false">INDEX($S$1:$X$1,MATCH(MAX(S768:X768),S768:X768,0))</f>
        <v>Account Access</v>
      </c>
      <c r="Z768" s="0" t="s">
        <v>2607</v>
      </c>
    </row>
    <row r="769" customFormat="false" ht="15" hidden="false" customHeight="false" outlineLevel="0" collapsed="false">
      <c r="A769" s="0" t="str">
        <f aca="false">Complaints!A769</f>
        <v>C0768</v>
      </c>
      <c r="B769" s="0" t="str">
        <f aca="false">Complaints!B769</f>
        <v>Hello, I have been billed an annual fee I never agreed to.</v>
      </c>
      <c r="C769" s="0" t="str">
        <f aca="false">Complaints!C769</f>
        <v>Fees &amp; Charges</v>
      </c>
      <c r="D769" s="0" t="str">
        <f aca="false">" "&amp;TRIM(SUBSTITUTE(SUBSTITUTE(SUBSTITUTE(SUBSTITUTE(SUBSTITUTE(SUBSTITUTE(SUBSTITUTE(SUBSTITUTE(SUBSTITUTE(SUBSTITUTE(SUBSTITUTE(SUBSTITUTE(SUBSTITUTE(SUBSTITUTE(SUBSTITUTE(SUBSTITUTE(LOWER(B769),"."," "),","," "),"'"," "),"’"," "),"!"," "),"?"," "),";"," "),":"," "),"-"," "),"("," "),")"," "),"""", " "),"£"," "),"&amp;"," "),"/"," "),"%"," "))&amp;" "</f>
        <v> hello i have been billed an annual fee i never agreed to </v>
      </c>
      <c r="E769" s="0" t="n">
        <f aca="false">SUMPRODUCT((Rules!$A$2:$A$60=E$1)*Rules!$C$2:$C$60*ISNUMBER(SEARCH(Rules!$D$2:$D$60,$D769)))</f>
        <v>0</v>
      </c>
      <c r="F769" s="0" t="n">
        <f aca="false">SUMPRODUCT((Rules!$A$2:$A$60=F$1)*Rules!$C$2:$C$60*ISNUMBER(SEARCH(Rules!$D$2:$D$60,$D769)))</f>
        <v>0</v>
      </c>
      <c r="G769" s="0" t="n">
        <f aca="false">SUMPRODUCT((Rules!$A$2:$A$60=G$1)*Rules!$C$2:$C$60*ISNUMBER(SEARCH(Rules!$D$2:$D$60,$D769)))</f>
        <v>0</v>
      </c>
      <c r="H769" s="0" t="n">
        <f aca="false">SUMPRODUCT((Rules!$A$2:$A$60=H$1)*Rules!$C$2:$C$60*ISNUMBER(SEARCH(Rules!$D$2:$D$60,$D769)))</f>
        <v>4</v>
      </c>
      <c r="I769" s="0" t="n">
        <f aca="false">SUMPRODUCT((Rules!$A$2:$A$60=I$1)*Rules!$C$2:$C$60*ISNUMBER(SEARCH(Rules!$D$2:$D$60,$D769)))</f>
        <v>0</v>
      </c>
      <c r="J769" s="0" t="n">
        <f aca="false">SUMPRODUCT((Rules!$A$2:$A$60=J$1)*Rules!$C$2:$C$60*ISNUMBER(SEARCH(Rules!$D$2:$D$60,$D769)))</f>
        <v>0</v>
      </c>
      <c r="K769" s="0" t="str">
        <f aca="false">IF(OR(MAX(E769:J769)&lt;Rules!$H$1,MAX(E769:J769)-LARGE(E769:J769,2)&lt;Rules!$H$2),"No label",INDEX($E$1:$J$1,MATCH(MAX(E769:J769),E769:J769,0)))</f>
        <v>Fees &amp; Charges</v>
      </c>
      <c r="L769" s="0" t="n">
        <f aca="false">SUMPRODUCT((Rules!$A$2:$A$60=L$1)*Rules!$C$2:$C$60*ISNUMBER(SEARCH(Rules!$E$2:$E$60,$D769)))</f>
        <v>0</v>
      </c>
      <c r="M769" s="0" t="n">
        <f aca="false">SUMPRODUCT((Rules!$A$2:$A$60=M$1)*Rules!$C$2:$C$60*ISNUMBER(SEARCH(Rules!$E$2:$E$60,$D769)))</f>
        <v>0</v>
      </c>
      <c r="N769" s="0" t="n">
        <f aca="false">SUMPRODUCT((Rules!$A$2:$A$60=N$1)*Rules!$C$2:$C$60*ISNUMBER(SEARCH(Rules!$E$2:$E$60,$D769)))</f>
        <v>0</v>
      </c>
      <c r="O769" s="0" t="n">
        <f aca="false">SUMPRODUCT((Rules!$A$2:$A$60=O$1)*Rules!$C$2:$C$60*ISNUMBER(SEARCH(Rules!$E$2:$E$60,$D769)))</f>
        <v>4</v>
      </c>
      <c r="P769" s="0" t="n">
        <f aca="false">SUMPRODUCT((Rules!$A$2:$A$60=P$1)*Rules!$C$2:$C$60*ISNUMBER(SEARCH(Rules!$E$2:$E$60,$D769)))</f>
        <v>0</v>
      </c>
      <c r="Q769" s="0" t="n">
        <f aca="false">SUMPRODUCT((Rules!$A$2:$A$60=Q$1)*Rules!$C$2:$C$60*ISNUMBER(SEARCH(Rules!$E$2:$E$60,$D769)))</f>
        <v>0</v>
      </c>
      <c r="R769" s="0" t="str">
        <f aca="false">IF(OR(MAX(L769:Q769)&lt;Rules!$H$1,MAX(L769:Q769)-LARGE(L769:Q769,2)&lt;Rules!$H$2),"No label",INDEX($L$1:$Q$1,MATCH(MAX(L769:Q769),L769:Q769,0)))</f>
        <v>Fees &amp; Charges</v>
      </c>
      <c r="S769" s="0" t="n">
        <f aca="false">SUMPRODUCT(ISNUMBER(SEARCH(" "&amp;Terms!$A$3:$A$821&amp;" ",$D769))*Terms!B$3:B$821)+Terms!B$2</f>
        <v>-0.120964719851419</v>
      </c>
      <c r="T769" s="0" t="n">
        <f aca="false">SUMPRODUCT(ISNUMBER(SEARCH(" "&amp;Terms!$A$3:$A$821&amp;" ",$D769))*Terms!C$3:C$821)+Terms!C$2</f>
        <v>-1.13318694683985</v>
      </c>
      <c r="U769" s="0" t="n">
        <f aca="false">SUMPRODUCT(ISNUMBER(SEARCH(" "&amp;Terms!$A$3:$A$821&amp;" ",$D769))*Terms!D$3:D$821)+Terms!D$2</f>
        <v>-3.26870219438964</v>
      </c>
      <c r="V769" s="0" t="n">
        <f aca="false">SUMPRODUCT(ISNUMBER(SEARCH(" "&amp;Terms!$A$3:$A$821&amp;" ",$D769))*Terms!E$3:E$821)+Terms!E$2</f>
        <v>11.6324365042147</v>
      </c>
      <c r="W769" s="0" t="n">
        <f aca="false">SUMPRODUCT(ISNUMBER(SEARCH(" "&amp;Terms!$A$3:$A$821&amp;" ",$D769))*Terms!F$3:F$821)+Terms!F$2</f>
        <v>-5.32564982930241</v>
      </c>
      <c r="X769" s="0" t="n">
        <f aca="false">SUMPRODUCT(ISNUMBER(SEARCH(" "&amp;Terms!$A$3:$A$821&amp;" ",$D769))*Terms!G$3:G$821)+Terms!G$2</f>
        <v>-1.78393281383133</v>
      </c>
      <c r="Y769" s="0" t="str">
        <f aca="false">INDEX($S$1:$X$1,MATCH(MAX(S769:X769),S769:X769,0))</f>
        <v>Fees &amp; Charges</v>
      </c>
      <c r="Z769" s="0" t="s">
        <v>2607</v>
      </c>
    </row>
    <row r="770" customFormat="false" ht="15" hidden="false" customHeight="false" outlineLevel="0" collapsed="false">
      <c r="A770" s="0" t="str">
        <f aca="false">Complaints!A770</f>
        <v>C0769</v>
      </c>
      <c r="B770" s="0" t="str">
        <f aca="false">Complaints!B770</f>
        <v>I am writing to complain. The direct debit setup was delayed and I missed a bill because of it. Please escalate this.</v>
      </c>
      <c r="C770" s="0" t="str">
        <f aca="false">Complaints!C770</f>
        <v>Delays &amp; Processing</v>
      </c>
      <c r="D770" s="0" t="str">
        <f aca="false">" "&amp;TRIM(SUBSTITUTE(SUBSTITUTE(SUBSTITUTE(SUBSTITUTE(SUBSTITUTE(SUBSTITUTE(SUBSTITUTE(SUBSTITUTE(SUBSTITUTE(SUBSTITUTE(SUBSTITUTE(SUBSTITUTE(SUBSTITUTE(SUBSTITUTE(SUBSTITUTE(SUBSTITUTE(LOWER(B770),"."," "),","," "),"'"," "),"’"," "),"!"," "),"?"," "),";"," "),":"," "),"-"," "),"("," "),")"," "),"""", " "),"£"," "),"&amp;"," "),"/"," "),"%"," "))&amp;" "</f>
        <v> i am writing to complain the direct debit setup was delayed and i missed a bill because of it please escalate this </v>
      </c>
      <c r="E770" s="0" t="n">
        <f aca="false">SUMPRODUCT((Rules!$A$2:$A$60=E$1)*Rules!$C$2:$C$60*ISNUMBER(SEARCH(Rules!$D$2:$D$60,$D770)))</f>
        <v>0</v>
      </c>
      <c r="F770" s="0" t="n">
        <f aca="false">SUMPRODUCT((Rules!$A$2:$A$60=F$1)*Rules!$C$2:$C$60*ISNUMBER(SEARCH(Rules!$D$2:$D$60,$D770)))</f>
        <v>0</v>
      </c>
      <c r="G770" s="0" t="n">
        <f aca="false">SUMPRODUCT((Rules!$A$2:$A$60=G$1)*Rules!$C$2:$C$60*ISNUMBER(SEARCH(Rules!$D$2:$D$60,$D770)))</f>
        <v>0</v>
      </c>
      <c r="H770" s="0" t="n">
        <f aca="false">SUMPRODUCT((Rules!$A$2:$A$60=H$1)*Rules!$C$2:$C$60*ISNUMBER(SEARCH(Rules!$D$2:$D$60,$D770)))</f>
        <v>0</v>
      </c>
      <c r="I770" s="0" t="n">
        <f aca="false">SUMPRODUCT((Rules!$A$2:$A$60=I$1)*Rules!$C$2:$C$60*ISNUMBER(SEARCH(Rules!$D$2:$D$60,$D770)))</f>
        <v>2</v>
      </c>
      <c r="J770" s="0" t="n">
        <f aca="false">SUMPRODUCT((Rules!$A$2:$A$60=J$1)*Rules!$C$2:$C$60*ISNUMBER(SEARCH(Rules!$D$2:$D$60,$D770)))</f>
        <v>0</v>
      </c>
      <c r="K770" s="0" t="str">
        <f aca="false">IF(OR(MAX(E770:J770)&lt;Rules!$H$1,MAX(E770:J770)-LARGE(E770:J770,2)&lt;Rules!$H$2),"No label",INDEX($E$1:$J$1,MATCH(MAX(E770:J770),E770:J770,0)))</f>
        <v>No label</v>
      </c>
      <c r="L770" s="0" t="n">
        <f aca="false">SUMPRODUCT((Rules!$A$2:$A$60=L$1)*Rules!$C$2:$C$60*ISNUMBER(SEARCH(Rules!$E$2:$E$60,$D770)))</f>
        <v>0</v>
      </c>
      <c r="M770" s="0" t="n">
        <f aca="false">SUMPRODUCT((Rules!$A$2:$A$60=M$1)*Rules!$C$2:$C$60*ISNUMBER(SEARCH(Rules!$E$2:$E$60,$D770)))</f>
        <v>0</v>
      </c>
      <c r="N770" s="0" t="n">
        <f aca="false">SUMPRODUCT((Rules!$A$2:$A$60=N$1)*Rules!$C$2:$C$60*ISNUMBER(SEARCH(Rules!$E$2:$E$60,$D770)))</f>
        <v>0</v>
      </c>
      <c r="O770" s="0" t="n">
        <f aca="false">SUMPRODUCT((Rules!$A$2:$A$60=O$1)*Rules!$C$2:$C$60*ISNUMBER(SEARCH(Rules!$E$2:$E$60,$D770)))</f>
        <v>2</v>
      </c>
      <c r="P770" s="0" t="n">
        <f aca="false">SUMPRODUCT((Rules!$A$2:$A$60=P$1)*Rules!$C$2:$C$60*ISNUMBER(SEARCH(Rules!$E$2:$E$60,$D770)))</f>
        <v>2</v>
      </c>
      <c r="Q770" s="0" t="n">
        <f aca="false">SUMPRODUCT((Rules!$A$2:$A$60=Q$1)*Rules!$C$2:$C$60*ISNUMBER(SEARCH(Rules!$E$2:$E$60,$D770)))</f>
        <v>0</v>
      </c>
      <c r="R770" s="0" t="str">
        <f aca="false">IF(OR(MAX(L770:Q770)&lt;Rules!$H$1,MAX(L770:Q770)-LARGE(L770:Q770,2)&lt;Rules!$H$2),"No label",INDEX($L$1:$Q$1,MATCH(MAX(L770:Q770),L770:Q770,0)))</f>
        <v>No label</v>
      </c>
      <c r="S770" s="0" t="n">
        <f aca="false">SUMPRODUCT(ISNUMBER(SEARCH(" "&amp;Terms!$A$3:$A$821&amp;" ",$D770))*Terms!B$3:B$821)+Terms!B$2</f>
        <v>-3.39030534928656</v>
      </c>
      <c r="T770" s="0" t="n">
        <f aca="false">SUMPRODUCT(ISNUMBER(SEARCH(" "&amp;Terms!$A$3:$A$821&amp;" ",$D770))*Terms!C$3:C$821)+Terms!C$2</f>
        <v>-1.60369807099943</v>
      </c>
      <c r="U770" s="0" t="n">
        <f aca="false">SUMPRODUCT(ISNUMBER(SEARCH(" "&amp;Terms!$A$3:$A$821&amp;" ",$D770))*Terms!D$3:D$821)+Terms!D$2</f>
        <v>12.5931617292179</v>
      </c>
      <c r="V770" s="0" t="n">
        <f aca="false">SUMPRODUCT(ISNUMBER(SEARCH(" "&amp;Terms!$A$3:$A$821&amp;" ",$D770))*Terms!E$3:E$821)+Terms!E$2</f>
        <v>-4.05943184811586</v>
      </c>
      <c r="W770" s="0" t="n">
        <f aca="false">SUMPRODUCT(ISNUMBER(SEARCH(" "&amp;Terms!$A$3:$A$821&amp;" ",$D770))*Terms!F$3:F$821)+Terms!F$2</f>
        <v>-1.30541715425631</v>
      </c>
      <c r="X770" s="0" t="n">
        <f aca="false">SUMPRODUCT(ISNUMBER(SEARCH(" "&amp;Terms!$A$3:$A$821&amp;" ",$D770))*Terms!G$3:G$821)+Terms!G$2</f>
        <v>-2.23430930655966</v>
      </c>
      <c r="Y770" s="0" t="str">
        <f aca="false">INDEX($S$1:$X$1,MATCH(MAX(S770:X770),S770:X770,0))</f>
        <v>Delays &amp; Processing</v>
      </c>
      <c r="Z770" s="0" t="s">
        <v>2607</v>
      </c>
    </row>
    <row r="771" customFormat="false" ht="15" hidden="false" customHeight="false" outlineLevel="0" collapsed="false">
      <c r="A771" s="0" t="str">
        <f aca="false">Complaints!A771</f>
        <v>C0770</v>
      </c>
      <c r="B771" s="0" t="str">
        <f aca="false">Complaints!B771</f>
        <v>I have been a customer for years. You took an overdraft fee even though I was within my limit. Also, my account was frozen and I cannot get in to move money. This is not acceptable.</v>
      </c>
      <c r="C771" s="0" t="str">
        <f aca="false">Complaints!C771</f>
        <v>Fees &amp; Charges</v>
      </c>
      <c r="D771" s="0" t="str">
        <f aca="false">" "&amp;TRIM(SUBSTITUTE(SUBSTITUTE(SUBSTITUTE(SUBSTITUTE(SUBSTITUTE(SUBSTITUTE(SUBSTITUTE(SUBSTITUTE(SUBSTITUTE(SUBSTITUTE(SUBSTITUTE(SUBSTITUTE(SUBSTITUTE(SUBSTITUTE(SUBSTITUTE(SUBSTITUTE(LOWER(B771),"."," "),","," "),"'"," "),"’"," "),"!"," "),"?"," "),";"," "),":"," "),"-"," "),"("," "),")"," "),"""", " "),"£"," "),"&amp;"," "),"/"," "),"%"," "))&amp;" "</f>
        <v> i have been a customer for years you took an overdraft fee even though i was within my limit also my account was frozen and i cannot get in to move money this is not acceptable </v>
      </c>
      <c r="E771" s="0" t="n">
        <f aca="false">SUMPRODUCT((Rules!$A$2:$A$60=E$1)*Rules!$C$2:$C$60*ISNUMBER(SEARCH(Rules!$D$2:$D$60,$D771)))</f>
        <v>0</v>
      </c>
      <c r="F771" s="0" t="n">
        <f aca="false">SUMPRODUCT((Rules!$A$2:$A$60=F$1)*Rules!$C$2:$C$60*ISNUMBER(SEARCH(Rules!$D$2:$D$60,$D771)))</f>
        <v>0</v>
      </c>
      <c r="G771" s="0" t="n">
        <f aca="false">SUMPRODUCT((Rules!$A$2:$A$60=G$1)*Rules!$C$2:$C$60*ISNUMBER(SEARCH(Rules!$D$2:$D$60,$D771)))</f>
        <v>0</v>
      </c>
      <c r="H771" s="0" t="n">
        <f aca="false">SUMPRODUCT((Rules!$A$2:$A$60=H$1)*Rules!$C$2:$C$60*ISNUMBER(SEARCH(Rules!$D$2:$D$60,$D771)))</f>
        <v>2</v>
      </c>
      <c r="I771" s="0" t="n">
        <f aca="false">SUMPRODUCT((Rules!$A$2:$A$60=I$1)*Rules!$C$2:$C$60*ISNUMBER(SEARCH(Rules!$D$2:$D$60,$D771)))</f>
        <v>0</v>
      </c>
      <c r="J771" s="0" t="n">
        <f aca="false">SUMPRODUCT((Rules!$A$2:$A$60=J$1)*Rules!$C$2:$C$60*ISNUMBER(SEARCH(Rules!$D$2:$D$60,$D771)))</f>
        <v>0</v>
      </c>
      <c r="K771" s="0" t="str">
        <f aca="false">IF(OR(MAX(E771:J771)&lt;Rules!$H$1,MAX(E771:J771)-LARGE(E771:J771,2)&lt;Rules!$H$2),"No label",INDEX($E$1:$J$1,MATCH(MAX(E771:J771),E771:J771,0)))</f>
        <v>No label</v>
      </c>
      <c r="L771" s="0" t="n">
        <f aca="false">SUMPRODUCT((Rules!$A$2:$A$60=L$1)*Rules!$C$2:$C$60*ISNUMBER(SEARCH(Rules!$E$2:$E$60,$D771)))</f>
        <v>0</v>
      </c>
      <c r="M771" s="0" t="n">
        <f aca="false">SUMPRODUCT((Rules!$A$2:$A$60=M$1)*Rules!$C$2:$C$60*ISNUMBER(SEARCH(Rules!$E$2:$E$60,$D771)))</f>
        <v>0</v>
      </c>
      <c r="N771" s="0" t="n">
        <f aca="false">SUMPRODUCT((Rules!$A$2:$A$60=N$1)*Rules!$C$2:$C$60*ISNUMBER(SEARCH(Rules!$E$2:$E$60,$D771)))</f>
        <v>1</v>
      </c>
      <c r="O771" s="0" t="n">
        <f aca="false">SUMPRODUCT((Rules!$A$2:$A$60=O$1)*Rules!$C$2:$C$60*ISNUMBER(SEARCH(Rules!$E$2:$E$60,$D771)))</f>
        <v>2</v>
      </c>
      <c r="P771" s="0" t="n">
        <f aca="false">SUMPRODUCT((Rules!$A$2:$A$60=P$1)*Rules!$C$2:$C$60*ISNUMBER(SEARCH(Rules!$E$2:$E$60,$D771)))</f>
        <v>0</v>
      </c>
      <c r="Q771" s="0" t="n">
        <f aca="false">SUMPRODUCT((Rules!$A$2:$A$60=Q$1)*Rules!$C$2:$C$60*ISNUMBER(SEARCH(Rules!$E$2:$E$60,$D771)))</f>
        <v>0</v>
      </c>
      <c r="R771" s="0" t="str">
        <f aca="false">IF(OR(MAX(L771:Q771)&lt;Rules!$H$1,MAX(L771:Q771)-LARGE(L771:Q771,2)&lt;Rules!$H$2),"No label",INDEX($L$1:$Q$1,MATCH(MAX(L771:Q771),L771:Q771,0)))</f>
        <v>No label</v>
      </c>
      <c r="S771" s="0" t="n">
        <f aca="false">SUMPRODUCT(ISNUMBER(SEARCH(" "&amp;Terms!$A$3:$A$821&amp;" ",$D771))*Terms!B$3:B$821)+Terms!B$2</f>
        <v>3.87993658167649</v>
      </c>
      <c r="T771" s="0" t="n">
        <f aca="false">SUMPRODUCT(ISNUMBER(SEARCH(" "&amp;Terms!$A$3:$A$821&amp;" ",$D771))*Terms!C$3:C$821)+Terms!C$2</f>
        <v>-4.68439214112794</v>
      </c>
      <c r="U771" s="0" t="n">
        <f aca="false">SUMPRODUCT(ISNUMBER(SEARCH(" "&amp;Terms!$A$3:$A$821&amp;" ",$D771))*Terms!D$3:D$821)+Terms!D$2</f>
        <v>-1.7247005976739</v>
      </c>
      <c r="V771" s="0" t="n">
        <f aca="false">SUMPRODUCT(ISNUMBER(SEARCH(" "&amp;Terms!$A$3:$A$821&amp;" ",$D771))*Terms!E$3:E$821)+Terms!E$2</f>
        <v>7.41356277139927</v>
      </c>
      <c r="W771" s="0" t="n">
        <f aca="false">SUMPRODUCT(ISNUMBER(SEARCH(" "&amp;Terms!$A$3:$A$821&amp;" ",$D771))*Terms!F$3:F$821)+Terms!F$2</f>
        <v>-1.2380763753795</v>
      </c>
      <c r="X771" s="0" t="n">
        <f aca="false">SUMPRODUCT(ISNUMBER(SEARCH(" "&amp;Terms!$A$3:$A$821&amp;" ",$D771))*Terms!G$3:G$821)+Terms!G$2</f>
        <v>-3.64633023889433</v>
      </c>
      <c r="Y771" s="0" t="str">
        <f aca="false">INDEX($S$1:$X$1,MATCH(MAX(S771:X771),S771:X771,0))</f>
        <v>Fees &amp; Charges</v>
      </c>
      <c r="Z771" s="0" t="s">
        <v>2607</v>
      </c>
    </row>
    <row r="772" customFormat="false" ht="15" hidden="false" customHeight="false" outlineLevel="0" collapsed="false">
      <c r="A772" s="0" t="str">
        <f aca="false">Complaints!A772</f>
        <v>C0771</v>
      </c>
      <c r="B772" s="0" t="str">
        <f aca="false">Complaints!B772</f>
        <v>I am writing to complain. I cannot log in to the mobile app since the update. Also, a fake text message led me to a website and my money disappeared. I expect compensation.</v>
      </c>
      <c r="C772" s="0" t="str">
        <f aca="false">Complaints!C772</f>
        <v>Account Access</v>
      </c>
      <c r="D772" s="0" t="str">
        <f aca="false">" "&amp;TRIM(SUBSTITUTE(SUBSTITUTE(SUBSTITUTE(SUBSTITUTE(SUBSTITUTE(SUBSTITUTE(SUBSTITUTE(SUBSTITUTE(SUBSTITUTE(SUBSTITUTE(SUBSTITUTE(SUBSTITUTE(SUBSTITUTE(SUBSTITUTE(SUBSTITUTE(SUBSTITUTE(LOWER(B772),"."," "),","," "),"'"," "),"’"," "),"!"," "),"?"," "),";"," "),":"," "),"-"," "),"("," "),")"," "),"""", " "),"£"," "),"&amp;"," "),"/"," "),"%"," "))&amp;" "</f>
        <v> i am writing to complain i cannot log in to the mobile app since the update also a fake text message led me to a website and my money disappeared i expect compensation </v>
      </c>
      <c r="E772" s="0" t="n">
        <f aca="false">SUMPRODUCT((Rules!$A$2:$A$60=E$1)*Rules!$C$2:$C$60*ISNUMBER(SEARCH(Rules!$D$2:$D$60,$D772)))</f>
        <v>2</v>
      </c>
      <c r="F772" s="0" t="n">
        <f aca="false">SUMPRODUCT((Rules!$A$2:$A$60=F$1)*Rules!$C$2:$C$60*ISNUMBER(SEARCH(Rules!$D$2:$D$60,$D772)))</f>
        <v>0</v>
      </c>
      <c r="G772" s="0" t="n">
        <f aca="false">SUMPRODUCT((Rules!$A$2:$A$60=G$1)*Rules!$C$2:$C$60*ISNUMBER(SEARCH(Rules!$D$2:$D$60,$D772)))</f>
        <v>4</v>
      </c>
      <c r="H772" s="0" t="n">
        <f aca="false">SUMPRODUCT((Rules!$A$2:$A$60=H$1)*Rules!$C$2:$C$60*ISNUMBER(SEARCH(Rules!$D$2:$D$60,$D772)))</f>
        <v>0</v>
      </c>
      <c r="I772" s="0" t="n">
        <f aca="false">SUMPRODUCT((Rules!$A$2:$A$60=I$1)*Rules!$C$2:$C$60*ISNUMBER(SEARCH(Rules!$D$2:$D$60,$D772)))</f>
        <v>0</v>
      </c>
      <c r="J772" s="0" t="n">
        <f aca="false">SUMPRODUCT((Rules!$A$2:$A$60=J$1)*Rules!$C$2:$C$60*ISNUMBER(SEARCH(Rules!$D$2:$D$60,$D772)))</f>
        <v>0</v>
      </c>
      <c r="K772" s="0" t="str">
        <f aca="false">IF(OR(MAX(E772:J772)&lt;Rules!$H$1,MAX(E772:J772)-LARGE(E772:J772,2)&lt;Rules!$H$2),"No label",INDEX($E$1:$J$1,MATCH(MAX(E772:J772),E772:J772,0)))</f>
        <v>Account Access</v>
      </c>
      <c r="L772" s="0" t="n">
        <f aca="false">SUMPRODUCT((Rules!$A$2:$A$60=L$1)*Rules!$C$2:$C$60*ISNUMBER(SEARCH(Rules!$E$2:$E$60,$D772)))</f>
        <v>2</v>
      </c>
      <c r="M772" s="0" t="n">
        <f aca="false">SUMPRODUCT((Rules!$A$2:$A$60=M$1)*Rules!$C$2:$C$60*ISNUMBER(SEARCH(Rules!$E$2:$E$60,$D772)))</f>
        <v>0</v>
      </c>
      <c r="N772" s="0" t="n">
        <f aca="false">SUMPRODUCT((Rules!$A$2:$A$60=N$1)*Rules!$C$2:$C$60*ISNUMBER(SEARCH(Rules!$E$2:$E$60,$D772)))</f>
        <v>4</v>
      </c>
      <c r="O772" s="0" t="n">
        <f aca="false">SUMPRODUCT((Rules!$A$2:$A$60=O$1)*Rules!$C$2:$C$60*ISNUMBER(SEARCH(Rules!$E$2:$E$60,$D772)))</f>
        <v>0</v>
      </c>
      <c r="P772" s="0" t="n">
        <f aca="false">SUMPRODUCT((Rules!$A$2:$A$60=P$1)*Rules!$C$2:$C$60*ISNUMBER(SEARCH(Rules!$E$2:$E$60,$D772)))</f>
        <v>0</v>
      </c>
      <c r="Q772" s="0" t="n">
        <f aca="false">SUMPRODUCT((Rules!$A$2:$A$60=Q$1)*Rules!$C$2:$C$60*ISNUMBER(SEARCH(Rules!$E$2:$E$60,$D772)))</f>
        <v>0</v>
      </c>
      <c r="R772" s="0" t="str">
        <f aca="false">IF(OR(MAX(L772:Q772)&lt;Rules!$H$1,MAX(L772:Q772)-LARGE(L772:Q772,2)&lt;Rules!$H$2),"No label",INDEX($L$1:$Q$1,MATCH(MAX(L772:Q772),L772:Q772,0)))</f>
        <v>Account Access</v>
      </c>
      <c r="S772" s="0" t="n">
        <f aca="false">SUMPRODUCT(ISNUMBER(SEARCH(" "&amp;Terms!$A$3:$A$821&amp;" ",$D772))*Terms!B$3:B$821)+Terms!B$2</f>
        <v>11.1742876779704</v>
      </c>
      <c r="T772" s="0" t="n">
        <f aca="false">SUMPRODUCT(ISNUMBER(SEARCH(" "&amp;Terms!$A$3:$A$821&amp;" ",$D772))*Terms!C$3:C$821)+Terms!C$2</f>
        <v>-4.43629950476462</v>
      </c>
      <c r="U772" s="0" t="n">
        <f aca="false">SUMPRODUCT(ISNUMBER(SEARCH(" "&amp;Terms!$A$3:$A$821&amp;" ",$D772))*Terms!D$3:D$821)+Terms!D$2</f>
        <v>-2.52198660620787</v>
      </c>
      <c r="V772" s="0" t="n">
        <f aca="false">SUMPRODUCT(ISNUMBER(SEARCH(" "&amp;Terms!$A$3:$A$821&amp;" ",$D772))*Terms!E$3:E$821)+Terms!E$2</f>
        <v>-10.1302004642893</v>
      </c>
      <c r="W772" s="0" t="n">
        <f aca="false">SUMPRODUCT(ISNUMBER(SEARCH(" "&amp;Terms!$A$3:$A$821&amp;" ",$D772))*Terms!F$3:F$821)+Terms!F$2</f>
        <v>7.54791506265547</v>
      </c>
      <c r="X772" s="0" t="n">
        <f aca="false">SUMPRODUCT(ISNUMBER(SEARCH(" "&amp;Terms!$A$3:$A$821&amp;" ",$D772))*Terms!G$3:G$821)+Terms!G$2</f>
        <v>-1.63371616536409</v>
      </c>
      <c r="Y772" s="0" t="str">
        <f aca="false">INDEX($S$1:$X$1,MATCH(MAX(S772:X772),S772:X772,0))</f>
        <v>Account Access</v>
      </c>
      <c r="Z772" s="0" t="s">
        <v>2607</v>
      </c>
    </row>
    <row r="773" customFormat="false" ht="15" hidden="false" customHeight="false" outlineLevel="0" collapsed="false">
      <c r="A773" s="0" t="str">
        <f aca="false">Complaints!A773</f>
        <v>C0772</v>
      </c>
      <c r="B773" s="0" t="str">
        <f aca="false">Complaints!B773</f>
        <v>Hello, I cannot log in to the mobile app since the update. Also, my identity was stolen and a loan was taken out in my name.</v>
      </c>
      <c r="C773" s="0" t="str">
        <f aca="false">Complaints!C773</f>
        <v>Account Access</v>
      </c>
      <c r="D773" s="0" t="str">
        <f aca="false">" "&amp;TRIM(SUBSTITUTE(SUBSTITUTE(SUBSTITUTE(SUBSTITUTE(SUBSTITUTE(SUBSTITUTE(SUBSTITUTE(SUBSTITUTE(SUBSTITUTE(SUBSTITUTE(SUBSTITUTE(SUBSTITUTE(SUBSTITUTE(SUBSTITUTE(SUBSTITUTE(SUBSTITUTE(LOWER(B773),"."," "),","," "),"'"," "),"’"," "),"!"," "),"?"," "),";"," "),":"," "),"-"," "),"("," "),")"," "),"""", " "),"£"," "),"&amp;"," "),"/"," "),"%"," "))&amp;" "</f>
        <v> hello i cannot log in to the mobile app since the update also my identity was stolen and a loan was taken out in my name </v>
      </c>
      <c r="E773" s="0" t="n">
        <f aca="false">SUMPRODUCT((Rules!$A$2:$A$60=E$1)*Rules!$C$2:$C$60*ISNUMBER(SEARCH(Rules!$D$2:$D$60,$D773)))</f>
        <v>2</v>
      </c>
      <c r="F773" s="0" t="n">
        <f aca="false">SUMPRODUCT((Rules!$A$2:$A$60=F$1)*Rules!$C$2:$C$60*ISNUMBER(SEARCH(Rules!$D$2:$D$60,$D773)))</f>
        <v>0</v>
      </c>
      <c r="G773" s="0" t="n">
        <f aca="false">SUMPRODUCT((Rules!$A$2:$A$60=G$1)*Rules!$C$2:$C$60*ISNUMBER(SEARCH(Rules!$D$2:$D$60,$D773)))</f>
        <v>4</v>
      </c>
      <c r="H773" s="0" t="n">
        <f aca="false">SUMPRODUCT((Rules!$A$2:$A$60=H$1)*Rules!$C$2:$C$60*ISNUMBER(SEARCH(Rules!$D$2:$D$60,$D773)))</f>
        <v>0</v>
      </c>
      <c r="I773" s="0" t="n">
        <f aca="false">SUMPRODUCT((Rules!$A$2:$A$60=I$1)*Rules!$C$2:$C$60*ISNUMBER(SEARCH(Rules!$D$2:$D$60,$D773)))</f>
        <v>0</v>
      </c>
      <c r="J773" s="0" t="n">
        <f aca="false">SUMPRODUCT((Rules!$A$2:$A$60=J$1)*Rules!$C$2:$C$60*ISNUMBER(SEARCH(Rules!$D$2:$D$60,$D773)))</f>
        <v>0</v>
      </c>
      <c r="K773" s="0" t="str">
        <f aca="false">IF(OR(MAX(E773:J773)&lt;Rules!$H$1,MAX(E773:J773)-LARGE(E773:J773,2)&lt;Rules!$H$2),"No label",INDEX($E$1:$J$1,MATCH(MAX(E773:J773),E773:J773,0)))</f>
        <v>Account Access</v>
      </c>
      <c r="L773" s="0" t="n">
        <f aca="false">SUMPRODUCT((Rules!$A$2:$A$60=L$1)*Rules!$C$2:$C$60*ISNUMBER(SEARCH(Rules!$E$2:$E$60,$D773)))</f>
        <v>2</v>
      </c>
      <c r="M773" s="0" t="n">
        <f aca="false">SUMPRODUCT((Rules!$A$2:$A$60=M$1)*Rules!$C$2:$C$60*ISNUMBER(SEARCH(Rules!$E$2:$E$60,$D773)))</f>
        <v>0</v>
      </c>
      <c r="N773" s="0" t="n">
        <f aca="false">SUMPRODUCT((Rules!$A$2:$A$60=N$1)*Rules!$C$2:$C$60*ISNUMBER(SEARCH(Rules!$E$2:$E$60,$D773)))</f>
        <v>4</v>
      </c>
      <c r="O773" s="0" t="n">
        <f aca="false">SUMPRODUCT((Rules!$A$2:$A$60=O$1)*Rules!$C$2:$C$60*ISNUMBER(SEARCH(Rules!$E$2:$E$60,$D773)))</f>
        <v>0</v>
      </c>
      <c r="P773" s="0" t="n">
        <f aca="false">SUMPRODUCT((Rules!$A$2:$A$60=P$1)*Rules!$C$2:$C$60*ISNUMBER(SEARCH(Rules!$E$2:$E$60,$D773)))</f>
        <v>0</v>
      </c>
      <c r="Q773" s="0" t="n">
        <f aca="false">SUMPRODUCT((Rules!$A$2:$A$60=Q$1)*Rules!$C$2:$C$60*ISNUMBER(SEARCH(Rules!$E$2:$E$60,$D773)))</f>
        <v>0</v>
      </c>
      <c r="R773" s="0" t="str">
        <f aca="false">IF(OR(MAX(L773:Q773)&lt;Rules!$H$1,MAX(L773:Q773)-LARGE(L773:Q773,2)&lt;Rules!$H$2),"No label",INDEX($L$1:$Q$1,MATCH(MAX(L773:Q773),L773:Q773,0)))</f>
        <v>Account Access</v>
      </c>
      <c r="S773" s="0" t="n">
        <f aca="false">SUMPRODUCT(ISNUMBER(SEARCH(" "&amp;Terms!$A$3:$A$821&amp;" ",$D773))*Terms!B$3:B$821)+Terms!B$2</f>
        <v>7.9082242799438</v>
      </c>
      <c r="T773" s="0" t="n">
        <f aca="false">SUMPRODUCT(ISNUMBER(SEARCH(" "&amp;Terms!$A$3:$A$821&amp;" ",$D773))*Terms!C$3:C$821)+Terms!C$2</f>
        <v>-1.78054274591126</v>
      </c>
      <c r="U773" s="0" t="n">
        <f aca="false">SUMPRODUCT(ISNUMBER(SEARCH(" "&amp;Terms!$A$3:$A$821&amp;" ",$D773))*Terms!D$3:D$821)+Terms!D$2</f>
        <v>-5.1301655315042</v>
      </c>
      <c r="V773" s="0" t="n">
        <f aca="false">SUMPRODUCT(ISNUMBER(SEARCH(" "&amp;Terms!$A$3:$A$821&amp;" ",$D773))*Terms!E$3:E$821)+Terms!E$2</f>
        <v>-1.85878779665094</v>
      </c>
      <c r="W773" s="0" t="n">
        <f aca="false">SUMPRODUCT(ISNUMBER(SEARCH(" "&amp;Terms!$A$3:$A$821&amp;" ",$D773))*Terms!F$3:F$821)+Terms!F$2</f>
        <v>2.43022140804453</v>
      </c>
      <c r="X773" s="0" t="n">
        <f aca="false">SUMPRODUCT(ISNUMBER(SEARCH(" "&amp;Terms!$A$3:$A$821&amp;" ",$D773))*Terms!G$3:G$821)+Terms!G$2</f>
        <v>-1.56894961392185</v>
      </c>
      <c r="Y773" s="0" t="str">
        <f aca="false">INDEX($S$1:$X$1,MATCH(MAX(S773:X773),S773:X773,0))</f>
        <v>Account Access</v>
      </c>
      <c r="Z773" s="0" t="s">
        <v>2607</v>
      </c>
    </row>
    <row r="774" customFormat="false" ht="15" hidden="false" customHeight="false" outlineLevel="0" collapsed="false">
      <c r="A774" s="0" t="str">
        <f aca="false">Complaints!A774</f>
        <v>C0773</v>
      </c>
      <c r="B774" s="0" t="str">
        <f aca="false">Complaints!B774</f>
        <v>Frankly, I reported the unauthorised payment but you refused to reimburse me. Also, the branch manager would not listen to my concerns. Please escalate this.</v>
      </c>
      <c r="C774" s="0" t="str">
        <f aca="false">Complaints!C774</f>
        <v>Fraud &amp; Scams</v>
      </c>
      <c r="D774" s="0" t="str">
        <f aca="false">" "&amp;TRIM(SUBSTITUTE(SUBSTITUTE(SUBSTITUTE(SUBSTITUTE(SUBSTITUTE(SUBSTITUTE(SUBSTITUTE(SUBSTITUTE(SUBSTITUTE(SUBSTITUTE(SUBSTITUTE(SUBSTITUTE(SUBSTITUTE(SUBSTITUTE(SUBSTITUTE(SUBSTITUTE(LOWER(B774),"."," "),","," "),"'"," "),"’"," "),"!"," "),"?"," "),";"," "),":"," "),"-"," "),"("," "),")"," "),"""", " "),"£"," "),"&amp;"," "),"/"," "),"%"," "))&amp;" "</f>
        <v> frankly i reported the unauthorised payment but you refused to reimburse me also the branch manager would not listen to my concerns please escalate this </v>
      </c>
      <c r="E774" s="0" t="n">
        <f aca="false">SUMPRODUCT((Rules!$A$2:$A$60=E$1)*Rules!$C$2:$C$60*ISNUMBER(SEARCH(Rules!$D$2:$D$60,$D774)))</f>
        <v>3</v>
      </c>
      <c r="F774" s="0" t="n">
        <f aca="false">SUMPRODUCT((Rules!$A$2:$A$60=F$1)*Rules!$C$2:$C$60*ISNUMBER(SEARCH(Rules!$D$2:$D$60,$D774)))</f>
        <v>0</v>
      </c>
      <c r="G774" s="0" t="n">
        <f aca="false">SUMPRODUCT((Rules!$A$2:$A$60=G$1)*Rules!$C$2:$C$60*ISNUMBER(SEARCH(Rules!$D$2:$D$60,$D774)))</f>
        <v>0</v>
      </c>
      <c r="H774" s="0" t="n">
        <f aca="false">SUMPRODUCT((Rules!$A$2:$A$60=H$1)*Rules!$C$2:$C$60*ISNUMBER(SEARCH(Rules!$D$2:$D$60,$D774)))</f>
        <v>0</v>
      </c>
      <c r="I774" s="0" t="n">
        <f aca="false">SUMPRODUCT((Rules!$A$2:$A$60=I$1)*Rules!$C$2:$C$60*ISNUMBER(SEARCH(Rules!$D$2:$D$60,$D774)))</f>
        <v>0</v>
      </c>
      <c r="J774" s="0" t="n">
        <f aca="false">SUMPRODUCT((Rules!$A$2:$A$60=J$1)*Rules!$C$2:$C$60*ISNUMBER(SEARCH(Rules!$D$2:$D$60,$D774)))</f>
        <v>0</v>
      </c>
      <c r="K774" s="0" t="str">
        <f aca="false">IF(OR(MAX(E774:J774)&lt;Rules!$H$1,MAX(E774:J774)-LARGE(E774:J774,2)&lt;Rules!$H$2),"No label",INDEX($E$1:$J$1,MATCH(MAX(E774:J774),E774:J774,0)))</f>
        <v>Fraud &amp; Scams</v>
      </c>
      <c r="L774" s="0" t="n">
        <f aca="false">SUMPRODUCT((Rules!$A$2:$A$60=L$1)*Rules!$C$2:$C$60*ISNUMBER(SEARCH(Rules!$E$2:$E$60,$D774)))</f>
        <v>3</v>
      </c>
      <c r="M774" s="0" t="n">
        <f aca="false">SUMPRODUCT((Rules!$A$2:$A$60=M$1)*Rules!$C$2:$C$60*ISNUMBER(SEARCH(Rules!$E$2:$E$60,$D774)))</f>
        <v>0</v>
      </c>
      <c r="N774" s="0" t="n">
        <f aca="false">SUMPRODUCT((Rules!$A$2:$A$60=N$1)*Rules!$C$2:$C$60*ISNUMBER(SEARCH(Rules!$E$2:$E$60,$D774)))</f>
        <v>0</v>
      </c>
      <c r="O774" s="0" t="n">
        <f aca="false">SUMPRODUCT((Rules!$A$2:$A$60=O$1)*Rules!$C$2:$C$60*ISNUMBER(SEARCH(Rules!$E$2:$E$60,$D774)))</f>
        <v>0</v>
      </c>
      <c r="P774" s="0" t="n">
        <f aca="false">SUMPRODUCT((Rules!$A$2:$A$60=P$1)*Rules!$C$2:$C$60*ISNUMBER(SEARCH(Rules!$E$2:$E$60,$D774)))</f>
        <v>0</v>
      </c>
      <c r="Q774" s="0" t="n">
        <f aca="false">SUMPRODUCT((Rules!$A$2:$A$60=Q$1)*Rules!$C$2:$C$60*ISNUMBER(SEARCH(Rules!$E$2:$E$60,$D774)))</f>
        <v>0</v>
      </c>
      <c r="R774" s="0" t="str">
        <f aca="false">IF(OR(MAX(L774:Q774)&lt;Rules!$H$1,MAX(L774:Q774)-LARGE(L774:Q774,2)&lt;Rules!$H$2),"No label",INDEX($L$1:$Q$1,MATCH(MAX(L774:Q774),L774:Q774,0)))</f>
        <v>Fraud &amp; Scams</v>
      </c>
      <c r="S774" s="0" t="n">
        <f aca="false">SUMPRODUCT(ISNUMBER(SEARCH(" "&amp;Terms!$A$3:$A$821&amp;" ",$D774))*Terms!B$3:B$821)+Terms!B$2</f>
        <v>-2.08420763937799</v>
      </c>
      <c r="T774" s="0" t="n">
        <f aca="false">SUMPRODUCT(ISNUMBER(SEARCH(" "&amp;Terms!$A$3:$A$821&amp;" ",$D774))*Terms!C$3:C$821)+Terms!C$2</f>
        <v>5.7980838207699</v>
      </c>
      <c r="U774" s="0" t="n">
        <f aca="false">SUMPRODUCT(ISNUMBER(SEARCH(" "&amp;Terms!$A$3:$A$821&amp;" ",$D774))*Terms!D$3:D$821)+Terms!D$2</f>
        <v>-4.11490678010463</v>
      </c>
      <c r="V774" s="0" t="n">
        <f aca="false">SUMPRODUCT(ISNUMBER(SEARCH(" "&amp;Terms!$A$3:$A$821&amp;" ",$D774))*Terms!E$3:E$821)+Terms!E$2</f>
        <v>-1.59529136158918</v>
      </c>
      <c r="W774" s="0" t="n">
        <f aca="false">SUMPRODUCT(ISNUMBER(SEARCH(" "&amp;Terms!$A$3:$A$821&amp;" ",$D774))*Terms!F$3:F$821)+Terms!F$2</f>
        <v>6.56903937492835</v>
      </c>
      <c r="X774" s="0" t="n">
        <f aca="false">SUMPRODUCT(ISNUMBER(SEARCH(" "&amp;Terms!$A$3:$A$821&amp;" ",$D774))*Terms!G$3:G$821)+Terms!G$2</f>
        <v>-4.57271741462636</v>
      </c>
      <c r="Y774" s="0" t="str">
        <f aca="false">INDEX($S$1:$X$1,MATCH(MAX(S774:X774),S774:X774,0))</f>
        <v>Fraud &amp; Scams</v>
      </c>
      <c r="Z774" s="0" t="s">
        <v>2607</v>
      </c>
    </row>
    <row r="775" customFormat="false" ht="15" hidden="false" customHeight="false" outlineLevel="0" collapsed="false">
      <c r="A775" s="0" t="str">
        <f aca="false">Complaints!A775</f>
        <v>C0774</v>
      </c>
      <c r="B775" s="0" t="str">
        <f aca="false">Complaints!B775</f>
        <v>The staff member was rude and dismissive when I called. Also, the closure of my old account has dragged on for months. Please sort this out.</v>
      </c>
      <c r="C775" s="0" t="str">
        <f aca="false">Complaints!C775</f>
        <v>Customer Service</v>
      </c>
      <c r="D775" s="0" t="str">
        <f aca="false">" "&amp;TRIM(SUBSTITUTE(SUBSTITUTE(SUBSTITUTE(SUBSTITUTE(SUBSTITUTE(SUBSTITUTE(SUBSTITUTE(SUBSTITUTE(SUBSTITUTE(SUBSTITUTE(SUBSTITUTE(SUBSTITUTE(SUBSTITUTE(SUBSTITUTE(SUBSTITUTE(SUBSTITUTE(LOWER(B775),"."," "),","," "),"'"," "),"’"," "),"!"," "),"?"," "),";"," "),":"," "),"-"," "),"("," "),")"," "),"""", " "),"£"," "),"&amp;"," "),"/"," "),"%"," "))&amp;" "</f>
        <v> the staff member was rude and dismissive when i called also the closure of my old account has dragged on for months please sort this out </v>
      </c>
      <c r="E775" s="0" t="n">
        <f aca="false">SUMPRODUCT((Rules!$A$2:$A$60=E$1)*Rules!$C$2:$C$60*ISNUMBER(SEARCH(Rules!$D$2:$D$60,$D775)))</f>
        <v>0</v>
      </c>
      <c r="F775" s="0" t="n">
        <f aca="false">SUMPRODUCT((Rules!$A$2:$A$60=F$1)*Rules!$C$2:$C$60*ISNUMBER(SEARCH(Rules!$D$2:$D$60,$D775)))</f>
        <v>0</v>
      </c>
      <c r="G775" s="0" t="n">
        <f aca="false">SUMPRODUCT((Rules!$A$2:$A$60=G$1)*Rules!$C$2:$C$60*ISNUMBER(SEARCH(Rules!$D$2:$D$60,$D775)))</f>
        <v>0</v>
      </c>
      <c r="H775" s="0" t="n">
        <f aca="false">SUMPRODUCT((Rules!$A$2:$A$60=H$1)*Rules!$C$2:$C$60*ISNUMBER(SEARCH(Rules!$D$2:$D$60,$D775)))</f>
        <v>0</v>
      </c>
      <c r="I775" s="0" t="n">
        <f aca="false">SUMPRODUCT((Rules!$A$2:$A$60=I$1)*Rules!$C$2:$C$60*ISNUMBER(SEARCH(Rules!$D$2:$D$60,$D775)))</f>
        <v>2</v>
      </c>
      <c r="J775" s="0" t="n">
        <f aca="false">SUMPRODUCT((Rules!$A$2:$A$60=J$1)*Rules!$C$2:$C$60*ISNUMBER(SEARCH(Rules!$D$2:$D$60,$D775)))</f>
        <v>4</v>
      </c>
      <c r="K775" s="0" t="str">
        <f aca="false">IF(OR(MAX(E775:J775)&lt;Rules!$H$1,MAX(E775:J775)-LARGE(E775:J775,2)&lt;Rules!$H$2),"No label",INDEX($E$1:$J$1,MATCH(MAX(E775:J775),E775:J775,0)))</f>
        <v>Customer Service</v>
      </c>
      <c r="L775" s="0" t="n">
        <f aca="false">SUMPRODUCT((Rules!$A$2:$A$60=L$1)*Rules!$C$2:$C$60*ISNUMBER(SEARCH(Rules!$E$2:$E$60,$D775)))</f>
        <v>0</v>
      </c>
      <c r="M775" s="0" t="n">
        <f aca="false">SUMPRODUCT((Rules!$A$2:$A$60=M$1)*Rules!$C$2:$C$60*ISNUMBER(SEARCH(Rules!$E$2:$E$60,$D775)))</f>
        <v>0</v>
      </c>
      <c r="N775" s="0" t="n">
        <f aca="false">SUMPRODUCT((Rules!$A$2:$A$60=N$1)*Rules!$C$2:$C$60*ISNUMBER(SEARCH(Rules!$E$2:$E$60,$D775)))</f>
        <v>0</v>
      </c>
      <c r="O775" s="0" t="n">
        <f aca="false">SUMPRODUCT((Rules!$A$2:$A$60=O$1)*Rules!$C$2:$C$60*ISNUMBER(SEARCH(Rules!$E$2:$E$60,$D775)))</f>
        <v>0</v>
      </c>
      <c r="P775" s="0" t="n">
        <f aca="false">SUMPRODUCT((Rules!$A$2:$A$60=P$1)*Rules!$C$2:$C$60*ISNUMBER(SEARCH(Rules!$E$2:$E$60,$D775)))</f>
        <v>2</v>
      </c>
      <c r="Q775" s="0" t="n">
        <f aca="false">SUMPRODUCT((Rules!$A$2:$A$60=Q$1)*Rules!$C$2:$C$60*ISNUMBER(SEARCH(Rules!$E$2:$E$60,$D775)))</f>
        <v>4</v>
      </c>
      <c r="R775" s="0" t="str">
        <f aca="false">IF(OR(MAX(L775:Q775)&lt;Rules!$H$1,MAX(L775:Q775)-LARGE(L775:Q775,2)&lt;Rules!$H$2),"No label",INDEX($L$1:$Q$1,MATCH(MAX(L775:Q775),L775:Q775,0)))</f>
        <v>Customer Service</v>
      </c>
      <c r="S775" s="0" t="n">
        <f aca="false">SUMPRODUCT(ISNUMBER(SEARCH(" "&amp;Terms!$A$3:$A$821&amp;" ",$D775))*Terms!B$3:B$821)+Terms!B$2</f>
        <v>-6.64088405614693</v>
      </c>
      <c r="T775" s="0" t="n">
        <f aca="false">SUMPRODUCT(ISNUMBER(SEARCH(" "&amp;Terms!$A$3:$A$821&amp;" ",$D775))*Terms!C$3:C$821)+Terms!C$2</f>
        <v>8.06226447941579</v>
      </c>
      <c r="U775" s="0" t="n">
        <f aca="false">SUMPRODUCT(ISNUMBER(SEARCH(" "&amp;Terms!$A$3:$A$821&amp;" ",$D775))*Terms!D$3:D$821)+Terms!D$2</f>
        <v>8.85600139477784</v>
      </c>
      <c r="V775" s="0" t="n">
        <f aca="false">SUMPRODUCT(ISNUMBER(SEARCH(" "&amp;Terms!$A$3:$A$821&amp;" ",$D775))*Terms!E$3:E$821)+Terms!E$2</f>
        <v>-0.860413569992633</v>
      </c>
      <c r="W775" s="0" t="n">
        <f aca="false">SUMPRODUCT(ISNUMBER(SEARCH(" "&amp;Terms!$A$3:$A$821&amp;" ",$D775))*Terms!F$3:F$821)+Terms!F$2</f>
        <v>-2.44301649309977</v>
      </c>
      <c r="X775" s="0" t="n">
        <f aca="false">SUMPRODUCT(ISNUMBER(SEARCH(" "&amp;Terms!$A$3:$A$821&amp;" ",$D775))*Terms!G$3:G$821)+Terms!G$2</f>
        <v>-6.97395175495421</v>
      </c>
      <c r="Y775" s="0" t="str">
        <f aca="false">INDEX($S$1:$X$1,MATCH(MAX(S775:X775),S775:X775,0))</f>
        <v>Delays &amp; Processing</v>
      </c>
      <c r="Z775" s="0" t="s">
        <v>2607</v>
      </c>
    </row>
    <row r="776" customFormat="false" ht="15" hidden="false" customHeight="false" outlineLevel="0" collapsed="false">
      <c r="A776" s="0" t="str">
        <f aca="false">Complaints!A776</f>
        <v>C0775</v>
      </c>
      <c r="B776" s="0" t="str">
        <f aca="false">Complaints!B776</f>
        <v>I am writing to complain. It has taken six weeks to process my claim and nobody has updated me.</v>
      </c>
      <c r="C776" s="0" t="str">
        <f aca="false">Complaints!C776</f>
        <v>Delays &amp; Processing</v>
      </c>
      <c r="D776" s="0" t="str">
        <f aca="false">" "&amp;TRIM(SUBSTITUTE(SUBSTITUTE(SUBSTITUTE(SUBSTITUTE(SUBSTITUTE(SUBSTITUTE(SUBSTITUTE(SUBSTITUTE(SUBSTITUTE(SUBSTITUTE(SUBSTITUTE(SUBSTITUTE(SUBSTITUTE(SUBSTITUTE(SUBSTITUTE(SUBSTITUTE(LOWER(B776),"."," "),","," "),"'"," "),"’"," "),"!"," "),"?"," "),";"," "),":"," "),"-"," "),"("," "),")"," "),"""", " "),"£"," "),"&amp;"," "),"/"," "),"%"," "))&amp;" "</f>
        <v> i am writing to complain it has taken six weeks to process my claim and nobody has updated me </v>
      </c>
      <c r="E776" s="0" t="n">
        <f aca="false">SUMPRODUCT((Rules!$A$2:$A$60=E$1)*Rules!$C$2:$C$60*ISNUMBER(SEARCH(Rules!$D$2:$D$60,$D776)))</f>
        <v>0</v>
      </c>
      <c r="F776" s="0" t="n">
        <f aca="false">SUMPRODUCT((Rules!$A$2:$A$60=F$1)*Rules!$C$2:$C$60*ISNUMBER(SEARCH(Rules!$D$2:$D$60,$D776)))</f>
        <v>0</v>
      </c>
      <c r="G776" s="0" t="n">
        <f aca="false">SUMPRODUCT((Rules!$A$2:$A$60=G$1)*Rules!$C$2:$C$60*ISNUMBER(SEARCH(Rules!$D$2:$D$60,$D776)))</f>
        <v>0</v>
      </c>
      <c r="H776" s="0" t="n">
        <f aca="false">SUMPRODUCT((Rules!$A$2:$A$60=H$1)*Rules!$C$2:$C$60*ISNUMBER(SEARCH(Rules!$D$2:$D$60,$D776)))</f>
        <v>0</v>
      </c>
      <c r="I776" s="0" t="n">
        <f aca="false">SUMPRODUCT((Rules!$A$2:$A$60=I$1)*Rules!$C$2:$C$60*ISNUMBER(SEARCH(Rules!$D$2:$D$60,$D776)))</f>
        <v>2</v>
      </c>
      <c r="J776" s="0" t="n">
        <f aca="false">SUMPRODUCT((Rules!$A$2:$A$60=J$1)*Rules!$C$2:$C$60*ISNUMBER(SEARCH(Rules!$D$2:$D$60,$D776)))</f>
        <v>0</v>
      </c>
      <c r="K776" s="0" t="str">
        <f aca="false">IF(OR(MAX(E776:J776)&lt;Rules!$H$1,MAX(E776:J776)-LARGE(E776:J776,2)&lt;Rules!$H$2),"No label",INDEX($E$1:$J$1,MATCH(MAX(E776:J776),E776:J776,0)))</f>
        <v>No label</v>
      </c>
      <c r="L776" s="0" t="n">
        <f aca="false">SUMPRODUCT((Rules!$A$2:$A$60=L$1)*Rules!$C$2:$C$60*ISNUMBER(SEARCH(Rules!$E$2:$E$60,$D776)))</f>
        <v>0</v>
      </c>
      <c r="M776" s="0" t="n">
        <f aca="false">SUMPRODUCT((Rules!$A$2:$A$60=M$1)*Rules!$C$2:$C$60*ISNUMBER(SEARCH(Rules!$E$2:$E$60,$D776)))</f>
        <v>0</v>
      </c>
      <c r="N776" s="0" t="n">
        <f aca="false">SUMPRODUCT((Rules!$A$2:$A$60=N$1)*Rules!$C$2:$C$60*ISNUMBER(SEARCH(Rules!$E$2:$E$60,$D776)))</f>
        <v>0</v>
      </c>
      <c r="O776" s="0" t="n">
        <f aca="false">SUMPRODUCT((Rules!$A$2:$A$60=O$1)*Rules!$C$2:$C$60*ISNUMBER(SEARCH(Rules!$E$2:$E$60,$D776)))</f>
        <v>0</v>
      </c>
      <c r="P776" s="0" t="n">
        <f aca="false">SUMPRODUCT((Rules!$A$2:$A$60=P$1)*Rules!$C$2:$C$60*ISNUMBER(SEARCH(Rules!$E$2:$E$60,$D776)))</f>
        <v>2</v>
      </c>
      <c r="Q776" s="0" t="n">
        <f aca="false">SUMPRODUCT((Rules!$A$2:$A$60=Q$1)*Rules!$C$2:$C$60*ISNUMBER(SEARCH(Rules!$E$2:$E$60,$D776)))</f>
        <v>0</v>
      </c>
      <c r="R776" s="0" t="str">
        <f aca="false">IF(OR(MAX(L776:Q776)&lt;Rules!$H$1,MAX(L776:Q776)-LARGE(L776:Q776,2)&lt;Rules!$H$2),"No label",INDEX($L$1:$Q$1,MATCH(MAX(L776:Q776),L776:Q776,0)))</f>
        <v>No label</v>
      </c>
      <c r="S776" s="0" t="n">
        <f aca="false">SUMPRODUCT(ISNUMBER(SEARCH(" "&amp;Terms!$A$3:$A$821&amp;" ",$D776))*Terms!B$3:B$821)+Terms!B$2</f>
        <v>-2.33095329561207</v>
      </c>
      <c r="T776" s="0" t="n">
        <f aca="false">SUMPRODUCT(ISNUMBER(SEARCH(" "&amp;Terms!$A$3:$A$821&amp;" ",$D776))*Terms!C$3:C$821)+Terms!C$2</f>
        <v>-2.13216236419008</v>
      </c>
      <c r="U776" s="0" t="n">
        <f aca="false">SUMPRODUCT(ISNUMBER(SEARCH(" "&amp;Terms!$A$3:$A$821&amp;" ",$D776))*Terms!D$3:D$821)+Terms!D$2</f>
        <v>9.10059932410483</v>
      </c>
      <c r="V776" s="0" t="n">
        <f aca="false">SUMPRODUCT(ISNUMBER(SEARCH(" "&amp;Terms!$A$3:$A$821&amp;" ",$D776))*Terms!E$3:E$821)+Terms!E$2</f>
        <v>-2.22931666726657</v>
      </c>
      <c r="W776" s="0" t="n">
        <f aca="false">SUMPRODUCT(ISNUMBER(SEARCH(" "&amp;Terms!$A$3:$A$821&amp;" ",$D776))*Terms!F$3:F$821)+Terms!F$2</f>
        <v>-1.37562918920264</v>
      </c>
      <c r="X776" s="0" t="n">
        <f aca="false">SUMPRODUCT(ISNUMBER(SEARCH(" "&amp;Terms!$A$3:$A$821&amp;" ",$D776))*Terms!G$3:G$821)+Terms!G$2</f>
        <v>-1.03253780783339</v>
      </c>
      <c r="Y776" s="0" t="str">
        <f aca="false">INDEX($S$1:$X$1,MATCH(MAX(S776:X776),S776:X776,0))</f>
        <v>Delays &amp; Processing</v>
      </c>
      <c r="Z776" s="0" t="s">
        <v>2608</v>
      </c>
    </row>
    <row r="777" customFormat="false" ht="15" hidden="false" customHeight="false" outlineLevel="0" collapsed="false">
      <c r="A777" s="0" t="str">
        <f aca="false">Complaints!A777</f>
        <v>C0776</v>
      </c>
      <c r="B777" s="0" t="str">
        <f aca="false">Complaints!B777</f>
        <v>I think I was the victim of a scam and sent money to a fraudster. This is not acceptable.</v>
      </c>
      <c r="C777" s="0" t="str">
        <f aca="false">Complaints!C777</f>
        <v>Fraud &amp; Scams</v>
      </c>
      <c r="D777" s="0" t="str">
        <f aca="false">" "&amp;TRIM(SUBSTITUTE(SUBSTITUTE(SUBSTITUTE(SUBSTITUTE(SUBSTITUTE(SUBSTITUTE(SUBSTITUTE(SUBSTITUTE(SUBSTITUTE(SUBSTITUTE(SUBSTITUTE(SUBSTITUTE(SUBSTITUTE(SUBSTITUTE(SUBSTITUTE(SUBSTITUTE(LOWER(B777),"."," "),","," "),"'"," "),"’"," "),"!"," "),"?"," "),";"," "),":"," "),"-"," "),"("," "),")"," "),"""", " "),"£"," "),"&amp;"," "),"/"," "),"%"," "))&amp;" "</f>
        <v> i think i was the victim of a scam and sent money to a fraudster this is not acceptable </v>
      </c>
      <c r="E777" s="0" t="n">
        <f aca="false">SUMPRODUCT((Rules!$A$2:$A$60=E$1)*Rules!$C$2:$C$60*ISNUMBER(SEARCH(Rules!$D$2:$D$60,$D777)))</f>
        <v>6</v>
      </c>
      <c r="F777" s="0" t="n">
        <f aca="false">SUMPRODUCT((Rules!$A$2:$A$60=F$1)*Rules!$C$2:$C$60*ISNUMBER(SEARCH(Rules!$D$2:$D$60,$D777)))</f>
        <v>0</v>
      </c>
      <c r="G777" s="0" t="n">
        <f aca="false">SUMPRODUCT((Rules!$A$2:$A$60=G$1)*Rules!$C$2:$C$60*ISNUMBER(SEARCH(Rules!$D$2:$D$60,$D777)))</f>
        <v>0</v>
      </c>
      <c r="H777" s="0" t="n">
        <f aca="false">SUMPRODUCT((Rules!$A$2:$A$60=H$1)*Rules!$C$2:$C$60*ISNUMBER(SEARCH(Rules!$D$2:$D$60,$D777)))</f>
        <v>0</v>
      </c>
      <c r="I777" s="0" t="n">
        <f aca="false">SUMPRODUCT((Rules!$A$2:$A$60=I$1)*Rules!$C$2:$C$60*ISNUMBER(SEARCH(Rules!$D$2:$D$60,$D777)))</f>
        <v>0</v>
      </c>
      <c r="J777" s="0" t="n">
        <f aca="false">SUMPRODUCT((Rules!$A$2:$A$60=J$1)*Rules!$C$2:$C$60*ISNUMBER(SEARCH(Rules!$D$2:$D$60,$D777)))</f>
        <v>0</v>
      </c>
      <c r="K777" s="0" t="str">
        <f aca="false">IF(OR(MAX(E777:J777)&lt;Rules!$H$1,MAX(E777:J777)-LARGE(E777:J777,2)&lt;Rules!$H$2),"No label",INDEX($E$1:$J$1,MATCH(MAX(E777:J777),E777:J777,0)))</f>
        <v>Fraud &amp; Scams</v>
      </c>
      <c r="L777" s="0" t="n">
        <f aca="false">SUMPRODUCT((Rules!$A$2:$A$60=L$1)*Rules!$C$2:$C$60*ISNUMBER(SEARCH(Rules!$E$2:$E$60,$D777)))</f>
        <v>6</v>
      </c>
      <c r="M777" s="0" t="n">
        <f aca="false">SUMPRODUCT((Rules!$A$2:$A$60=M$1)*Rules!$C$2:$C$60*ISNUMBER(SEARCH(Rules!$E$2:$E$60,$D777)))</f>
        <v>0</v>
      </c>
      <c r="N777" s="0" t="n">
        <f aca="false">SUMPRODUCT((Rules!$A$2:$A$60=N$1)*Rules!$C$2:$C$60*ISNUMBER(SEARCH(Rules!$E$2:$E$60,$D777)))</f>
        <v>1</v>
      </c>
      <c r="O777" s="0" t="n">
        <f aca="false">SUMPRODUCT((Rules!$A$2:$A$60=O$1)*Rules!$C$2:$C$60*ISNUMBER(SEARCH(Rules!$E$2:$E$60,$D777)))</f>
        <v>0</v>
      </c>
      <c r="P777" s="0" t="n">
        <f aca="false">SUMPRODUCT((Rules!$A$2:$A$60=P$1)*Rules!$C$2:$C$60*ISNUMBER(SEARCH(Rules!$E$2:$E$60,$D777)))</f>
        <v>0</v>
      </c>
      <c r="Q777" s="0" t="n">
        <f aca="false">SUMPRODUCT((Rules!$A$2:$A$60=Q$1)*Rules!$C$2:$C$60*ISNUMBER(SEARCH(Rules!$E$2:$E$60,$D777)))</f>
        <v>0</v>
      </c>
      <c r="R777" s="0" t="str">
        <f aca="false">IF(OR(MAX(L777:Q777)&lt;Rules!$H$1,MAX(L777:Q777)-LARGE(L777:Q777,2)&lt;Rules!$H$2),"No label",INDEX($L$1:$Q$1,MATCH(MAX(L777:Q777),L777:Q777,0)))</f>
        <v>Fraud &amp; Scams</v>
      </c>
      <c r="S777" s="0" t="n">
        <f aca="false">SUMPRODUCT(ISNUMBER(SEARCH(" "&amp;Terms!$A$3:$A$821&amp;" ",$D777))*Terms!B$3:B$821)+Terms!B$2</f>
        <v>0.85850628111962</v>
      </c>
      <c r="T777" s="0" t="n">
        <f aca="false">SUMPRODUCT(ISNUMBER(SEARCH(" "&amp;Terms!$A$3:$A$821&amp;" ",$D777))*Terms!C$3:C$821)+Terms!C$2</f>
        <v>-5.19475593343948</v>
      </c>
      <c r="U777" s="0" t="n">
        <f aca="false">SUMPRODUCT(ISNUMBER(SEARCH(" "&amp;Terms!$A$3:$A$821&amp;" ",$D777))*Terms!D$3:D$821)+Terms!D$2</f>
        <v>0.0530828664015065</v>
      </c>
      <c r="V777" s="0" t="n">
        <f aca="false">SUMPRODUCT(ISNUMBER(SEARCH(" "&amp;Terms!$A$3:$A$821&amp;" ",$D777))*Terms!E$3:E$821)+Terms!E$2</f>
        <v>-3.25413677871987</v>
      </c>
      <c r="W777" s="0" t="n">
        <f aca="false">SUMPRODUCT(ISNUMBER(SEARCH(" "&amp;Terms!$A$3:$A$821&amp;" ",$D777))*Terms!F$3:F$821)+Terms!F$2</f>
        <v>9.4028378486354</v>
      </c>
      <c r="X777" s="0" t="n">
        <f aca="false">SUMPRODUCT(ISNUMBER(SEARCH(" "&amp;Terms!$A$3:$A$821&amp;" ",$D777))*Terms!G$3:G$821)+Terms!G$2</f>
        <v>-1.86553428399708</v>
      </c>
      <c r="Y777" s="0" t="str">
        <f aca="false">INDEX($S$1:$X$1,MATCH(MAX(S777:X777),S777:X777,0))</f>
        <v>Fraud &amp; Scams</v>
      </c>
      <c r="Z777" s="0" t="s">
        <v>2607</v>
      </c>
    </row>
    <row r="778" customFormat="false" ht="15" hidden="false" customHeight="false" outlineLevel="0" collapsed="false">
      <c r="A778" s="0" t="str">
        <f aca="false">Complaints!A778</f>
        <v>C0777</v>
      </c>
      <c r="B778" s="0" t="str">
        <f aca="false">Complaints!B778</f>
        <v>I have been a customer for years. I was misled about what the insurance actually included.</v>
      </c>
      <c r="C778" s="0" t="str">
        <f aca="false">Complaints!C778</f>
        <v>Mis-selling</v>
      </c>
      <c r="D778" s="0" t="str">
        <f aca="false">" "&amp;TRIM(SUBSTITUTE(SUBSTITUTE(SUBSTITUTE(SUBSTITUTE(SUBSTITUTE(SUBSTITUTE(SUBSTITUTE(SUBSTITUTE(SUBSTITUTE(SUBSTITUTE(SUBSTITUTE(SUBSTITUTE(SUBSTITUTE(SUBSTITUTE(SUBSTITUTE(SUBSTITUTE(LOWER(B778),"."," "),","," "),"'"," "),"’"," "),"!"," "),"?"," "),";"," "),":"," "),"-"," "),"("," "),")"," "),"""", " "),"£"," "),"&amp;"," "),"/"," "),"%"," "))&amp;" "</f>
        <v> i have been a customer for years i was misled about what the insurance actually included </v>
      </c>
      <c r="E778" s="0" t="n">
        <f aca="false">SUMPRODUCT((Rules!$A$2:$A$60=E$1)*Rules!$C$2:$C$60*ISNUMBER(SEARCH(Rules!$D$2:$D$60,$D778)))</f>
        <v>0</v>
      </c>
      <c r="F778" s="0" t="n">
        <f aca="false">SUMPRODUCT((Rules!$A$2:$A$60=F$1)*Rules!$C$2:$C$60*ISNUMBER(SEARCH(Rules!$D$2:$D$60,$D778)))</f>
        <v>4</v>
      </c>
      <c r="G778" s="0" t="n">
        <f aca="false">SUMPRODUCT((Rules!$A$2:$A$60=G$1)*Rules!$C$2:$C$60*ISNUMBER(SEARCH(Rules!$D$2:$D$60,$D778)))</f>
        <v>0</v>
      </c>
      <c r="H778" s="0" t="n">
        <f aca="false">SUMPRODUCT((Rules!$A$2:$A$60=H$1)*Rules!$C$2:$C$60*ISNUMBER(SEARCH(Rules!$D$2:$D$60,$D778)))</f>
        <v>0</v>
      </c>
      <c r="I778" s="0" t="n">
        <f aca="false">SUMPRODUCT((Rules!$A$2:$A$60=I$1)*Rules!$C$2:$C$60*ISNUMBER(SEARCH(Rules!$D$2:$D$60,$D778)))</f>
        <v>0</v>
      </c>
      <c r="J778" s="0" t="n">
        <f aca="false">SUMPRODUCT((Rules!$A$2:$A$60=J$1)*Rules!$C$2:$C$60*ISNUMBER(SEARCH(Rules!$D$2:$D$60,$D778)))</f>
        <v>0</v>
      </c>
      <c r="K778" s="0" t="str">
        <f aca="false">IF(OR(MAX(E778:J778)&lt;Rules!$H$1,MAX(E778:J778)-LARGE(E778:J778,2)&lt;Rules!$H$2),"No label",INDEX($E$1:$J$1,MATCH(MAX(E778:J778),E778:J778,0)))</f>
        <v>Mis-selling</v>
      </c>
      <c r="L778" s="0" t="n">
        <f aca="false">SUMPRODUCT((Rules!$A$2:$A$60=L$1)*Rules!$C$2:$C$60*ISNUMBER(SEARCH(Rules!$E$2:$E$60,$D778)))</f>
        <v>0</v>
      </c>
      <c r="M778" s="0" t="n">
        <f aca="false">SUMPRODUCT((Rules!$A$2:$A$60=M$1)*Rules!$C$2:$C$60*ISNUMBER(SEARCH(Rules!$E$2:$E$60,$D778)))</f>
        <v>4</v>
      </c>
      <c r="N778" s="0" t="n">
        <f aca="false">SUMPRODUCT((Rules!$A$2:$A$60=N$1)*Rules!$C$2:$C$60*ISNUMBER(SEARCH(Rules!$E$2:$E$60,$D778)))</f>
        <v>0</v>
      </c>
      <c r="O778" s="0" t="n">
        <f aca="false">SUMPRODUCT((Rules!$A$2:$A$60=O$1)*Rules!$C$2:$C$60*ISNUMBER(SEARCH(Rules!$E$2:$E$60,$D778)))</f>
        <v>0</v>
      </c>
      <c r="P778" s="0" t="n">
        <f aca="false">SUMPRODUCT((Rules!$A$2:$A$60=P$1)*Rules!$C$2:$C$60*ISNUMBER(SEARCH(Rules!$E$2:$E$60,$D778)))</f>
        <v>0</v>
      </c>
      <c r="Q778" s="0" t="n">
        <f aca="false">SUMPRODUCT((Rules!$A$2:$A$60=Q$1)*Rules!$C$2:$C$60*ISNUMBER(SEARCH(Rules!$E$2:$E$60,$D778)))</f>
        <v>0</v>
      </c>
      <c r="R778" s="0" t="str">
        <f aca="false">IF(OR(MAX(L778:Q778)&lt;Rules!$H$1,MAX(L778:Q778)-LARGE(L778:Q778,2)&lt;Rules!$H$2),"No label",INDEX($L$1:$Q$1,MATCH(MAX(L778:Q778),L778:Q778,0)))</f>
        <v>Mis-selling</v>
      </c>
      <c r="S778" s="0" t="n">
        <f aca="false">SUMPRODUCT(ISNUMBER(SEARCH(" "&amp;Terms!$A$3:$A$821&amp;" ",$D778))*Terms!B$3:B$821)+Terms!B$2</f>
        <v>-1.41015504854</v>
      </c>
      <c r="T778" s="0" t="n">
        <f aca="false">SUMPRODUCT(ISNUMBER(SEARCH(" "&amp;Terms!$A$3:$A$821&amp;" ",$D778))*Terms!C$3:C$821)+Terms!C$2</f>
        <v>-2.89782972964191</v>
      </c>
      <c r="U778" s="0" t="n">
        <f aca="false">SUMPRODUCT(ISNUMBER(SEARCH(" "&amp;Terms!$A$3:$A$821&amp;" ",$D778))*Terms!D$3:D$821)+Terms!D$2</f>
        <v>-0.181255681431343</v>
      </c>
      <c r="V778" s="0" t="n">
        <f aca="false">SUMPRODUCT(ISNUMBER(SEARCH(" "&amp;Terms!$A$3:$A$821&amp;" ",$D778))*Terms!E$3:E$821)+Terms!E$2</f>
        <v>-1.25027251348548</v>
      </c>
      <c r="W778" s="0" t="n">
        <f aca="false">SUMPRODUCT(ISNUMBER(SEARCH(" "&amp;Terms!$A$3:$A$821&amp;" ",$D778))*Terms!F$3:F$821)+Terms!F$2</f>
        <v>-5.37147946852964</v>
      </c>
      <c r="X778" s="0" t="n">
        <f aca="false">SUMPRODUCT(ISNUMBER(SEARCH(" "&amp;Terms!$A$3:$A$821&amp;" ",$D778))*Terms!G$3:G$821)+Terms!G$2</f>
        <v>11.1109924416285</v>
      </c>
      <c r="Y778" s="0" t="str">
        <f aca="false">INDEX($S$1:$X$1,MATCH(MAX(S778:X778),S778:X778,0))</f>
        <v>Mis-selling</v>
      </c>
      <c r="Z778" s="0" t="s">
        <v>2607</v>
      </c>
    </row>
    <row r="779" customFormat="false" ht="15" hidden="false" customHeight="false" outlineLevel="0" collapsed="false">
      <c r="A779" s="0" t="str">
        <f aca="false">Complaints!A779</f>
        <v>C0778</v>
      </c>
      <c r="B779" s="0" t="str">
        <f aca="false">Complaints!B779</f>
        <v>I am writing to complain. I asked for a callback and it never happened. There was also a fee involved. Please sort this out.</v>
      </c>
      <c r="C779" s="0" t="str">
        <f aca="false">Complaints!C779</f>
        <v>Customer Service</v>
      </c>
      <c r="D779" s="0" t="str">
        <f aca="false">" "&amp;TRIM(SUBSTITUTE(SUBSTITUTE(SUBSTITUTE(SUBSTITUTE(SUBSTITUTE(SUBSTITUTE(SUBSTITUTE(SUBSTITUTE(SUBSTITUTE(SUBSTITUTE(SUBSTITUTE(SUBSTITUTE(SUBSTITUTE(SUBSTITUTE(SUBSTITUTE(SUBSTITUTE(LOWER(B779),"."," "),","," "),"'"," "),"’"," "),"!"," "),"?"," "),";"," "),":"," "),"-"," "),"("," "),")"," "),"""", " "),"£"," "),"&amp;"," "),"/"," "),"%"," "))&amp;" "</f>
        <v> i am writing to complain i asked for a callback and it never happened there was also a fee involved please sort this out </v>
      </c>
      <c r="E779" s="0" t="n">
        <f aca="false">SUMPRODUCT((Rules!$A$2:$A$60=E$1)*Rules!$C$2:$C$60*ISNUMBER(SEARCH(Rules!$D$2:$D$60,$D779)))</f>
        <v>0</v>
      </c>
      <c r="F779" s="0" t="n">
        <f aca="false">SUMPRODUCT((Rules!$A$2:$A$60=F$1)*Rules!$C$2:$C$60*ISNUMBER(SEARCH(Rules!$D$2:$D$60,$D779)))</f>
        <v>0</v>
      </c>
      <c r="G779" s="0" t="n">
        <f aca="false">SUMPRODUCT((Rules!$A$2:$A$60=G$1)*Rules!$C$2:$C$60*ISNUMBER(SEARCH(Rules!$D$2:$D$60,$D779)))</f>
        <v>0</v>
      </c>
      <c r="H779" s="0" t="n">
        <f aca="false">SUMPRODUCT((Rules!$A$2:$A$60=H$1)*Rules!$C$2:$C$60*ISNUMBER(SEARCH(Rules!$D$2:$D$60,$D779)))</f>
        <v>2</v>
      </c>
      <c r="I779" s="0" t="n">
        <f aca="false">SUMPRODUCT((Rules!$A$2:$A$60=I$1)*Rules!$C$2:$C$60*ISNUMBER(SEARCH(Rules!$D$2:$D$60,$D779)))</f>
        <v>0</v>
      </c>
      <c r="J779" s="0" t="n">
        <f aca="false">SUMPRODUCT((Rules!$A$2:$A$60=J$1)*Rules!$C$2:$C$60*ISNUMBER(SEARCH(Rules!$D$2:$D$60,$D779)))</f>
        <v>2</v>
      </c>
      <c r="K779" s="0" t="str">
        <f aca="false">IF(OR(MAX(E779:J779)&lt;Rules!$H$1,MAX(E779:J779)-LARGE(E779:J779,2)&lt;Rules!$H$2),"No label",INDEX($E$1:$J$1,MATCH(MAX(E779:J779),E779:J779,0)))</f>
        <v>No label</v>
      </c>
      <c r="L779" s="0" t="n">
        <f aca="false">SUMPRODUCT((Rules!$A$2:$A$60=L$1)*Rules!$C$2:$C$60*ISNUMBER(SEARCH(Rules!$E$2:$E$60,$D779)))</f>
        <v>0</v>
      </c>
      <c r="M779" s="0" t="n">
        <f aca="false">SUMPRODUCT((Rules!$A$2:$A$60=M$1)*Rules!$C$2:$C$60*ISNUMBER(SEARCH(Rules!$E$2:$E$60,$D779)))</f>
        <v>0</v>
      </c>
      <c r="N779" s="0" t="n">
        <f aca="false">SUMPRODUCT((Rules!$A$2:$A$60=N$1)*Rules!$C$2:$C$60*ISNUMBER(SEARCH(Rules!$E$2:$E$60,$D779)))</f>
        <v>0</v>
      </c>
      <c r="O779" s="0" t="n">
        <f aca="false">SUMPRODUCT((Rules!$A$2:$A$60=O$1)*Rules!$C$2:$C$60*ISNUMBER(SEARCH(Rules!$E$2:$E$60,$D779)))</f>
        <v>2</v>
      </c>
      <c r="P779" s="0" t="n">
        <f aca="false">SUMPRODUCT((Rules!$A$2:$A$60=P$1)*Rules!$C$2:$C$60*ISNUMBER(SEARCH(Rules!$E$2:$E$60,$D779)))</f>
        <v>0</v>
      </c>
      <c r="Q779" s="0" t="n">
        <f aca="false">SUMPRODUCT((Rules!$A$2:$A$60=Q$1)*Rules!$C$2:$C$60*ISNUMBER(SEARCH(Rules!$E$2:$E$60,$D779)))</f>
        <v>2</v>
      </c>
      <c r="R779" s="0" t="str">
        <f aca="false">IF(OR(MAX(L779:Q779)&lt;Rules!$H$1,MAX(L779:Q779)-LARGE(L779:Q779,2)&lt;Rules!$H$2),"No label",INDEX($L$1:$Q$1,MATCH(MAX(L779:Q779),L779:Q779,0)))</f>
        <v>No label</v>
      </c>
      <c r="S779" s="0" t="n">
        <f aca="false">SUMPRODUCT(ISNUMBER(SEARCH(" "&amp;Terms!$A$3:$A$821&amp;" ",$D779))*Terms!B$3:B$821)+Terms!B$2</f>
        <v>-2.99214968677601</v>
      </c>
      <c r="T779" s="0" t="n">
        <f aca="false">SUMPRODUCT(ISNUMBER(SEARCH(" "&amp;Terms!$A$3:$A$821&amp;" ",$D779))*Terms!C$3:C$821)+Terms!C$2</f>
        <v>5.20050482794837</v>
      </c>
      <c r="U779" s="0" t="n">
        <f aca="false">SUMPRODUCT(ISNUMBER(SEARCH(" "&amp;Terms!$A$3:$A$821&amp;" ",$D779))*Terms!D$3:D$821)+Terms!D$2</f>
        <v>-0.710795042022636</v>
      </c>
      <c r="V779" s="0" t="n">
        <f aca="false">SUMPRODUCT(ISNUMBER(SEARCH(" "&amp;Terms!$A$3:$A$821&amp;" ",$D779))*Terms!E$3:E$821)+Terms!E$2</f>
        <v>1.4910539468417</v>
      </c>
      <c r="W779" s="0" t="n">
        <f aca="false">SUMPRODUCT(ISNUMBER(SEARCH(" "&amp;Terms!$A$3:$A$821&amp;" ",$D779))*Terms!F$3:F$821)+Terms!F$2</f>
        <v>-1.72168814858419</v>
      </c>
      <c r="X779" s="0" t="n">
        <f aca="false">SUMPRODUCT(ISNUMBER(SEARCH(" "&amp;Terms!$A$3:$A$821&amp;" ",$D779))*Terms!G$3:G$821)+Terms!G$2</f>
        <v>-1.26692589740716</v>
      </c>
      <c r="Y779" s="0" t="str">
        <f aca="false">INDEX($S$1:$X$1,MATCH(MAX(S779:X779),S779:X779,0))</f>
        <v>Customer Service</v>
      </c>
      <c r="Z779" s="0" t="s">
        <v>2607</v>
      </c>
    </row>
    <row r="780" customFormat="false" ht="15" hidden="false" customHeight="false" outlineLevel="0" collapsed="false">
      <c r="A780" s="0" t="str">
        <f aca="false">Complaints!A780</f>
        <v>C0779</v>
      </c>
      <c r="B780" s="0" t="str">
        <f aca="false">Complaints!B780</f>
        <v>I was sold a product that was not suitable for my circumstances. I want this put right.</v>
      </c>
      <c r="C780" s="0" t="str">
        <f aca="false">Complaints!C780</f>
        <v>Mis-selling</v>
      </c>
      <c r="D780" s="0" t="str">
        <f aca="false">" "&amp;TRIM(SUBSTITUTE(SUBSTITUTE(SUBSTITUTE(SUBSTITUTE(SUBSTITUTE(SUBSTITUTE(SUBSTITUTE(SUBSTITUTE(SUBSTITUTE(SUBSTITUTE(SUBSTITUTE(SUBSTITUTE(SUBSTITUTE(SUBSTITUTE(SUBSTITUTE(SUBSTITUTE(LOWER(B780),"."," "),","," "),"'"," "),"’"," "),"!"," "),"?"," "),";"," "),":"," "),"-"," "),"("," "),")"," "),"""", " "),"£"," "),"&amp;"," "),"/"," "),"%"," "))&amp;" "</f>
        <v> i was sold a product that was not suitable for my circumstances i want this put right </v>
      </c>
      <c r="E780" s="0" t="n">
        <f aca="false">SUMPRODUCT((Rules!$A$2:$A$60=E$1)*Rules!$C$2:$C$60*ISNUMBER(SEARCH(Rules!$D$2:$D$60,$D780)))</f>
        <v>0</v>
      </c>
      <c r="F780" s="0" t="n">
        <f aca="false">SUMPRODUCT((Rules!$A$2:$A$60=F$1)*Rules!$C$2:$C$60*ISNUMBER(SEARCH(Rules!$D$2:$D$60,$D780)))</f>
        <v>5</v>
      </c>
      <c r="G780" s="0" t="n">
        <f aca="false">SUMPRODUCT((Rules!$A$2:$A$60=G$1)*Rules!$C$2:$C$60*ISNUMBER(SEARCH(Rules!$D$2:$D$60,$D780)))</f>
        <v>0</v>
      </c>
      <c r="H780" s="0" t="n">
        <f aca="false">SUMPRODUCT((Rules!$A$2:$A$60=H$1)*Rules!$C$2:$C$60*ISNUMBER(SEARCH(Rules!$D$2:$D$60,$D780)))</f>
        <v>0</v>
      </c>
      <c r="I780" s="0" t="n">
        <f aca="false">SUMPRODUCT((Rules!$A$2:$A$60=I$1)*Rules!$C$2:$C$60*ISNUMBER(SEARCH(Rules!$D$2:$D$60,$D780)))</f>
        <v>0</v>
      </c>
      <c r="J780" s="0" t="n">
        <f aca="false">SUMPRODUCT((Rules!$A$2:$A$60=J$1)*Rules!$C$2:$C$60*ISNUMBER(SEARCH(Rules!$D$2:$D$60,$D780)))</f>
        <v>0</v>
      </c>
      <c r="K780" s="0" t="str">
        <f aca="false">IF(OR(MAX(E780:J780)&lt;Rules!$H$1,MAX(E780:J780)-LARGE(E780:J780,2)&lt;Rules!$H$2),"No label",INDEX($E$1:$J$1,MATCH(MAX(E780:J780),E780:J780,0)))</f>
        <v>Mis-selling</v>
      </c>
      <c r="L780" s="0" t="n">
        <f aca="false">SUMPRODUCT((Rules!$A$2:$A$60=L$1)*Rules!$C$2:$C$60*ISNUMBER(SEARCH(Rules!$E$2:$E$60,$D780)))</f>
        <v>0</v>
      </c>
      <c r="M780" s="0" t="n">
        <f aca="false">SUMPRODUCT((Rules!$A$2:$A$60=M$1)*Rules!$C$2:$C$60*ISNUMBER(SEARCH(Rules!$E$2:$E$60,$D780)))</f>
        <v>5</v>
      </c>
      <c r="N780" s="0" t="n">
        <f aca="false">SUMPRODUCT((Rules!$A$2:$A$60=N$1)*Rules!$C$2:$C$60*ISNUMBER(SEARCH(Rules!$E$2:$E$60,$D780)))</f>
        <v>0</v>
      </c>
      <c r="O780" s="0" t="n">
        <f aca="false">SUMPRODUCT((Rules!$A$2:$A$60=O$1)*Rules!$C$2:$C$60*ISNUMBER(SEARCH(Rules!$E$2:$E$60,$D780)))</f>
        <v>0</v>
      </c>
      <c r="P780" s="0" t="n">
        <f aca="false">SUMPRODUCT((Rules!$A$2:$A$60=P$1)*Rules!$C$2:$C$60*ISNUMBER(SEARCH(Rules!$E$2:$E$60,$D780)))</f>
        <v>0</v>
      </c>
      <c r="Q780" s="0" t="n">
        <f aca="false">SUMPRODUCT((Rules!$A$2:$A$60=Q$1)*Rules!$C$2:$C$60*ISNUMBER(SEARCH(Rules!$E$2:$E$60,$D780)))</f>
        <v>0</v>
      </c>
      <c r="R780" s="0" t="str">
        <f aca="false">IF(OR(MAX(L780:Q780)&lt;Rules!$H$1,MAX(L780:Q780)-LARGE(L780:Q780,2)&lt;Rules!$H$2),"No label",INDEX($L$1:$Q$1,MATCH(MAX(L780:Q780),L780:Q780,0)))</f>
        <v>Mis-selling</v>
      </c>
      <c r="S780" s="0" t="n">
        <f aca="false">SUMPRODUCT(ISNUMBER(SEARCH(" "&amp;Terms!$A$3:$A$821&amp;" ",$D780))*Terms!B$3:B$821)+Terms!B$2</f>
        <v>-2.30886057617755</v>
      </c>
      <c r="T780" s="0" t="n">
        <f aca="false">SUMPRODUCT(ISNUMBER(SEARCH(" "&amp;Terms!$A$3:$A$821&amp;" ",$D780))*Terms!C$3:C$821)+Terms!C$2</f>
        <v>-3.29172507777295</v>
      </c>
      <c r="U780" s="0" t="n">
        <f aca="false">SUMPRODUCT(ISNUMBER(SEARCH(" "&amp;Terms!$A$3:$A$821&amp;" ",$D780))*Terms!D$3:D$821)+Terms!D$2</f>
        <v>-1.02353095216538</v>
      </c>
      <c r="V780" s="0" t="n">
        <f aca="false">SUMPRODUCT(ISNUMBER(SEARCH(" "&amp;Terms!$A$3:$A$821&amp;" ",$D780))*Terms!E$3:E$821)+Terms!E$2</f>
        <v>-0.431835768921297</v>
      </c>
      <c r="W780" s="0" t="n">
        <f aca="false">SUMPRODUCT(ISNUMBER(SEARCH(" "&amp;Terms!$A$3:$A$821&amp;" ",$D780))*Terms!F$3:F$821)+Terms!F$2</f>
        <v>0.410482734466756</v>
      </c>
      <c r="X780" s="0" t="n">
        <f aca="false">SUMPRODUCT(ISNUMBER(SEARCH(" "&amp;Terms!$A$3:$A$821&amp;" ",$D780))*Terms!G$3:G$821)+Terms!G$2</f>
        <v>6.64546964057053</v>
      </c>
      <c r="Y780" s="0" t="str">
        <f aca="false">INDEX($S$1:$X$1,MATCH(MAX(S780:X780),S780:X780,0))</f>
        <v>Mis-selling</v>
      </c>
      <c r="Z780" s="0" t="s">
        <v>2607</v>
      </c>
    </row>
    <row r="781" customFormat="false" ht="15" hidden="false" customHeight="false" outlineLevel="0" collapsed="false">
      <c r="A781" s="0" t="str">
        <f aca="false">Complaints!A781</f>
        <v>C0780</v>
      </c>
      <c r="B781" s="0" t="str">
        <f aca="false">Complaints!B781</f>
        <v>This is the second time I have raised this. I have been billed an annual fee I never agreed to. Also, i think I was the victim of a scam and sent money to a fraudster.</v>
      </c>
      <c r="C781" s="0" t="str">
        <f aca="false">Complaints!C781</f>
        <v>Fees &amp; Charges</v>
      </c>
      <c r="D781" s="0" t="str">
        <f aca="false">" "&amp;TRIM(SUBSTITUTE(SUBSTITUTE(SUBSTITUTE(SUBSTITUTE(SUBSTITUTE(SUBSTITUTE(SUBSTITUTE(SUBSTITUTE(SUBSTITUTE(SUBSTITUTE(SUBSTITUTE(SUBSTITUTE(SUBSTITUTE(SUBSTITUTE(SUBSTITUTE(SUBSTITUTE(LOWER(B781),"."," "),","," "),"'"," "),"’"," "),"!"," "),"?"," "),";"," "),":"," "),"-"," "),"("," "),")"," "),"""", " "),"£"," "),"&amp;"," "),"/"," "),"%"," "))&amp;" "</f>
        <v> this is the second time i have raised this i have been billed an annual fee i never agreed to also i think i was the victim of a scam and sent money to a fraudster </v>
      </c>
      <c r="E781" s="0" t="n">
        <f aca="false">SUMPRODUCT((Rules!$A$2:$A$60=E$1)*Rules!$C$2:$C$60*ISNUMBER(SEARCH(Rules!$D$2:$D$60,$D781)))</f>
        <v>6</v>
      </c>
      <c r="F781" s="0" t="n">
        <f aca="false">SUMPRODUCT((Rules!$A$2:$A$60=F$1)*Rules!$C$2:$C$60*ISNUMBER(SEARCH(Rules!$D$2:$D$60,$D781)))</f>
        <v>0</v>
      </c>
      <c r="G781" s="0" t="n">
        <f aca="false">SUMPRODUCT((Rules!$A$2:$A$60=G$1)*Rules!$C$2:$C$60*ISNUMBER(SEARCH(Rules!$D$2:$D$60,$D781)))</f>
        <v>0</v>
      </c>
      <c r="H781" s="0" t="n">
        <f aca="false">SUMPRODUCT((Rules!$A$2:$A$60=H$1)*Rules!$C$2:$C$60*ISNUMBER(SEARCH(Rules!$D$2:$D$60,$D781)))</f>
        <v>4</v>
      </c>
      <c r="I781" s="0" t="n">
        <f aca="false">SUMPRODUCT((Rules!$A$2:$A$60=I$1)*Rules!$C$2:$C$60*ISNUMBER(SEARCH(Rules!$D$2:$D$60,$D781)))</f>
        <v>0</v>
      </c>
      <c r="J781" s="0" t="n">
        <f aca="false">SUMPRODUCT((Rules!$A$2:$A$60=J$1)*Rules!$C$2:$C$60*ISNUMBER(SEARCH(Rules!$D$2:$D$60,$D781)))</f>
        <v>0</v>
      </c>
      <c r="K781" s="0" t="str">
        <f aca="false">IF(OR(MAX(E781:J781)&lt;Rules!$H$1,MAX(E781:J781)-LARGE(E781:J781,2)&lt;Rules!$H$2),"No label",INDEX($E$1:$J$1,MATCH(MAX(E781:J781),E781:J781,0)))</f>
        <v>Fraud &amp; Scams</v>
      </c>
      <c r="L781" s="0" t="n">
        <f aca="false">SUMPRODUCT((Rules!$A$2:$A$60=L$1)*Rules!$C$2:$C$60*ISNUMBER(SEARCH(Rules!$E$2:$E$60,$D781)))</f>
        <v>6</v>
      </c>
      <c r="M781" s="0" t="n">
        <f aca="false">SUMPRODUCT((Rules!$A$2:$A$60=M$1)*Rules!$C$2:$C$60*ISNUMBER(SEARCH(Rules!$E$2:$E$60,$D781)))</f>
        <v>0</v>
      </c>
      <c r="N781" s="0" t="n">
        <f aca="false">SUMPRODUCT((Rules!$A$2:$A$60=N$1)*Rules!$C$2:$C$60*ISNUMBER(SEARCH(Rules!$E$2:$E$60,$D781)))</f>
        <v>0</v>
      </c>
      <c r="O781" s="0" t="n">
        <f aca="false">SUMPRODUCT((Rules!$A$2:$A$60=O$1)*Rules!$C$2:$C$60*ISNUMBER(SEARCH(Rules!$E$2:$E$60,$D781)))</f>
        <v>4</v>
      </c>
      <c r="P781" s="0" t="n">
        <f aca="false">SUMPRODUCT((Rules!$A$2:$A$60=P$1)*Rules!$C$2:$C$60*ISNUMBER(SEARCH(Rules!$E$2:$E$60,$D781)))</f>
        <v>0</v>
      </c>
      <c r="Q781" s="0" t="n">
        <f aca="false">SUMPRODUCT((Rules!$A$2:$A$60=Q$1)*Rules!$C$2:$C$60*ISNUMBER(SEARCH(Rules!$E$2:$E$60,$D781)))</f>
        <v>0</v>
      </c>
      <c r="R781" s="0" t="str">
        <f aca="false">IF(OR(MAX(L781:Q781)&lt;Rules!$H$1,MAX(L781:Q781)-LARGE(L781:Q781,2)&lt;Rules!$H$2),"No label",INDEX($L$1:$Q$1,MATCH(MAX(L781:Q781),L781:Q781,0)))</f>
        <v>Fraud &amp; Scams</v>
      </c>
      <c r="S781" s="0" t="n">
        <f aca="false">SUMPRODUCT(ISNUMBER(SEARCH(" "&amp;Terms!$A$3:$A$821&amp;" ",$D781))*Terms!B$3:B$821)+Terms!B$2</f>
        <v>-2.56848045657287</v>
      </c>
      <c r="T781" s="0" t="n">
        <f aca="false">SUMPRODUCT(ISNUMBER(SEARCH(" "&amp;Terms!$A$3:$A$821&amp;" ",$D781))*Terms!C$3:C$821)+Terms!C$2</f>
        <v>-3.86706463058141</v>
      </c>
      <c r="U781" s="0" t="n">
        <f aca="false">SUMPRODUCT(ISNUMBER(SEARCH(" "&amp;Terms!$A$3:$A$821&amp;" ",$D781))*Terms!D$3:D$821)+Terms!D$2</f>
        <v>-3.21012914832869</v>
      </c>
      <c r="V781" s="0" t="n">
        <f aca="false">SUMPRODUCT(ISNUMBER(SEARCH(" "&amp;Terms!$A$3:$A$821&amp;" ",$D781))*Terms!E$3:E$821)+Terms!E$2</f>
        <v>9.31398835407465</v>
      </c>
      <c r="W781" s="0" t="n">
        <f aca="false">SUMPRODUCT(ISNUMBER(SEARCH(" "&amp;Terms!$A$3:$A$821&amp;" ",$D781))*Terms!F$3:F$821)+Terms!F$2</f>
        <v>5.13096405124218</v>
      </c>
      <c r="X781" s="0" t="n">
        <f aca="false">SUMPRODUCT(ISNUMBER(SEARCH(" "&amp;Terms!$A$3:$A$821&amp;" ",$D781))*Terms!G$3:G$821)+Terms!G$2</f>
        <v>-4.79927816983375</v>
      </c>
      <c r="Y781" s="0" t="str">
        <f aca="false">INDEX($S$1:$X$1,MATCH(MAX(S781:X781),S781:X781,0))</f>
        <v>Fees &amp; Charges</v>
      </c>
      <c r="Z781" s="0" t="s">
        <v>2607</v>
      </c>
    </row>
    <row r="782" customFormat="false" ht="15" hidden="false" customHeight="false" outlineLevel="0" collapsed="false">
      <c r="A782" s="0" t="str">
        <f aca="false">Complaints!A782</f>
        <v>C0781</v>
      </c>
      <c r="B782" s="0" t="str">
        <f aca="false">Complaints!B782</f>
        <v>Hello, The website will not let me register for online access. There was also a fee involved.</v>
      </c>
      <c r="C782" s="0" t="str">
        <f aca="false">Complaints!C782</f>
        <v>Account Access</v>
      </c>
      <c r="D782" s="0" t="str">
        <f aca="false">" "&amp;TRIM(SUBSTITUTE(SUBSTITUTE(SUBSTITUTE(SUBSTITUTE(SUBSTITUTE(SUBSTITUTE(SUBSTITUTE(SUBSTITUTE(SUBSTITUTE(SUBSTITUTE(SUBSTITUTE(SUBSTITUTE(SUBSTITUTE(SUBSTITUTE(SUBSTITUTE(SUBSTITUTE(LOWER(B782),"."," "),","," "),"'"," "),"’"," "),"!"," "),"?"," "),";"," "),":"," "),"-"," "),"("," "),")"," "),"""", " "),"£"," "),"&amp;"," "),"/"," "),"%"," "))&amp;" "</f>
        <v> hello the website will not let me register for online access there was also a fee involved </v>
      </c>
      <c r="E782" s="0" t="n">
        <f aca="false">SUMPRODUCT((Rules!$A$2:$A$60=E$1)*Rules!$C$2:$C$60*ISNUMBER(SEARCH(Rules!$D$2:$D$60,$D782)))</f>
        <v>0</v>
      </c>
      <c r="F782" s="0" t="n">
        <f aca="false">SUMPRODUCT((Rules!$A$2:$A$60=F$1)*Rules!$C$2:$C$60*ISNUMBER(SEARCH(Rules!$D$2:$D$60,$D782)))</f>
        <v>0</v>
      </c>
      <c r="G782" s="0" t="n">
        <f aca="false">SUMPRODUCT((Rules!$A$2:$A$60=G$1)*Rules!$C$2:$C$60*ISNUMBER(SEARCH(Rules!$D$2:$D$60,$D782)))</f>
        <v>1</v>
      </c>
      <c r="H782" s="0" t="n">
        <f aca="false">SUMPRODUCT((Rules!$A$2:$A$60=H$1)*Rules!$C$2:$C$60*ISNUMBER(SEARCH(Rules!$D$2:$D$60,$D782)))</f>
        <v>2</v>
      </c>
      <c r="I782" s="0" t="n">
        <f aca="false">SUMPRODUCT((Rules!$A$2:$A$60=I$1)*Rules!$C$2:$C$60*ISNUMBER(SEARCH(Rules!$D$2:$D$60,$D782)))</f>
        <v>0</v>
      </c>
      <c r="J782" s="0" t="n">
        <f aca="false">SUMPRODUCT((Rules!$A$2:$A$60=J$1)*Rules!$C$2:$C$60*ISNUMBER(SEARCH(Rules!$D$2:$D$60,$D782)))</f>
        <v>0</v>
      </c>
      <c r="K782" s="0" t="str">
        <f aca="false">IF(OR(MAX(E782:J782)&lt;Rules!$H$1,MAX(E782:J782)-LARGE(E782:J782,2)&lt;Rules!$H$2),"No label",INDEX($E$1:$J$1,MATCH(MAX(E782:J782),E782:J782,0)))</f>
        <v>No label</v>
      </c>
      <c r="L782" s="0" t="n">
        <f aca="false">SUMPRODUCT((Rules!$A$2:$A$60=L$1)*Rules!$C$2:$C$60*ISNUMBER(SEARCH(Rules!$E$2:$E$60,$D782)))</f>
        <v>0</v>
      </c>
      <c r="M782" s="0" t="n">
        <f aca="false">SUMPRODUCT((Rules!$A$2:$A$60=M$1)*Rules!$C$2:$C$60*ISNUMBER(SEARCH(Rules!$E$2:$E$60,$D782)))</f>
        <v>0</v>
      </c>
      <c r="N782" s="0" t="n">
        <f aca="false">SUMPRODUCT((Rules!$A$2:$A$60=N$1)*Rules!$C$2:$C$60*ISNUMBER(SEARCH(Rules!$E$2:$E$60,$D782)))</f>
        <v>1</v>
      </c>
      <c r="O782" s="0" t="n">
        <f aca="false">SUMPRODUCT((Rules!$A$2:$A$60=O$1)*Rules!$C$2:$C$60*ISNUMBER(SEARCH(Rules!$E$2:$E$60,$D782)))</f>
        <v>2</v>
      </c>
      <c r="P782" s="0" t="n">
        <f aca="false">SUMPRODUCT((Rules!$A$2:$A$60=P$1)*Rules!$C$2:$C$60*ISNUMBER(SEARCH(Rules!$E$2:$E$60,$D782)))</f>
        <v>0</v>
      </c>
      <c r="Q782" s="0" t="n">
        <f aca="false">SUMPRODUCT((Rules!$A$2:$A$60=Q$1)*Rules!$C$2:$C$60*ISNUMBER(SEARCH(Rules!$E$2:$E$60,$D782)))</f>
        <v>0</v>
      </c>
      <c r="R782" s="0" t="str">
        <f aca="false">IF(OR(MAX(L782:Q782)&lt;Rules!$H$1,MAX(L782:Q782)-LARGE(L782:Q782,2)&lt;Rules!$H$2),"No label",INDEX($L$1:$Q$1,MATCH(MAX(L782:Q782),L782:Q782,0)))</f>
        <v>No label</v>
      </c>
      <c r="S782" s="0" t="n">
        <f aca="false">SUMPRODUCT(ISNUMBER(SEARCH(" "&amp;Terms!$A$3:$A$821&amp;" ",$D782))*Terms!B$3:B$821)+Terms!B$2</f>
        <v>10.5283465756926</v>
      </c>
      <c r="T782" s="0" t="n">
        <f aca="false">SUMPRODUCT(ISNUMBER(SEARCH(" "&amp;Terms!$A$3:$A$821&amp;" ",$D782))*Terms!C$3:C$821)+Terms!C$2</f>
        <v>-5.14073242444467</v>
      </c>
      <c r="U782" s="0" t="n">
        <f aca="false">SUMPRODUCT(ISNUMBER(SEARCH(" "&amp;Terms!$A$3:$A$821&amp;" ",$D782))*Terms!D$3:D$821)+Terms!D$2</f>
        <v>-3.13527786769676</v>
      </c>
      <c r="V782" s="0" t="n">
        <f aca="false">SUMPRODUCT(ISNUMBER(SEARCH(" "&amp;Terms!$A$3:$A$821&amp;" ",$D782))*Terms!E$3:E$821)+Terms!E$2</f>
        <v>-0.262120134283824</v>
      </c>
      <c r="W782" s="0" t="n">
        <f aca="false">SUMPRODUCT(ISNUMBER(SEARCH(" "&amp;Terms!$A$3:$A$821&amp;" ",$D782))*Terms!F$3:F$821)+Terms!F$2</f>
        <v>-2.19308207592695</v>
      </c>
      <c r="X782" s="0" t="n">
        <f aca="false">SUMPRODUCT(ISNUMBER(SEARCH(" "&amp;Terms!$A$3:$A$821&amp;" ",$D782))*Terms!G$3:G$821)+Terms!G$2</f>
        <v>0.202865926659679</v>
      </c>
      <c r="Y782" s="0" t="str">
        <f aca="false">INDEX($S$1:$X$1,MATCH(MAX(S782:X782),S782:X782,0))</f>
        <v>Account Access</v>
      </c>
      <c r="Z782" s="0" t="s">
        <v>2607</v>
      </c>
    </row>
    <row r="783" customFormat="false" ht="15" hidden="false" customHeight="false" outlineLevel="0" collapsed="false">
      <c r="A783" s="0" t="str">
        <f aca="false">Complaints!A783</f>
        <v>C0782</v>
      </c>
      <c r="B783" s="0" t="str">
        <f aca="false">Complaints!B783</f>
        <v>The branch manager would not listen to my concerns. I expect compensation.</v>
      </c>
      <c r="C783" s="0" t="str">
        <f aca="false">Complaints!C783</f>
        <v>Customer Service</v>
      </c>
      <c r="D783" s="0" t="str">
        <f aca="false">" "&amp;TRIM(SUBSTITUTE(SUBSTITUTE(SUBSTITUTE(SUBSTITUTE(SUBSTITUTE(SUBSTITUTE(SUBSTITUTE(SUBSTITUTE(SUBSTITUTE(SUBSTITUTE(SUBSTITUTE(SUBSTITUTE(SUBSTITUTE(SUBSTITUTE(SUBSTITUTE(SUBSTITUTE(LOWER(B783),"."," "),","," "),"'"," "),"’"," "),"!"," "),"?"," "),";"," "),":"," "),"-"," "),"("," "),")"," "),"""", " "),"£"," "),"&amp;"," "),"/"," "),"%"," "))&amp;" "</f>
        <v> the branch manager would not listen to my concerns i expect compensation </v>
      </c>
      <c r="E783" s="0" t="n">
        <f aca="false">SUMPRODUCT((Rules!$A$2:$A$60=E$1)*Rules!$C$2:$C$60*ISNUMBER(SEARCH(Rules!$D$2:$D$60,$D783)))</f>
        <v>0</v>
      </c>
      <c r="F783" s="0" t="n">
        <f aca="false">SUMPRODUCT((Rules!$A$2:$A$60=F$1)*Rules!$C$2:$C$60*ISNUMBER(SEARCH(Rules!$D$2:$D$60,$D783)))</f>
        <v>0</v>
      </c>
      <c r="G783" s="0" t="n">
        <f aca="false">SUMPRODUCT((Rules!$A$2:$A$60=G$1)*Rules!$C$2:$C$60*ISNUMBER(SEARCH(Rules!$D$2:$D$60,$D783)))</f>
        <v>0</v>
      </c>
      <c r="H783" s="0" t="n">
        <f aca="false">SUMPRODUCT((Rules!$A$2:$A$60=H$1)*Rules!$C$2:$C$60*ISNUMBER(SEARCH(Rules!$D$2:$D$60,$D783)))</f>
        <v>0</v>
      </c>
      <c r="I783" s="0" t="n">
        <f aca="false">SUMPRODUCT((Rules!$A$2:$A$60=I$1)*Rules!$C$2:$C$60*ISNUMBER(SEARCH(Rules!$D$2:$D$60,$D783)))</f>
        <v>0</v>
      </c>
      <c r="J783" s="0" t="n">
        <f aca="false">SUMPRODUCT((Rules!$A$2:$A$60=J$1)*Rules!$C$2:$C$60*ISNUMBER(SEARCH(Rules!$D$2:$D$60,$D783)))</f>
        <v>0</v>
      </c>
      <c r="K783" s="0" t="str">
        <f aca="false">IF(OR(MAX(E783:J783)&lt;Rules!$H$1,MAX(E783:J783)-LARGE(E783:J783,2)&lt;Rules!$H$2),"No label",INDEX($E$1:$J$1,MATCH(MAX(E783:J783),E783:J783,0)))</f>
        <v>No label</v>
      </c>
      <c r="L783" s="0" t="n">
        <f aca="false">SUMPRODUCT((Rules!$A$2:$A$60=L$1)*Rules!$C$2:$C$60*ISNUMBER(SEARCH(Rules!$E$2:$E$60,$D783)))</f>
        <v>0</v>
      </c>
      <c r="M783" s="0" t="n">
        <f aca="false">SUMPRODUCT((Rules!$A$2:$A$60=M$1)*Rules!$C$2:$C$60*ISNUMBER(SEARCH(Rules!$E$2:$E$60,$D783)))</f>
        <v>0</v>
      </c>
      <c r="N783" s="0" t="n">
        <f aca="false">SUMPRODUCT((Rules!$A$2:$A$60=N$1)*Rules!$C$2:$C$60*ISNUMBER(SEARCH(Rules!$E$2:$E$60,$D783)))</f>
        <v>0</v>
      </c>
      <c r="O783" s="0" t="n">
        <f aca="false">SUMPRODUCT((Rules!$A$2:$A$60=O$1)*Rules!$C$2:$C$60*ISNUMBER(SEARCH(Rules!$E$2:$E$60,$D783)))</f>
        <v>0</v>
      </c>
      <c r="P783" s="0" t="n">
        <f aca="false">SUMPRODUCT((Rules!$A$2:$A$60=P$1)*Rules!$C$2:$C$60*ISNUMBER(SEARCH(Rules!$E$2:$E$60,$D783)))</f>
        <v>0</v>
      </c>
      <c r="Q783" s="0" t="n">
        <f aca="false">SUMPRODUCT((Rules!$A$2:$A$60=Q$1)*Rules!$C$2:$C$60*ISNUMBER(SEARCH(Rules!$E$2:$E$60,$D783)))</f>
        <v>0</v>
      </c>
      <c r="R783" s="0" t="str">
        <f aca="false">IF(OR(MAX(L783:Q783)&lt;Rules!$H$1,MAX(L783:Q783)-LARGE(L783:Q783,2)&lt;Rules!$H$2),"No label",INDEX($L$1:$Q$1,MATCH(MAX(L783:Q783),L783:Q783,0)))</f>
        <v>No label</v>
      </c>
      <c r="S783" s="0" t="n">
        <f aca="false">SUMPRODUCT(ISNUMBER(SEARCH(" "&amp;Terms!$A$3:$A$821&amp;" ",$D783))*Terms!B$3:B$821)+Terms!B$2</f>
        <v>1.05699736088251</v>
      </c>
      <c r="T783" s="0" t="n">
        <f aca="false">SUMPRODUCT(ISNUMBER(SEARCH(" "&amp;Terms!$A$3:$A$821&amp;" ",$D783))*Terms!C$3:C$821)+Terms!C$2</f>
        <v>9.10524121527602</v>
      </c>
      <c r="U783" s="0" t="n">
        <f aca="false">SUMPRODUCT(ISNUMBER(SEARCH(" "&amp;Terms!$A$3:$A$821&amp;" ",$D783))*Terms!D$3:D$821)+Terms!D$2</f>
        <v>-3.80605440721445</v>
      </c>
      <c r="V783" s="0" t="n">
        <f aca="false">SUMPRODUCT(ISNUMBER(SEARCH(" "&amp;Terms!$A$3:$A$821&amp;" ",$D783))*Terms!E$3:E$821)+Terms!E$2</f>
        <v>-1.49709541582613</v>
      </c>
      <c r="W783" s="0" t="n">
        <f aca="false">SUMPRODUCT(ISNUMBER(SEARCH(" "&amp;Terms!$A$3:$A$821&amp;" ",$D783))*Terms!F$3:F$821)+Terms!F$2</f>
        <v>-1.04900886971766</v>
      </c>
      <c r="X783" s="0" t="n">
        <f aca="false">SUMPRODUCT(ISNUMBER(SEARCH(" "&amp;Terms!$A$3:$A$821&amp;" ",$D783))*Terms!G$3:G$821)+Terms!G$2</f>
        <v>-3.81007988340019</v>
      </c>
      <c r="Y783" s="0" t="str">
        <f aca="false">INDEX($S$1:$X$1,MATCH(MAX(S783:X783),S783:X783,0))</f>
        <v>Customer Service</v>
      </c>
      <c r="Z783" s="0" t="s">
        <v>2608</v>
      </c>
    </row>
    <row r="784" customFormat="false" ht="15" hidden="false" customHeight="false" outlineLevel="0" collapsed="false">
      <c r="A784" s="0" t="str">
        <f aca="false">Complaints!A784</f>
        <v>C0783</v>
      </c>
      <c r="B784" s="0" t="str">
        <f aca="false">Complaints!B784</f>
        <v>I have been a customer for years. I was tricked into moving savings to a safe account that was not safe. I could not log in to check either. I want this put right.</v>
      </c>
      <c r="C784" s="0" t="str">
        <f aca="false">Complaints!C784</f>
        <v>Fraud &amp; Scams</v>
      </c>
      <c r="D784" s="0" t="str">
        <f aca="false">" "&amp;TRIM(SUBSTITUTE(SUBSTITUTE(SUBSTITUTE(SUBSTITUTE(SUBSTITUTE(SUBSTITUTE(SUBSTITUTE(SUBSTITUTE(SUBSTITUTE(SUBSTITUTE(SUBSTITUTE(SUBSTITUTE(SUBSTITUTE(SUBSTITUTE(SUBSTITUTE(SUBSTITUTE(LOWER(B784),"."," "),","," "),"'"," "),"’"," "),"!"," "),"?"," "),";"," "),":"," "),"-"," "),"("," "),")"," "),"""", " "),"£"," "),"&amp;"," "),"/"," "),"%"," "))&amp;" "</f>
        <v> i have been a customer for years i was tricked into moving savings to a safe account that was not safe i could not log in to check either i want this put right </v>
      </c>
      <c r="E784" s="0" t="n">
        <f aca="false">SUMPRODUCT((Rules!$A$2:$A$60=E$1)*Rules!$C$2:$C$60*ISNUMBER(SEARCH(Rules!$D$2:$D$60,$D784)))</f>
        <v>2</v>
      </c>
      <c r="F784" s="0" t="n">
        <f aca="false">SUMPRODUCT((Rules!$A$2:$A$60=F$1)*Rules!$C$2:$C$60*ISNUMBER(SEARCH(Rules!$D$2:$D$60,$D784)))</f>
        <v>0</v>
      </c>
      <c r="G784" s="0" t="n">
        <f aca="false">SUMPRODUCT((Rules!$A$2:$A$60=G$1)*Rules!$C$2:$C$60*ISNUMBER(SEARCH(Rules!$D$2:$D$60,$D784)))</f>
        <v>3</v>
      </c>
      <c r="H784" s="0" t="n">
        <f aca="false">SUMPRODUCT((Rules!$A$2:$A$60=H$1)*Rules!$C$2:$C$60*ISNUMBER(SEARCH(Rules!$D$2:$D$60,$D784)))</f>
        <v>0</v>
      </c>
      <c r="I784" s="0" t="n">
        <f aca="false">SUMPRODUCT((Rules!$A$2:$A$60=I$1)*Rules!$C$2:$C$60*ISNUMBER(SEARCH(Rules!$D$2:$D$60,$D784)))</f>
        <v>0</v>
      </c>
      <c r="J784" s="0" t="n">
        <f aca="false">SUMPRODUCT((Rules!$A$2:$A$60=J$1)*Rules!$C$2:$C$60*ISNUMBER(SEARCH(Rules!$D$2:$D$60,$D784)))</f>
        <v>0</v>
      </c>
      <c r="K784" s="0" t="str">
        <f aca="false">IF(OR(MAX(E784:J784)&lt;Rules!$H$1,MAX(E784:J784)-LARGE(E784:J784,2)&lt;Rules!$H$2),"No label",INDEX($E$1:$J$1,MATCH(MAX(E784:J784),E784:J784,0)))</f>
        <v>No label</v>
      </c>
      <c r="L784" s="0" t="n">
        <f aca="false">SUMPRODUCT((Rules!$A$2:$A$60=L$1)*Rules!$C$2:$C$60*ISNUMBER(SEARCH(Rules!$E$2:$E$60,$D784)))</f>
        <v>2</v>
      </c>
      <c r="M784" s="0" t="n">
        <f aca="false">SUMPRODUCT((Rules!$A$2:$A$60=M$1)*Rules!$C$2:$C$60*ISNUMBER(SEARCH(Rules!$E$2:$E$60,$D784)))</f>
        <v>0</v>
      </c>
      <c r="N784" s="0" t="n">
        <f aca="false">SUMPRODUCT((Rules!$A$2:$A$60=N$1)*Rules!$C$2:$C$60*ISNUMBER(SEARCH(Rules!$E$2:$E$60,$D784)))</f>
        <v>3</v>
      </c>
      <c r="O784" s="0" t="n">
        <f aca="false">SUMPRODUCT((Rules!$A$2:$A$60=O$1)*Rules!$C$2:$C$60*ISNUMBER(SEARCH(Rules!$E$2:$E$60,$D784)))</f>
        <v>0</v>
      </c>
      <c r="P784" s="0" t="n">
        <f aca="false">SUMPRODUCT((Rules!$A$2:$A$60=P$1)*Rules!$C$2:$C$60*ISNUMBER(SEARCH(Rules!$E$2:$E$60,$D784)))</f>
        <v>0</v>
      </c>
      <c r="Q784" s="0" t="n">
        <f aca="false">SUMPRODUCT((Rules!$A$2:$A$60=Q$1)*Rules!$C$2:$C$60*ISNUMBER(SEARCH(Rules!$E$2:$E$60,$D784)))</f>
        <v>0</v>
      </c>
      <c r="R784" s="0" t="str">
        <f aca="false">IF(OR(MAX(L784:Q784)&lt;Rules!$H$1,MAX(L784:Q784)-LARGE(L784:Q784,2)&lt;Rules!$H$2),"No label",INDEX($L$1:$Q$1,MATCH(MAX(L784:Q784),L784:Q784,0)))</f>
        <v>No label</v>
      </c>
      <c r="S784" s="0" t="n">
        <f aca="false">SUMPRODUCT(ISNUMBER(SEARCH(" "&amp;Terms!$A$3:$A$821&amp;" ",$D784))*Terms!B$3:B$821)+Terms!B$2</f>
        <v>-1.94330279581585</v>
      </c>
      <c r="T784" s="0" t="n">
        <f aca="false">SUMPRODUCT(ISNUMBER(SEARCH(" "&amp;Terms!$A$3:$A$821&amp;" ",$D784))*Terms!C$3:C$821)+Terms!C$2</f>
        <v>-6.66145262930784</v>
      </c>
      <c r="U784" s="0" t="n">
        <f aca="false">SUMPRODUCT(ISNUMBER(SEARCH(" "&amp;Terms!$A$3:$A$821&amp;" ",$D784))*Terms!D$3:D$821)+Terms!D$2</f>
        <v>2.88147508801766</v>
      </c>
      <c r="V784" s="0" t="n">
        <f aca="false">SUMPRODUCT(ISNUMBER(SEARCH(" "&amp;Terms!$A$3:$A$821&amp;" ",$D784))*Terms!E$3:E$821)+Terms!E$2</f>
        <v>-0.190586186325655</v>
      </c>
      <c r="W784" s="0" t="n">
        <f aca="false">SUMPRODUCT(ISNUMBER(SEARCH(" "&amp;Terms!$A$3:$A$821&amp;" ",$D784))*Terms!F$3:F$821)+Terms!F$2</f>
        <v>10.6429560034631</v>
      </c>
      <c r="X784" s="0" t="n">
        <f aca="false">SUMPRODUCT(ISNUMBER(SEARCH(" "&amp;Terms!$A$3:$A$821&amp;" ",$D784))*Terms!G$3:G$821)+Terms!G$2</f>
        <v>-4.72908948003132</v>
      </c>
      <c r="Y784" s="0" t="str">
        <f aca="false">INDEX($S$1:$X$1,MATCH(MAX(S784:X784),S784:X784,0))</f>
        <v>Fraud &amp; Scams</v>
      </c>
      <c r="Z784" s="0" t="s">
        <v>2608</v>
      </c>
    </row>
    <row r="785" customFormat="false" ht="15" hidden="false" customHeight="false" outlineLevel="0" collapsed="false">
      <c r="A785" s="0" t="str">
        <f aca="false">Complaints!A785</f>
        <v>C0784</v>
      </c>
      <c r="B785" s="0" t="str">
        <f aca="false">Complaints!B785</f>
        <v>Someone has made payments from my account that I did not authorise.</v>
      </c>
      <c r="C785" s="0" t="str">
        <f aca="false">Complaints!C785</f>
        <v>Fraud &amp; Scams</v>
      </c>
      <c r="D785" s="0" t="str">
        <f aca="false">" "&amp;TRIM(SUBSTITUTE(SUBSTITUTE(SUBSTITUTE(SUBSTITUTE(SUBSTITUTE(SUBSTITUTE(SUBSTITUTE(SUBSTITUTE(SUBSTITUTE(SUBSTITUTE(SUBSTITUTE(SUBSTITUTE(SUBSTITUTE(SUBSTITUTE(SUBSTITUTE(SUBSTITUTE(LOWER(B785),"."," "),","," "),"'"," "),"’"," "),"!"," "),"?"," "),";"," "),":"," "),"-"," "),"("," "),")"," "),"""", " "),"£"," "),"&amp;"," "),"/"," "),"%"," "))&amp;" "</f>
        <v> someone has made payments from my account that i did not authorise </v>
      </c>
      <c r="E785" s="0" t="n">
        <f aca="false">SUMPRODUCT((Rules!$A$2:$A$60=E$1)*Rules!$C$2:$C$60*ISNUMBER(SEARCH(Rules!$D$2:$D$60,$D785)))</f>
        <v>3</v>
      </c>
      <c r="F785" s="0" t="n">
        <f aca="false">SUMPRODUCT((Rules!$A$2:$A$60=F$1)*Rules!$C$2:$C$60*ISNUMBER(SEARCH(Rules!$D$2:$D$60,$D785)))</f>
        <v>0</v>
      </c>
      <c r="G785" s="0" t="n">
        <f aca="false">SUMPRODUCT((Rules!$A$2:$A$60=G$1)*Rules!$C$2:$C$60*ISNUMBER(SEARCH(Rules!$D$2:$D$60,$D785)))</f>
        <v>0</v>
      </c>
      <c r="H785" s="0" t="n">
        <f aca="false">SUMPRODUCT((Rules!$A$2:$A$60=H$1)*Rules!$C$2:$C$60*ISNUMBER(SEARCH(Rules!$D$2:$D$60,$D785)))</f>
        <v>0</v>
      </c>
      <c r="I785" s="0" t="n">
        <f aca="false">SUMPRODUCT((Rules!$A$2:$A$60=I$1)*Rules!$C$2:$C$60*ISNUMBER(SEARCH(Rules!$D$2:$D$60,$D785)))</f>
        <v>0</v>
      </c>
      <c r="J785" s="0" t="n">
        <f aca="false">SUMPRODUCT((Rules!$A$2:$A$60=J$1)*Rules!$C$2:$C$60*ISNUMBER(SEARCH(Rules!$D$2:$D$60,$D785)))</f>
        <v>0</v>
      </c>
      <c r="K785" s="0" t="str">
        <f aca="false">IF(OR(MAX(E785:J785)&lt;Rules!$H$1,MAX(E785:J785)-LARGE(E785:J785,2)&lt;Rules!$H$2),"No label",INDEX($E$1:$J$1,MATCH(MAX(E785:J785),E785:J785,0)))</f>
        <v>Fraud &amp; Scams</v>
      </c>
      <c r="L785" s="0" t="n">
        <f aca="false">SUMPRODUCT((Rules!$A$2:$A$60=L$1)*Rules!$C$2:$C$60*ISNUMBER(SEARCH(Rules!$E$2:$E$60,$D785)))</f>
        <v>3</v>
      </c>
      <c r="M785" s="0" t="n">
        <f aca="false">SUMPRODUCT((Rules!$A$2:$A$60=M$1)*Rules!$C$2:$C$60*ISNUMBER(SEARCH(Rules!$E$2:$E$60,$D785)))</f>
        <v>0</v>
      </c>
      <c r="N785" s="0" t="n">
        <f aca="false">SUMPRODUCT((Rules!$A$2:$A$60=N$1)*Rules!$C$2:$C$60*ISNUMBER(SEARCH(Rules!$E$2:$E$60,$D785)))</f>
        <v>0</v>
      </c>
      <c r="O785" s="0" t="n">
        <f aca="false">SUMPRODUCT((Rules!$A$2:$A$60=O$1)*Rules!$C$2:$C$60*ISNUMBER(SEARCH(Rules!$E$2:$E$60,$D785)))</f>
        <v>0</v>
      </c>
      <c r="P785" s="0" t="n">
        <f aca="false">SUMPRODUCT((Rules!$A$2:$A$60=P$1)*Rules!$C$2:$C$60*ISNUMBER(SEARCH(Rules!$E$2:$E$60,$D785)))</f>
        <v>0</v>
      </c>
      <c r="Q785" s="0" t="n">
        <f aca="false">SUMPRODUCT((Rules!$A$2:$A$60=Q$1)*Rules!$C$2:$C$60*ISNUMBER(SEARCH(Rules!$E$2:$E$60,$D785)))</f>
        <v>0</v>
      </c>
      <c r="R785" s="0" t="str">
        <f aca="false">IF(OR(MAX(L785:Q785)&lt;Rules!$H$1,MAX(L785:Q785)-LARGE(L785:Q785,2)&lt;Rules!$H$2),"No label",INDEX($L$1:$Q$1,MATCH(MAX(L785:Q785),L785:Q785,0)))</f>
        <v>Fraud &amp; Scams</v>
      </c>
      <c r="S785" s="0" t="n">
        <f aca="false">SUMPRODUCT(ISNUMBER(SEARCH(" "&amp;Terms!$A$3:$A$821&amp;" ",$D785))*Terms!B$3:B$821)+Terms!B$2</f>
        <v>1.22970324442014</v>
      </c>
      <c r="T785" s="0" t="n">
        <f aca="false">SUMPRODUCT(ISNUMBER(SEARCH(" "&amp;Terms!$A$3:$A$821&amp;" ",$D785))*Terms!C$3:C$821)+Terms!C$2</f>
        <v>-1.90722163321364</v>
      </c>
      <c r="U785" s="0" t="n">
        <f aca="false">SUMPRODUCT(ISNUMBER(SEARCH(" "&amp;Terms!$A$3:$A$821&amp;" ",$D785))*Terms!D$3:D$821)+Terms!D$2</f>
        <v>0.0433366202322056</v>
      </c>
      <c r="V785" s="0" t="n">
        <f aca="false">SUMPRODUCT(ISNUMBER(SEARCH(" "&amp;Terms!$A$3:$A$821&amp;" ",$D785))*Terms!E$3:E$821)+Terms!E$2</f>
        <v>-2.20344046872177</v>
      </c>
      <c r="W785" s="0" t="n">
        <f aca="false">SUMPRODUCT(ISNUMBER(SEARCH(" "&amp;Terms!$A$3:$A$821&amp;" ",$D785))*Terms!F$3:F$821)+Terms!F$2</f>
        <v>4.6791121973785</v>
      </c>
      <c r="X785" s="0" t="n">
        <f aca="false">SUMPRODUCT(ISNUMBER(SEARCH(" "&amp;Terms!$A$3:$A$821&amp;" ",$D785))*Terms!G$3:G$821)+Terms!G$2</f>
        <v>-1.84148996009534</v>
      </c>
      <c r="Y785" s="0" t="str">
        <f aca="false">INDEX($S$1:$X$1,MATCH(MAX(S785:X785),S785:X785,0))</f>
        <v>Fraud &amp; Scams</v>
      </c>
      <c r="Z785" s="0" t="s">
        <v>2607</v>
      </c>
    </row>
    <row r="786" customFormat="false" ht="15" hidden="false" customHeight="false" outlineLevel="0" collapsed="false">
      <c r="A786" s="0" t="str">
        <f aca="false">Complaints!A786</f>
        <v>C0785</v>
      </c>
      <c r="B786" s="0" t="str">
        <f aca="false">Complaints!B786</f>
        <v>This is the second time I have raised this. I was misled about what the insurance actually included. There was also a fee involved. I expect compensation.</v>
      </c>
      <c r="C786" s="0" t="str">
        <f aca="false">Complaints!C786</f>
        <v>Mis-selling</v>
      </c>
      <c r="D786" s="0" t="str">
        <f aca="false">" "&amp;TRIM(SUBSTITUTE(SUBSTITUTE(SUBSTITUTE(SUBSTITUTE(SUBSTITUTE(SUBSTITUTE(SUBSTITUTE(SUBSTITUTE(SUBSTITUTE(SUBSTITUTE(SUBSTITUTE(SUBSTITUTE(SUBSTITUTE(SUBSTITUTE(SUBSTITUTE(SUBSTITUTE(LOWER(B786),"."," "),","," "),"'"," "),"’"," "),"!"," "),"?"," "),";"," "),":"," "),"-"," "),"("," "),")"," "),"""", " "),"£"," "),"&amp;"," "),"/"," "),"%"," "))&amp;" "</f>
        <v> this is the second time i have raised this i was misled about what the insurance actually included there was also a fee involved i expect compensation </v>
      </c>
      <c r="E786" s="0" t="n">
        <f aca="false">SUMPRODUCT((Rules!$A$2:$A$60=E$1)*Rules!$C$2:$C$60*ISNUMBER(SEARCH(Rules!$D$2:$D$60,$D786)))</f>
        <v>0</v>
      </c>
      <c r="F786" s="0" t="n">
        <f aca="false">SUMPRODUCT((Rules!$A$2:$A$60=F$1)*Rules!$C$2:$C$60*ISNUMBER(SEARCH(Rules!$D$2:$D$60,$D786)))</f>
        <v>4</v>
      </c>
      <c r="G786" s="0" t="n">
        <f aca="false">SUMPRODUCT((Rules!$A$2:$A$60=G$1)*Rules!$C$2:$C$60*ISNUMBER(SEARCH(Rules!$D$2:$D$60,$D786)))</f>
        <v>0</v>
      </c>
      <c r="H786" s="0" t="n">
        <f aca="false">SUMPRODUCT((Rules!$A$2:$A$60=H$1)*Rules!$C$2:$C$60*ISNUMBER(SEARCH(Rules!$D$2:$D$60,$D786)))</f>
        <v>2</v>
      </c>
      <c r="I786" s="0" t="n">
        <f aca="false">SUMPRODUCT((Rules!$A$2:$A$60=I$1)*Rules!$C$2:$C$60*ISNUMBER(SEARCH(Rules!$D$2:$D$60,$D786)))</f>
        <v>0</v>
      </c>
      <c r="J786" s="0" t="n">
        <f aca="false">SUMPRODUCT((Rules!$A$2:$A$60=J$1)*Rules!$C$2:$C$60*ISNUMBER(SEARCH(Rules!$D$2:$D$60,$D786)))</f>
        <v>0</v>
      </c>
      <c r="K786" s="0" t="str">
        <f aca="false">IF(OR(MAX(E786:J786)&lt;Rules!$H$1,MAX(E786:J786)-LARGE(E786:J786,2)&lt;Rules!$H$2),"No label",INDEX($E$1:$J$1,MATCH(MAX(E786:J786),E786:J786,0)))</f>
        <v>Mis-selling</v>
      </c>
      <c r="L786" s="0" t="n">
        <f aca="false">SUMPRODUCT((Rules!$A$2:$A$60=L$1)*Rules!$C$2:$C$60*ISNUMBER(SEARCH(Rules!$E$2:$E$60,$D786)))</f>
        <v>0</v>
      </c>
      <c r="M786" s="0" t="n">
        <f aca="false">SUMPRODUCT((Rules!$A$2:$A$60=M$1)*Rules!$C$2:$C$60*ISNUMBER(SEARCH(Rules!$E$2:$E$60,$D786)))</f>
        <v>4</v>
      </c>
      <c r="N786" s="0" t="n">
        <f aca="false">SUMPRODUCT((Rules!$A$2:$A$60=N$1)*Rules!$C$2:$C$60*ISNUMBER(SEARCH(Rules!$E$2:$E$60,$D786)))</f>
        <v>0</v>
      </c>
      <c r="O786" s="0" t="n">
        <f aca="false">SUMPRODUCT((Rules!$A$2:$A$60=O$1)*Rules!$C$2:$C$60*ISNUMBER(SEARCH(Rules!$E$2:$E$60,$D786)))</f>
        <v>2</v>
      </c>
      <c r="P786" s="0" t="n">
        <f aca="false">SUMPRODUCT((Rules!$A$2:$A$60=P$1)*Rules!$C$2:$C$60*ISNUMBER(SEARCH(Rules!$E$2:$E$60,$D786)))</f>
        <v>0</v>
      </c>
      <c r="Q786" s="0" t="n">
        <f aca="false">SUMPRODUCT((Rules!$A$2:$A$60=Q$1)*Rules!$C$2:$C$60*ISNUMBER(SEARCH(Rules!$E$2:$E$60,$D786)))</f>
        <v>0</v>
      </c>
      <c r="R786" s="0" t="str">
        <f aca="false">IF(OR(MAX(L786:Q786)&lt;Rules!$H$1,MAX(L786:Q786)-LARGE(L786:Q786,2)&lt;Rules!$H$2),"No label",INDEX($L$1:$Q$1,MATCH(MAX(L786:Q786),L786:Q786,0)))</f>
        <v>Mis-selling</v>
      </c>
      <c r="S786" s="0" t="n">
        <f aca="false">SUMPRODUCT(ISNUMBER(SEARCH(" "&amp;Terms!$A$3:$A$821&amp;" ",$D786))*Terms!B$3:B$821)+Terms!B$2</f>
        <v>-0.979075736161845</v>
      </c>
      <c r="T786" s="0" t="n">
        <f aca="false">SUMPRODUCT(ISNUMBER(SEARCH(" "&amp;Terms!$A$3:$A$821&amp;" ",$D786))*Terms!C$3:C$821)+Terms!C$2</f>
        <v>-4.15110453474544</v>
      </c>
      <c r="U786" s="0" t="n">
        <f aca="false">SUMPRODUCT(ISNUMBER(SEARCH(" "&amp;Terms!$A$3:$A$821&amp;" ",$D786))*Terms!D$3:D$821)+Terms!D$2</f>
        <v>-2.80402414192633</v>
      </c>
      <c r="V786" s="0" t="n">
        <f aca="false">SUMPRODUCT(ISNUMBER(SEARCH(" "&amp;Terms!$A$3:$A$821&amp;" ",$D786))*Terms!E$3:E$821)+Terms!E$2</f>
        <v>1.26596857686754</v>
      </c>
      <c r="W786" s="0" t="n">
        <f aca="false">SUMPRODUCT(ISNUMBER(SEARCH(" "&amp;Terms!$A$3:$A$821&amp;" ",$D786))*Terms!F$3:F$821)+Terms!F$2</f>
        <v>-2.74978029243198</v>
      </c>
      <c r="X786" s="0" t="n">
        <f aca="false">SUMPRODUCT(ISNUMBER(SEARCH(" "&amp;Terms!$A$3:$A$821&amp;" ",$D786))*Terms!G$3:G$821)+Terms!G$2</f>
        <v>9.41801612839817</v>
      </c>
      <c r="Y786" s="0" t="str">
        <f aca="false">INDEX($S$1:$X$1,MATCH(MAX(S786:X786),S786:X786,0))</f>
        <v>Mis-selling</v>
      </c>
      <c r="Z786" s="0" t="s">
        <v>2607</v>
      </c>
    </row>
    <row r="787" customFormat="false" ht="15" hidden="false" customHeight="false" outlineLevel="0" collapsed="false">
      <c r="A787" s="0" t="str">
        <f aca="false">Complaints!A787</f>
        <v>C0786</v>
      </c>
      <c r="B787" s="0" t="str">
        <f aca="false">Complaints!B787</f>
        <v>I have been a customer for years. The website will not let me register for online access. I expect compensation.</v>
      </c>
      <c r="C787" s="0" t="str">
        <f aca="false">Complaints!C787</f>
        <v>Account Access</v>
      </c>
      <c r="D787" s="0" t="str">
        <f aca="false">" "&amp;TRIM(SUBSTITUTE(SUBSTITUTE(SUBSTITUTE(SUBSTITUTE(SUBSTITUTE(SUBSTITUTE(SUBSTITUTE(SUBSTITUTE(SUBSTITUTE(SUBSTITUTE(SUBSTITUTE(SUBSTITUTE(SUBSTITUTE(SUBSTITUTE(SUBSTITUTE(SUBSTITUTE(LOWER(B787),"."," "),","," "),"'"," "),"’"," "),"!"," "),"?"," "),";"," "),":"," "),"-"," "),"("," "),")"," "),"""", " "),"£"," "),"&amp;"," "),"/"," "),"%"," "))&amp;" "</f>
        <v> i have been a customer for years the website will not let me register for online access i expect compensation </v>
      </c>
      <c r="E787" s="0" t="n">
        <f aca="false">SUMPRODUCT((Rules!$A$2:$A$60=E$1)*Rules!$C$2:$C$60*ISNUMBER(SEARCH(Rules!$D$2:$D$60,$D787)))</f>
        <v>0</v>
      </c>
      <c r="F787" s="0" t="n">
        <f aca="false">SUMPRODUCT((Rules!$A$2:$A$60=F$1)*Rules!$C$2:$C$60*ISNUMBER(SEARCH(Rules!$D$2:$D$60,$D787)))</f>
        <v>0</v>
      </c>
      <c r="G787" s="0" t="n">
        <f aca="false">SUMPRODUCT((Rules!$A$2:$A$60=G$1)*Rules!$C$2:$C$60*ISNUMBER(SEARCH(Rules!$D$2:$D$60,$D787)))</f>
        <v>1</v>
      </c>
      <c r="H787" s="0" t="n">
        <f aca="false">SUMPRODUCT((Rules!$A$2:$A$60=H$1)*Rules!$C$2:$C$60*ISNUMBER(SEARCH(Rules!$D$2:$D$60,$D787)))</f>
        <v>0</v>
      </c>
      <c r="I787" s="0" t="n">
        <f aca="false">SUMPRODUCT((Rules!$A$2:$A$60=I$1)*Rules!$C$2:$C$60*ISNUMBER(SEARCH(Rules!$D$2:$D$60,$D787)))</f>
        <v>0</v>
      </c>
      <c r="J787" s="0" t="n">
        <f aca="false">SUMPRODUCT((Rules!$A$2:$A$60=J$1)*Rules!$C$2:$C$60*ISNUMBER(SEARCH(Rules!$D$2:$D$60,$D787)))</f>
        <v>0</v>
      </c>
      <c r="K787" s="0" t="str">
        <f aca="false">IF(OR(MAX(E787:J787)&lt;Rules!$H$1,MAX(E787:J787)-LARGE(E787:J787,2)&lt;Rules!$H$2),"No label",INDEX($E$1:$J$1,MATCH(MAX(E787:J787),E787:J787,0)))</f>
        <v>No label</v>
      </c>
      <c r="L787" s="0" t="n">
        <f aca="false">SUMPRODUCT((Rules!$A$2:$A$60=L$1)*Rules!$C$2:$C$60*ISNUMBER(SEARCH(Rules!$E$2:$E$60,$D787)))</f>
        <v>0</v>
      </c>
      <c r="M787" s="0" t="n">
        <f aca="false">SUMPRODUCT((Rules!$A$2:$A$60=M$1)*Rules!$C$2:$C$60*ISNUMBER(SEARCH(Rules!$E$2:$E$60,$D787)))</f>
        <v>0</v>
      </c>
      <c r="N787" s="0" t="n">
        <f aca="false">SUMPRODUCT((Rules!$A$2:$A$60=N$1)*Rules!$C$2:$C$60*ISNUMBER(SEARCH(Rules!$E$2:$E$60,$D787)))</f>
        <v>1</v>
      </c>
      <c r="O787" s="0" t="n">
        <f aca="false">SUMPRODUCT((Rules!$A$2:$A$60=O$1)*Rules!$C$2:$C$60*ISNUMBER(SEARCH(Rules!$E$2:$E$60,$D787)))</f>
        <v>0</v>
      </c>
      <c r="P787" s="0" t="n">
        <f aca="false">SUMPRODUCT((Rules!$A$2:$A$60=P$1)*Rules!$C$2:$C$60*ISNUMBER(SEARCH(Rules!$E$2:$E$60,$D787)))</f>
        <v>0</v>
      </c>
      <c r="Q787" s="0" t="n">
        <f aca="false">SUMPRODUCT((Rules!$A$2:$A$60=Q$1)*Rules!$C$2:$C$60*ISNUMBER(SEARCH(Rules!$E$2:$E$60,$D787)))</f>
        <v>0</v>
      </c>
      <c r="R787" s="0" t="str">
        <f aca="false">IF(OR(MAX(L787:Q787)&lt;Rules!$H$1,MAX(L787:Q787)-LARGE(L787:Q787,2)&lt;Rules!$H$2),"No label",INDEX($L$1:$Q$1,MATCH(MAX(L787:Q787),L787:Q787,0)))</f>
        <v>No label</v>
      </c>
      <c r="S787" s="0" t="n">
        <f aca="false">SUMPRODUCT(ISNUMBER(SEARCH(" "&amp;Terms!$A$3:$A$821&amp;" ",$D787))*Terms!B$3:B$821)+Terms!B$2</f>
        <v>12.6911617826428</v>
      </c>
      <c r="T787" s="0" t="n">
        <f aca="false">SUMPRODUCT(ISNUMBER(SEARCH(" "&amp;Terms!$A$3:$A$821&amp;" ",$D787))*Terms!C$3:C$821)+Terms!C$2</f>
        <v>-4.03495358964695</v>
      </c>
      <c r="U787" s="0" t="n">
        <f aca="false">SUMPRODUCT(ISNUMBER(SEARCH(" "&amp;Terms!$A$3:$A$821&amp;" ",$D787))*Terms!D$3:D$821)+Terms!D$2</f>
        <v>-1.83914298707145</v>
      </c>
      <c r="V787" s="0" t="n">
        <f aca="false">SUMPRODUCT(ISNUMBER(SEARCH(" "&amp;Terms!$A$3:$A$821&amp;" ",$D787))*Terms!E$3:E$821)+Terms!E$2</f>
        <v>-4.03214687241553</v>
      </c>
      <c r="W787" s="0" t="n">
        <f aca="false">SUMPRODUCT(ISNUMBER(SEARCH(" "&amp;Terms!$A$3:$A$821&amp;" ",$D787))*Terms!F$3:F$821)+Terms!F$2</f>
        <v>-0.950396851739507</v>
      </c>
      <c r="X787" s="0" t="n">
        <f aca="false">SUMPRODUCT(ISNUMBER(SEARCH(" "&amp;Terms!$A$3:$A$821&amp;" ",$D787))*Terms!G$3:G$821)+Terms!G$2</f>
        <v>-1.83452148176923</v>
      </c>
      <c r="Y787" s="0" t="str">
        <f aca="false">INDEX($S$1:$X$1,MATCH(MAX(S787:X787),S787:X787,0))</f>
        <v>Account Access</v>
      </c>
      <c r="Z787" s="0" t="s">
        <v>2608</v>
      </c>
    </row>
    <row r="788" customFormat="false" ht="15" hidden="false" customHeight="false" outlineLevel="0" collapsed="false">
      <c r="A788" s="0" t="str">
        <f aca="false">Complaints!A788</f>
        <v>C0787</v>
      </c>
      <c r="B788" s="0" t="str">
        <f aca="false">Complaints!B788</f>
        <v>To whom it may concern, A late payment fee appeared and I want it refunded. I do not think it was explained properly when I bought it. Please sort this out.</v>
      </c>
      <c r="C788" s="0" t="str">
        <f aca="false">Complaints!C788</f>
        <v>Fees &amp; Charges</v>
      </c>
      <c r="D788" s="0" t="str">
        <f aca="false">" "&amp;TRIM(SUBSTITUTE(SUBSTITUTE(SUBSTITUTE(SUBSTITUTE(SUBSTITUTE(SUBSTITUTE(SUBSTITUTE(SUBSTITUTE(SUBSTITUTE(SUBSTITUTE(SUBSTITUTE(SUBSTITUTE(SUBSTITUTE(SUBSTITUTE(SUBSTITUTE(SUBSTITUTE(LOWER(B788),"."," "),","," "),"'"," "),"’"," "),"!"," "),"?"," "),";"," "),":"," "),"-"," "),"("," "),")"," "),"""", " "),"£"," "),"&amp;"," "),"/"," "),"%"," "))&amp;" "</f>
        <v> to whom it may concern a late payment fee appeared and i want it refunded i do not think it was explained properly when i bought it please sort this out </v>
      </c>
      <c r="E788" s="0" t="n">
        <f aca="false">SUMPRODUCT((Rules!$A$2:$A$60=E$1)*Rules!$C$2:$C$60*ISNUMBER(SEARCH(Rules!$D$2:$D$60,$D788)))</f>
        <v>0</v>
      </c>
      <c r="F788" s="0" t="n">
        <f aca="false">SUMPRODUCT((Rules!$A$2:$A$60=F$1)*Rules!$C$2:$C$60*ISNUMBER(SEARCH(Rules!$D$2:$D$60,$D788)))</f>
        <v>0</v>
      </c>
      <c r="G788" s="0" t="n">
        <f aca="false">SUMPRODUCT((Rules!$A$2:$A$60=G$1)*Rules!$C$2:$C$60*ISNUMBER(SEARCH(Rules!$D$2:$D$60,$D788)))</f>
        <v>0</v>
      </c>
      <c r="H788" s="0" t="n">
        <f aca="false">SUMPRODUCT((Rules!$A$2:$A$60=H$1)*Rules!$C$2:$C$60*ISNUMBER(SEARCH(Rules!$D$2:$D$60,$D788)))</f>
        <v>2</v>
      </c>
      <c r="I788" s="0" t="n">
        <f aca="false">SUMPRODUCT((Rules!$A$2:$A$60=I$1)*Rules!$C$2:$C$60*ISNUMBER(SEARCH(Rules!$D$2:$D$60,$D788)))</f>
        <v>0</v>
      </c>
      <c r="J788" s="0" t="n">
        <f aca="false">SUMPRODUCT((Rules!$A$2:$A$60=J$1)*Rules!$C$2:$C$60*ISNUMBER(SEARCH(Rules!$D$2:$D$60,$D788)))</f>
        <v>0</v>
      </c>
      <c r="K788" s="0" t="str">
        <f aca="false">IF(OR(MAX(E788:J788)&lt;Rules!$H$1,MAX(E788:J788)-LARGE(E788:J788,2)&lt;Rules!$H$2),"No label",INDEX($E$1:$J$1,MATCH(MAX(E788:J788),E788:J788,0)))</f>
        <v>No label</v>
      </c>
      <c r="L788" s="0" t="n">
        <f aca="false">SUMPRODUCT((Rules!$A$2:$A$60=L$1)*Rules!$C$2:$C$60*ISNUMBER(SEARCH(Rules!$E$2:$E$60,$D788)))</f>
        <v>0</v>
      </c>
      <c r="M788" s="0" t="n">
        <f aca="false">SUMPRODUCT((Rules!$A$2:$A$60=M$1)*Rules!$C$2:$C$60*ISNUMBER(SEARCH(Rules!$E$2:$E$60,$D788)))</f>
        <v>0</v>
      </c>
      <c r="N788" s="0" t="n">
        <f aca="false">SUMPRODUCT((Rules!$A$2:$A$60=N$1)*Rules!$C$2:$C$60*ISNUMBER(SEARCH(Rules!$E$2:$E$60,$D788)))</f>
        <v>0</v>
      </c>
      <c r="O788" s="0" t="n">
        <f aca="false">SUMPRODUCT((Rules!$A$2:$A$60=O$1)*Rules!$C$2:$C$60*ISNUMBER(SEARCH(Rules!$E$2:$E$60,$D788)))</f>
        <v>2</v>
      </c>
      <c r="P788" s="0" t="n">
        <f aca="false">SUMPRODUCT((Rules!$A$2:$A$60=P$1)*Rules!$C$2:$C$60*ISNUMBER(SEARCH(Rules!$E$2:$E$60,$D788)))</f>
        <v>0</v>
      </c>
      <c r="Q788" s="0" t="n">
        <f aca="false">SUMPRODUCT((Rules!$A$2:$A$60=Q$1)*Rules!$C$2:$C$60*ISNUMBER(SEARCH(Rules!$E$2:$E$60,$D788)))</f>
        <v>0</v>
      </c>
      <c r="R788" s="0" t="str">
        <f aca="false">IF(OR(MAX(L788:Q788)&lt;Rules!$H$1,MAX(L788:Q788)-LARGE(L788:Q788,2)&lt;Rules!$H$2),"No label",INDEX($L$1:$Q$1,MATCH(MAX(L788:Q788),L788:Q788,0)))</f>
        <v>No label</v>
      </c>
      <c r="S788" s="0" t="n">
        <f aca="false">SUMPRODUCT(ISNUMBER(SEARCH(" "&amp;Terms!$A$3:$A$821&amp;" ",$D788))*Terms!B$3:B$821)+Terms!B$2</f>
        <v>-5.99408331161732</v>
      </c>
      <c r="T788" s="0" t="n">
        <f aca="false">SUMPRODUCT(ISNUMBER(SEARCH(" "&amp;Terms!$A$3:$A$821&amp;" ",$D788))*Terms!C$3:C$821)+Terms!C$2</f>
        <v>-5.5448270690438</v>
      </c>
      <c r="U788" s="0" t="n">
        <f aca="false">SUMPRODUCT(ISNUMBER(SEARCH(" "&amp;Terms!$A$3:$A$821&amp;" ",$D788))*Terms!D$3:D$821)+Terms!D$2</f>
        <v>-1.00005578062037</v>
      </c>
      <c r="V788" s="0" t="n">
        <f aca="false">SUMPRODUCT(ISNUMBER(SEARCH(" "&amp;Terms!$A$3:$A$821&amp;" ",$D788))*Terms!E$3:E$821)+Terms!E$2</f>
        <v>19.3761311052329</v>
      </c>
      <c r="W788" s="0" t="n">
        <f aca="false">SUMPRODUCT(ISNUMBER(SEARCH(" "&amp;Terms!$A$3:$A$821&amp;" ",$D788))*Terms!F$3:F$821)+Terms!F$2</f>
        <v>2.05200216732203</v>
      </c>
      <c r="X788" s="0" t="n">
        <f aca="false">SUMPRODUCT(ISNUMBER(SEARCH(" "&amp;Terms!$A$3:$A$821&amp;" ",$D788))*Terms!G$3:G$821)+Terms!G$2</f>
        <v>-8.8891671112734</v>
      </c>
      <c r="Y788" s="0" t="str">
        <f aca="false">INDEX($S$1:$X$1,MATCH(MAX(S788:X788),S788:X788,0))</f>
        <v>Fees &amp; Charges</v>
      </c>
      <c r="Z788" s="0" t="s">
        <v>2607</v>
      </c>
    </row>
    <row r="789" customFormat="false" ht="15" hidden="false" customHeight="false" outlineLevel="0" collapsed="false">
      <c r="A789" s="0" t="str">
        <f aca="false">Complaints!A789</f>
        <v>C0788</v>
      </c>
      <c r="B789" s="0" t="str">
        <f aca="false">Complaints!B789</f>
        <v>Hello, Nobody explained the foreign transaction charges before my holiday. I am worried it might be fraud. Please escalate this.</v>
      </c>
      <c r="C789" s="0" t="str">
        <f aca="false">Complaints!C789</f>
        <v>Fees &amp; Charges</v>
      </c>
      <c r="D789" s="0" t="str">
        <f aca="false">" "&amp;TRIM(SUBSTITUTE(SUBSTITUTE(SUBSTITUTE(SUBSTITUTE(SUBSTITUTE(SUBSTITUTE(SUBSTITUTE(SUBSTITUTE(SUBSTITUTE(SUBSTITUTE(SUBSTITUTE(SUBSTITUTE(SUBSTITUTE(SUBSTITUTE(SUBSTITUTE(SUBSTITUTE(LOWER(B789),"."," "),","," "),"'"," "),"’"," "),"!"," "),"?"," "),";"," "),":"," "),"-"," "),"("," "),")"," "),"""", " "),"£"," "),"&amp;"," "),"/"," "),"%"," "))&amp;" "</f>
        <v> hello nobody explained the foreign transaction charges before my holiday i am worried it might be fraud please escalate this </v>
      </c>
      <c r="E789" s="0" t="n">
        <f aca="false">SUMPRODUCT((Rules!$A$2:$A$60=E$1)*Rules!$C$2:$C$60*ISNUMBER(SEARCH(Rules!$D$2:$D$60,$D789)))</f>
        <v>3</v>
      </c>
      <c r="F789" s="0" t="n">
        <f aca="false">SUMPRODUCT((Rules!$A$2:$A$60=F$1)*Rules!$C$2:$C$60*ISNUMBER(SEARCH(Rules!$D$2:$D$60,$D789)))</f>
        <v>0</v>
      </c>
      <c r="G789" s="0" t="n">
        <f aca="false">SUMPRODUCT((Rules!$A$2:$A$60=G$1)*Rules!$C$2:$C$60*ISNUMBER(SEARCH(Rules!$D$2:$D$60,$D789)))</f>
        <v>0</v>
      </c>
      <c r="H789" s="0" t="n">
        <f aca="false">SUMPRODUCT((Rules!$A$2:$A$60=H$1)*Rules!$C$2:$C$60*ISNUMBER(SEARCH(Rules!$D$2:$D$60,$D789)))</f>
        <v>0</v>
      </c>
      <c r="I789" s="0" t="n">
        <f aca="false">SUMPRODUCT((Rules!$A$2:$A$60=I$1)*Rules!$C$2:$C$60*ISNUMBER(SEARCH(Rules!$D$2:$D$60,$D789)))</f>
        <v>0</v>
      </c>
      <c r="J789" s="0" t="n">
        <f aca="false">SUMPRODUCT((Rules!$A$2:$A$60=J$1)*Rules!$C$2:$C$60*ISNUMBER(SEARCH(Rules!$D$2:$D$60,$D789)))</f>
        <v>0</v>
      </c>
      <c r="K789" s="0" t="str">
        <f aca="false">IF(OR(MAX(E789:J789)&lt;Rules!$H$1,MAX(E789:J789)-LARGE(E789:J789,2)&lt;Rules!$H$2),"No label",INDEX($E$1:$J$1,MATCH(MAX(E789:J789),E789:J789,0)))</f>
        <v>Fraud &amp; Scams</v>
      </c>
      <c r="L789" s="0" t="n">
        <f aca="false">SUMPRODUCT((Rules!$A$2:$A$60=L$1)*Rules!$C$2:$C$60*ISNUMBER(SEARCH(Rules!$E$2:$E$60,$D789)))</f>
        <v>3</v>
      </c>
      <c r="M789" s="0" t="n">
        <f aca="false">SUMPRODUCT((Rules!$A$2:$A$60=M$1)*Rules!$C$2:$C$60*ISNUMBER(SEARCH(Rules!$E$2:$E$60,$D789)))</f>
        <v>0</v>
      </c>
      <c r="N789" s="0" t="n">
        <f aca="false">SUMPRODUCT((Rules!$A$2:$A$60=N$1)*Rules!$C$2:$C$60*ISNUMBER(SEARCH(Rules!$E$2:$E$60,$D789)))</f>
        <v>0</v>
      </c>
      <c r="O789" s="0" t="n">
        <f aca="false">SUMPRODUCT((Rules!$A$2:$A$60=O$1)*Rules!$C$2:$C$60*ISNUMBER(SEARCH(Rules!$E$2:$E$60,$D789)))</f>
        <v>4</v>
      </c>
      <c r="P789" s="0" t="n">
        <f aca="false">SUMPRODUCT((Rules!$A$2:$A$60=P$1)*Rules!$C$2:$C$60*ISNUMBER(SEARCH(Rules!$E$2:$E$60,$D789)))</f>
        <v>0</v>
      </c>
      <c r="Q789" s="0" t="n">
        <f aca="false">SUMPRODUCT((Rules!$A$2:$A$60=Q$1)*Rules!$C$2:$C$60*ISNUMBER(SEARCH(Rules!$E$2:$E$60,$D789)))</f>
        <v>0</v>
      </c>
      <c r="R789" s="0" t="str">
        <f aca="false">IF(OR(MAX(L789:Q789)&lt;Rules!$H$1,MAX(L789:Q789)-LARGE(L789:Q789,2)&lt;Rules!$H$2),"No label",INDEX($L$1:$Q$1,MATCH(MAX(L789:Q789),L789:Q789,0)))</f>
        <v>No label</v>
      </c>
      <c r="S789" s="0" t="n">
        <f aca="false">SUMPRODUCT(ISNUMBER(SEARCH(" "&amp;Terms!$A$3:$A$821&amp;" ",$D789))*Terms!B$3:B$821)+Terms!B$2</f>
        <v>-0.1857698517726</v>
      </c>
      <c r="T789" s="0" t="n">
        <f aca="false">SUMPRODUCT(ISNUMBER(SEARCH(" "&amp;Terms!$A$3:$A$821&amp;" ",$D789))*Terms!C$3:C$821)+Terms!C$2</f>
        <v>-0.838084628051842</v>
      </c>
      <c r="U789" s="0" t="n">
        <f aca="false">SUMPRODUCT(ISNUMBER(SEARCH(" "&amp;Terms!$A$3:$A$821&amp;" ",$D789))*Terms!D$3:D$821)+Terms!D$2</f>
        <v>-4.07552047060701</v>
      </c>
      <c r="V789" s="0" t="n">
        <f aca="false">SUMPRODUCT(ISNUMBER(SEARCH(" "&amp;Terms!$A$3:$A$821&amp;" ",$D789))*Terms!E$3:E$821)+Terms!E$2</f>
        <v>12.3062661169695</v>
      </c>
      <c r="W789" s="0" t="n">
        <f aca="false">SUMPRODUCT(ISNUMBER(SEARCH(" "&amp;Terms!$A$3:$A$821&amp;" ",$D789))*Terms!F$3:F$821)+Terms!F$2</f>
        <v>-4.01292243996411</v>
      </c>
      <c r="X789" s="0" t="n">
        <f aca="false">SUMPRODUCT(ISNUMBER(SEARCH(" "&amp;Terms!$A$3:$A$821&amp;" ",$D789))*Terms!G$3:G$821)+Terms!G$2</f>
        <v>-3.19396872657385</v>
      </c>
      <c r="Y789" s="0" t="str">
        <f aca="false">INDEX($S$1:$X$1,MATCH(MAX(S789:X789),S789:X789,0))</f>
        <v>Fees &amp; Charges</v>
      </c>
      <c r="Z789" s="0" t="s">
        <v>2607</v>
      </c>
    </row>
    <row r="790" customFormat="false" ht="15" hidden="false" customHeight="false" outlineLevel="0" collapsed="false">
      <c r="A790" s="0" t="str">
        <f aca="false">Complaints!A790</f>
        <v>C0789</v>
      </c>
      <c r="B790" s="0" t="str">
        <f aca="false">Complaints!B790</f>
        <v>This is the second time I have raised this. My card reader stopped working and I cannot approve payments. Please escalate this.</v>
      </c>
      <c r="C790" s="0" t="str">
        <f aca="false">Complaints!C790</f>
        <v>Account Access</v>
      </c>
      <c r="D790" s="0" t="str">
        <f aca="false">" "&amp;TRIM(SUBSTITUTE(SUBSTITUTE(SUBSTITUTE(SUBSTITUTE(SUBSTITUTE(SUBSTITUTE(SUBSTITUTE(SUBSTITUTE(SUBSTITUTE(SUBSTITUTE(SUBSTITUTE(SUBSTITUTE(SUBSTITUTE(SUBSTITUTE(SUBSTITUTE(SUBSTITUTE(LOWER(B790),"."," "),","," "),"'"," "),"’"," "),"!"," "),"?"," "),";"," "),":"," "),"-"," "),"("," "),")"," "),"""", " "),"£"," "),"&amp;"," "),"/"," "),"%"," "))&amp;" "</f>
        <v> this is the second time i have raised this my card reader stopped working and i cannot approve payments please escalate this </v>
      </c>
      <c r="E790" s="0" t="n">
        <f aca="false">SUMPRODUCT((Rules!$A$2:$A$60=E$1)*Rules!$C$2:$C$60*ISNUMBER(SEARCH(Rules!$D$2:$D$60,$D790)))</f>
        <v>0</v>
      </c>
      <c r="F790" s="0" t="n">
        <f aca="false">SUMPRODUCT((Rules!$A$2:$A$60=F$1)*Rules!$C$2:$C$60*ISNUMBER(SEARCH(Rules!$D$2:$D$60,$D790)))</f>
        <v>0</v>
      </c>
      <c r="G790" s="0" t="n">
        <f aca="false">SUMPRODUCT((Rules!$A$2:$A$60=G$1)*Rules!$C$2:$C$60*ISNUMBER(SEARCH(Rules!$D$2:$D$60,$D790)))</f>
        <v>0</v>
      </c>
      <c r="H790" s="0" t="n">
        <f aca="false">SUMPRODUCT((Rules!$A$2:$A$60=H$1)*Rules!$C$2:$C$60*ISNUMBER(SEARCH(Rules!$D$2:$D$60,$D790)))</f>
        <v>0</v>
      </c>
      <c r="I790" s="0" t="n">
        <f aca="false">SUMPRODUCT((Rules!$A$2:$A$60=I$1)*Rules!$C$2:$C$60*ISNUMBER(SEARCH(Rules!$D$2:$D$60,$D790)))</f>
        <v>0</v>
      </c>
      <c r="J790" s="0" t="n">
        <f aca="false">SUMPRODUCT((Rules!$A$2:$A$60=J$1)*Rules!$C$2:$C$60*ISNUMBER(SEARCH(Rules!$D$2:$D$60,$D790)))</f>
        <v>0</v>
      </c>
      <c r="K790" s="0" t="str">
        <f aca="false">IF(OR(MAX(E790:J790)&lt;Rules!$H$1,MAX(E790:J790)-LARGE(E790:J790,2)&lt;Rules!$H$2),"No label",INDEX($E$1:$J$1,MATCH(MAX(E790:J790),E790:J790,0)))</f>
        <v>No label</v>
      </c>
      <c r="L790" s="0" t="n">
        <f aca="false">SUMPRODUCT((Rules!$A$2:$A$60=L$1)*Rules!$C$2:$C$60*ISNUMBER(SEARCH(Rules!$E$2:$E$60,$D790)))</f>
        <v>0</v>
      </c>
      <c r="M790" s="0" t="n">
        <f aca="false">SUMPRODUCT((Rules!$A$2:$A$60=M$1)*Rules!$C$2:$C$60*ISNUMBER(SEARCH(Rules!$E$2:$E$60,$D790)))</f>
        <v>0</v>
      </c>
      <c r="N790" s="0" t="n">
        <f aca="false">SUMPRODUCT((Rules!$A$2:$A$60=N$1)*Rules!$C$2:$C$60*ISNUMBER(SEARCH(Rules!$E$2:$E$60,$D790)))</f>
        <v>0</v>
      </c>
      <c r="O790" s="0" t="n">
        <f aca="false">SUMPRODUCT((Rules!$A$2:$A$60=O$1)*Rules!$C$2:$C$60*ISNUMBER(SEARCH(Rules!$E$2:$E$60,$D790)))</f>
        <v>0</v>
      </c>
      <c r="P790" s="0" t="n">
        <f aca="false">SUMPRODUCT((Rules!$A$2:$A$60=P$1)*Rules!$C$2:$C$60*ISNUMBER(SEARCH(Rules!$E$2:$E$60,$D790)))</f>
        <v>0</v>
      </c>
      <c r="Q790" s="0" t="n">
        <f aca="false">SUMPRODUCT((Rules!$A$2:$A$60=Q$1)*Rules!$C$2:$C$60*ISNUMBER(SEARCH(Rules!$E$2:$E$60,$D790)))</f>
        <v>0</v>
      </c>
      <c r="R790" s="0" t="str">
        <f aca="false">IF(OR(MAX(L790:Q790)&lt;Rules!$H$1,MAX(L790:Q790)-LARGE(L790:Q790,2)&lt;Rules!$H$2),"No label",INDEX($L$1:$Q$1,MATCH(MAX(L790:Q790),L790:Q790,0)))</f>
        <v>No label</v>
      </c>
      <c r="S790" s="0" t="n">
        <f aca="false">SUMPRODUCT(ISNUMBER(SEARCH(" "&amp;Terms!$A$3:$A$821&amp;" ",$D790))*Terms!B$3:B$821)+Terms!B$2</f>
        <v>13.990922538945</v>
      </c>
      <c r="T790" s="0" t="n">
        <f aca="false">SUMPRODUCT(ISNUMBER(SEARCH(" "&amp;Terms!$A$3:$A$821&amp;" ",$D790))*Terms!C$3:C$821)+Terms!C$2</f>
        <v>2.02705300819407</v>
      </c>
      <c r="U790" s="0" t="n">
        <f aca="false">SUMPRODUCT(ISNUMBER(SEARCH(" "&amp;Terms!$A$3:$A$821&amp;" ",$D790))*Terms!D$3:D$821)+Terms!D$2</f>
        <v>-3.77032244706458</v>
      </c>
      <c r="V790" s="0" t="n">
        <f aca="false">SUMPRODUCT(ISNUMBER(SEARCH(" "&amp;Terms!$A$3:$A$821&amp;" ",$D790))*Terms!E$3:E$821)+Terms!E$2</f>
        <v>-4.07780696975213</v>
      </c>
      <c r="W790" s="0" t="n">
        <f aca="false">SUMPRODUCT(ISNUMBER(SEARCH(" "&amp;Terms!$A$3:$A$821&amp;" ",$D790))*Terms!F$3:F$821)+Terms!F$2</f>
        <v>0.214280510637982</v>
      </c>
      <c r="X790" s="0" t="n">
        <f aca="false">SUMPRODUCT(ISNUMBER(SEARCH(" "&amp;Terms!$A$3:$A$821&amp;" ",$D790))*Terms!G$3:G$821)+Terms!G$2</f>
        <v>-8.38412664096021</v>
      </c>
      <c r="Y790" s="0" t="str">
        <f aca="false">INDEX($S$1:$X$1,MATCH(MAX(S790:X790),S790:X790,0))</f>
        <v>Account Access</v>
      </c>
      <c r="Z790" s="0" t="s">
        <v>2608</v>
      </c>
    </row>
    <row r="791" customFormat="false" ht="15" hidden="false" customHeight="false" outlineLevel="0" collapsed="false">
      <c r="A791" s="0" t="str">
        <f aca="false">Complaints!A791</f>
        <v>C0790</v>
      </c>
      <c r="B791" s="0" t="str">
        <f aca="false">Complaints!B791</f>
        <v>The adviser did not explain the risks of the investment. Also, my online banking is locked and the reset link never arrives. Please escalate this.</v>
      </c>
      <c r="C791" s="0" t="str">
        <f aca="false">Complaints!C791</f>
        <v>Mis-selling</v>
      </c>
      <c r="D791" s="0" t="str">
        <f aca="false">" "&amp;TRIM(SUBSTITUTE(SUBSTITUTE(SUBSTITUTE(SUBSTITUTE(SUBSTITUTE(SUBSTITUTE(SUBSTITUTE(SUBSTITUTE(SUBSTITUTE(SUBSTITUTE(SUBSTITUTE(SUBSTITUTE(SUBSTITUTE(SUBSTITUTE(SUBSTITUTE(SUBSTITUTE(LOWER(B791),"."," "),","," "),"'"," "),"’"," "),"!"," "),"?"," "),";"," "),":"," "),"-"," "),"("," "),")"," "),"""", " "),"£"," "),"&amp;"," "),"/"," "),"%"," "))&amp;" "</f>
        <v> the adviser did not explain the risks of the investment also my online banking is locked and the reset link never arrives please escalate this </v>
      </c>
      <c r="E791" s="0" t="n">
        <f aca="false">SUMPRODUCT((Rules!$A$2:$A$60=E$1)*Rules!$C$2:$C$60*ISNUMBER(SEARCH(Rules!$D$2:$D$60,$D791)))</f>
        <v>0</v>
      </c>
      <c r="F791" s="0" t="n">
        <f aca="false">SUMPRODUCT((Rules!$A$2:$A$60=F$1)*Rules!$C$2:$C$60*ISNUMBER(SEARCH(Rules!$D$2:$D$60,$D791)))</f>
        <v>4</v>
      </c>
      <c r="G791" s="0" t="n">
        <f aca="false">SUMPRODUCT((Rules!$A$2:$A$60=G$1)*Rules!$C$2:$C$60*ISNUMBER(SEARCH(Rules!$D$2:$D$60,$D791)))</f>
        <v>5</v>
      </c>
      <c r="H791" s="0" t="n">
        <f aca="false">SUMPRODUCT((Rules!$A$2:$A$60=H$1)*Rules!$C$2:$C$60*ISNUMBER(SEARCH(Rules!$D$2:$D$60,$D791)))</f>
        <v>0</v>
      </c>
      <c r="I791" s="0" t="n">
        <f aca="false">SUMPRODUCT((Rules!$A$2:$A$60=I$1)*Rules!$C$2:$C$60*ISNUMBER(SEARCH(Rules!$D$2:$D$60,$D791)))</f>
        <v>0</v>
      </c>
      <c r="J791" s="0" t="n">
        <f aca="false">SUMPRODUCT((Rules!$A$2:$A$60=J$1)*Rules!$C$2:$C$60*ISNUMBER(SEARCH(Rules!$D$2:$D$60,$D791)))</f>
        <v>0</v>
      </c>
      <c r="K791" s="0" t="str">
        <f aca="false">IF(OR(MAX(E791:J791)&lt;Rules!$H$1,MAX(E791:J791)-LARGE(E791:J791,2)&lt;Rules!$H$2),"No label",INDEX($E$1:$J$1,MATCH(MAX(E791:J791),E791:J791,0)))</f>
        <v>No label</v>
      </c>
      <c r="L791" s="0" t="n">
        <f aca="false">SUMPRODUCT((Rules!$A$2:$A$60=L$1)*Rules!$C$2:$C$60*ISNUMBER(SEARCH(Rules!$E$2:$E$60,$D791)))</f>
        <v>0</v>
      </c>
      <c r="M791" s="0" t="n">
        <f aca="false">SUMPRODUCT((Rules!$A$2:$A$60=M$1)*Rules!$C$2:$C$60*ISNUMBER(SEARCH(Rules!$E$2:$E$60,$D791)))</f>
        <v>6</v>
      </c>
      <c r="N791" s="0" t="n">
        <f aca="false">SUMPRODUCT((Rules!$A$2:$A$60=N$1)*Rules!$C$2:$C$60*ISNUMBER(SEARCH(Rules!$E$2:$E$60,$D791)))</f>
        <v>5</v>
      </c>
      <c r="O791" s="0" t="n">
        <f aca="false">SUMPRODUCT((Rules!$A$2:$A$60=O$1)*Rules!$C$2:$C$60*ISNUMBER(SEARCH(Rules!$E$2:$E$60,$D791)))</f>
        <v>0</v>
      </c>
      <c r="P791" s="0" t="n">
        <f aca="false">SUMPRODUCT((Rules!$A$2:$A$60=P$1)*Rules!$C$2:$C$60*ISNUMBER(SEARCH(Rules!$E$2:$E$60,$D791)))</f>
        <v>0</v>
      </c>
      <c r="Q791" s="0" t="n">
        <f aca="false">SUMPRODUCT((Rules!$A$2:$A$60=Q$1)*Rules!$C$2:$C$60*ISNUMBER(SEARCH(Rules!$E$2:$E$60,$D791)))</f>
        <v>1</v>
      </c>
      <c r="R791" s="0" t="str">
        <f aca="false">IF(OR(MAX(L791:Q791)&lt;Rules!$H$1,MAX(L791:Q791)-LARGE(L791:Q791,2)&lt;Rules!$H$2),"No label",INDEX($L$1:$Q$1,MATCH(MAX(L791:Q791),L791:Q791,0)))</f>
        <v>No label</v>
      </c>
      <c r="S791" s="0" t="n">
        <f aca="false">SUMPRODUCT(ISNUMBER(SEARCH(" "&amp;Terms!$A$3:$A$821&amp;" ",$D791))*Terms!B$3:B$821)+Terms!B$2</f>
        <v>6.9225389757971</v>
      </c>
      <c r="T791" s="0" t="n">
        <f aca="false">SUMPRODUCT(ISNUMBER(SEARCH(" "&amp;Terms!$A$3:$A$821&amp;" ",$D791))*Terms!C$3:C$821)+Terms!C$2</f>
        <v>-5.75335880328369</v>
      </c>
      <c r="U791" s="0" t="n">
        <f aca="false">SUMPRODUCT(ISNUMBER(SEARCH(" "&amp;Terms!$A$3:$A$821&amp;" ",$D791))*Terms!D$3:D$821)+Terms!D$2</f>
        <v>-6.99659187535022</v>
      </c>
      <c r="V791" s="0" t="n">
        <f aca="false">SUMPRODUCT(ISNUMBER(SEARCH(" "&amp;Terms!$A$3:$A$821&amp;" ",$D791))*Terms!E$3:E$821)+Terms!E$2</f>
        <v>0.517975454932114</v>
      </c>
      <c r="W791" s="0" t="n">
        <f aca="false">SUMPRODUCT(ISNUMBER(SEARCH(" "&amp;Terms!$A$3:$A$821&amp;" ",$D791))*Terms!F$3:F$821)+Terms!F$2</f>
        <v>-4.05672086208678</v>
      </c>
      <c r="X791" s="0" t="n">
        <f aca="false">SUMPRODUCT(ISNUMBER(SEARCH(" "&amp;Terms!$A$3:$A$821&amp;" ",$D791))*Terms!G$3:G$821)+Terms!G$2</f>
        <v>9.36615710999156</v>
      </c>
      <c r="Y791" s="0" t="str">
        <f aca="false">INDEX($S$1:$X$1,MATCH(MAX(S791:X791),S791:X791,0))</f>
        <v>Mis-selling</v>
      </c>
      <c r="Z791" s="0" t="s">
        <v>2607</v>
      </c>
    </row>
    <row r="792" customFormat="false" ht="15" hidden="false" customHeight="false" outlineLevel="0" collapsed="false">
      <c r="A792" s="0" t="str">
        <f aca="false">Complaints!A792</f>
        <v>C0791</v>
      </c>
      <c r="B792" s="0" t="str">
        <f aca="false">Complaints!B792</f>
        <v>To whom it may concern, I keep getting an error message when I sign in.</v>
      </c>
      <c r="C792" s="0" t="str">
        <f aca="false">Complaints!C792</f>
        <v>Account Access</v>
      </c>
      <c r="D792" s="0" t="str">
        <f aca="false">" "&amp;TRIM(SUBSTITUTE(SUBSTITUTE(SUBSTITUTE(SUBSTITUTE(SUBSTITUTE(SUBSTITUTE(SUBSTITUTE(SUBSTITUTE(SUBSTITUTE(SUBSTITUTE(SUBSTITUTE(SUBSTITUTE(SUBSTITUTE(SUBSTITUTE(SUBSTITUTE(SUBSTITUTE(LOWER(B792),"."," "),","," "),"'"," "),"’"," "),"!"," "),"?"," "),";"," "),":"," "),"-"," "),"("," "),")"," "),"""", " "),"£"," "),"&amp;"," "),"/"," "),"%"," "))&amp;" "</f>
        <v> to whom it may concern i keep getting an error message when i sign in </v>
      </c>
      <c r="E792" s="0" t="n">
        <f aca="false">SUMPRODUCT((Rules!$A$2:$A$60=E$1)*Rules!$C$2:$C$60*ISNUMBER(SEARCH(Rules!$D$2:$D$60,$D792)))</f>
        <v>0</v>
      </c>
      <c r="F792" s="0" t="n">
        <f aca="false">SUMPRODUCT((Rules!$A$2:$A$60=F$1)*Rules!$C$2:$C$60*ISNUMBER(SEARCH(Rules!$D$2:$D$60,$D792)))</f>
        <v>0</v>
      </c>
      <c r="G792" s="0" t="n">
        <f aca="false">SUMPRODUCT((Rules!$A$2:$A$60=G$1)*Rules!$C$2:$C$60*ISNUMBER(SEARCH(Rules!$D$2:$D$60,$D792)))</f>
        <v>3</v>
      </c>
      <c r="H792" s="0" t="n">
        <f aca="false">SUMPRODUCT((Rules!$A$2:$A$60=H$1)*Rules!$C$2:$C$60*ISNUMBER(SEARCH(Rules!$D$2:$D$60,$D792)))</f>
        <v>0</v>
      </c>
      <c r="I792" s="0" t="n">
        <f aca="false">SUMPRODUCT((Rules!$A$2:$A$60=I$1)*Rules!$C$2:$C$60*ISNUMBER(SEARCH(Rules!$D$2:$D$60,$D792)))</f>
        <v>0</v>
      </c>
      <c r="J792" s="0" t="n">
        <f aca="false">SUMPRODUCT((Rules!$A$2:$A$60=J$1)*Rules!$C$2:$C$60*ISNUMBER(SEARCH(Rules!$D$2:$D$60,$D792)))</f>
        <v>0</v>
      </c>
      <c r="K792" s="0" t="str">
        <f aca="false">IF(OR(MAX(E792:J792)&lt;Rules!$H$1,MAX(E792:J792)-LARGE(E792:J792,2)&lt;Rules!$H$2),"No label",INDEX($E$1:$J$1,MATCH(MAX(E792:J792),E792:J792,0)))</f>
        <v>Account Access</v>
      </c>
      <c r="L792" s="0" t="n">
        <f aca="false">SUMPRODUCT((Rules!$A$2:$A$60=L$1)*Rules!$C$2:$C$60*ISNUMBER(SEARCH(Rules!$E$2:$E$60,$D792)))</f>
        <v>0</v>
      </c>
      <c r="M792" s="0" t="n">
        <f aca="false">SUMPRODUCT((Rules!$A$2:$A$60=M$1)*Rules!$C$2:$C$60*ISNUMBER(SEARCH(Rules!$E$2:$E$60,$D792)))</f>
        <v>0</v>
      </c>
      <c r="N792" s="0" t="n">
        <f aca="false">SUMPRODUCT((Rules!$A$2:$A$60=N$1)*Rules!$C$2:$C$60*ISNUMBER(SEARCH(Rules!$E$2:$E$60,$D792)))</f>
        <v>3</v>
      </c>
      <c r="O792" s="0" t="n">
        <f aca="false">SUMPRODUCT((Rules!$A$2:$A$60=O$1)*Rules!$C$2:$C$60*ISNUMBER(SEARCH(Rules!$E$2:$E$60,$D792)))</f>
        <v>0</v>
      </c>
      <c r="P792" s="0" t="n">
        <f aca="false">SUMPRODUCT((Rules!$A$2:$A$60=P$1)*Rules!$C$2:$C$60*ISNUMBER(SEARCH(Rules!$E$2:$E$60,$D792)))</f>
        <v>0</v>
      </c>
      <c r="Q792" s="0" t="n">
        <f aca="false">SUMPRODUCT((Rules!$A$2:$A$60=Q$1)*Rules!$C$2:$C$60*ISNUMBER(SEARCH(Rules!$E$2:$E$60,$D792)))</f>
        <v>0</v>
      </c>
      <c r="R792" s="0" t="str">
        <f aca="false">IF(OR(MAX(L792:Q792)&lt;Rules!$H$1,MAX(L792:Q792)-LARGE(L792:Q792,2)&lt;Rules!$H$2),"No label",INDEX($L$1:$Q$1,MATCH(MAX(L792:Q792),L792:Q792,0)))</f>
        <v>Account Access</v>
      </c>
      <c r="S792" s="0" t="n">
        <f aca="false">SUMPRODUCT(ISNUMBER(SEARCH(" "&amp;Terms!$A$3:$A$821&amp;" ",$D792))*Terms!B$3:B$821)+Terms!B$2</f>
        <v>10.0710378267809</v>
      </c>
      <c r="T792" s="0" t="n">
        <f aca="false">SUMPRODUCT(ISNUMBER(SEARCH(" "&amp;Terms!$A$3:$A$821&amp;" ",$D792))*Terms!C$3:C$821)+Terms!C$2</f>
        <v>1.26534282344195</v>
      </c>
      <c r="U792" s="0" t="n">
        <f aca="false">SUMPRODUCT(ISNUMBER(SEARCH(" "&amp;Terms!$A$3:$A$821&amp;" ",$D792))*Terms!D$3:D$821)+Terms!D$2</f>
        <v>-2.48121740226289</v>
      </c>
      <c r="V792" s="0" t="n">
        <f aca="false">SUMPRODUCT(ISNUMBER(SEARCH(" "&amp;Terms!$A$3:$A$821&amp;" ",$D792))*Terms!E$3:E$821)+Terms!E$2</f>
        <v>-3.88184463104632</v>
      </c>
      <c r="W792" s="0" t="n">
        <f aca="false">SUMPRODUCT(ISNUMBER(SEARCH(" "&amp;Terms!$A$3:$A$821&amp;" ",$D792))*Terms!F$3:F$821)+Terms!F$2</f>
        <v>-1.07546183735681</v>
      </c>
      <c r="X792" s="0" t="n">
        <f aca="false">SUMPRODUCT(ISNUMBER(SEARCH(" "&amp;Terms!$A$3:$A$821&amp;" ",$D792))*Terms!G$3:G$821)+Terms!G$2</f>
        <v>-3.89785677955671</v>
      </c>
      <c r="Y792" s="0" t="str">
        <f aca="false">INDEX($S$1:$X$1,MATCH(MAX(S792:X792),S792:X792,0))</f>
        <v>Account Access</v>
      </c>
      <c r="Z792" s="0" t="s">
        <v>2607</v>
      </c>
    </row>
    <row r="793" customFormat="false" ht="15" hidden="false" customHeight="false" outlineLevel="0" collapsed="false">
      <c r="A793" s="0" t="str">
        <f aca="false">Complaints!A793</f>
        <v>C0792</v>
      </c>
      <c r="B793" s="0" t="str">
        <f aca="false">Complaints!B793</f>
        <v>I have been a customer for years. There is an unexpected charge on my statement of £15. Please sort this out.</v>
      </c>
      <c r="C793" s="0" t="str">
        <f aca="false">Complaints!C793</f>
        <v>Fees &amp; Charges</v>
      </c>
      <c r="D793" s="0" t="str">
        <f aca="false">" "&amp;TRIM(SUBSTITUTE(SUBSTITUTE(SUBSTITUTE(SUBSTITUTE(SUBSTITUTE(SUBSTITUTE(SUBSTITUTE(SUBSTITUTE(SUBSTITUTE(SUBSTITUTE(SUBSTITUTE(SUBSTITUTE(SUBSTITUTE(SUBSTITUTE(SUBSTITUTE(SUBSTITUTE(LOWER(B793),"."," "),","," "),"'"," "),"’"," "),"!"," "),"?"," "),";"," "),":"," "),"-"," "),"("," "),")"," "),"""", " "),"£"," "),"&amp;"," "),"/"," "),"%"," "))&amp;" "</f>
        <v> i have been a customer for years there is an unexpected charge on my statement of 15 please sort this out </v>
      </c>
      <c r="E793" s="0" t="n">
        <f aca="false">SUMPRODUCT((Rules!$A$2:$A$60=E$1)*Rules!$C$2:$C$60*ISNUMBER(SEARCH(Rules!$D$2:$D$60,$D793)))</f>
        <v>0</v>
      </c>
      <c r="F793" s="0" t="n">
        <f aca="false">SUMPRODUCT((Rules!$A$2:$A$60=F$1)*Rules!$C$2:$C$60*ISNUMBER(SEARCH(Rules!$D$2:$D$60,$D793)))</f>
        <v>0</v>
      </c>
      <c r="G793" s="0" t="n">
        <f aca="false">SUMPRODUCT((Rules!$A$2:$A$60=G$1)*Rules!$C$2:$C$60*ISNUMBER(SEARCH(Rules!$D$2:$D$60,$D793)))</f>
        <v>0</v>
      </c>
      <c r="H793" s="0" t="n">
        <f aca="false">SUMPRODUCT((Rules!$A$2:$A$60=H$1)*Rules!$C$2:$C$60*ISNUMBER(SEARCH(Rules!$D$2:$D$60,$D793)))</f>
        <v>3</v>
      </c>
      <c r="I793" s="0" t="n">
        <f aca="false">SUMPRODUCT((Rules!$A$2:$A$60=I$1)*Rules!$C$2:$C$60*ISNUMBER(SEARCH(Rules!$D$2:$D$60,$D793)))</f>
        <v>0</v>
      </c>
      <c r="J793" s="0" t="n">
        <f aca="false">SUMPRODUCT((Rules!$A$2:$A$60=J$1)*Rules!$C$2:$C$60*ISNUMBER(SEARCH(Rules!$D$2:$D$60,$D793)))</f>
        <v>0</v>
      </c>
      <c r="K793" s="0" t="str">
        <f aca="false">IF(OR(MAX(E793:J793)&lt;Rules!$H$1,MAX(E793:J793)-LARGE(E793:J793,2)&lt;Rules!$H$2),"No label",INDEX($E$1:$J$1,MATCH(MAX(E793:J793),E793:J793,0)))</f>
        <v>Fees &amp; Charges</v>
      </c>
      <c r="L793" s="0" t="n">
        <f aca="false">SUMPRODUCT((Rules!$A$2:$A$60=L$1)*Rules!$C$2:$C$60*ISNUMBER(SEARCH(Rules!$E$2:$E$60,$D793)))</f>
        <v>0</v>
      </c>
      <c r="M793" s="0" t="n">
        <f aca="false">SUMPRODUCT((Rules!$A$2:$A$60=M$1)*Rules!$C$2:$C$60*ISNUMBER(SEARCH(Rules!$E$2:$E$60,$D793)))</f>
        <v>0</v>
      </c>
      <c r="N793" s="0" t="n">
        <f aca="false">SUMPRODUCT((Rules!$A$2:$A$60=N$1)*Rules!$C$2:$C$60*ISNUMBER(SEARCH(Rules!$E$2:$E$60,$D793)))</f>
        <v>0</v>
      </c>
      <c r="O793" s="0" t="n">
        <f aca="false">SUMPRODUCT((Rules!$A$2:$A$60=O$1)*Rules!$C$2:$C$60*ISNUMBER(SEARCH(Rules!$E$2:$E$60,$D793)))</f>
        <v>5</v>
      </c>
      <c r="P793" s="0" t="n">
        <f aca="false">SUMPRODUCT((Rules!$A$2:$A$60=P$1)*Rules!$C$2:$C$60*ISNUMBER(SEARCH(Rules!$E$2:$E$60,$D793)))</f>
        <v>0</v>
      </c>
      <c r="Q793" s="0" t="n">
        <f aca="false">SUMPRODUCT((Rules!$A$2:$A$60=Q$1)*Rules!$C$2:$C$60*ISNUMBER(SEARCH(Rules!$E$2:$E$60,$D793)))</f>
        <v>0</v>
      </c>
      <c r="R793" s="0" t="str">
        <f aca="false">IF(OR(MAX(L793:Q793)&lt;Rules!$H$1,MAX(L793:Q793)-LARGE(L793:Q793,2)&lt;Rules!$H$2),"No label",INDEX($L$1:$Q$1,MATCH(MAX(L793:Q793),L793:Q793,0)))</f>
        <v>Fees &amp; Charges</v>
      </c>
      <c r="S793" s="0" t="n">
        <f aca="false">SUMPRODUCT(ISNUMBER(SEARCH(" "&amp;Terms!$A$3:$A$821&amp;" ",$D793))*Terms!B$3:B$821)+Terms!B$2</f>
        <v>-4.32223248574308</v>
      </c>
      <c r="T793" s="0" t="n">
        <f aca="false">SUMPRODUCT(ISNUMBER(SEARCH(" "&amp;Terms!$A$3:$A$821&amp;" ",$D793))*Terms!C$3:C$821)+Terms!C$2</f>
        <v>-0.251095202054509</v>
      </c>
      <c r="U793" s="0" t="n">
        <f aca="false">SUMPRODUCT(ISNUMBER(SEARCH(" "&amp;Terms!$A$3:$A$821&amp;" ",$D793))*Terms!D$3:D$821)+Terms!D$2</f>
        <v>-1.19738955352625</v>
      </c>
      <c r="V793" s="0" t="n">
        <f aca="false">SUMPRODUCT(ISNUMBER(SEARCH(" "&amp;Terms!$A$3:$A$821&amp;" ",$D793))*Terms!E$3:E$821)+Terms!E$2</f>
        <v>9.98955617888938</v>
      </c>
      <c r="W793" s="0" t="n">
        <f aca="false">SUMPRODUCT(ISNUMBER(SEARCH(" "&amp;Terms!$A$3:$A$821&amp;" ",$D793))*Terms!F$3:F$821)+Terms!F$2</f>
        <v>-0.934140726068734</v>
      </c>
      <c r="X793" s="0" t="n">
        <f aca="false">SUMPRODUCT(ISNUMBER(SEARCH(" "&amp;Terms!$A$3:$A$821&amp;" ",$D793))*Terms!G$3:G$821)+Terms!G$2</f>
        <v>-3.28469821149672</v>
      </c>
      <c r="Y793" s="0" t="str">
        <f aca="false">INDEX($S$1:$X$1,MATCH(MAX(S793:X793),S793:X793,0))</f>
        <v>Fees &amp; Charges</v>
      </c>
      <c r="Z793" s="0" t="s">
        <v>2607</v>
      </c>
    </row>
    <row r="794" customFormat="false" ht="15" hidden="false" customHeight="false" outlineLevel="0" collapsed="false">
      <c r="A794" s="0" t="str">
        <f aca="false">Complaints!A794</f>
        <v>C0793</v>
      </c>
      <c r="B794" s="0" t="str">
        <f aca="false">Complaints!B794</f>
        <v>I am very unhappy with how this has been handled. I expect compensation.</v>
      </c>
      <c r="C794" s="0" t="str">
        <f aca="false">Complaints!C794</f>
        <v>Account Access</v>
      </c>
      <c r="D794" s="0" t="str">
        <f aca="false">" "&amp;TRIM(SUBSTITUTE(SUBSTITUTE(SUBSTITUTE(SUBSTITUTE(SUBSTITUTE(SUBSTITUTE(SUBSTITUTE(SUBSTITUTE(SUBSTITUTE(SUBSTITUTE(SUBSTITUTE(SUBSTITUTE(SUBSTITUTE(SUBSTITUTE(SUBSTITUTE(SUBSTITUTE(LOWER(B794),"."," "),","," "),"'"," "),"’"," "),"!"," "),"?"," "),";"," "),":"," "),"-"," "),"("," "),")"," "),"""", " "),"£"," "),"&amp;"," "),"/"," "),"%"," "))&amp;" "</f>
        <v> i am very unhappy with how this has been handled i expect compensation </v>
      </c>
      <c r="E794" s="0" t="n">
        <f aca="false">SUMPRODUCT((Rules!$A$2:$A$60=E$1)*Rules!$C$2:$C$60*ISNUMBER(SEARCH(Rules!$D$2:$D$60,$D794)))</f>
        <v>0</v>
      </c>
      <c r="F794" s="0" t="n">
        <f aca="false">SUMPRODUCT((Rules!$A$2:$A$60=F$1)*Rules!$C$2:$C$60*ISNUMBER(SEARCH(Rules!$D$2:$D$60,$D794)))</f>
        <v>0</v>
      </c>
      <c r="G794" s="0" t="n">
        <f aca="false">SUMPRODUCT((Rules!$A$2:$A$60=G$1)*Rules!$C$2:$C$60*ISNUMBER(SEARCH(Rules!$D$2:$D$60,$D794)))</f>
        <v>0</v>
      </c>
      <c r="H794" s="0" t="n">
        <f aca="false">SUMPRODUCT((Rules!$A$2:$A$60=H$1)*Rules!$C$2:$C$60*ISNUMBER(SEARCH(Rules!$D$2:$D$60,$D794)))</f>
        <v>0</v>
      </c>
      <c r="I794" s="0" t="n">
        <f aca="false">SUMPRODUCT((Rules!$A$2:$A$60=I$1)*Rules!$C$2:$C$60*ISNUMBER(SEARCH(Rules!$D$2:$D$60,$D794)))</f>
        <v>0</v>
      </c>
      <c r="J794" s="0" t="n">
        <f aca="false">SUMPRODUCT((Rules!$A$2:$A$60=J$1)*Rules!$C$2:$C$60*ISNUMBER(SEARCH(Rules!$D$2:$D$60,$D794)))</f>
        <v>0</v>
      </c>
      <c r="K794" s="0" t="str">
        <f aca="false">IF(OR(MAX(E794:J794)&lt;Rules!$H$1,MAX(E794:J794)-LARGE(E794:J794,2)&lt;Rules!$H$2),"No label",INDEX($E$1:$J$1,MATCH(MAX(E794:J794),E794:J794,0)))</f>
        <v>No label</v>
      </c>
      <c r="L794" s="0" t="n">
        <f aca="false">SUMPRODUCT((Rules!$A$2:$A$60=L$1)*Rules!$C$2:$C$60*ISNUMBER(SEARCH(Rules!$E$2:$E$60,$D794)))</f>
        <v>0</v>
      </c>
      <c r="M794" s="0" t="n">
        <f aca="false">SUMPRODUCT((Rules!$A$2:$A$60=M$1)*Rules!$C$2:$C$60*ISNUMBER(SEARCH(Rules!$E$2:$E$60,$D794)))</f>
        <v>0</v>
      </c>
      <c r="N794" s="0" t="n">
        <f aca="false">SUMPRODUCT((Rules!$A$2:$A$60=N$1)*Rules!$C$2:$C$60*ISNUMBER(SEARCH(Rules!$E$2:$E$60,$D794)))</f>
        <v>0</v>
      </c>
      <c r="O794" s="0" t="n">
        <f aca="false">SUMPRODUCT((Rules!$A$2:$A$60=O$1)*Rules!$C$2:$C$60*ISNUMBER(SEARCH(Rules!$E$2:$E$60,$D794)))</f>
        <v>0</v>
      </c>
      <c r="P794" s="0" t="n">
        <f aca="false">SUMPRODUCT((Rules!$A$2:$A$60=P$1)*Rules!$C$2:$C$60*ISNUMBER(SEARCH(Rules!$E$2:$E$60,$D794)))</f>
        <v>0</v>
      </c>
      <c r="Q794" s="0" t="n">
        <f aca="false">SUMPRODUCT((Rules!$A$2:$A$60=Q$1)*Rules!$C$2:$C$60*ISNUMBER(SEARCH(Rules!$E$2:$E$60,$D794)))</f>
        <v>0</v>
      </c>
      <c r="R794" s="0" t="str">
        <f aca="false">IF(OR(MAX(L794:Q794)&lt;Rules!$H$1,MAX(L794:Q794)-LARGE(L794:Q794,2)&lt;Rules!$H$2),"No label",INDEX($L$1:$Q$1,MATCH(MAX(L794:Q794),L794:Q794,0)))</f>
        <v>No label</v>
      </c>
      <c r="S794" s="0" t="n">
        <f aca="false">SUMPRODUCT(ISNUMBER(SEARCH(" "&amp;Terms!$A$3:$A$821&amp;" ",$D794))*Terms!B$3:B$821)+Terms!B$2</f>
        <v>5.42289788447638</v>
      </c>
      <c r="T794" s="0" t="n">
        <f aca="false">SUMPRODUCT(ISNUMBER(SEARCH(" "&amp;Terms!$A$3:$A$821&amp;" ",$D794))*Terms!C$3:C$821)+Terms!C$2</f>
        <v>-2.23075369203014</v>
      </c>
      <c r="U794" s="0" t="n">
        <f aca="false">SUMPRODUCT(ISNUMBER(SEARCH(" "&amp;Terms!$A$3:$A$821&amp;" ",$D794))*Terms!D$3:D$821)+Terms!D$2</f>
        <v>0.655777280574913</v>
      </c>
      <c r="V794" s="0" t="n">
        <f aca="false">SUMPRODUCT(ISNUMBER(SEARCH(" "&amp;Terms!$A$3:$A$821&amp;" ",$D794))*Terms!E$3:E$821)+Terms!E$2</f>
        <v>-0.410706093625315</v>
      </c>
      <c r="W794" s="0" t="n">
        <f aca="false">SUMPRODUCT(ISNUMBER(SEARCH(" "&amp;Terms!$A$3:$A$821&amp;" ",$D794))*Terms!F$3:F$821)+Terms!F$2</f>
        <v>-0.438972799165492</v>
      </c>
      <c r="X794" s="0" t="n">
        <f aca="false">SUMPRODUCT(ISNUMBER(SEARCH(" "&amp;Terms!$A$3:$A$821&amp;" ",$D794))*Terms!G$3:G$821)+Terms!G$2</f>
        <v>-2.99824258023025</v>
      </c>
      <c r="Y794" s="0" t="str">
        <f aca="false">INDEX($S$1:$X$1,MATCH(MAX(S794:X794),S794:X794,0))</f>
        <v>Account Access</v>
      </c>
      <c r="Z794" s="0" t="s">
        <v>2607</v>
      </c>
    </row>
    <row r="795" customFormat="false" ht="15" hidden="false" customHeight="false" outlineLevel="0" collapsed="false">
      <c r="A795" s="0" t="str">
        <f aca="false">Complaints!A795</f>
        <v>C0794</v>
      </c>
      <c r="B795" s="0" t="str">
        <f aca="false">Complaints!B795</f>
        <v>To whom it may concern, The staff member was rude and dismissive when I called. Also, the app crashes every time I try to open my statements.</v>
      </c>
      <c r="C795" s="0" t="str">
        <f aca="false">Complaints!C795</f>
        <v>Customer Service</v>
      </c>
      <c r="D795" s="0" t="str">
        <f aca="false">" "&amp;TRIM(SUBSTITUTE(SUBSTITUTE(SUBSTITUTE(SUBSTITUTE(SUBSTITUTE(SUBSTITUTE(SUBSTITUTE(SUBSTITUTE(SUBSTITUTE(SUBSTITUTE(SUBSTITUTE(SUBSTITUTE(SUBSTITUTE(SUBSTITUTE(SUBSTITUTE(SUBSTITUTE(LOWER(B795),"."," "),","," "),"'"," "),"’"," "),"!"," "),"?"," "),";"," "),":"," "),"-"," "),"("," "),")"," "),"""", " "),"£"," "),"&amp;"," "),"/"," "),"%"," "))&amp;" "</f>
        <v> to whom it may concern the staff member was rude and dismissive when i called also the app crashes every time i try to open my statements </v>
      </c>
      <c r="E795" s="0" t="n">
        <f aca="false">SUMPRODUCT((Rules!$A$2:$A$60=E$1)*Rules!$C$2:$C$60*ISNUMBER(SEARCH(Rules!$D$2:$D$60,$D795)))</f>
        <v>0</v>
      </c>
      <c r="F795" s="0" t="n">
        <f aca="false">SUMPRODUCT((Rules!$A$2:$A$60=F$1)*Rules!$C$2:$C$60*ISNUMBER(SEARCH(Rules!$D$2:$D$60,$D795)))</f>
        <v>0</v>
      </c>
      <c r="G795" s="0" t="n">
        <f aca="false">SUMPRODUCT((Rules!$A$2:$A$60=G$1)*Rules!$C$2:$C$60*ISNUMBER(SEARCH(Rules!$D$2:$D$60,$D795)))</f>
        <v>3</v>
      </c>
      <c r="H795" s="0" t="n">
        <f aca="false">SUMPRODUCT((Rules!$A$2:$A$60=H$1)*Rules!$C$2:$C$60*ISNUMBER(SEARCH(Rules!$D$2:$D$60,$D795)))</f>
        <v>0</v>
      </c>
      <c r="I795" s="0" t="n">
        <f aca="false">SUMPRODUCT((Rules!$A$2:$A$60=I$1)*Rules!$C$2:$C$60*ISNUMBER(SEARCH(Rules!$D$2:$D$60,$D795)))</f>
        <v>0</v>
      </c>
      <c r="J795" s="0" t="n">
        <f aca="false">SUMPRODUCT((Rules!$A$2:$A$60=J$1)*Rules!$C$2:$C$60*ISNUMBER(SEARCH(Rules!$D$2:$D$60,$D795)))</f>
        <v>4</v>
      </c>
      <c r="K795" s="0" t="str">
        <f aca="false">IF(OR(MAX(E795:J795)&lt;Rules!$H$1,MAX(E795:J795)-LARGE(E795:J795,2)&lt;Rules!$H$2),"No label",INDEX($E$1:$J$1,MATCH(MAX(E795:J795),E795:J795,0)))</f>
        <v>No label</v>
      </c>
      <c r="L795" s="0" t="n">
        <f aca="false">SUMPRODUCT((Rules!$A$2:$A$60=L$1)*Rules!$C$2:$C$60*ISNUMBER(SEARCH(Rules!$E$2:$E$60,$D795)))</f>
        <v>0</v>
      </c>
      <c r="M795" s="0" t="n">
        <f aca="false">SUMPRODUCT((Rules!$A$2:$A$60=M$1)*Rules!$C$2:$C$60*ISNUMBER(SEARCH(Rules!$E$2:$E$60,$D795)))</f>
        <v>0</v>
      </c>
      <c r="N795" s="0" t="n">
        <f aca="false">SUMPRODUCT((Rules!$A$2:$A$60=N$1)*Rules!$C$2:$C$60*ISNUMBER(SEARCH(Rules!$E$2:$E$60,$D795)))</f>
        <v>3</v>
      </c>
      <c r="O795" s="0" t="n">
        <f aca="false">SUMPRODUCT((Rules!$A$2:$A$60=O$1)*Rules!$C$2:$C$60*ISNUMBER(SEARCH(Rules!$E$2:$E$60,$D795)))</f>
        <v>1</v>
      </c>
      <c r="P795" s="0" t="n">
        <f aca="false">SUMPRODUCT((Rules!$A$2:$A$60=P$1)*Rules!$C$2:$C$60*ISNUMBER(SEARCH(Rules!$E$2:$E$60,$D795)))</f>
        <v>0</v>
      </c>
      <c r="Q795" s="0" t="n">
        <f aca="false">SUMPRODUCT((Rules!$A$2:$A$60=Q$1)*Rules!$C$2:$C$60*ISNUMBER(SEARCH(Rules!$E$2:$E$60,$D795)))</f>
        <v>4</v>
      </c>
      <c r="R795" s="0" t="str">
        <f aca="false">IF(OR(MAX(L795:Q795)&lt;Rules!$H$1,MAX(L795:Q795)-LARGE(L795:Q795,2)&lt;Rules!$H$2),"No label",INDEX($L$1:$Q$1,MATCH(MAX(L795:Q795),L795:Q795,0)))</f>
        <v>No label</v>
      </c>
      <c r="S795" s="0" t="n">
        <f aca="false">SUMPRODUCT(ISNUMBER(SEARCH(" "&amp;Terms!$A$3:$A$821&amp;" ",$D795))*Terms!B$3:B$821)+Terms!B$2</f>
        <v>4.97147642855381</v>
      </c>
      <c r="T795" s="0" t="n">
        <f aca="false">SUMPRODUCT(ISNUMBER(SEARCH(" "&amp;Terms!$A$3:$A$821&amp;" ",$D795))*Terms!C$3:C$821)+Terms!C$2</f>
        <v>9.09644941314092</v>
      </c>
      <c r="U795" s="0" t="n">
        <f aca="false">SUMPRODUCT(ISNUMBER(SEARCH(" "&amp;Terms!$A$3:$A$821&amp;" ",$D795))*Terms!D$3:D$821)+Terms!D$2</f>
        <v>-3.41598682083898</v>
      </c>
      <c r="V795" s="0" t="n">
        <f aca="false">SUMPRODUCT(ISNUMBER(SEARCH(" "&amp;Terms!$A$3:$A$821&amp;" ",$D795))*Terms!E$3:E$821)+Terms!E$2</f>
        <v>1.00913618634466</v>
      </c>
      <c r="W795" s="0" t="n">
        <f aca="false">SUMPRODUCT(ISNUMBER(SEARCH(" "&amp;Terms!$A$3:$A$821&amp;" ",$D795))*Terms!F$3:F$821)+Terms!F$2</f>
        <v>-5.55430613154451</v>
      </c>
      <c r="X795" s="0" t="n">
        <f aca="false">SUMPRODUCT(ISNUMBER(SEARCH(" "&amp;Terms!$A$3:$A$821&amp;" ",$D795))*Terms!G$3:G$821)+Terms!G$2</f>
        <v>-6.1067690756558</v>
      </c>
      <c r="Y795" s="0" t="str">
        <f aca="false">INDEX($S$1:$X$1,MATCH(MAX(S795:X795),S795:X795,0))</f>
        <v>Customer Service</v>
      </c>
      <c r="Z795" s="0" t="s">
        <v>2607</v>
      </c>
    </row>
    <row r="796" customFormat="false" ht="15" hidden="false" customHeight="false" outlineLevel="0" collapsed="false">
      <c r="A796" s="0" t="str">
        <f aca="false">Complaints!A796</f>
        <v>C0795</v>
      </c>
      <c r="B796" s="0" t="str">
        <f aca="false">Complaints!B796</f>
        <v>I am writing to complain. I was advised to take out cover that duplicates what I already had.</v>
      </c>
      <c r="C796" s="0" t="str">
        <f aca="false">Complaints!C796</f>
        <v>Mis-selling</v>
      </c>
      <c r="D796" s="0" t="str">
        <f aca="false">" "&amp;TRIM(SUBSTITUTE(SUBSTITUTE(SUBSTITUTE(SUBSTITUTE(SUBSTITUTE(SUBSTITUTE(SUBSTITUTE(SUBSTITUTE(SUBSTITUTE(SUBSTITUTE(SUBSTITUTE(SUBSTITUTE(SUBSTITUTE(SUBSTITUTE(SUBSTITUTE(SUBSTITUTE(LOWER(B796),"."," "),","," "),"'"," "),"’"," "),"!"," "),"?"," "),";"," "),":"," "),"-"," "),"("," "),")"," "),"""", " "),"£"," "),"&amp;"," "),"/"," "),"%"," "))&amp;" "</f>
        <v> i am writing to complain i was advised to take out cover that duplicates what i already had </v>
      </c>
      <c r="E796" s="0" t="n">
        <f aca="false">SUMPRODUCT((Rules!$A$2:$A$60=E$1)*Rules!$C$2:$C$60*ISNUMBER(SEARCH(Rules!$D$2:$D$60,$D796)))</f>
        <v>0</v>
      </c>
      <c r="F796" s="0" t="n">
        <f aca="false">SUMPRODUCT((Rules!$A$2:$A$60=F$1)*Rules!$C$2:$C$60*ISNUMBER(SEARCH(Rules!$D$2:$D$60,$D796)))</f>
        <v>0</v>
      </c>
      <c r="G796" s="0" t="n">
        <f aca="false">SUMPRODUCT((Rules!$A$2:$A$60=G$1)*Rules!$C$2:$C$60*ISNUMBER(SEARCH(Rules!$D$2:$D$60,$D796)))</f>
        <v>0</v>
      </c>
      <c r="H796" s="0" t="n">
        <f aca="false">SUMPRODUCT((Rules!$A$2:$A$60=H$1)*Rules!$C$2:$C$60*ISNUMBER(SEARCH(Rules!$D$2:$D$60,$D796)))</f>
        <v>0</v>
      </c>
      <c r="I796" s="0" t="n">
        <f aca="false">SUMPRODUCT((Rules!$A$2:$A$60=I$1)*Rules!$C$2:$C$60*ISNUMBER(SEARCH(Rules!$D$2:$D$60,$D796)))</f>
        <v>0</v>
      </c>
      <c r="J796" s="0" t="n">
        <f aca="false">SUMPRODUCT((Rules!$A$2:$A$60=J$1)*Rules!$C$2:$C$60*ISNUMBER(SEARCH(Rules!$D$2:$D$60,$D796)))</f>
        <v>0</v>
      </c>
      <c r="K796" s="0" t="str">
        <f aca="false">IF(OR(MAX(E796:J796)&lt;Rules!$H$1,MAX(E796:J796)-LARGE(E796:J796,2)&lt;Rules!$H$2),"No label",INDEX($E$1:$J$1,MATCH(MAX(E796:J796),E796:J796,0)))</f>
        <v>No label</v>
      </c>
      <c r="L796" s="0" t="n">
        <f aca="false">SUMPRODUCT((Rules!$A$2:$A$60=L$1)*Rules!$C$2:$C$60*ISNUMBER(SEARCH(Rules!$E$2:$E$60,$D796)))</f>
        <v>0</v>
      </c>
      <c r="M796" s="0" t="n">
        <f aca="false">SUMPRODUCT((Rules!$A$2:$A$60=M$1)*Rules!$C$2:$C$60*ISNUMBER(SEARCH(Rules!$E$2:$E$60,$D796)))</f>
        <v>4</v>
      </c>
      <c r="N796" s="0" t="n">
        <f aca="false">SUMPRODUCT((Rules!$A$2:$A$60=N$1)*Rules!$C$2:$C$60*ISNUMBER(SEARCH(Rules!$E$2:$E$60,$D796)))</f>
        <v>0</v>
      </c>
      <c r="O796" s="0" t="n">
        <f aca="false">SUMPRODUCT((Rules!$A$2:$A$60=O$1)*Rules!$C$2:$C$60*ISNUMBER(SEARCH(Rules!$E$2:$E$60,$D796)))</f>
        <v>0</v>
      </c>
      <c r="P796" s="0" t="n">
        <f aca="false">SUMPRODUCT((Rules!$A$2:$A$60=P$1)*Rules!$C$2:$C$60*ISNUMBER(SEARCH(Rules!$E$2:$E$60,$D796)))</f>
        <v>0</v>
      </c>
      <c r="Q796" s="0" t="n">
        <f aca="false">SUMPRODUCT((Rules!$A$2:$A$60=Q$1)*Rules!$C$2:$C$60*ISNUMBER(SEARCH(Rules!$E$2:$E$60,$D796)))</f>
        <v>1</v>
      </c>
      <c r="R796" s="0" t="str">
        <f aca="false">IF(OR(MAX(L796:Q796)&lt;Rules!$H$1,MAX(L796:Q796)-LARGE(L796:Q796,2)&lt;Rules!$H$2),"No label",INDEX($L$1:$Q$1,MATCH(MAX(L796:Q796),L796:Q796,0)))</f>
        <v>Mis-selling</v>
      </c>
      <c r="S796" s="0" t="n">
        <f aca="false">SUMPRODUCT(ISNUMBER(SEARCH(" "&amp;Terms!$A$3:$A$821&amp;" ",$D796))*Terms!B$3:B$821)+Terms!B$2</f>
        <v>-1.07311631827179</v>
      </c>
      <c r="T796" s="0" t="n">
        <f aca="false">SUMPRODUCT(ISNUMBER(SEARCH(" "&amp;Terms!$A$3:$A$821&amp;" ",$D796))*Terms!C$3:C$821)+Terms!C$2</f>
        <v>0.0832577236835703</v>
      </c>
      <c r="U796" s="0" t="n">
        <f aca="false">SUMPRODUCT(ISNUMBER(SEARCH(" "&amp;Terms!$A$3:$A$821&amp;" ",$D796))*Terms!D$3:D$821)+Terms!D$2</f>
        <v>0.019127980930545</v>
      </c>
      <c r="V796" s="0" t="n">
        <f aca="false">SUMPRODUCT(ISNUMBER(SEARCH(" "&amp;Terms!$A$3:$A$821&amp;" ",$D796))*Terms!E$3:E$821)+Terms!E$2</f>
        <v>-2.52968345260798</v>
      </c>
      <c r="W796" s="0" t="n">
        <f aca="false">SUMPRODUCT(ISNUMBER(SEARCH(" "&amp;Terms!$A$3:$A$821&amp;" ",$D796))*Terms!F$3:F$821)+Terms!F$2</f>
        <v>-2.01838395970127</v>
      </c>
      <c r="X796" s="0" t="n">
        <f aca="false">SUMPRODUCT(ISNUMBER(SEARCH(" "&amp;Terms!$A$3:$A$821&amp;" ",$D796))*Terms!G$3:G$821)+Terms!G$2</f>
        <v>5.518798025967</v>
      </c>
      <c r="Y796" s="0" t="str">
        <f aca="false">INDEX($S$1:$X$1,MATCH(MAX(S796:X796),S796:X796,0))</f>
        <v>Mis-selling</v>
      </c>
      <c r="Z796" s="0" t="s">
        <v>2607</v>
      </c>
    </row>
    <row r="797" customFormat="false" ht="15" hidden="false" customHeight="false" outlineLevel="0" collapsed="false">
      <c r="A797" s="0" t="str">
        <f aca="false">Complaints!A797</f>
        <v>C0796</v>
      </c>
      <c r="B797" s="0" t="str">
        <f aca="false">Complaints!B797</f>
        <v>The branch manager would not listen to my concerns. Also, the salesperson pushed me into a plan I did not need. Please sort this out.</v>
      </c>
      <c r="C797" s="0" t="str">
        <f aca="false">Complaints!C797</f>
        <v>Customer Service</v>
      </c>
      <c r="D797" s="0" t="str">
        <f aca="false">" "&amp;TRIM(SUBSTITUTE(SUBSTITUTE(SUBSTITUTE(SUBSTITUTE(SUBSTITUTE(SUBSTITUTE(SUBSTITUTE(SUBSTITUTE(SUBSTITUTE(SUBSTITUTE(SUBSTITUTE(SUBSTITUTE(SUBSTITUTE(SUBSTITUTE(SUBSTITUTE(SUBSTITUTE(LOWER(B797),"."," "),","," "),"'"," "),"’"," "),"!"," "),"?"," "),";"," "),":"," "),"-"," "),"("," "),")"," "),"""", " "),"£"," "),"&amp;"," "),"/"," "),"%"," "))&amp;" "</f>
        <v> the branch manager would not listen to my concerns also the salesperson pushed me into a plan i did not need please sort this out </v>
      </c>
      <c r="E797" s="0" t="n">
        <f aca="false">SUMPRODUCT((Rules!$A$2:$A$60=E$1)*Rules!$C$2:$C$60*ISNUMBER(SEARCH(Rules!$D$2:$D$60,$D797)))</f>
        <v>0</v>
      </c>
      <c r="F797" s="0" t="n">
        <f aca="false">SUMPRODUCT((Rules!$A$2:$A$60=F$1)*Rules!$C$2:$C$60*ISNUMBER(SEARCH(Rules!$D$2:$D$60,$D797)))</f>
        <v>2</v>
      </c>
      <c r="G797" s="0" t="n">
        <f aca="false">SUMPRODUCT((Rules!$A$2:$A$60=G$1)*Rules!$C$2:$C$60*ISNUMBER(SEARCH(Rules!$D$2:$D$60,$D797)))</f>
        <v>0</v>
      </c>
      <c r="H797" s="0" t="n">
        <f aca="false">SUMPRODUCT((Rules!$A$2:$A$60=H$1)*Rules!$C$2:$C$60*ISNUMBER(SEARCH(Rules!$D$2:$D$60,$D797)))</f>
        <v>0</v>
      </c>
      <c r="I797" s="0" t="n">
        <f aca="false">SUMPRODUCT((Rules!$A$2:$A$60=I$1)*Rules!$C$2:$C$60*ISNUMBER(SEARCH(Rules!$D$2:$D$60,$D797)))</f>
        <v>0</v>
      </c>
      <c r="J797" s="0" t="n">
        <f aca="false">SUMPRODUCT((Rules!$A$2:$A$60=J$1)*Rules!$C$2:$C$60*ISNUMBER(SEARCH(Rules!$D$2:$D$60,$D797)))</f>
        <v>0</v>
      </c>
      <c r="K797" s="0" t="str">
        <f aca="false">IF(OR(MAX(E797:J797)&lt;Rules!$H$1,MAX(E797:J797)-LARGE(E797:J797,2)&lt;Rules!$H$2),"No label",INDEX($E$1:$J$1,MATCH(MAX(E797:J797),E797:J797,0)))</f>
        <v>No label</v>
      </c>
      <c r="L797" s="0" t="n">
        <f aca="false">SUMPRODUCT((Rules!$A$2:$A$60=L$1)*Rules!$C$2:$C$60*ISNUMBER(SEARCH(Rules!$E$2:$E$60,$D797)))</f>
        <v>0</v>
      </c>
      <c r="M797" s="0" t="n">
        <f aca="false">SUMPRODUCT((Rules!$A$2:$A$60=M$1)*Rules!$C$2:$C$60*ISNUMBER(SEARCH(Rules!$E$2:$E$60,$D797)))</f>
        <v>2</v>
      </c>
      <c r="N797" s="0" t="n">
        <f aca="false">SUMPRODUCT((Rules!$A$2:$A$60=N$1)*Rules!$C$2:$C$60*ISNUMBER(SEARCH(Rules!$E$2:$E$60,$D797)))</f>
        <v>0</v>
      </c>
      <c r="O797" s="0" t="n">
        <f aca="false">SUMPRODUCT((Rules!$A$2:$A$60=O$1)*Rules!$C$2:$C$60*ISNUMBER(SEARCH(Rules!$E$2:$E$60,$D797)))</f>
        <v>0</v>
      </c>
      <c r="P797" s="0" t="n">
        <f aca="false">SUMPRODUCT((Rules!$A$2:$A$60=P$1)*Rules!$C$2:$C$60*ISNUMBER(SEARCH(Rules!$E$2:$E$60,$D797)))</f>
        <v>0</v>
      </c>
      <c r="Q797" s="0" t="n">
        <f aca="false">SUMPRODUCT((Rules!$A$2:$A$60=Q$1)*Rules!$C$2:$C$60*ISNUMBER(SEARCH(Rules!$E$2:$E$60,$D797)))</f>
        <v>0</v>
      </c>
      <c r="R797" s="0" t="str">
        <f aca="false">IF(OR(MAX(L797:Q797)&lt;Rules!$H$1,MAX(L797:Q797)-LARGE(L797:Q797,2)&lt;Rules!$H$2),"No label",INDEX($L$1:$Q$1,MATCH(MAX(L797:Q797),L797:Q797,0)))</f>
        <v>No label</v>
      </c>
      <c r="S797" s="0" t="n">
        <f aca="false">SUMPRODUCT(ISNUMBER(SEARCH(" "&amp;Terms!$A$3:$A$821&amp;" ",$D797))*Terms!B$3:B$821)+Terms!B$2</f>
        <v>-6.61450334785246</v>
      </c>
      <c r="T797" s="0" t="n">
        <f aca="false">SUMPRODUCT(ISNUMBER(SEARCH(" "&amp;Terms!$A$3:$A$821&amp;" ",$D797))*Terms!C$3:C$821)+Terms!C$2</f>
        <v>10.9849536854564</v>
      </c>
      <c r="U797" s="0" t="n">
        <f aca="false">SUMPRODUCT(ISNUMBER(SEARCH(" "&amp;Terms!$A$3:$A$821&amp;" ",$D797))*Terms!D$3:D$821)+Terms!D$2</f>
        <v>-6.72419563148816</v>
      </c>
      <c r="V797" s="0" t="n">
        <f aca="false">SUMPRODUCT(ISNUMBER(SEARCH(" "&amp;Terms!$A$3:$A$821&amp;" ",$D797))*Terms!E$3:E$821)+Terms!E$2</f>
        <v>-1.63238612866151</v>
      </c>
      <c r="W797" s="0" t="n">
        <f aca="false">SUMPRODUCT(ISNUMBER(SEARCH(" "&amp;Terms!$A$3:$A$821&amp;" ",$D797))*Terms!F$3:F$821)+Terms!F$2</f>
        <v>-1.740673462041</v>
      </c>
      <c r="X797" s="0" t="n">
        <f aca="false">SUMPRODUCT(ISNUMBER(SEARCH(" "&amp;Terms!$A$3:$A$821&amp;" ",$D797))*Terms!G$3:G$821)+Terms!G$2</f>
        <v>5.72680488458683</v>
      </c>
      <c r="Y797" s="0" t="str">
        <f aca="false">INDEX($S$1:$X$1,MATCH(MAX(S797:X797),S797:X797,0))</f>
        <v>Customer Service</v>
      </c>
      <c r="Z797" s="0" t="s">
        <v>2607</v>
      </c>
    </row>
    <row r="798" customFormat="false" ht="15" hidden="false" customHeight="false" outlineLevel="0" collapsed="false">
      <c r="A798" s="0" t="str">
        <f aca="false">Complaints!A798</f>
        <v>C0797</v>
      </c>
      <c r="B798" s="0" t="str">
        <f aca="false">Complaints!B798</f>
        <v>I am writing to complain. I was advised to take out cover that duplicates what I already had. It has also been taking far too long. I would like a response in writing.</v>
      </c>
      <c r="C798" s="0" t="str">
        <f aca="false">Complaints!C798</f>
        <v>Mis-selling</v>
      </c>
      <c r="D798" s="0" t="str">
        <f aca="false">" "&amp;TRIM(SUBSTITUTE(SUBSTITUTE(SUBSTITUTE(SUBSTITUTE(SUBSTITUTE(SUBSTITUTE(SUBSTITUTE(SUBSTITUTE(SUBSTITUTE(SUBSTITUTE(SUBSTITUTE(SUBSTITUTE(SUBSTITUTE(SUBSTITUTE(SUBSTITUTE(SUBSTITUTE(LOWER(B798),"."," "),","," "),"'"," "),"’"," "),"!"," "),"?"," "),";"," "),":"," "),"-"," "),"("," "),")"," "),"""", " "),"£"," "),"&amp;"," "),"/"," "),"%"," "))&amp;" "</f>
        <v> i am writing to complain i was advised to take out cover that duplicates what i already had it has also been taking far too long i would like a response in writing </v>
      </c>
      <c r="E798" s="0" t="n">
        <f aca="false">SUMPRODUCT((Rules!$A$2:$A$60=E$1)*Rules!$C$2:$C$60*ISNUMBER(SEARCH(Rules!$D$2:$D$60,$D798)))</f>
        <v>0</v>
      </c>
      <c r="F798" s="0" t="n">
        <f aca="false">SUMPRODUCT((Rules!$A$2:$A$60=F$1)*Rules!$C$2:$C$60*ISNUMBER(SEARCH(Rules!$D$2:$D$60,$D798)))</f>
        <v>0</v>
      </c>
      <c r="G798" s="0" t="n">
        <f aca="false">SUMPRODUCT((Rules!$A$2:$A$60=G$1)*Rules!$C$2:$C$60*ISNUMBER(SEARCH(Rules!$D$2:$D$60,$D798)))</f>
        <v>0</v>
      </c>
      <c r="H798" s="0" t="n">
        <f aca="false">SUMPRODUCT((Rules!$A$2:$A$60=H$1)*Rules!$C$2:$C$60*ISNUMBER(SEARCH(Rules!$D$2:$D$60,$D798)))</f>
        <v>0</v>
      </c>
      <c r="I798" s="0" t="n">
        <f aca="false">SUMPRODUCT((Rules!$A$2:$A$60=I$1)*Rules!$C$2:$C$60*ISNUMBER(SEARCH(Rules!$D$2:$D$60,$D798)))</f>
        <v>0</v>
      </c>
      <c r="J798" s="0" t="n">
        <f aca="false">SUMPRODUCT((Rules!$A$2:$A$60=J$1)*Rules!$C$2:$C$60*ISNUMBER(SEARCH(Rules!$D$2:$D$60,$D798)))</f>
        <v>0</v>
      </c>
      <c r="K798" s="0" t="str">
        <f aca="false">IF(OR(MAX(E798:J798)&lt;Rules!$H$1,MAX(E798:J798)-LARGE(E798:J798,2)&lt;Rules!$H$2),"No label",INDEX($E$1:$J$1,MATCH(MAX(E798:J798),E798:J798,0)))</f>
        <v>No label</v>
      </c>
      <c r="L798" s="0" t="n">
        <f aca="false">SUMPRODUCT((Rules!$A$2:$A$60=L$1)*Rules!$C$2:$C$60*ISNUMBER(SEARCH(Rules!$E$2:$E$60,$D798)))</f>
        <v>0</v>
      </c>
      <c r="M798" s="0" t="n">
        <f aca="false">SUMPRODUCT((Rules!$A$2:$A$60=M$1)*Rules!$C$2:$C$60*ISNUMBER(SEARCH(Rules!$E$2:$E$60,$D798)))</f>
        <v>4</v>
      </c>
      <c r="N798" s="0" t="n">
        <f aca="false">SUMPRODUCT((Rules!$A$2:$A$60=N$1)*Rules!$C$2:$C$60*ISNUMBER(SEARCH(Rules!$E$2:$E$60,$D798)))</f>
        <v>0</v>
      </c>
      <c r="O798" s="0" t="n">
        <f aca="false">SUMPRODUCT((Rules!$A$2:$A$60=O$1)*Rules!$C$2:$C$60*ISNUMBER(SEARCH(Rules!$E$2:$E$60,$D798)))</f>
        <v>0</v>
      </c>
      <c r="P798" s="0" t="n">
        <f aca="false">SUMPRODUCT((Rules!$A$2:$A$60=P$1)*Rules!$C$2:$C$60*ISNUMBER(SEARCH(Rules!$E$2:$E$60,$D798)))</f>
        <v>0</v>
      </c>
      <c r="Q798" s="0" t="n">
        <f aca="false">SUMPRODUCT((Rules!$A$2:$A$60=Q$1)*Rules!$C$2:$C$60*ISNUMBER(SEARCH(Rules!$E$2:$E$60,$D798)))</f>
        <v>1</v>
      </c>
      <c r="R798" s="0" t="str">
        <f aca="false">IF(OR(MAX(L798:Q798)&lt;Rules!$H$1,MAX(L798:Q798)-LARGE(L798:Q798,2)&lt;Rules!$H$2),"No label",INDEX($L$1:$Q$1,MATCH(MAX(L798:Q798),L798:Q798,0)))</f>
        <v>Mis-selling</v>
      </c>
      <c r="S798" s="0" t="n">
        <f aca="false">SUMPRODUCT(ISNUMBER(SEARCH(" "&amp;Terms!$A$3:$A$821&amp;" ",$D798))*Terms!B$3:B$821)+Terms!B$2</f>
        <v>-1.6337793125797</v>
      </c>
      <c r="T798" s="0" t="n">
        <f aca="false">SUMPRODUCT(ISNUMBER(SEARCH(" "&amp;Terms!$A$3:$A$821&amp;" ",$D798))*Terms!C$3:C$821)+Terms!C$2</f>
        <v>-0.263474939146116</v>
      </c>
      <c r="U798" s="0" t="n">
        <f aca="false">SUMPRODUCT(ISNUMBER(SEARCH(" "&amp;Terms!$A$3:$A$821&amp;" ",$D798))*Terms!D$3:D$821)+Terms!D$2</f>
        <v>-0.126891362325452</v>
      </c>
      <c r="V798" s="0" t="n">
        <f aca="false">SUMPRODUCT(ISNUMBER(SEARCH(" "&amp;Terms!$A$3:$A$821&amp;" ",$D798))*Terms!E$3:E$821)+Terms!E$2</f>
        <v>-1.98097506610737</v>
      </c>
      <c r="W798" s="0" t="n">
        <f aca="false">SUMPRODUCT(ISNUMBER(SEARCH(" "&amp;Terms!$A$3:$A$821&amp;" ",$D798))*Terms!F$3:F$821)+Terms!F$2</f>
        <v>-2.80765260369239</v>
      </c>
      <c r="X798" s="0" t="n">
        <f aca="false">SUMPRODUCT(ISNUMBER(SEARCH(" "&amp;Terms!$A$3:$A$821&amp;" ",$D798))*Terms!G$3:G$821)+Terms!G$2</f>
        <v>6.81277328385111</v>
      </c>
      <c r="Y798" s="0" t="str">
        <f aca="false">INDEX($S$1:$X$1,MATCH(MAX(S798:X798),S798:X798,0))</f>
        <v>Mis-selling</v>
      </c>
      <c r="Z798" s="0" t="s">
        <v>2608</v>
      </c>
    </row>
    <row r="799" customFormat="false" ht="15" hidden="false" customHeight="false" outlineLevel="0" collapsed="false">
      <c r="A799" s="0" t="str">
        <f aca="false">Complaints!A799</f>
        <v>C0798</v>
      </c>
      <c r="B799" s="0" t="str">
        <f aca="false">Complaints!B799</f>
        <v>Hello, The pension transfer advice I received was poor and I have lost out.</v>
      </c>
      <c r="C799" s="0" t="str">
        <f aca="false">Complaints!C799</f>
        <v>Mis-selling</v>
      </c>
      <c r="D799" s="0" t="str">
        <f aca="false">" "&amp;TRIM(SUBSTITUTE(SUBSTITUTE(SUBSTITUTE(SUBSTITUTE(SUBSTITUTE(SUBSTITUTE(SUBSTITUTE(SUBSTITUTE(SUBSTITUTE(SUBSTITUTE(SUBSTITUTE(SUBSTITUTE(SUBSTITUTE(SUBSTITUTE(SUBSTITUTE(SUBSTITUTE(LOWER(B799),"."," "),","," "),"'"," "),"’"," "),"!"," "),"?"," "),";"," "),":"," "),"-"," "),"("," "),")"," "),"""", " "),"£"," "),"&amp;"," "),"/"," "),"%"," "))&amp;" "</f>
        <v> hello the pension transfer advice i received was poor and i have lost out </v>
      </c>
      <c r="E799" s="0" t="n">
        <f aca="false">SUMPRODUCT((Rules!$A$2:$A$60=E$1)*Rules!$C$2:$C$60*ISNUMBER(SEARCH(Rules!$D$2:$D$60,$D799)))</f>
        <v>0</v>
      </c>
      <c r="F799" s="0" t="n">
        <f aca="false">SUMPRODUCT((Rules!$A$2:$A$60=F$1)*Rules!$C$2:$C$60*ISNUMBER(SEARCH(Rules!$D$2:$D$60,$D799)))</f>
        <v>2</v>
      </c>
      <c r="G799" s="0" t="n">
        <f aca="false">SUMPRODUCT((Rules!$A$2:$A$60=G$1)*Rules!$C$2:$C$60*ISNUMBER(SEARCH(Rules!$D$2:$D$60,$D799)))</f>
        <v>0</v>
      </c>
      <c r="H799" s="0" t="n">
        <f aca="false">SUMPRODUCT((Rules!$A$2:$A$60=H$1)*Rules!$C$2:$C$60*ISNUMBER(SEARCH(Rules!$D$2:$D$60,$D799)))</f>
        <v>0</v>
      </c>
      <c r="I799" s="0" t="n">
        <f aca="false">SUMPRODUCT((Rules!$A$2:$A$60=I$1)*Rules!$C$2:$C$60*ISNUMBER(SEARCH(Rules!$D$2:$D$60,$D799)))</f>
        <v>0</v>
      </c>
      <c r="J799" s="0" t="n">
        <f aca="false">SUMPRODUCT((Rules!$A$2:$A$60=J$1)*Rules!$C$2:$C$60*ISNUMBER(SEARCH(Rules!$D$2:$D$60,$D799)))</f>
        <v>0</v>
      </c>
      <c r="K799" s="0" t="str">
        <f aca="false">IF(OR(MAX(E799:J799)&lt;Rules!$H$1,MAX(E799:J799)-LARGE(E799:J799,2)&lt;Rules!$H$2),"No label",INDEX($E$1:$J$1,MATCH(MAX(E799:J799),E799:J799,0)))</f>
        <v>No label</v>
      </c>
      <c r="L799" s="0" t="n">
        <f aca="false">SUMPRODUCT((Rules!$A$2:$A$60=L$1)*Rules!$C$2:$C$60*ISNUMBER(SEARCH(Rules!$E$2:$E$60,$D799)))</f>
        <v>0</v>
      </c>
      <c r="M799" s="0" t="n">
        <f aca="false">SUMPRODUCT((Rules!$A$2:$A$60=M$1)*Rules!$C$2:$C$60*ISNUMBER(SEARCH(Rules!$E$2:$E$60,$D799)))</f>
        <v>2</v>
      </c>
      <c r="N799" s="0" t="n">
        <f aca="false">SUMPRODUCT((Rules!$A$2:$A$60=N$1)*Rules!$C$2:$C$60*ISNUMBER(SEARCH(Rules!$E$2:$E$60,$D799)))</f>
        <v>0</v>
      </c>
      <c r="O799" s="0" t="n">
        <f aca="false">SUMPRODUCT((Rules!$A$2:$A$60=O$1)*Rules!$C$2:$C$60*ISNUMBER(SEARCH(Rules!$E$2:$E$60,$D799)))</f>
        <v>0</v>
      </c>
      <c r="P799" s="0" t="n">
        <f aca="false">SUMPRODUCT((Rules!$A$2:$A$60=P$1)*Rules!$C$2:$C$60*ISNUMBER(SEARCH(Rules!$E$2:$E$60,$D799)))</f>
        <v>0</v>
      </c>
      <c r="Q799" s="0" t="n">
        <f aca="false">SUMPRODUCT((Rules!$A$2:$A$60=Q$1)*Rules!$C$2:$C$60*ISNUMBER(SEARCH(Rules!$E$2:$E$60,$D799)))</f>
        <v>0</v>
      </c>
      <c r="R799" s="0" t="str">
        <f aca="false">IF(OR(MAX(L799:Q799)&lt;Rules!$H$1,MAX(L799:Q799)-LARGE(L799:Q799,2)&lt;Rules!$H$2),"No label",INDEX($L$1:$Q$1,MATCH(MAX(L799:Q799),L799:Q799,0)))</f>
        <v>No label</v>
      </c>
      <c r="S799" s="0" t="n">
        <f aca="false">SUMPRODUCT(ISNUMBER(SEARCH(" "&amp;Terms!$A$3:$A$821&amp;" ",$D799))*Terms!B$3:B$821)+Terms!B$2</f>
        <v>-2.74341558670997</v>
      </c>
      <c r="T799" s="0" t="n">
        <f aca="false">SUMPRODUCT(ISNUMBER(SEARCH(" "&amp;Terms!$A$3:$A$821&amp;" ",$D799))*Terms!C$3:C$821)+Terms!C$2</f>
        <v>-2.45896139243624</v>
      </c>
      <c r="U799" s="0" t="n">
        <f aca="false">SUMPRODUCT(ISNUMBER(SEARCH(" "&amp;Terms!$A$3:$A$821&amp;" ",$D799))*Terms!D$3:D$821)+Terms!D$2</f>
        <v>0.825664703859234</v>
      </c>
      <c r="V799" s="0" t="n">
        <f aca="false">SUMPRODUCT(ISNUMBER(SEARCH(" "&amp;Terms!$A$3:$A$821&amp;" ",$D799))*Terms!E$3:E$821)+Terms!E$2</f>
        <v>-2.17146020379135</v>
      </c>
      <c r="W799" s="0" t="n">
        <f aca="false">SUMPRODUCT(ISNUMBER(SEARCH(" "&amp;Terms!$A$3:$A$821&amp;" ",$D799))*Terms!F$3:F$821)+Terms!F$2</f>
        <v>-3.04195190615361</v>
      </c>
      <c r="X799" s="0" t="n">
        <f aca="false">SUMPRODUCT(ISNUMBER(SEARCH(" "&amp;Terms!$A$3:$A$821&amp;" ",$D799))*Terms!G$3:G$821)+Terms!G$2</f>
        <v>9.59012438523203</v>
      </c>
      <c r="Y799" s="0" t="str">
        <f aca="false">INDEX($S$1:$X$1,MATCH(MAX(S799:X799),S799:X799,0))</f>
        <v>Mis-selling</v>
      </c>
      <c r="Z799" s="0" t="s">
        <v>2608</v>
      </c>
    </row>
    <row r="800" customFormat="false" ht="15" hidden="false" customHeight="false" outlineLevel="0" collapsed="false">
      <c r="A800" s="0" t="str">
        <f aca="false">Complaints!A800</f>
        <v>C0799</v>
      </c>
      <c r="B800" s="0" t="str">
        <f aca="false">Complaints!B800</f>
        <v>I spent an hour on hold and then the call was cut off. This is not acceptable.</v>
      </c>
      <c r="C800" s="0" t="str">
        <f aca="false">Complaints!C800</f>
        <v>Customer Service</v>
      </c>
      <c r="D800" s="0" t="str">
        <f aca="false">" "&amp;TRIM(SUBSTITUTE(SUBSTITUTE(SUBSTITUTE(SUBSTITUTE(SUBSTITUTE(SUBSTITUTE(SUBSTITUTE(SUBSTITUTE(SUBSTITUTE(SUBSTITUTE(SUBSTITUTE(SUBSTITUTE(SUBSTITUTE(SUBSTITUTE(SUBSTITUTE(SUBSTITUTE(LOWER(B800),"."," "),","," "),"'"," "),"’"," "),"!"," "),"?"," "),";"," "),":"," "),"-"," "),"("," "),")"," "),"""", " "),"£"," "),"&amp;"," "),"/"," "),"%"," "))&amp;" "</f>
        <v> i spent an hour on hold and then the call was cut off this is not acceptable </v>
      </c>
      <c r="E800" s="0" t="n">
        <f aca="false">SUMPRODUCT((Rules!$A$2:$A$60=E$1)*Rules!$C$2:$C$60*ISNUMBER(SEARCH(Rules!$D$2:$D$60,$D800)))</f>
        <v>0</v>
      </c>
      <c r="F800" s="0" t="n">
        <f aca="false">SUMPRODUCT((Rules!$A$2:$A$60=F$1)*Rules!$C$2:$C$60*ISNUMBER(SEARCH(Rules!$D$2:$D$60,$D800)))</f>
        <v>0</v>
      </c>
      <c r="G800" s="0" t="n">
        <f aca="false">SUMPRODUCT((Rules!$A$2:$A$60=G$1)*Rules!$C$2:$C$60*ISNUMBER(SEARCH(Rules!$D$2:$D$60,$D800)))</f>
        <v>0</v>
      </c>
      <c r="H800" s="0" t="n">
        <f aca="false">SUMPRODUCT((Rules!$A$2:$A$60=H$1)*Rules!$C$2:$C$60*ISNUMBER(SEARCH(Rules!$D$2:$D$60,$D800)))</f>
        <v>0</v>
      </c>
      <c r="I800" s="0" t="n">
        <f aca="false">SUMPRODUCT((Rules!$A$2:$A$60=I$1)*Rules!$C$2:$C$60*ISNUMBER(SEARCH(Rules!$D$2:$D$60,$D800)))</f>
        <v>0</v>
      </c>
      <c r="J800" s="0" t="n">
        <f aca="false">SUMPRODUCT((Rules!$A$2:$A$60=J$1)*Rules!$C$2:$C$60*ISNUMBER(SEARCH(Rules!$D$2:$D$60,$D800)))</f>
        <v>3</v>
      </c>
      <c r="K800" s="0" t="str">
        <f aca="false">IF(OR(MAX(E800:J800)&lt;Rules!$H$1,MAX(E800:J800)-LARGE(E800:J800,2)&lt;Rules!$H$2),"No label",INDEX($E$1:$J$1,MATCH(MAX(E800:J800),E800:J800,0)))</f>
        <v>Customer Service</v>
      </c>
      <c r="L800" s="0" t="n">
        <f aca="false">SUMPRODUCT((Rules!$A$2:$A$60=L$1)*Rules!$C$2:$C$60*ISNUMBER(SEARCH(Rules!$E$2:$E$60,$D800)))</f>
        <v>0</v>
      </c>
      <c r="M800" s="0" t="n">
        <f aca="false">SUMPRODUCT((Rules!$A$2:$A$60=M$1)*Rules!$C$2:$C$60*ISNUMBER(SEARCH(Rules!$E$2:$E$60,$D800)))</f>
        <v>0</v>
      </c>
      <c r="N800" s="0" t="n">
        <f aca="false">SUMPRODUCT((Rules!$A$2:$A$60=N$1)*Rules!$C$2:$C$60*ISNUMBER(SEARCH(Rules!$E$2:$E$60,$D800)))</f>
        <v>1</v>
      </c>
      <c r="O800" s="0" t="n">
        <f aca="false">SUMPRODUCT((Rules!$A$2:$A$60=O$1)*Rules!$C$2:$C$60*ISNUMBER(SEARCH(Rules!$E$2:$E$60,$D800)))</f>
        <v>0</v>
      </c>
      <c r="P800" s="0" t="n">
        <f aca="false">SUMPRODUCT((Rules!$A$2:$A$60=P$1)*Rules!$C$2:$C$60*ISNUMBER(SEARCH(Rules!$E$2:$E$60,$D800)))</f>
        <v>0</v>
      </c>
      <c r="Q800" s="0" t="n">
        <f aca="false">SUMPRODUCT((Rules!$A$2:$A$60=Q$1)*Rules!$C$2:$C$60*ISNUMBER(SEARCH(Rules!$E$2:$E$60,$D800)))</f>
        <v>3</v>
      </c>
      <c r="R800" s="0" t="str">
        <f aca="false">IF(OR(MAX(L800:Q800)&lt;Rules!$H$1,MAX(L800:Q800)-LARGE(L800:Q800,2)&lt;Rules!$H$2),"No label",INDEX($L$1:$Q$1,MATCH(MAX(L800:Q800),L800:Q800,0)))</f>
        <v>Customer Service</v>
      </c>
      <c r="S800" s="0" t="n">
        <f aca="false">SUMPRODUCT(ISNUMBER(SEARCH(" "&amp;Terms!$A$3:$A$821&amp;" ",$D800))*Terms!B$3:B$821)+Terms!B$2</f>
        <v>-0.0897350985551159</v>
      </c>
      <c r="T800" s="0" t="n">
        <f aca="false">SUMPRODUCT(ISNUMBER(SEARCH(" "&amp;Terms!$A$3:$A$821&amp;" ",$D800))*Terms!C$3:C$821)+Terms!C$2</f>
        <v>5.63611363084907</v>
      </c>
      <c r="U800" s="0" t="n">
        <f aca="false">SUMPRODUCT(ISNUMBER(SEARCH(" "&amp;Terms!$A$3:$A$821&amp;" ",$D800))*Terms!D$3:D$821)+Terms!D$2</f>
        <v>-0.940963387418895</v>
      </c>
      <c r="V800" s="0" t="n">
        <f aca="false">SUMPRODUCT(ISNUMBER(SEARCH(" "&amp;Terms!$A$3:$A$821&amp;" ",$D800))*Terms!E$3:E$821)+Terms!E$2</f>
        <v>-4.13648924714367</v>
      </c>
      <c r="W800" s="0" t="n">
        <f aca="false">SUMPRODUCT(ISNUMBER(SEARCH(" "&amp;Terms!$A$3:$A$821&amp;" ",$D800))*Terms!F$3:F$821)+Terms!F$2</f>
        <v>-0.557526382742719</v>
      </c>
      <c r="X800" s="0" t="n">
        <f aca="false">SUMPRODUCT(ISNUMBER(SEARCH(" "&amp;Terms!$A$3:$A$821&amp;" ",$D800))*Terms!G$3:G$821)+Terms!G$2</f>
        <v>0.0886004850114352</v>
      </c>
      <c r="Y800" s="0" t="str">
        <f aca="false">INDEX($S$1:$X$1,MATCH(MAX(S800:X800),S800:X800,0))</f>
        <v>Customer Service</v>
      </c>
      <c r="Z800" s="0" t="s">
        <v>2607</v>
      </c>
    </row>
    <row r="801" customFormat="false" ht="15" hidden="false" customHeight="false" outlineLevel="0" collapsed="false">
      <c r="A801" s="0" t="str">
        <f aca="false">Complaints!A801</f>
        <v>C0800</v>
      </c>
      <c r="B801" s="0" t="str">
        <f aca="false">Complaints!B801</f>
        <v>Hello, I was passed between four departments and no one took ownership. Also, there are transactions on my card I do not recognise. This is not acceptable.</v>
      </c>
      <c r="C801" s="0" t="str">
        <f aca="false">Complaints!C801</f>
        <v>Customer Service</v>
      </c>
      <c r="D801" s="0" t="str">
        <f aca="false">" "&amp;TRIM(SUBSTITUTE(SUBSTITUTE(SUBSTITUTE(SUBSTITUTE(SUBSTITUTE(SUBSTITUTE(SUBSTITUTE(SUBSTITUTE(SUBSTITUTE(SUBSTITUTE(SUBSTITUTE(SUBSTITUTE(SUBSTITUTE(SUBSTITUTE(SUBSTITUTE(SUBSTITUTE(LOWER(B801),"."," "),","," "),"'"," "),"’"," "),"!"," "),"?"," "),";"," "),":"," "),"-"," "),"("," "),")"," "),"""", " "),"£"," "),"&amp;"," "),"/"," "),"%"," "))&amp;" "</f>
        <v> hello i was passed between four departments and no one took ownership also there are transactions on my card i do not recognise this is not acceptable </v>
      </c>
      <c r="E801" s="0" t="n">
        <f aca="false">SUMPRODUCT((Rules!$A$2:$A$60=E$1)*Rules!$C$2:$C$60*ISNUMBER(SEARCH(Rules!$D$2:$D$60,$D801)))</f>
        <v>2</v>
      </c>
      <c r="F801" s="0" t="n">
        <f aca="false">SUMPRODUCT((Rules!$A$2:$A$60=F$1)*Rules!$C$2:$C$60*ISNUMBER(SEARCH(Rules!$D$2:$D$60,$D801)))</f>
        <v>0</v>
      </c>
      <c r="G801" s="0" t="n">
        <f aca="false">SUMPRODUCT((Rules!$A$2:$A$60=G$1)*Rules!$C$2:$C$60*ISNUMBER(SEARCH(Rules!$D$2:$D$60,$D801)))</f>
        <v>0</v>
      </c>
      <c r="H801" s="0" t="n">
        <f aca="false">SUMPRODUCT((Rules!$A$2:$A$60=H$1)*Rules!$C$2:$C$60*ISNUMBER(SEARCH(Rules!$D$2:$D$60,$D801)))</f>
        <v>0</v>
      </c>
      <c r="I801" s="0" t="n">
        <f aca="false">SUMPRODUCT((Rules!$A$2:$A$60=I$1)*Rules!$C$2:$C$60*ISNUMBER(SEARCH(Rules!$D$2:$D$60,$D801)))</f>
        <v>0</v>
      </c>
      <c r="J801" s="0" t="n">
        <f aca="false">SUMPRODUCT((Rules!$A$2:$A$60=J$1)*Rules!$C$2:$C$60*ISNUMBER(SEARCH(Rules!$D$2:$D$60,$D801)))</f>
        <v>2</v>
      </c>
      <c r="K801" s="0" t="str">
        <f aca="false">IF(OR(MAX(E801:J801)&lt;Rules!$H$1,MAX(E801:J801)-LARGE(E801:J801,2)&lt;Rules!$H$2),"No label",INDEX($E$1:$J$1,MATCH(MAX(E801:J801),E801:J801,0)))</f>
        <v>No label</v>
      </c>
      <c r="L801" s="0" t="n">
        <f aca="false">SUMPRODUCT((Rules!$A$2:$A$60=L$1)*Rules!$C$2:$C$60*ISNUMBER(SEARCH(Rules!$E$2:$E$60,$D801)))</f>
        <v>2</v>
      </c>
      <c r="M801" s="0" t="n">
        <f aca="false">SUMPRODUCT((Rules!$A$2:$A$60=M$1)*Rules!$C$2:$C$60*ISNUMBER(SEARCH(Rules!$E$2:$E$60,$D801)))</f>
        <v>0</v>
      </c>
      <c r="N801" s="0" t="n">
        <f aca="false">SUMPRODUCT((Rules!$A$2:$A$60=N$1)*Rules!$C$2:$C$60*ISNUMBER(SEARCH(Rules!$E$2:$E$60,$D801)))</f>
        <v>1</v>
      </c>
      <c r="O801" s="0" t="n">
        <f aca="false">SUMPRODUCT((Rules!$A$2:$A$60=O$1)*Rules!$C$2:$C$60*ISNUMBER(SEARCH(Rules!$E$2:$E$60,$D801)))</f>
        <v>0</v>
      </c>
      <c r="P801" s="0" t="n">
        <f aca="false">SUMPRODUCT((Rules!$A$2:$A$60=P$1)*Rules!$C$2:$C$60*ISNUMBER(SEARCH(Rules!$E$2:$E$60,$D801)))</f>
        <v>0</v>
      </c>
      <c r="Q801" s="0" t="n">
        <f aca="false">SUMPRODUCT((Rules!$A$2:$A$60=Q$1)*Rules!$C$2:$C$60*ISNUMBER(SEARCH(Rules!$E$2:$E$60,$D801)))</f>
        <v>2</v>
      </c>
      <c r="R801" s="0" t="str">
        <f aca="false">IF(OR(MAX(L801:Q801)&lt;Rules!$H$1,MAX(L801:Q801)-LARGE(L801:Q801,2)&lt;Rules!$H$2),"No label",INDEX($L$1:$Q$1,MATCH(MAX(L801:Q801),L801:Q801,0)))</f>
        <v>No label</v>
      </c>
      <c r="S801" s="0" t="n">
        <f aca="false">SUMPRODUCT(ISNUMBER(SEARCH(" "&amp;Terms!$A$3:$A$821&amp;" ",$D801))*Terms!B$3:B$821)+Terms!B$2</f>
        <v>0.108487980882261</v>
      </c>
      <c r="T801" s="0" t="n">
        <f aca="false">SUMPRODUCT(ISNUMBER(SEARCH(" "&amp;Terms!$A$3:$A$821&amp;" ",$D801))*Terms!C$3:C$821)+Terms!C$2</f>
        <v>7.19712616729222</v>
      </c>
      <c r="U801" s="0" t="n">
        <f aca="false">SUMPRODUCT(ISNUMBER(SEARCH(" "&amp;Terms!$A$3:$A$821&amp;" ",$D801))*Terms!D$3:D$821)+Terms!D$2</f>
        <v>-4.19189978048151</v>
      </c>
      <c r="V801" s="0" t="n">
        <f aca="false">SUMPRODUCT(ISNUMBER(SEARCH(" "&amp;Terms!$A$3:$A$821&amp;" ",$D801))*Terms!E$3:E$821)+Terms!E$2</f>
        <v>-2.83492208147291</v>
      </c>
      <c r="W801" s="0" t="n">
        <f aca="false">SUMPRODUCT(ISNUMBER(SEARCH(" "&amp;Terms!$A$3:$A$821&amp;" ",$D801))*Terms!F$3:F$821)+Terms!F$2</f>
        <v>3.56248493735485</v>
      </c>
      <c r="X801" s="0" t="n">
        <f aca="false">SUMPRODUCT(ISNUMBER(SEARCH(" "&amp;Terms!$A$3:$A$821&amp;" ",$D801))*Terms!G$3:G$821)+Terms!G$2</f>
        <v>-3.84127722357483</v>
      </c>
      <c r="Y801" s="0" t="str">
        <f aca="false">INDEX($S$1:$X$1,MATCH(MAX(S801:X801),S801:X801,0))</f>
        <v>Customer Service</v>
      </c>
      <c r="Z801" s="0" t="s">
        <v>2607</v>
      </c>
    </row>
    <row r="802" customFormat="false" ht="15" hidden="false" customHeight="false" outlineLevel="0" collapsed="false">
      <c r="A802" s="0" t="str">
        <f aca="false">Complaints!A802</f>
        <v>C0801</v>
      </c>
      <c r="B802" s="0" t="str">
        <f aca="false">Complaints!B802</f>
        <v>To whom it may concern, I was misled about what the insurance actually included. Please escalate this.</v>
      </c>
      <c r="C802" s="0" t="str">
        <f aca="false">Complaints!C802</f>
        <v>Mis-selling</v>
      </c>
      <c r="D802" s="0" t="str">
        <f aca="false">" "&amp;TRIM(SUBSTITUTE(SUBSTITUTE(SUBSTITUTE(SUBSTITUTE(SUBSTITUTE(SUBSTITUTE(SUBSTITUTE(SUBSTITUTE(SUBSTITUTE(SUBSTITUTE(SUBSTITUTE(SUBSTITUTE(SUBSTITUTE(SUBSTITUTE(SUBSTITUTE(SUBSTITUTE(LOWER(B802),"."," "),","," "),"'"," "),"’"," "),"!"," "),"?"," "),";"," "),":"," "),"-"," "),"("," "),")"," "),"""", " "),"£"," "),"&amp;"," "),"/"," "),"%"," "))&amp;" "</f>
        <v> to whom it may concern i was misled about what the insurance actually included please escalate this </v>
      </c>
      <c r="E802" s="0" t="n">
        <f aca="false">SUMPRODUCT((Rules!$A$2:$A$60=E$1)*Rules!$C$2:$C$60*ISNUMBER(SEARCH(Rules!$D$2:$D$60,$D802)))</f>
        <v>0</v>
      </c>
      <c r="F802" s="0" t="n">
        <f aca="false">SUMPRODUCT((Rules!$A$2:$A$60=F$1)*Rules!$C$2:$C$60*ISNUMBER(SEARCH(Rules!$D$2:$D$60,$D802)))</f>
        <v>4</v>
      </c>
      <c r="G802" s="0" t="n">
        <f aca="false">SUMPRODUCT((Rules!$A$2:$A$60=G$1)*Rules!$C$2:$C$60*ISNUMBER(SEARCH(Rules!$D$2:$D$60,$D802)))</f>
        <v>0</v>
      </c>
      <c r="H802" s="0" t="n">
        <f aca="false">SUMPRODUCT((Rules!$A$2:$A$60=H$1)*Rules!$C$2:$C$60*ISNUMBER(SEARCH(Rules!$D$2:$D$60,$D802)))</f>
        <v>0</v>
      </c>
      <c r="I802" s="0" t="n">
        <f aca="false">SUMPRODUCT((Rules!$A$2:$A$60=I$1)*Rules!$C$2:$C$60*ISNUMBER(SEARCH(Rules!$D$2:$D$60,$D802)))</f>
        <v>0</v>
      </c>
      <c r="J802" s="0" t="n">
        <f aca="false">SUMPRODUCT((Rules!$A$2:$A$60=J$1)*Rules!$C$2:$C$60*ISNUMBER(SEARCH(Rules!$D$2:$D$60,$D802)))</f>
        <v>0</v>
      </c>
      <c r="K802" s="0" t="str">
        <f aca="false">IF(OR(MAX(E802:J802)&lt;Rules!$H$1,MAX(E802:J802)-LARGE(E802:J802,2)&lt;Rules!$H$2),"No label",INDEX($E$1:$J$1,MATCH(MAX(E802:J802),E802:J802,0)))</f>
        <v>Mis-selling</v>
      </c>
      <c r="L802" s="0" t="n">
        <f aca="false">SUMPRODUCT((Rules!$A$2:$A$60=L$1)*Rules!$C$2:$C$60*ISNUMBER(SEARCH(Rules!$E$2:$E$60,$D802)))</f>
        <v>0</v>
      </c>
      <c r="M802" s="0" t="n">
        <f aca="false">SUMPRODUCT((Rules!$A$2:$A$60=M$1)*Rules!$C$2:$C$60*ISNUMBER(SEARCH(Rules!$E$2:$E$60,$D802)))</f>
        <v>4</v>
      </c>
      <c r="N802" s="0" t="n">
        <f aca="false">SUMPRODUCT((Rules!$A$2:$A$60=N$1)*Rules!$C$2:$C$60*ISNUMBER(SEARCH(Rules!$E$2:$E$60,$D802)))</f>
        <v>0</v>
      </c>
      <c r="O802" s="0" t="n">
        <f aca="false">SUMPRODUCT((Rules!$A$2:$A$60=O$1)*Rules!$C$2:$C$60*ISNUMBER(SEARCH(Rules!$E$2:$E$60,$D802)))</f>
        <v>0</v>
      </c>
      <c r="P802" s="0" t="n">
        <f aca="false">SUMPRODUCT((Rules!$A$2:$A$60=P$1)*Rules!$C$2:$C$60*ISNUMBER(SEARCH(Rules!$E$2:$E$60,$D802)))</f>
        <v>0</v>
      </c>
      <c r="Q802" s="0" t="n">
        <f aca="false">SUMPRODUCT((Rules!$A$2:$A$60=Q$1)*Rules!$C$2:$C$60*ISNUMBER(SEARCH(Rules!$E$2:$E$60,$D802)))</f>
        <v>0</v>
      </c>
      <c r="R802" s="0" t="str">
        <f aca="false">IF(OR(MAX(L802:Q802)&lt;Rules!$H$1,MAX(L802:Q802)-LARGE(L802:Q802,2)&lt;Rules!$H$2),"No label",INDEX($L$1:$Q$1,MATCH(MAX(L802:Q802),L802:Q802,0)))</f>
        <v>Mis-selling</v>
      </c>
      <c r="S802" s="0" t="n">
        <f aca="false">SUMPRODUCT(ISNUMBER(SEARCH(" "&amp;Terms!$A$3:$A$821&amp;" ",$D802))*Terms!B$3:B$821)+Terms!B$2</f>
        <v>-2.20981120859662</v>
      </c>
      <c r="T802" s="0" t="n">
        <f aca="false">SUMPRODUCT(ISNUMBER(SEARCH(" "&amp;Terms!$A$3:$A$821&amp;" ",$D802))*Terms!C$3:C$821)+Terms!C$2</f>
        <v>-3.44339713822635</v>
      </c>
      <c r="U802" s="0" t="n">
        <f aca="false">SUMPRODUCT(ISNUMBER(SEARCH(" "&amp;Terms!$A$3:$A$821&amp;" ",$D802))*Terms!D$3:D$821)+Terms!D$2</f>
        <v>-1.54093425104219</v>
      </c>
      <c r="V802" s="0" t="n">
        <f aca="false">SUMPRODUCT(ISNUMBER(SEARCH(" "&amp;Terms!$A$3:$A$821&amp;" ",$D802))*Terms!E$3:E$821)+Terms!E$2</f>
        <v>1.04138131671626</v>
      </c>
      <c r="W802" s="0" t="n">
        <f aca="false">SUMPRODUCT(ISNUMBER(SEARCH(" "&amp;Terms!$A$3:$A$821&amp;" ",$D802))*Terms!F$3:F$821)+Terms!F$2</f>
        <v>-5.51273632886156</v>
      </c>
      <c r="X802" s="0" t="n">
        <f aca="false">SUMPRODUCT(ISNUMBER(SEARCH(" "&amp;Terms!$A$3:$A$821&amp;" ",$D802))*Terms!G$3:G$821)+Terms!G$2</f>
        <v>11.6654976100106</v>
      </c>
      <c r="Y802" s="0" t="str">
        <f aca="false">INDEX($S$1:$X$1,MATCH(MAX(S802:X802),S802:X802,0))</f>
        <v>Mis-selling</v>
      </c>
      <c r="Z802" s="0" t="s">
        <v>2608</v>
      </c>
    </row>
    <row r="803" customFormat="false" ht="15" hidden="false" customHeight="false" outlineLevel="0" collapsed="false">
      <c r="A803" s="0" t="str">
        <f aca="false">Complaints!A803</f>
        <v>C0802</v>
      </c>
      <c r="B803" s="0" t="str">
        <f aca="false">Complaints!B803</f>
        <v>The paperwork was submitted a month ago and I am still waiting.</v>
      </c>
      <c r="C803" s="0" t="str">
        <f aca="false">Complaints!C803</f>
        <v>Delays &amp; Processing</v>
      </c>
      <c r="D803" s="0" t="str">
        <f aca="false">" "&amp;TRIM(SUBSTITUTE(SUBSTITUTE(SUBSTITUTE(SUBSTITUTE(SUBSTITUTE(SUBSTITUTE(SUBSTITUTE(SUBSTITUTE(SUBSTITUTE(SUBSTITUTE(SUBSTITUTE(SUBSTITUTE(SUBSTITUTE(SUBSTITUTE(SUBSTITUTE(SUBSTITUTE(LOWER(B803),"."," "),","," "),"'"," "),"’"," "),"!"," "),"?"," "),";"," "),":"," "),"-"," "),"("," "),")"," "),"""", " "),"£"," "),"&amp;"," "),"/"," "),"%"," "))&amp;" "</f>
        <v> the paperwork was submitted a month ago and i am still waiting </v>
      </c>
      <c r="E803" s="0" t="n">
        <f aca="false">SUMPRODUCT((Rules!$A$2:$A$60=E$1)*Rules!$C$2:$C$60*ISNUMBER(SEARCH(Rules!$D$2:$D$60,$D803)))</f>
        <v>0</v>
      </c>
      <c r="F803" s="0" t="n">
        <f aca="false">SUMPRODUCT((Rules!$A$2:$A$60=F$1)*Rules!$C$2:$C$60*ISNUMBER(SEARCH(Rules!$D$2:$D$60,$D803)))</f>
        <v>0</v>
      </c>
      <c r="G803" s="0" t="n">
        <f aca="false">SUMPRODUCT((Rules!$A$2:$A$60=G$1)*Rules!$C$2:$C$60*ISNUMBER(SEARCH(Rules!$D$2:$D$60,$D803)))</f>
        <v>0</v>
      </c>
      <c r="H803" s="0" t="n">
        <f aca="false">SUMPRODUCT((Rules!$A$2:$A$60=H$1)*Rules!$C$2:$C$60*ISNUMBER(SEARCH(Rules!$D$2:$D$60,$D803)))</f>
        <v>0</v>
      </c>
      <c r="I803" s="0" t="n">
        <f aca="false">SUMPRODUCT((Rules!$A$2:$A$60=I$1)*Rules!$C$2:$C$60*ISNUMBER(SEARCH(Rules!$D$2:$D$60,$D803)))</f>
        <v>2</v>
      </c>
      <c r="J803" s="0" t="n">
        <f aca="false">SUMPRODUCT((Rules!$A$2:$A$60=J$1)*Rules!$C$2:$C$60*ISNUMBER(SEARCH(Rules!$D$2:$D$60,$D803)))</f>
        <v>0</v>
      </c>
      <c r="K803" s="0" t="str">
        <f aca="false">IF(OR(MAX(E803:J803)&lt;Rules!$H$1,MAX(E803:J803)-LARGE(E803:J803,2)&lt;Rules!$H$2),"No label",INDEX($E$1:$J$1,MATCH(MAX(E803:J803),E803:J803,0)))</f>
        <v>No label</v>
      </c>
      <c r="L803" s="0" t="n">
        <f aca="false">SUMPRODUCT((Rules!$A$2:$A$60=L$1)*Rules!$C$2:$C$60*ISNUMBER(SEARCH(Rules!$E$2:$E$60,$D803)))</f>
        <v>0</v>
      </c>
      <c r="M803" s="0" t="n">
        <f aca="false">SUMPRODUCT((Rules!$A$2:$A$60=M$1)*Rules!$C$2:$C$60*ISNUMBER(SEARCH(Rules!$E$2:$E$60,$D803)))</f>
        <v>0</v>
      </c>
      <c r="N803" s="0" t="n">
        <f aca="false">SUMPRODUCT((Rules!$A$2:$A$60=N$1)*Rules!$C$2:$C$60*ISNUMBER(SEARCH(Rules!$E$2:$E$60,$D803)))</f>
        <v>0</v>
      </c>
      <c r="O803" s="0" t="n">
        <f aca="false">SUMPRODUCT((Rules!$A$2:$A$60=O$1)*Rules!$C$2:$C$60*ISNUMBER(SEARCH(Rules!$E$2:$E$60,$D803)))</f>
        <v>0</v>
      </c>
      <c r="P803" s="0" t="n">
        <f aca="false">SUMPRODUCT((Rules!$A$2:$A$60=P$1)*Rules!$C$2:$C$60*ISNUMBER(SEARCH(Rules!$E$2:$E$60,$D803)))</f>
        <v>2</v>
      </c>
      <c r="Q803" s="0" t="n">
        <f aca="false">SUMPRODUCT((Rules!$A$2:$A$60=Q$1)*Rules!$C$2:$C$60*ISNUMBER(SEARCH(Rules!$E$2:$E$60,$D803)))</f>
        <v>0</v>
      </c>
      <c r="R803" s="0" t="str">
        <f aca="false">IF(OR(MAX(L803:Q803)&lt;Rules!$H$1,MAX(L803:Q803)-LARGE(L803:Q803,2)&lt;Rules!$H$2),"No label",INDEX($L$1:$Q$1,MATCH(MAX(L803:Q803),L803:Q803,0)))</f>
        <v>No label</v>
      </c>
      <c r="S803" s="0" t="n">
        <f aca="false">SUMPRODUCT(ISNUMBER(SEARCH(" "&amp;Terms!$A$3:$A$821&amp;" ",$D803))*Terms!B$3:B$821)+Terms!B$2</f>
        <v>-0.390254322428133</v>
      </c>
      <c r="T803" s="0" t="n">
        <f aca="false">SUMPRODUCT(ISNUMBER(SEARCH(" "&amp;Terms!$A$3:$A$821&amp;" ",$D803))*Terms!C$3:C$821)+Terms!C$2</f>
        <v>-0.965520287742284</v>
      </c>
      <c r="U803" s="0" t="n">
        <f aca="false">SUMPRODUCT(ISNUMBER(SEARCH(" "&amp;Terms!$A$3:$A$821&amp;" ",$D803))*Terms!D$3:D$821)+Terms!D$2</f>
        <v>6.6793400832038</v>
      </c>
      <c r="V803" s="0" t="n">
        <f aca="false">SUMPRODUCT(ISNUMBER(SEARCH(" "&amp;Terms!$A$3:$A$821&amp;" ",$D803))*Terms!E$3:E$821)+Terms!E$2</f>
        <v>-0.562099808097066</v>
      </c>
      <c r="W803" s="0" t="n">
        <f aca="false">SUMPRODUCT(ISNUMBER(SEARCH(" "&amp;Terms!$A$3:$A$821&amp;" ",$D803))*Terms!F$3:F$821)+Terms!F$2</f>
        <v>-3.37307615267904</v>
      </c>
      <c r="X803" s="0" t="n">
        <f aca="false">SUMPRODUCT(ISNUMBER(SEARCH(" "&amp;Terms!$A$3:$A$821&amp;" ",$D803))*Terms!G$3:G$821)+Terms!G$2</f>
        <v>-1.3883895122572</v>
      </c>
      <c r="Y803" s="0" t="str">
        <f aca="false">INDEX($S$1:$X$1,MATCH(MAX(S803:X803),S803:X803,0))</f>
        <v>Delays &amp; Processing</v>
      </c>
      <c r="Z803" s="0" t="s">
        <v>2607</v>
      </c>
    </row>
    <row r="804" customFormat="false" ht="15" hidden="false" customHeight="false" outlineLevel="0" collapsed="false">
      <c r="A804" s="0" t="str">
        <f aca="false">Complaints!A804</f>
        <v>C0803</v>
      </c>
      <c r="B804" s="0" t="str">
        <f aca="false">Complaints!B804</f>
        <v>I am writing to complain. My mortgage switch is taking far longer than you said it would. Also, i was sold a product that was not suitable for my circumstances.</v>
      </c>
      <c r="C804" s="0" t="str">
        <f aca="false">Complaints!C804</f>
        <v>Delays &amp; Processing</v>
      </c>
      <c r="D804" s="0" t="str">
        <f aca="false">" "&amp;TRIM(SUBSTITUTE(SUBSTITUTE(SUBSTITUTE(SUBSTITUTE(SUBSTITUTE(SUBSTITUTE(SUBSTITUTE(SUBSTITUTE(SUBSTITUTE(SUBSTITUTE(SUBSTITUTE(SUBSTITUTE(SUBSTITUTE(SUBSTITUTE(SUBSTITUTE(SUBSTITUTE(LOWER(B804),"."," "),","," "),"'"," "),"’"," "),"!"," "),"?"," "),";"," "),":"," "),"-"," "),"("," "),")"," "),"""", " "),"£"," "),"&amp;"," "),"/"," "),"%"," "))&amp;" "</f>
        <v> i am writing to complain my mortgage switch is taking far longer than you said it would also i was sold a product that was not suitable for my circumstances </v>
      </c>
      <c r="E804" s="0" t="n">
        <f aca="false">SUMPRODUCT((Rules!$A$2:$A$60=E$1)*Rules!$C$2:$C$60*ISNUMBER(SEARCH(Rules!$D$2:$D$60,$D804)))</f>
        <v>0</v>
      </c>
      <c r="F804" s="0" t="n">
        <f aca="false">SUMPRODUCT((Rules!$A$2:$A$60=F$1)*Rules!$C$2:$C$60*ISNUMBER(SEARCH(Rules!$D$2:$D$60,$D804)))</f>
        <v>5</v>
      </c>
      <c r="G804" s="0" t="n">
        <f aca="false">SUMPRODUCT((Rules!$A$2:$A$60=G$1)*Rules!$C$2:$C$60*ISNUMBER(SEARCH(Rules!$D$2:$D$60,$D804)))</f>
        <v>0</v>
      </c>
      <c r="H804" s="0" t="n">
        <f aca="false">SUMPRODUCT((Rules!$A$2:$A$60=H$1)*Rules!$C$2:$C$60*ISNUMBER(SEARCH(Rules!$D$2:$D$60,$D804)))</f>
        <v>0</v>
      </c>
      <c r="I804" s="0" t="n">
        <f aca="false">SUMPRODUCT((Rules!$A$2:$A$60=I$1)*Rules!$C$2:$C$60*ISNUMBER(SEARCH(Rules!$D$2:$D$60,$D804)))</f>
        <v>2</v>
      </c>
      <c r="J804" s="0" t="n">
        <f aca="false">SUMPRODUCT((Rules!$A$2:$A$60=J$1)*Rules!$C$2:$C$60*ISNUMBER(SEARCH(Rules!$D$2:$D$60,$D804)))</f>
        <v>0</v>
      </c>
      <c r="K804" s="0" t="str">
        <f aca="false">IF(OR(MAX(E804:J804)&lt;Rules!$H$1,MAX(E804:J804)-LARGE(E804:J804,2)&lt;Rules!$H$2),"No label",INDEX($E$1:$J$1,MATCH(MAX(E804:J804),E804:J804,0)))</f>
        <v>Mis-selling</v>
      </c>
      <c r="L804" s="0" t="n">
        <f aca="false">SUMPRODUCT((Rules!$A$2:$A$60=L$1)*Rules!$C$2:$C$60*ISNUMBER(SEARCH(Rules!$E$2:$E$60,$D804)))</f>
        <v>0</v>
      </c>
      <c r="M804" s="0" t="n">
        <f aca="false">SUMPRODUCT((Rules!$A$2:$A$60=M$1)*Rules!$C$2:$C$60*ISNUMBER(SEARCH(Rules!$E$2:$E$60,$D804)))</f>
        <v>5</v>
      </c>
      <c r="N804" s="0" t="n">
        <f aca="false">SUMPRODUCT((Rules!$A$2:$A$60=N$1)*Rules!$C$2:$C$60*ISNUMBER(SEARCH(Rules!$E$2:$E$60,$D804)))</f>
        <v>0</v>
      </c>
      <c r="O804" s="0" t="n">
        <f aca="false">SUMPRODUCT((Rules!$A$2:$A$60=O$1)*Rules!$C$2:$C$60*ISNUMBER(SEARCH(Rules!$E$2:$E$60,$D804)))</f>
        <v>0</v>
      </c>
      <c r="P804" s="0" t="n">
        <f aca="false">SUMPRODUCT((Rules!$A$2:$A$60=P$1)*Rules!$C$2:$C$60*ISNUMBER(SEARCH(Rules!$E$2:$E$60,$D804)))</f>
        <v>2</v>
      </c>
      <c r="Q804" s="0" t="n">
        <f aca="false">SUMPRODUCT((Rules!$A$2:$A$60=Q$1)*Rules!$C$2:$C$60*ISNUMBER(SEARCH(Rules!$E$2:$E$60,$D804)))</f>
        <v>0</v>
      </c>
      <c r="R804" s="0" t="str">
        <f aca="false">IF(OR(MAX(L804:Q804)&lt;Rules!$H$1,MAX(L804:Q804)-LARGE(L804:Q804,2)&lt;Rules!$H$2),"No label",INDEX($L$1:$Q$1,MATCH(MAX(L804:Q804),L804:Q804,0)))</f>
        <v>Mis-selling</v>
      </c>
      <c r="S804" s="0" t="n">
        <f aca="false">SUMPRODUCT(ISNUMBER(SEARCH(" "&amp;Terms!$A$3:$A$821&amp;" ",$D804))*Terms!B$3:B$821)+Terms!B$2</f>
        <v>-5.64262681508336</v>
      </c>
      <c r="T804" s="0" t="n">
        <f aca="false">SUMPRODUCT(ISNUMBER(SEARCH(" "&amp;Terms!$A$3:$A$821&amp;" ",$D804))*Terms!C$3:C$821)+Terms!C$2</f>
        <v>-1.2658334496848</v>
      </c>
      <c r="U804" s="0" t="n">
        <f aca="false">SUMPRODUCT(ISNUMBER(SEARCH(" "&amp;Terms!$A$3:$A$821&amp;" ",$D804))*Terms!D$3:D$821)+Terms!D$2</f>
        <v>11.4298908026922</v>
      </c>
      <c r="V804" s="0" t="n">
        <f aca="false">SUMPRODUCT(ISNUMBER(SEARCH(" "&amp;Terms!$A$3:$A$821&amp;" ",$D804))*Terms!E$3:E$821)+Terms!E$2</f>
        <v>-4.66443506760126</v>
      </c>
      <c r="W804" s="0" t="n">
        <f aca="false">SUMPRODUCT(ISNUMBER(SEARCH(" "&amp;Terms!$A$3:$A$821&amp;" ",$D804))*Terms!F$3:F$821)+Terms!F$2</f>
        <v>-4.22104119861837</v>
      </c>
      <c r="X804" s="0" t="n">
        <f aca="false">SUMPRODUCT(ISNUMBER(SEARCH(" "&amp;Terms!$A$3:$A$821&amp;" ",$D804))*Terms!G$3:G$821)+Terms!G$2</f>
        <v>4.3640457282957</v>
      </c>
      <c r="Y804" s="0" t="str">
        <f aca="false">INDEX($S$1:$X$1,MATCH(MAX(S804:X804),S804:X804,0))</f>
        <v>Delays &amp; Processing</v>
      </c>
      <c r="Z804" s="0" t="s">
        <v>2607</v>
      </c>
    </row>
    <row r="805" customFormat="false" ht="15" hidden="false" customHeight="false" outlineLevel="0" collapsed="false">
      <c r="A805" s="0" t="str">
        <f aca="false">Complaints!A805</f>
        <v>C0804</v>
      </c>
      <c r="B805" s="0" t="str">
        <f aca="false">Complaints!B805</f>
        <v>Hello, I was sold a product that was not suitable for my circumstances.</v>
      </c>
      <c r="C805" s="0" t="str">
        <f aca="false">Complaints!C805</f>
        <v>Mis-selling</v>
      </c>
      <c r="D805" s="0" t="str">
        <f aca="false">" "&amp;TRIM(SUBSTITUTE(SUBSTITUTE(SUBSTITUTE(SUBSTITUTE(SUBSTITUTE(SUBSTITUTE(SUBSTITUTE(SUBSTITUTE(SUBSTITUTE(SUBSTITUTE(SUBSTITUTE(SUBSTITUTE(SUBSTITUTE(SUBSTITUTE(SUBSTITUTE(SUBSTITUTE(LOWER(B805),"."," "),","," "),"'"," "),"’"," "),"!"," "),"?"," "),";"," "),":"," "),"-"," "),"("," "),")"," "),"""", " "),"£"," "),"&amp;"," "),"/"," "),"%"," "))&amp;" "</f>
        <v> hello i was sold a product that was not suitable for my circumstances </v>
      </c>
      <c r="E805" s="0" t="n">
        <f aca="false">SUMPRODUCT((Rules!$A$2:$A$60=E$1)*Rules!$C$2:$C$60*ISNUMBER(SEARCH(Rules!$D$2:$D$60,$D805)))</f>
        <v>0</v>
      </c>
      <c r="F805" s="0" t="n">
        <f aca="false">SUMPRODUCT((Rules!$A$2:$A$60=F$1)*Rules!$C$2:$C$60*ISNUMBER(SEARCH(Rules!$D$2:$D$60,$D805)))</f>
        <v>5</v>
      </c>
      <c r="G805" s="0" t="n">
        <f aca="false">SUMPRODUCT((Rules!$A$2:$A$60=G$1)*Rules!$C$2:$C$60*ISNUMBER(SEARCH(Rules!$D$2:$D$60,$D805)))</f>
        <v>0</v>
      </c>
      <c r="H805" s="0" t="n">
        <f aca="false">SUMPRODUCT((Rules!$A$2:$A$60=H$1)*Rules!$C$2:$C$60*ISNUMBER(SEARCH(Rules!$D$2:$D$60,$D805)))</f>
        <v>0</v>
      </c>
      <c r="I805" s="0" t="n">
        <f aca="false">SUMPRODUCT((Rules!$A$2:$A$60=I$1)*Rules!$C$2:$C$60*ISNUMBER(SEARCH(Rules!$D$2:$D$60,$D805)))</f>
        <v>0</v>
      </c>
      <c r="J805" s="0" t="n">
        <f aca="false">SUMPRODUCT((Rules!$A$2:$A$60=J$1)*Rules!$C$2:$C$60*ISNUMBER(SEARCH(Rules!$D$2:$D$60,$D805)))</f>
        <v>0</v>
      </c>
      <c r="K805" s="0" t="str">
        <f aca="false">IF(OR(MAX(E805:J805)&lt;Rules!$H$1,MAX(E805:J805)-LARGE(E805:J805,2)&lt;Rules!$H$2),"No label",INDEX($E$1:$J$1,MATCH(MAX(E805:J805),E805:J805,0)))</f>
        <v>Mis-selling</v>
      </c>
      <c r="L805" s="0" t="n">
        <f aca="false">SUMPRODUCT((Rules!$A$2:$A$60=L$1)*Rules!$C$2:$C$60*ISNUMBER(SEARCH(Rules!$E$2:$E$60,$D805)))</f>
        <v>0</v>
      </c>
      <c r="M805" s="0" t="n">
        <f aca="false">SUMPRODUCT((Rules!$A$2:$A$60=M$1)*Rules!$C$2:$C$60*ISNUMBER(SEARCH(Rules!$E$2:$E$60,$D805)))</f>
        <v>5</v>
      </c>
      <c r="N805" s="0" t="n">
        <f aca="false">SUMPRODUCT((Rules!$A$2:$A$60=N$1)*Rules!$C$2:$C$60*ISNUMBER(SEARCH(Rules!$E$2:$E$60,$D805)))</f>
        <v>0</v>
      </c>
      <c r="O805" s="0" t="n">
        <f aca="false">SUMPRODUCT((Rules!$A$2:$A$60=O$1)*Rules!$C$2:$C$60*ISNUMBER(SEARCH(Rules!$E$2:$E$60,$D805)))</f>
        <v>0</v>
      </c>
      <c r="P805" s="0" t="n">
        <f aca="false">SUMPRODUCT((Rules!$A$2:$A$60=P$1)*Rules!$C$2:$C$60*ISNUMBER(SEARCH(Rules!$E$2:$E$60,$D805)))</f>
        <v>0</v>
      </c>
      <c r="Q805" s="0" t="n">
        <f aca="false">SUMPRODUCT((Rules!$A$2:$A$60=Q$1)*Rules!$C$2:$C$60*ISNUMBER(SEARCH(Rules!$E$2:$E$60,$D805)))</f>
        <v>0</v>
      </c>
      <c r="R805" s="0" t="str">
        <f aca="false">IF(OR(MAX(L805:Q805)&lt;Rules!$H$1,MAX(L805:Q805)-LARGE(L805:Q805,2)&lt;Rules!$H$2),"No label",INDEX($L$1:$Q$1,MATCH(MAX(L805:Q805),L805:Q805,0)))</f>
        <v>Mis-selling</v>
      </c>
      <c r="S805" s="0" t="n">
        <f aca="false">SUMPRODUCT(ISNUMBER(SEARCH(" "&amp;Terms!$A$3:$A$821&amp;" ",$D805))*Terms!B$3:B$821)+Terms!B$2</f>
        <v>-0.861800167618542</v>
      </c>
      <c r="T805" s="0" t="n">
        <f aca="false">SUMPRODUCT(ISNUMBER(SEARCH(" "&amp;Terms!$A$3:$A$821&amp;" ",$D805))*Terms!C$3:C$821)+Terms!C$2</f>
        <v>-1.11483254036798</v>
      </c>
      <c r="U805" s="0" t="n">
        <f aca="false">SUMPRODUCT(ISNUMBER(SEARCH(" "&amp;Terms!$A$3:$A$821&amp;" ",$D805))*Terms!D$3:D$821)+Terms!D$2</f>
        <v>-1.53347650646601</v>
      </c>
      <c r="V805" s="0" t="n">
        <f aca="false">SUMPRODUCT(ISNUMBER(SEARCH(" "&amp;Terms!$A$3:$A$821&amp;" ",$D805))*Terms!E$3:E$821)+Terms!E$2</f>
        <v>-1.24328465400889</v>
      </c>
      <c r="W805" s="0" t="n">
        <f aca="false">SUMPRODUCT(ISNUMBER(SEARCH(" "&amp;Terms!$A$3:$A$821&amp;" ",$D805))*Terms!F$3:F$821)+Terms!F$2</f>
        <v>-1.97462691816892</v>
      </c>
      <c r="X805" s="0" t="n">
        <f aca="false">SUMPRODUCT(ISNUMBER(SEARCH(" "&amp;Terms!$A$3:$A$821&amp;" ",$D805))*Terms!G$3:G$821)+Terms!G$2</f>
        <v>6.72802078663045</v>
      </c>
      <c r="Y805" s="0" t="str">
        <f aca="false">INDEX($S$1:$X$1,MATCH(MAX(S805:X805),S805:X805,0))</f>
        <v>Mis-selling</v>
      </c>
      <c r="Z805" s="0" t="s">
        <v>2607</v>
      </c>
    </row>
    <row r="806" customFormat="false" ht="15" hidden="false" customHeight="false" outlineLevel="0" collapsed="false">
      <c r="A806" s="0" t="str">
        <f aca="false">Complaints!A806</f>
        <v>C0805</v>
      </c>
      <c r="B806" s="0" t="str">
        <f aca="false">Complaints!B806</f>
        <v>It has taken six weeks to process my claim and nobody has updated me. I could not log in to check either. Please escalate this.</v>
      </c>
      <c r="C806" s="0" t="str">
        <f aca="false">Complaints!C806</f>
        <v>Delays &amp; Processing</v>
      </c>
      <c r="D806" s="0" t="str">
        <f aca="false">" "&amp;TRIM(SUBSTITUTE(SUBSTITUTE(SUBSTITUTE(SUBSTITUTE(SUBSTITUTE(SUBSTITUTE(SUBSTITUTE(SUBSTITUTE(SUBSTITUTE(SUBSTITUTE(SUBSTITUTE(SUBSTITUTE(SUBSTITUTE(SUBSTITUTE(SUBSTITUTE(SUBSTITUTE(LOWER(B806),"."," "),","," "),"'"," "),"’"," "),"!"," "),"?"," "),";"," "),":"," "),"-"," "),"("," "),")"," "),"""", " "),"£"," "),"&amp;"," "),"/"," "),"%"," "))&amp;" "</f>
        <v> it has taken six weeks to process my claim and nobody has updated me i could not log in to check either please escalate this </v>
      </c>
      <c r="E806" s="0" t="n">
        <f aca="false">SUMPRODUCT((Rules!$A$2:$A$60=E$1)*Rules!$C$2:$C$60*ISNUMBER(SEARCH(Rules!$D$2:$D$60,$D806)))</f>
        <v>0</v>
      </c>
      <c r="F806" s="0" t="n">
        <f aca="false">SUMPRODUCT((Rules!$A$2:$A$60=F$1)*Rules!$C$2:$C$60*ISNUMBER(SEARCH(Rules!$D$2:$D$60,$D806)))</f>
        <v>0</v>
      </c>
      <c r="G806" s="0" t="n">
        <f aca="false">SUMPRODUCT((Rules!$A$2:$A$60=G$1)*Rules!$C$2:$C$60*ISNUMBER(SEARCH(Rules!$D$2:$D$60,$D806)))</f>
        <v>3</v>
      </c>
      <c r="H806" s="0" t="n">
        <f aca="false">SUMPRODUCT((Rules!$A$2:$A$60=H$1)*Rules!$C$2:$C$60*ISNUMBER(SEARCH(Rules!$D$2:$D$60,$D806)))</f>
        <v>0</v>
      </c>
      <c r="I806" s="0" t="n">
        <f aca="false">SUMPRODUCT((Rules!$A$2:$A$60=I$1)*Rules!$C$2:$C$60*ISNUMBER(SEARCH(Rules!$D$2:$D$60,$D806)))</f>
        <v>2</v>
      </c>
      <c r="J806" s="0" t="n">
        <f aca="false">SUMPRODUCT((Rules!$A$2:$A$60=J$1)*Rules!$C$2:$C$60*ISNUMBER(SEARCH(Rules!$D$2:$D$60,$D806)))</f>
        <v>0</v>
      </c>
      <c r="K806" s="0" t="str">
        <f aca="false">IF(OR(MAX(E806:J806)&lt;Rules!$H$1,MAX(E806:J806)-LARGE(E806:J806,2)&lt;Rules!$H$2),"No label",INDEX($E$1:$J$1,MATCH(MAX(E806:J806),E806:J806,0)))</f>
        <v>No label</v>
      </c>
      <c r="L806" s="0" t="n">
        <f aca="false">SUMPRODUCT((Rules!$A$2:$A$60=L$1)*Rules!$C$2:$C$60*ISNUMBER(SEARCH(Rules!$E$2:$E$60,$D806)))</f>
        <v>0</v>
      </c>
      <c r="M806" s="0" t="n">
        <f aca="false">SUMPRODUCT((Rules!$A$2:$A$60=M$1)*Rules!$C$2:$C$60*ISNUMBER(SEARCH(Rules!$E$2:$E$60,$D806)))</f>
        <v>0</v>
      </c>
      <c r="N806" s="0" t="n">
        <f aca="false">SUMPRODUCT((Rules!$A$2:$A$60=N$1)*Rules!$C$2:$C$60*ISNUMBER(SEARCH(Rules!$E$2:$E$60,$D806)))</f>
        <v>3</v>
      </c>
      <c r="O806" s="0" t="n">
        <f aca="false">SUMPRODUCT((Rules!$A$2:$A$60=O$1)*Rules!$C$2:$C$60*ISNUMBER(SEARCH(Rules!$E$2:$E$60,$D806)))</f>
        <v>0</v>
      </c>
      <c r="P806" s="0" t="n">
        <f aca="false">SUMPRODUCT((Rules!$A$2:$A$60=P$1)*Rules!$C$2:$C$60*ISNUMBER(SEARCH(Rules!$E$2:$E$60,$D806)))</f>
        <v>2</v>
      </c>
      <c r="Q806" s="0" t="n">
        <f aca="false">SUMPRODUCT((Rules!$A$2:$A$60=Q$1)*Rules!$C$2:$C$60*ISNUMBER(SEARCH(Rules!$E$2:$E$60,$D806)))</f>
        <v>0</v>
      </c>
      <c r="R806" s="0" t="str">
        <f aca="false">IF(OR(MAX(L806:Q806)&lt;Rules!$H$1,MAX(L806:Q806)-LARGE(L806:Q806,2)&lt;Rules!$H$2),"No label",INDEX($L$1:$Q$1,MATCH(MAX(L806:Q806),L806:Q806,0)))</f>
        <v>No label</v>
      </c>
      <c r="S806" s="0" t="n">
        <f aca="false">SUMPRODUCT(ISNUMBER(SEARCH(" "&amp;Terms!$A$3:$A$821&amp;" ",$D806))*Terms!B$3:B$821)+Terms!B$2</f>
        <v>-2.44364254242736</v>
      </c>
      <c r="T806" s="0" t="n">
        <f aca="false">SUMPRODUCT(ISNUMBER(SEARCH(" "&amp;Terms!$A$3:$A$821&amp;" ",$D806))*Terms!C$3:C$821)+Terms!C$2</f>
        <v>-2.89409152227086</v>
      </c>
      <c r="U806" s="0" t="n">
        <f aca="false">SUMPRODUCT(ISNUMBER(SEARCH(" "&amp;Terms!$A$3:$A$821&amp;" ",$D806))*Terms!D$3:D$821)+Terms!D$2</f>
        <v>7.77300138144104</v>
      </c>
      <c r="V806" s="0" t="n">
        <f aca="false">SUMPRODUCT(ISNUMBER(SEARCH(" "&amp;Terms!$A$3:$A$821&amp;" ",$D806))*Terms!E$3:E$821)+Terms!E$2</f>
        <v>-0.364251217983125</v>
      </c>
      <c r="W806" s="0" t="n">
        <f aca="false">SUMPRODUCT(ISNUMBER(SEARCH(" "&amp;Terms!$A$3:$A$821&amp;" ",$D806))*Terms!F$3:F$821)+Terms!F$2</f>
        <v>-1.65203612264748</v>
      </c>
      <c r="X806" s="0" t="n">
        <f aca="false">SUMPRODUCT(ISNUMBER(SEARCH(" "&amp;Terms!$A$3:$A$821&amp;" ",$D806))*Terms!G$3:G$821)+Terms!G$2</f>
        <v>-0.418979976112129</v>
      </c>
      <c r="Y806" s="0" t="str">
        <f aca="false">INDEX($S$1:$X$1,MATCH(MAX(S806:X806),S806:X806,0))</f>
        <v>Delays &amp; Processing</v>
      </c>
      <c r="Z806" s="0" t="s">
        <v>2607</v>
      </c>
    </row>
    <row r="807" customFormat="false" ht="15" hidden="false" customHeight="false" outlineLevel="0" collapsed="false">
      <c r="A807" s="0" t="str">
        <f aca="false">Complaints!A807</f>
        <v>C0806</v>
      </c>
      <c r="B807" s="0" t="str">
        <f aca="false">Complaints!B807</f>
        <v>This is the second time I have raised this. The pament still has not arrived in my account. I expect compensation.</v>
      </c>
      <c r="C807" s="0" t="str">
        <f aca="false">Complaints!C807</f>
        <v>Delays &amp; Processing</v>
      </c>
      <c r="D807" s="0" t="str">
        <f aca="false">" "&amp;TRIM(SUBSTITUTE(SUBSTITUTE(SUBSTITUTE(SUBSTITUTE(SUBSTITUTE(SUBSTITUTE(SUBSTITUTE(SUBSTITUTE(SUBSTITUTE(SUBSTITUTE(SUBSTITUTE(SUBSTITUTE(SUBSTITUTE(SUBSTITUTE(SUBSTITUTE(SUBSTITUTE(LOWER(B807),"."," "),","," "),"'"," "),"’"," "),"!"," "),"?"," "),";"," "),":"," "),"-"," "),"("," "),")"," "),"""", " "),"£"," "),"&amp;"," "),"/"," "),"%"," "))&amp;" "</f>
        <v> this is the second time i have raised this the pament still has not arrived in my account i expect compensation </v>
      </c>
      <c r="E807" s="0" t="n">
        <f aca="false">SUMPRODUCT((Rules!$A$2:$A$60=E$1)*Rules!$C$2:$C$60*ISNUMBER(SEARCH(Rules!$D$2:$D$60,$D807)))</f>
        <v>0</v>
      </c>
      <c r="F807" s="0" t="n">
        <f aca="false">SUMPRODUCT((Rules!$A$2:$A$60=F$1)*Rules!$C$2:$C$60*ISNUMBER(SEARCH(Rules!$D$2:$D$60,$D807)))</f>
        <v>0</v>
      </c>
      <c r="G807" s="0" t="n">
        <f aca="false">SUMPRODUCT((Rules!$A$2:$A$60=G$1)*Rules!$C$2:$C$60*ISNUMBER(SEARCH(Rules!$D$2:$D$60,$D807)))</f>
        <v>0</v>
      </c>
      <c r="H807" s="0" t="n">
        <f aca="false">SUMPRODUCT((Rules!$A$2:$A$60=H$1)*Rules!$C$2:$C$60*ISNUMBER(SEARCH(Rules!$D$2:$D$60,$D807)))</f>
        <v>0</v>
      </c>
      <c r="I807" s="0" t="n">
        <f aca="false">SUMPRODUCT((Rules!$A$2:$A$60=I$1)*Rules!$C$2:$C$60*ISNUMBER(SEARCH(Rules!$D$2:$D$60,$D807)))</f>
        <v>2</v>
      </c>
      <c r="J807" s="0" t="n">
        <f aca="false">SUMPRODUCT((Rules!$A$2:$A$60=J$1)*Rules!$C$2:$C$60*ISNUMBER(SEARCH(Rules!$D$2:$D$60,$D807)))</f>
        <v>0</v>
      </c>
      <c r="K807" s="0" t="str">
        <f aca="false">IF(OR(MAX(E807:J807)&lt;Rules!$H$1,MAX(E807:J807)-LARGE(E807:J807,2)&lt;Rules!$H$2),"No label",INDEX($E$1:$J$1,MATCH(MAX(E807:J807),E807:J807,0)))</f>
        <v>No label</v>
      </c>
      <c r="L807" s="0" t="n">
        <f aca="false">SUMPRODUCT((Rules!$A$2:$A$60=L$1)*Rules!$C$2:$C$60*ISNUMBER(SEARCH(Rules!$E$2:$E$60,$D807)))</f>
        <v>0</v>
      </c>
      <c r="M807" s="0" t="n">
        <f aca="false">SUMPRODUCT((Rules!$A$2:$A$60=M$1)*Rules!$C$2:$C$60*ISNUMBER(SEARCH(Rules!$E$2:$E$60,$D807)))</f>
        <v>0</v>
      </c>
      <c r="N807" s="0" t="n">
        <f aca="false">SUMPRODUCT((Rules!$A$2:$A$60=N$1)*Rules!$C$2:$C$60*ISNUMBER(SEARCH(Rules!$E$2:$E$60,$D807)))</f>
        <v>0</v>
      </c>
      <c r="O807" s="0" t="n">
        <f aca="false">SUMPRODUCT((Rules!$A$2:$A$60=O$1)*Rules!$C$2:$C$60*ISNUMBER(SEARCH(Rules!$E$2:$E$60,$D807)))</f>
        <v>0</v>
      </c>
      <c r="P807" s="0" t="n">
        <f aca="false">SUMPRODUCT((Rules!$A$2:$A$60=P$1)*Rules!$C$2:$C$60*ISNUMBER(SEARCH(Rules!$E$2:$E$60,$D807)))</f>
        <v>2</v>
      </c>
      <c r="Q807" s="0" t="n">
        <f aca="false">SUMPRODUCT((Rules!$A$2:$A$60=Q$1)*Rules!$C$2:$C$60*ISNUMBER(SEARCH(Rules!$E$2:$E$60,$D807)))</f>
        <v>0</v>
      </c>
      <c r="R807" s="0" t="str">
        <f aca="false">IF(OR(MAX(L807:Q807)&lt;Rules!$H$1,MAX(L807:Q807)-LARGE(L807:Q807,2)&lt;Rules!$H$2),"No label",INDEX($L$1:$Q$1,MATCH(MAX(L807:Q807),L807:Q807,0)))</f>
        <v>No label</v>
      </c>
      <c r="S807" s="0" t="n">
        <f aca="false">SUMPRODUCT(ISNUMBER(SEARCH(" "&amp;Terms!$A$3:$A$821&amp;" ",$D807))*Terms!B$3:B$821)+Terms!B$2</f>
        <v>1.97517949010771</v>
      </c>
      <c r="T807" s="0" t="n">
        <f aca="false">SUMPRODUCT(ISNUMBER(SEARCH(" "&amp;Terms!$A$3:$A$821&amp;" ",$D807))*Terms!C$3:C$821)+Terms!C$2</f>
        <v>-0.989784989544746</v>
      </c>
      <c r="U807" s="0" t="n">
        <f aca="false">SUMPRODUCT(ISNUMBER(SEARCH(" "&amp;Terms!$A$3:$A$821&amp;" ",$D807))*Terms!D$3:D$821)+Terms!D$2</f>
        <v>3.62561527741634</v>
      </c>
      <c r="V807" s="0" t="n">
        <f aca="false">SUMPRODUCT(ISNUMBER(SEARCH(" "&amp;Terms!$A$3:$A$821&amp;" ",$D807))*Terms!E$3:E$821)+Terms!E$2</f>
        <v>-1.93029291801886</v>
      </c>
      <c r="W807" s="0" t="n">
        <f aca="false">SUMPRODUCT(ISNUMBER(SEARCH(" "&amp;Terms!$A$3:$A$821&amp;" ",$D807))*Terms!F$3:F$821)+Terms!F$2</f>
        <v>1.71072973051009</v>
      </c>
      <c r="X807" s="0" t="n">
        <f aca="false">SUMPRODUCT(ISNUMBER(SEARCH(" "&amp;Terms!$A$3:$A$821&amp;" ",$D807))*Terms!G$3:G$821)+Terms!G$2</f>
        <v>-4.39144659047044</v>
      </c>
      <c r="Y807" s="0" t="str">
        <f aca="false">INDEX($S$1:$X$1,MATCH(MAX(S807:X807),S807:X807,0))</f>
        <v>Delays &amp; Processing</v>
      </c>
      <c r="Z807" s="0" t="s">
        <v>2608</v>
      </c>
    </row>
    <row r="808" customFormat="false" ht="15" hidden="false" customHeight="false" outlineLevel="0" collapsed="false">
      <c r="A808" s="0" t="str">
        <f aca="false">Complaints!A808</f>
        <v>C0807</v>
      </c>
      <c r="B808" s="0" t="str">
        <f aca="false">Complaints!B808</f>
        <v>To whm it may concern, There is an unexpected charge on my statement of £25. Also, there are transactions on my card I do not recognise. Please escalate this.</v>
      </c>
      <c r="C808" s="0" t="str">
        <f aca="false">Complaints!C808</f>
        <v>Fees &amp; Charges</v>
      </c>
      <c r="D808" s="0" t="str">
        <f aca="false">" "&amp;TRIM(SUBSTITUTE(SUBSTITUTE(SUBSTITUTE(SUBSTITUTE(SUBSTITUTE(SUBSTITUTE(SUBSTITUTE(SUBSTITUTE(SUBSTITUTE(SUBSTITUTE(SUBSTITUTE(SUBSTITUTE(SUBSTITUTE(SUBSTITUTE(SUBSTITUTE(SUBSTITUTE(LOWER(B808),"."," "),","," "),"'"," "),"’"," "),"!"," "),"?"," "),";"," "),":"," "),"-"," "),"("," "),")"," "),"""", " "),"£"," "),"&amp;"," "),"/"," "),"%"," "))&amp;" "</f>
        <v> to whm it may concern there is an unexpected charge on my statement of 25 also there are transactions on my card i do not recognise please escalate this </v>
      </c>
      <c r="E808" s="0" t="n">
        <f aca="false">SUMPRODUCT((Rules!$A$2:$A$60=E$1)*Rules!$C$2:$C$60*ISNUMBER(SEARCH(Rules!$D$2:$D$60,$D808)))</f>
        <v>2</v>
      </c>
      <c r="F808" s="0" t="n">
        <f aca="false">SUMPRODUCT((Rules!$A$2:$A$60=F$1)*Rules!$C$2:$C$60*ISNUMBER(SEARCH(Rules!$D$2:$D$60,$D808)))</f>
        <v>0</v>
      </c>
      <c r="G808" s="0" t="n">
        <f aca="false">SUMPRODUCT((Rules!$A$2:$A$60=G$1)*Rules!$C$2:$C$60*ISNUMBER(SEARCH(Rules!$D$2:$D$60,$D808)))</f>
        <v>0</v>
      </c>
      <c r="H808" s="0" t="n">
        <f aca="false">SUMPRODUCT((Rules!$A$2:$A$60=H$1)*Rules!$C$2:$C$60*ISNUMBER(SEARCH(Rules!$D$2:$D$60,$D808)))</f>
        <v>3</v>
      </c>
      <c r="I808" s="0" t="n">
        <f aca="false">SUMPRODUCT((Rules!$A$2:$A$60=I$1)*Rules!$C$2:$C$60*ISNUMBER(SEARCH(Rules!$D$2:$D$60,$D808)))</f>
        <v>0</v>
      </c>
      <c r="J808" s="0" t="n">
        <f aca="false">SUMPRODUCT((Rules!$A$2:$A$60=J$1)*Rules!$C$2:$C$60*ISNUMBER(SEARCH(Rules!$D$2:$D$60,$D808)))</f>
        <v>0</v>
      </c>
      <c r="K808" s="0" t="str">
        <f aca="false">IF(OR(MAX(E808:J808)&lt;Rules!$H$1,MAX(E808:J808)-LARGE(E808:J808,2)&lt;Rules!$H$2),"No label",INDEX($E$1:$J$1,MATCH(MAX(E808:J808),E808:J808,0)))</f>
        <v>No label</v>
      </c>
      <c r="L808" s="0" t="n">
        <f aca="false">SUMPRODUCT((Rules!$A$2:$A$60=L$1)*Rules!$C$2:$C$60*ISNUMBER(SEARCH(Rules!$E$2:$E$60,$D808)))</f>
        <v>2</v>
      </c>
      <c r="M808" s="0" t="n">
        <f aca="false">SUMPRODUCT((Rules!$A$2:$A$60=M$1)*Rules!$C$2:$C$60*ISNUMBER(SEARCH(Rules!$E$2:$E$60,$D808)))</f>
        <v>0</v>
      </c>
      <c r="N808" s="0" t="n">
        <f aca="false">SUMPRODUCT((Rules!$A$2:$A$60=N$1)*Rules!$C$2:$C$60*ISNUMBER(SEARCH(Rules!$E$2:$E$60,$D808)))</f>
        <v>0</v>
      </c>
      <c r="O808" s="0" t="n">
        <f aca="false">SUMPRODUCT((Rules!$A$2:$A$60=O$1)*Rules!$C$2:$C$60*ISNUMBER(SEARCH(Rules!$E$2:$E$60,$D808)))</f>
        <v>5</v>
      </c>
      <c r="P808" s="0" t="n">
        <f aca="false">SUMPRODUCT((Rules!$A$2:$A$60=P$1)*Rules!$C$2:$C$60*ISNUMBER(SEARCH(Rules!$E$2:$E$60,$D808)))</f>
        <v>0</v>
      </c>
      <c r="Q808" s="0" t="n">
        <f aca="false">SUMPRODUCT((Rules!$A$2:$A$60=Q$1)*Rules!$C$2:$C$60*ISNUMBER(SEARCH(Rules!$E$2:$E$60,$D808)))</f>
        <v>0</v>
      </c>
      <c r="R808" s="0" t="str">
        <f aca="false">IF(OR(MAX(L808:Q808)&lt;Rules!$H$1,MAX(L808:Q808)-LARGE(L808:Q808,2)&lt;Rules!$H$2),"No label",INDEX($L$1:$Q$1,MATCH(MAX(L808:Q808),L808:Q808,0)))</f>
        <v>Fees &amp; Charges</v>
      </c>
      <c r="S808" s="0" t="n">
        <f aca="false">SUMPRODUCT(ISNUMBER(SEARCH(" "&amp;Terms!$A$3:$A$821&amp;" ",$D808))*Terms!B$3:B$821)+Terms!B$2</f>
        <v>-3.12323759706996</v>
      </c>
      <c r="T808" s="0" t="n">
        <f aca="false">SUMPRODUCT(ISNUMBER(SEARCH(" "&amp;Terms!$A$3:$A$821&amp;" ",$D808))*Terms!C$3:C$821)+Terms!C$2</f>
        <v>-2.09561755110945</v>
      </c>
      <c r="U808" s="0" t="n">
        <f aca="false">SUMPRODUCT(ISNUMBER(SEARCH(" "&amp;Terms!$A$3:$A$821&amp;" ",$D808))*Terms!D$3:D$821)+Terms!D$2</f>
        <v>-4.6998090553961</v>
      </c>
      <c r="V808" s="0" t="n">
        <f aca="false">SUMPRODUCT(ISNUMBER(SEARCH(" "&amp;Terms!$A$3:$A$821&amp;" ",$D808))*Terms!E$3:E$821)+Terms!E$2</f>
        <v>8.9884919302976</v>
      </c>
      <c r="W808" s="0" t="n">
        <f aca="false">SUMPRODUCT(ISNUMBER(SEARCH(" "&amp;Terms!$A$3:$A$821&amp;" ",$D808))*Terms!F$3:F$821)+Terms!F$2</f>
        <v>4.45151596883761</v>
      </c>
      <c r="X808" s="0" t="n">
        <f aca="false">SUMPRODUCT(ISNUMBER(SEARCH(" "&amp;Terms!$A$3:$A$821&amp;" ",$D808))*Terms!G$3:G$821)+Terms!G$2</f>
        <v>-3.52134369555962</v>
      </c>
      <c r="Y808" s="0" t="str">
        <f aca="false">INDEX($S$1:$X$1,MATCH(MAX(S808:X808),S808:X808,0))</f>
        <v>Fees &amp; Charges</v>
      </c>
      <c r="Z808" s="0" t="s">
        <v>2607</v>
      </c>
    </row>
    <row r="809" customFormat="false" ht="15" hidden="false" customHeight="false" outlineLevel="0" collapsed="false">
      <c r="A809" s="0" t="str">
        <f aca="false">Complaints!A809</f>
        <v>C0808</v>
      </c>
      <c r="B809" s="0" t="str">
        <f aca="false">Complaints!B809</f>
        <v>Frankly, I cannot log in to the mobile app since the update. I expect compensation.</v>
      </c>
      <c r="C809" s="0" t="str">
        <f aca="false">Complaints!C809</f>
        <v>Account Access</v>
      </c>
      <c r="D809" s="0" t="str">
        <f aca="false">" "&amp;TRIM(SUBSTITUTE(SUBSTITUTE(SUBSTITUTE(SUBSTITUTE(SUBSTITUTE(SUBSTITUTE(SUBSTITUTE(SUBSTITUTE(SUBSTITUTE(SUBSTITUTE(SUBSTITUTE(SUBSTITUTE(SUBSTITUTE(SUBSTITUTE(SUBSTITUTE(SUBSTITUTE(LOWER(B809),"."," "),","," "),"'"," "),"’"," "),"!"," "),"?"," "),";"," "),":"," "),"-"," "),"("," "),")"," "),"""", " "),"£"," "),"&amp;"," "),"/"," "),"%"," "))&amp;" "</f>
        <v> frankly i cannot log in to the mobile app since the update i expect compensation </v>
      </c>
      <c r="E809" s="0" t="n">
        <f aca="false">SUMPRODUCT((Rules!$A$2:$A$60=E$1)*Rules!$C$2:$C$60*ISNUMBER(SEARCH(Rules!$D$2:$D$60,$D809)))</f>
        <v>0</v>
      </c>
      <c r="F809" s="0" t="n">
        <f aca="false">SUMPRODUCT((Rules!$A$2:$A$60=F$1)*Rules!$C$2:$C$60*ISNUMBER(SEARCH(Rules!$D$2:$D$60,$D809)))</f>
        <v>0</v>
      </c>
      <c r="G809" s="0" t="n">
        <f aca="false">SUMPRODUCT((Rules!$A$2:$A$60=G$1)*Rules!$C$2:$C$60*ISNUMBER(SEARCH(Rules!$D$2:$D$60,$D809)))</f>
        <v>4</v>
      </c>
      <c r="H809" s="0" t="n">
        <f aca="false">SUMPRODUCT((Rules!$A$2:$A$60=H$1)*Rules!$C$2:$C$60*ISNUMBER(SEARCH(Rules!$D$2:$D$60,$D809)))</f>
        <v>0</v>
      </c>
      <c r="I809" s="0" t="n">
        <f aca="false">SUMPRODUCT((Rules!$A$2:$A$60=I$1)*Rules!$C$2:$C$60*ISNUMBER(SEARCH(Rules!$D$2:$D$60,$D809)))</f>
        <v>0</v>
      </c>
      <c r="J809" s="0" t="n">
        <f aca="false">SUMPRODUCT((Rules!$A$2:$A$60=J$1)*Rules!$C$2:$C$60*ISNUMBER(SEARCH(Rules!$D$2:$D$60,$D809)))</f>
        <v>0</v>
      </c>
      <c r="K809" s="0" t="str">
        <f aca="false">IF(OR(MAX(E809:J809)&lt;Rules!$H$1,MAX(E809:J809)-LARGE(E809:J809,2)&lt;Rules!$H$2),"No label",INDEX($E$1:$J$1,MATCH(MAX(E809:J809),E809:J809,0)))</f>
        <v>Account Access</v>
      </c>
      <c r="L809" s="0" t="n">
        <f aca="false">SUMPRODUCT((Rules!$A$2:$A$60=L$1)*Rules!$C$2:$C$60*ISNUMBER(SEARCH(Rules!$E$2:$E$60,$D809)))</f>
        <v>0</v>
      </c>
      <c r="M809" s="0" t="n">
        <f aca="false">SUMPRODUCT((Rules!$A$2:$A$60=M$1)*Rules!$C$2:$C$60*ISNUMBER(SEARCH(Rules!$E$2:$E$60,$D809)))</f>
        <v>0</v>
      </c>
      <c r="N809" s="0" t="n">
        <f aca="false">SUMPRODUCT((Rules!$A$2:$A$60=N$1)*Rules!$C$2:$C$60*ISNUMBER(SEARCH(Rules!$E$2:$E$60,$D809)))</f>
        <v>4</v>
      </c>
      <c r="O809" s="0" t="n">
        <f aca="false">SUMPRODUCT((Rules!$A$2:$A$60=O$1)*Rules!$C$2:$C$60*ISNUMBER(SEARCH(Rules!$E$2:$E$60,$D809)))</f>
        <v>0</v>
      </c>
      <c r="P809" s="0" t="n">
        <f aca="false">SUMPRODUCT((Rules!$A$2:$A$60=P$1)*Rules!$C$2:$C$60*ISNUMBER(SEARCH(Rules!$E$2:$E$60,$D809)))</f>
        <v>0</v>
      </c>
      <c r="Q809" s="0" t="n">
        <f aca="false">SUMPRODUCT((Rules!$A$2:$A$60=Q$1)*Rules!$C$2:$C$60*ISNUMBER(SEARCH(Rules!$E$2:$E$60,$D809)))</f>
        <v>0</v>
      </c>
      <c r="R809" s="0" t="str">
        <f aca="false">IF(OR(MAX(L809:Q809)&lt;Rules!$H$1,MAX(L809:Q809)-LARGE(L809:Q809,2)&lt;Rules!$H$2),"No label",INDEX($L$1:$Q$1,MATCH(MAX(L809:Q809),L809:Q809,0)))</f>
        <v>Account Access</v>
      </c>
      <c r="S809" s="0" t="n">
        <f aca="false">SUMPRODUCT(ISNUMBER(SEARCH(" "&amp;Terms!$A$3:$A$821&amp;" ",$D809))*Terms!B$3:B$821)+Terms!B$2</f>
        <v>10.6470003213796</v>
      </c>
      <c r="T809" s="0" t="n">
        <f aca="false">SUMPRODUCT(ISNUMBER(SEARCH(" "&amp;Terms!$A$3:$A$821&amp;" ",$D809))*Terms!C$3:C$821)+Terms!C$2</f>
        <v>-2.16380790732371</v>
      </c>
      <c r="U809" s="0" t="n">
        <f aca="false">SUMPRODUCT(ISNUMBER(SEARCH(" "&amp;Terms!$A$3:$A$821&amp;" ",$D809))*Terms!D$3:D$821)+Terms!D$2</f>
        <v>-2.85994338064475</v>
      </c>
      <c r="V809" s="0" t="n">
        <f aca="false">SUMPRODUCT(ISNUMBER(SEARCH(" "&amp;Terms!$A$3:$A$821&amp;" ",$D809))*Terms!E$3:E$821)+Terms!E$2</f>
        <v>-2.06049460847807</v>
      </c>
      <c r="W809" s="0" t="n">
        <f aca="false">SUMPRODUCT(ISNUMBER(SEARCH(" "&amp;Terms!$A$3:$A$821&amp;" ",$D809))*Terms!F$3:F$821)+Terms!F$2</f>
        <v>-2.48455503071033</v>
      </c>
      <c r="X809" s="0" t="n">
        <f aca="false">SUMPRODUCT(ISNUMBER(SEARCH(" "&amp;Terms!$A$3:$A$821&amp;" ",$D809))*Terms!G$3:G$821)+Terms!G$2</f>
        <v>-1.07819939422267</v>
      </c>
      <c r="Y809" s="0" t="str">
        <f aca="false">INDEX($S$1:$X$1,MATCH(MAX(S809:X809),S809:X809,0))</f>
        <v>Account Access</v>
      </c>
      <c r="Z809" s="0" t="s">
        <v>2607</v>
      </c>
    </row>
    <row r="810" customFormat="false" ht="15" hidden="false" customHeight="false" outlineLevel="0" collapsed="false">
      <c r="A810" s="0" t="str">
        <f aca="false">Complaints!A810</f>
        <v>C0809</v>
      </c>
      <c r="B810" s="0" t="str">
        <f aca="false">Complaints!B810</f>
        <v>This is the second time I have raised this. I think I was the victim of a scam and sent money to a fraudster. Also, the webchat agent ended the conversation without solving anything. I want this put right.</v>
      </c>
      <c r="C810" s="0" t="str">
        <f aca="false">Complaints!C810</f>
        <v>Fraud &amp; Scams</v>
      </c>
      <c r="D810" s="0" t="str">
        <f aca="false">" "&amp;TRIM(SUBSTITUTE(SUBSTITUTE(SUBSTITUTE(SUBSTITUTE(SUBSTITUTE(SUBSTITUTE(SUBSTITUTE(SUBSTITUTE(SUBSTITUTE(SUBSTITUTE(SUBSTITUTE(SUBSTITUTE(SUBSTITUTE(SUBSTITUTE(SUBSTITUTE(SUBSTITUTE(LOWER(B810),"."," "),","," "),"'"," "),"’"," "),"!"," "),"?"," "),";"," "),":"," "),"-"," "),"("," "),")"," "),"""", " "),"£"," "),"&amp;"," "),"/"," "),"%"," "))&amp;" "</f>
        <v> this is the second time i have raised this i think i was the victim of a scam and sent money to a fraudster also the webchat agent ended the conversation without solving anything i want this put right </v>
      </c>
      <c r="E810" s="0" t="n">
        <f aca="false">SUMPRODUCT((Rules!$A$2:$A$60=E$1)*Rules!$C$2:$C$60*ISNUMBER(SEARCH(Rules!$D$2:$D$60,$D810)))</f>
        <v>6</v>
      </c>
      <c r="F810" s="0" t="n">
        <f aca="false">SUMPRODUCT((Rules!$A$2:$A$60=F$1)*Rules!$C$2:$C$60*ISNUMBER(SEARCH(Rules!$D$2:$D$60,$D810)))</f>
        <v>0</v>
      </c>
      <c r="G810" s="0" t="n">
        <f aca="false">SUMPRODUCT((Rules!$A$2:$A$60=G$1)*Rules!$C$2:$C$60*ISNUMBER(SEARCH(Rules!$D$2:$D$60,$D810)))</f>
        <v>0</v>
      </c>
      <c r="H810" s="0" t="n">
        <f aca="false">SUMPRODUCT((Rules!$A$2:$A$60=H$1)*Rules!$C$2:$C$60*ISNUMBER(SEARCH(Rules!$D$2:$D$60,$D810)))</f>
        <v>0</v>
      </c>
      <c r="I810" s="0" t="n">
        <f aca="false">SUMPRODUCT((Rules!$A$2:$A$60=I$1)*Rules!$C$2:$C$60*ISNUMBER(SEARCH(Rules!$D$2:$D$60,$D810)))</f>
        <v>0</v>
      </c>
      <c r="J810" s="0" t="n">
        <f aca="false">SUMPRODUCT((Rules!$A$2:$A$60=J$1)*Rules!$C$2:$C$60*ISNUMBER(SEARCH(Rules!$D$2:$D$60,$D810)))</f>
        <v>2</v>
      </c>
      <c r="K810" s="0" t="str">
        <f aca="false">IF(OR(MAX(E810:J810)&lt;Rules!$H$1,MAX(E810:J810)-LARGE(E810:J810,2)&lt;Rules!$H$2),"No label",INDEX($E$1:$J$1,MATCH(MAX(E810:J810),E810:J810,0)))</f>
        <v>Fraud &amp; Scams</v>
      </c>
      <c r="L810" s="0" t="n">
        <f aca="false">SUMPRODUCT((Rules!$A$2:$A$60=L$1)*Rules!$C$2:$C$60*ISNUMBER(SEARCH(Rules!$E$2:$E$60,$D810)))</f>
        <v>6</v>
      </c>
      <c r="M810" s="0" t="n">
        <f aca="false">SUMPRODUCT((Rules!$A$2:$A$60=M$1)*Rules!$C$2:$C$60*ISNUMBER(SEARCH(Rules!$E$2:$E$60,$D810)))</f>
        <v>0</v>
      </c>
      <c r="N810" s="0" t="n">
        <f aca="false">SUMPRODUCT((Rules!$A$2:$A$60=N$1)*Rules!$C$2:$C$60*ISNUMBER(SEARCH(Rules!$E$2:$E$60,$D810)))</f>
        <v>0</v>
      </c>
      <c r="O810" s="0" t="n">
        <f aca="false">SUMPRODUCT((Rules!$A$2:$A$60=O$1)*Rules!$C$2:$C$60*ISNUMBER(SEARCH(Rules!$E$2:$E$60,$D810)))</f>
        <v>0</v>
      </c>
      <c r="P810" s="0" t="n">
        <f aca="false">SUMPRODUCT((Rules!$A$2:$A$60=P$1)*Rules!$C$2:$C$60*ISNUMBER(SEARCH(Rules!$E$2:$E$60,$D810)))</f>
        <v>0</v>
      </c>
      <c r="Q810" s="0" t="n">
        <f aca="false">SUMPRODUCT((Rules!$A$2:$A$60=Q$1)*Rules!$C$2:$C$60*ISNUMBER(SEARCH(Rules!$E$2:$E$60,$D810)))</f>
        <v>2</v>
      </c>
      <c r="R810" s="0" t="str">
        <f aca="false">IF(OR(MAX(L810:Q810)&lt;Rules!$H$1,MAX(L810:Q810)-LARGE(L810:Q810,2)&lt;Rules!$H$2),"No label",INDEX($L$1:$Q$1,MATCH(MAX(L810:Q810),L810:Q810,0)))</f>
        <v>Fraud &amp; Scams</v>
      </c>
      <c r="S810" s="0" t="n">
        <f aca="false">SUMPRODUCT(ISNUMBER(SEARCH(" "&amp;Terms!$A$3:$A$821&amp;" ",$D810))*Terms!B$3:B$821)+Terms!B$2</f>
        <v>-4.33779663572453</v>
      </c>
      <c r="T810" s="0" t="n">
        <f aca="false">SUMPRODUCT(ISNUMBER(SEARCH(" "&amp;Terms!$A$3:$A$821&amp;" ",$D810))*Terms!C$3:C$821)+Terms!C$2</f>
        <v>5.79790398941678</v>
      </c>
      <c r="U810" s="0" t="n">
        <f aca="false">SUMPRODUCT(ISNUMBER(SEARCH(" "&amp;Terms!$A$3:$A$821&amp;" ",$D810))*Terms!D$3:D$821)+Terms!D$2</f>
        <v>-4.32262645491433</v>
      </c>
      <c r="V810" s="0" t="n">
        <f aca="false">SUMPRODUCT(ISNUMBER(SEARCH(" "&amp;Terms!$A$3:$A$821&amp;" ",$D810))*Terms!E$3:E$821)+Terms!E$2</f>
        <v>-2.92028002026056</v>
      </c>
      <c r="W810" s="0" t="n">
        <f aca="false">SUMPRODUCT(ISNUMBER(SEARCH(" "&amp;Terms!$A$3:$A$821&amp;" ",$D810))*Terms!F$3:F$821)+Terms!F$2</f>
        <v>10.3924758955834</v>
      </c>
      <c r="X810" s="0" t="n">
        <f aca="false">SUMPRODUCT(ISNUMBER(SEARCH(" "&amp;Terms!$A$3:$A$821&amp;" ",$D810))*Terms!G$3:G$821)+Terms!G$2</f>
        <v>-4.60967677410065</v>
      </c>
      <c r="Y810" s="0" t="str">
        <f aca="false">INDEX($S$1:$X$1,MATCH(MAX(S810:X810),S810:X810,0))</f>
        <v>Fraud &amp; Scams</v>
      </c>
      <c r="Z810" s="0" t="s">
        <v>2607</v>
      </c>
    </row>
    <row r="811" customFormat="false" ht="15" hidden="false" customHeight="false" outlineLevel="0" collapsed="false">
      <c r="A811" s="0" t="str">
        <f aca="false">Complaints!A811</f>
        <v>C0810</v>
      </c>
      <c r="B811" s="0" t="str">
        <f aca="false">Complaints!B811</f>
        <v>Frankly, A person pretending to be from your bank phoned me and I gave them details. Also, a late payment fee appeared and I want it refunded.</v>
      </c>
      <c r="C811" s="0" t="str">
        <f aca="false">Complaints!C811</f>
        <v>Fraud &amp; Scams</v>
      </c>
      <c r="D811" s="0" t="str">
        <f aca="false">" "&amp;TRIM(SUBSTITUTE(SUBSTITUTE(SUBSTITUTE(SUBSTITUTE(SUBSTITUTE(SUBSTITUTE(SUBSTITUTE(SUBSTITUTE(SUBSTITUTE(SUBSTITUTE(SUBSTITUTE(SUBSTITUTE(SUBSTITUTE(SUBSTITUTE(SUBSTITUTE(SUBSTITUTE(LOWER(B811),"."," "),","," "),"'"," "),"’"," "),"!"," "),"?"," "),";"," "),":"," "),"-"," "),"("," "),")"," "),"""", " "),"£"," "),"&amp;"," "),"/"," "),"%"," "))&amp;" "</f>
        <v> frankly a person pretending to be from your bank phoned me and i gave them details also a late payment fee appeared and i want it refunded </v>
      </c>
      <c r="E811" s="0" t="n">
        <f aca="false">SUMPRODUCT((Rules!$A$2:$A$60=E$1)*Rules!$C$2:$C$60*ISNUMBER(SEARCH(Rules!$D$2:$D$60,$D811)))</f>
        <v>0</v>
      </c>
      <c r="F811" s="0" t="n">
        <f aca="false">SUMPRODUCT((Rules!$A$2:$A$60=F$1)*Rules!$C$2:$C$60*ISNUMBER(SEARCH(Rules!$D$2:$D$60,$D811)))</f>
        <v>0</v>
      </c>
      <c r="G811" s="0" t="n">
        <f aca="false">SUMPRODUCT((Rules!$A$2:$A$60=G$1)*Rules!$C$2:$C$60*ISNUMBER(SEARCH(Rules!$D$2:$D$60,$D811)))</f>
        <v>0</v>
      </c>
      <c r="H811" s="0" t="n">
        <f aca="false">SUMPRODUCT((Rules!$A$2:$A$60=H$1)*Rules!$C$2:$C$60*ISNUMBER(SEARCH(Rules!$D$2:$D$60,$D811)))</f>
        <v>2</v>
      </c>
      <c r="I811" s="0" t="n">
        <f aca="false">SUMPRODUCT((Rules!$A$2:$A$60=I$1)*Rules!$C$2:$C$60*ISNUMBER(SEARCH(Rules!$D$2:$D$60,$D811)))</f>
        <v>0</v>
      </c>
      <c r="J811" s="0" t="n">
        <f aca="false">SUMPRODUCT((Rules!$A$2:$A$60=J$1)*Rules!$C$2:$C$60*ISNUMBER(SEARCH(Rules!$D$2:$D$60,$D811)))</f>
        <v>0</v>
      </c>
      <c r="K811" s="0" t="str">
        <f aca="false">IF(OR(MAX(E811:J811)&lt;Rules!$H$1,MAX(E811:J811)-LARGE(E811:J811,2)&lt;Rules!$H$2),"No label",INDEX($E$1:$J$1,MATCH(MAX(E811:J811),E811:J811,0)))</f>
        <v>No label</v>
      </c>
      <c r="L811" s="0" t="n">
        <f aca="false">SUMPRODUCT((Rules!$A$2:$A$60=L$1)*Rules!$C$2:$C$60*ISNUMBER(SEARCH(Rules!$E$2:$E$60,$D811)))</f>
        <v>0</v>
      </c>
      <c r="M811" s="0" t="n">
        <f aca="false">SUMPRODUCT((Rules!$A$2:$A$60=M$1)*Rules!$C$2:$C$60*ISNUMBER(SEARCH(Rules!$E$2:$E$60,$D811)))</f>
        <v>0</v>
      </c>
      <c r="N811" s="0" t="n">
        <f aca="false">SUMPRODUCT((Rules!$A$2:$A$60=N$1)*Rules!$C$2:$C$60*ISNUMBER(SEARCH(Rules!$E$2:$E$60,$D811)))</f>
        <v>0</v>
      </c>
      <c r="O811" s="0" t="n">
        <f aca="false">SUMPRODUCT((Rules!$A$2:$A$60=O$1)*Rules!$C$2:$C$60*ISNUMBER(SEARCH(Rules!$E$2:$E$60,$D811)))</f>
        <v>2</v>
      </c>
      <c r="P811" s="0" t="n">
        <f aca="false">SUMPRODUCT((Rules!$A$2:$A$60=P$1)*Rules!$C$2:$C$60*ISNUMBER(SEARCH(Rules!$E$2:$E$60,$D811)))</f>
        <v>0</v>
      </c>
      <c r="Q811" s="0" t="n">
        <f aca="false">SUMPRODUCT((Rules!$A$2:$A$60=Q$1)*Rules!$C$2:$C$60*ISNUMBER(SEARCH(Rules!$E$2:$E$60,$D811)))</f>
        <v>0</v>
      </c>
      <c r="R811" s="0" t="str">
        <f aca="false">IF(OR(MAX(L811:Q811)&lt;Rules!$H$1,MAX(L811:Q811)-LARGE(L811:Q811,2)&lt;Rules!$H$2),"No label",INDEX($L$1:$Q$1,MATCH(MAX(L811:Q811),L811:Q811,0)))</f>
        <v>No label</v>
      </c>
      <c r="S811" s="0" t="n">
        <f aca="false">SUMPRODUCT(ISNUMBER(SEARCH(" "&amp;Terms!$A$3:$A$821&amp;" ",$D811))*Terms!B$3:B$821)+Terms!B$2</f>
        <v>-4.70846446450496</v>
      </c>
      <c r="T811" s="0" t="n">
        <f aca="false">SUMPRODUCT(ISNUMBER(SEARCH(" "&amp;Terms!$A$3:$A$821&amp;" ",$D811))*Terms!C$3:C$821)+Terms!C$2</f>
        <v>-9.08231431497228</v>
      </c>
      <c r="U811" s="0" t="n">
        <f aca="false">SUMPRODUCT(ISNUMBER(SEARCH(" "&amp;Terms!$A$3:$A$821&amp;" ",$D811))*Terms!D$3:D$821)+Terms!D$2</f>
        <v>-5.08927561297588</v>
      </c>
      <c r="V811" s="0" t="n">
        <f aca="false">SUMPRODUCT(ISNUMBER(SEARCH(" "&amp;Terms!$A$3:$A$821&amp;" ",$D811))*Terms!E$3:E$821)+Terms!E$2</f>
        <v>12.8877557356155</v>
      </c>
      <c r="W811" s="0" t="n">
        <f aca="false">SUMPRODUCT(ISNUMBER(SEARCH(" "&amp;Terms!$A$3:$A$821&amp;" ",$D811))*Terms!F$3:F$821)+Terms!F$2</f>
        <v>11.2551439312948</v>
      </c>
      <c r="X811" s="0" t="n">
        <f aca="false">SUMPRODUCT(ISNUMBER(SEARCH(" "&amp;Terms!$A$3:$A$821&amp;" ",$D811))*Terms!G$3:G$821)+Terms!G$2</f>
        <v>-5.26284527445713</v>
      </c>
      <c r="Y811" s="0" t="str">
        <f aca="false">INDEX($S$1:$X$1,MATCH(MAX(S811:X811),S811:X811,0))</f>
        <v>Fees &amp; Charges</v>
      </c>
      <c r="Z811" s="0" t="s">
        <v>2608</v>
      </c>
    </row>
    <row r="812" customFormat="false" ht="15" hidden="false" customHeight="false" outlineLevel="0" collapsed="false">
      <c r="A812" s="0" t="str">
        <f aca="false">Complaints!A812</f>
        <v>C0811</v>
      </c>
      <c r="B812" s="0" t="str">
        <f aca="false">Complaints!B812</f>
        <v>I am writing to complain. I was misled about what the insurance actually included. I expect compensation.</v>
      </c>
      <c r="C812" s="0" t="str">
        <f aca="false">Complaints!C812</f>
        <v>Mis-selling</v>
      </c>
      <c r="D812" s="0" t="str">
        <f aca="false">" "&amp;TRIM(SUBSTITUTE(SUBSTITUTE(SUBSTITUTE(SUBSTITUTE(SUBSTITUTE(SUBSTITUTE(SUBSTITUTE(SUBSTITUTE(SUBSTITUTE(SUBSTITUTE(SUBSTITUTE(SUBSTITUTE(SUBSTITUTE(SUBSTITUTE(SUBSTITUTE(SUBSTITUTE(LOWER(B812),"."," "),","," "),"'"," "),"’"," "),"!"," "),"?"," "),";"," "),":"," "),"-"," "),"("," "),")"," "),"""", " "),"£"," "),"&amp;"," "),"/"," "),"%"," "))&amp;" "</f>
        <v> i am writing to complain i was misled about what the insurance actually included i expect compensation </v>
      </c>
      <c r="E812" s="0" t="n">
        <f aca="false">SUMPRODUCT((Rules!$A$2:$A$60=E$1)*Rules!$C$2:$C$60*ISNUMBER(SEARCH(Rules!$D$2:$D$60,$D812)))</f>
        <v>0</v>
      </c>
      <c r="F812" s="0" t="n">
        <f aca="false">SUMPRODUCT((Rules!$A$2:$A$60=F$1)*Rules!$C$2:$C$60*ISNUMBER(SEARCH(Rules!$D$2:$D$60,$D812)))</f>
        <v>4</v>
      </c>
      <c r="G812" s="0" t="n">
        <f aca="false">SUMPRODUCT((Rules!$A$2:$A$60=G$1)*Rules!$C$2:$C$60*ISNUMBER(SEARCH(Rules!$D$2:$D$60,$D812)))</f>
        <v>0</v>
      </c>
      <c r="H812" s="0" t="n">
        <f aca="false">SUMPRODUCT((Rules!$A$2:$A$60=H$1)*Rules!$C$2:$C$60*ISNUMBER(SEARCH(Rules!$D$2:$D$60,$D812)))</f>
        <v>0</v>
      </c>
      <c r="I812" s="0" t="n">
        <f aca="false">SUMPRODUCT((Rules!$A$2:$A$60=I$1)*Rules!$C$2:$C$60*ISNUMBER(SEARCH(Rules!$D$2:$D$60,$D812)))</f>
        <v>0</v>
      </c>
      <c r="J812" s="0" t="n">
        <f aca="false">SUMPRODUCT((Rules!$A$2:$A$60=J$1)*Rules!$C$2:$C$60*ISNUMBER(SEARCH(Rules!$D$2:$D$60,$D812)))</f>
        <v>0</v>
      </c>
      <c r="K812" s="0" t="str">
        <f aca="false">IF(OR(MAX(E812:J812)&lt;Rules!$H$1,MAX(E812:J812)-LARGE(E812:J812,2)&lt;Rules!$H$2),"No label",INDEX($E$1:$J$1,MATCH(MAX(E812:J812),E812:J812,0)))</f>
        <v>Mis-selling</v>
      </c>
      <c r="L812" s="0" t="n">
        <f aca="false">SUMPRODUCT((Rules!$A$2:$A$60=L$1)*Rules!$C$2:$C$60*ISNUMBER(SEARCH(Rules!$E$2:$E$60,$D812)))</f>
        <v>0</v>
      </c>
      <c r="M812" s="0" t="n">
        <f aca="false">SUMPRODUCT((Rules!$A$2:$A$60=M$1)*Rules!$C$2:$C$60*ISNUMBER(SEARCH(Rules!$E$2:$E$60,$D812)))</f>
        <v>4</v>
      </c>
      <c r="N812" s="0" t="n">
        <f aca="false">SUMPRODUCT((Rules!$A$2:$A$60=N$1)*Rules!$C$2:$C$60*ISNUMBER(SEARCH(Rules!$E$2:$E$60,$D812)))</f>
        <v>0</v>
      </c>
      <c r="O812" s="0" t="n">
        <f aca="false">SUMPRODUCT((Rules!$A$2:$A$60=O$1)*Rules!$C$2:$C$60*ISNUMBER(SEARCH(Rules!$E$2:$E$60,$D812)))</f>
        <v>0</v>
      </c>
      <c r="P812" s="0" t="n">
        <f aca="false">SUMPRODUCT((Rules!$A$2:$A$60=P$1)*Rules!$C$2:$C$60*ISNUMBER(SEARCH(Rules!$E$2:$E$60,$D812)))</f>
        <v>0</v>
      </c>
      <c r="Q812" s="0" t="n">
        <f aca="false">SUMPRODUCT((Rules!$A$2:$A$60=Q$1)*Rules!$C$2:$C$60*ISNUMBER(SEARCH(Rules!$E$2:$E$60,$D812)))</f>
        <v>0</v>
      </c>
      <c r="R812" s="0" t="str">
        <f aca="false">IF(OR(MAX(L812:Q812)&lt;Rules!$H$1,MAX(L812:Q812)-LARGE(L812:Q812,2)&lt;Rules!$H$2),"No label",INDEX($L$1:$Q$1,MATCH(MAX(L812:Q812),L812:Q812,0)))</f>
        <v>Mis-selling</v>
      </c>
      <c r="S812" s="0" t="n">
        <f aca="false">SUMPRODUCT(ISNUMBER(SEARCH(" "&amp;Terms!$A$3:$A$821&amp;" ",$D812))*Terms!B$3:B$821)+Terms!B$2</f>
        <v>0.0943860702766671</v>
      </c>
      <c r="T812" s="0" t="n">
        <f aca="false">SUMPRODUCT(ISNUMBER(SEARCH(" "&amp;Terms!$A$3:$A$821&amp;" ",$D812))*Terms!C$3:C$821)+Terms!C$2</f>
        <v>-3.84175066674779</v>
      </c>
      <c r="U812" s="0" t="n">
        <f aca="false">SUMPRODUCT(ISNUMBER(SEARCH(" "&amp;Terms!$A$3:$A$821&amp;" ",$D812))*Terms!D$3:D$821)+Terms!D$2</f>
        <v>-0.383331102995371</v>
      </c>
      <c r="V812" s="0" t="n">
        <f aca="false">SUMPRODUCT(ISNUMBER(SEARCH(" "&amp;Terms!$A$3:$A$821&amp;" ",$D812))*Terms!E$3:E$821)+Terms!E$2</f>
        <v>-2.28713464015279</v>
      </c>
      <c r="W812" s="0" t="n">
        <f aca="false">SUMPRODUCT(ISNUMBER(SEARCH(" "&amp;Terms!$A$3:$A$821&amp;" ",$D812))*Terms!F$3:F$821)+Terms!F$2</f>
        <v>-3.74270933179696</v>
      </c>
      <c r="X812" s="0" t="n">
        <f aca="false">SUMPRODUCT(ISNUMBER(SEARCH(" "&amp;Terms!$A$3:$A$821&amp;" ",$D812))*Terms!G$3:G$821)+Terms!G$2</f>
        <v>10.1605396714163</v>
      </c>
      <c r="Y812" s="0" t="str">
        <f aca="false">INDEX($S$1:$X$1,MATCH(MAX(S812:X812),S812:X812,0))</f>
        <v>Mis-selling</v>
      </c>
      <c r="Z812" s="0" t="s">
        <v>2607</v>
      </c>
    </row>
    <row r="813" customFormat="false" ht="15" hidden="false" customHeight="false" outlineLevel="0" collapsed="false">
      <c r="A813" s="0" t="str">
        <f aca="false">Complaints!A813</f>
        <v>C0812</v>
      </c>
      <c r="B813" s="0" t="str">
        <f aca="false">Complaints!B813</f>
        <v>This is the second time I have raised this. The website will not let me register for online access. I want this put right.</v>
      </c>
      <c r="C813" s="0" t="str">
        <f aca="false">Complaints!C813</f>
        <v>Account Access</v>
      </c>
      <c r="D813" s="0" t="str">
        <f aca="false">" "&amp;TRIM(SUBSTITUTE(SUBSTITUTE(SUBSTITUTE(SUBSTITUTE(SUBSTITUTE(SUBSTITUTE(SUBSTITUTE(SUBSTITUTE(SUBSTITUTE(SUBSTITUTE(SUBSTITUTE(SUBSTITUTE(SUBSTITUTE(SUBSTITUTE(SUBSTITUTE(SUBSTITUTE(LOWER(B813),"."," "),","," "),"'"," "),"’"," "),"!"," "),"?"," "),";"," "),":"," "),"-"," "),"("," "),")"," "),"""", " "),"£"," "),"&amp;"," "),"/"," "),"%"," "))&amp;" "</f>
        <v> this is the second time i have raised this the website will not let me register for online access i want this put right </v>
      </c>
      <c r="E813" s="0" t="n">
        <f aca="false">SUMPRODUCT((Rules!$A$2:$A$60=E$1)*Rules!$C$2:$C$60*ISNUMBER(SEARCH(Rules!$D$2:$D$60,$D813)))</f>
        <v>0</v>
      </c>
      <c r="F813" s="0" t="n">
        <f aca="false">SUMPRODUCT((Rules!$A$2:$A$60=F$1)*Rules!$C$2:$C$60*ISNUMBER(SEARCH(Rules!$D$2:$D$60,$D813)))</f>
        <v>0</v>
      </c>
      <c r="G813" s="0" t="n">
        <f aca="false">SUMPRODUCT((Rules!$A$2:$A$60=G$1)*Rules!$C$2:$C$60*ISNUMBER(SEARCH(Rules!$D$2:$D$60,$D813)))</f>
        <v>1</v>
      </c>
      <c r="H813" s="0" t="n">
        <f aca="false">SUMPRODUCT((Rules!$A$2:$A$60=H$1)*Rules!$C$2:$C$60*ISNUMBER(SEARCH(Rules!$D$2:$D$60,$D813)))</f>
        <v>0</v>
      </c>
      <c r="I813" s="0" t="n">
        <f aca="false">SUMPRODUCT((Rules!$A$2:$A$60=I$1)*Rules!$C$2:$C$60*ISNUMBER(SEARCH(Rules!$D$2:$D$60,$D813)))</f>
        <v>0</v>
      </c>
      <c r="J813" s="0" t="n">
        <f aca="false">SUMPRODUCT((Rules!$A$2:$A$60=J$1)*Rules!$C$2:$C$60*ISNUMBER(SEARCH(Rules!$D$2:$D$60,$D813)))</f>
        <v>0</v>
      </c>
      <c r="K813" s="0" t="str">
        <f aca="false">IF(OR(MAX(E813:J813)&lt;Rules!$H$1,MAX(E813:J813)-LARGE(E813:J813,2)&lt;Rules!$H$2),"No label",INDEX($E$1:$J$1,MATCH(MAX(E813:J813),E813:J813,0)))</f>
        <v>No label</v>
      </c>
      <c r="L813" s="0" t="n">
        <f aca="false">SUMPRODUCT((Rules!$A$2:$A$60=L$1)*Rules!$C$2:$C$60*ISNUMBER(SEARCH(Rules!$E$2:$E$60,$D813)))</f>
        <v>0</v>
      </c>
      <c r="M813" s="0" t="n">
        <f aca="false">SUMPRODUCT((Rules!$A$2:$A$60=M$1)*Rules!$C$2:$C$60*ISNUMBER(SEARCH(Rules!$E$2:$E$60,$D813)))</f>
        <v>0</v>
      </c>
      <c r="N813" s="0" t="n">
        <f aca="false">SUMPRODUCT((Rules!$A$2:$A$60=N$1)*Rules!$C$2:$C$60*ISNUMBER(SEARCH(Rules!$E$2:$E$60,$D813)))</f>
        <v>1</v>
      </c>
      <c r="O813" s="0" t="n">
        <f aca="false">SUMPRODUCT((Rules!$A$2:$A$60=O$1)*Rules!$C$2:$C$60*ISNUMBER(SEARCH(Rules!$E$2:$E$60,$D813)))</f>
        <v>0</v>
      </c>
      <c r="P813" s="0" t="n">
        <f aca="false">SUMPRODUCT((Rules!$A$2:$A$60=P$1)*Rules!$C$2:$C$60*ISNUMBER(SEARCH(Rules!$E$2:$E$60,$D813)))</f>
        <v>0</v>
      </c>
      <c r="Q813" s="0" t="n">
        <f aca="false">SUMPRODUCT((Rules!$A$2:$A$60=Q$1)*Rules!$C$2:$C$60*ISNUMBER(SEARCH(Rules!$E$2:$E$60,$D813)))</f>
        <v>0</v>
      </c>
      <c r="R813" s="0" t="str">
        <f aca="false">IF(OR(MAX(L813:Q813)&lt;Rules!$H$1,MAX(L813:Q813)-LARGE(L813:Q813,2)&lt;Rules!$H$2),"No label",INDEX($L$1:$Q$1,MATCH(MAX(L813:Q813),L813:Q813,0)))</f>
        <v>No label</v>
      </c>
      <c r="S813" s="0" t="n">
        <f aca="false">SUMPRODUCT(ISNUMBER(SEARCH(" "&amp;Terms!$A$3:$A$821&amp;" ",$D813))*Terms!B$3:B$821)+Terms!B$2</f>
        <v>6.68643041678741</v>
      </c>
      <c r="T813" s="0" t="n">
        <f aca="false">SUMPRODUCT(ISNUMBER(SEARCH(" "&amp;Terms!$A$3:$A$821&amp;" ",$D813))*Terms!C$3:C$821)+Terms!C$2</f>
        <v>-3.93330749127613</v>
      </c>
      <c r="U813" s="0" t="n">
        <f aca="false">SUMPRODUCT(ISNUMBER(SEARCH(" "&amp;Terms!$A$3:$A$821&amp;" ",$D813))*Terms!D$3:D$821)+Terms!D$2</f>
        <v>-3.04789371125669</v>
      </c>
      <c r="V813" s="0" t="n">
        <f aca="false">SUMPRODUCT(ISNUMBER(SEARCH(" "&amp;Terms!$A$3:$A$821&amp;" ",$D813))*Terms!E$3:E$821)+Terms!E$2</f>
        <v>-0.842556728209244</v>
      </c>
      <c r="W813" s="0" t="n">
        <f aca="false">SUMPRODUCT(ISNUMBER(SEARCH(" "&amp;Terms!$A$3:$A$821&amp;" ",$D813))*Terms!F$3:F$821)+Terms!F$2</f>
        <v>1.46157653575161</v>
      </c>
      <c r="X813" s="0" t="n">
        <f aca="false">SUMPRODUCT(ISNUMBER(SEARCH(" "&amp;Terms!$A$3:$A$821&amp;" ",$D813))*Terms!G$3:G$821)+Terms!G$2</f>
        <v>-0.324249021796867</v>
      </c>
      <c r="Y813" s="0" t="str">
        <f aca="false">INDEX($S$1:$X$1,MATCH(MAX(S813:X813),S813:X813,0))</f>
        <v>Account Access</v>
      </c>
      <c r="Z813" s="0" t="s">
        <v>2607</v>
      </c>
    </row>
    <row r="814" customFormat="false" ht="15" hidden="false" customHeight="false" outlineLevel="0" collapsed="false">
      <c r="A814" s="0" t="str">
        <f aca="false">Complaints!A814</f>
        <v>C0813</v>
      </c>
      <c r="B814" s="0" t="str">
        <f aca="false">Complaints!B814</f>
        <v>I was tricked into moving savings to a safe account that was not safe. This is not acceptable.</v>
      </c>
      <c r="C814" s="0" t="str">
        <f aca="false">Complaints!C814</f>
        <v>Fraud &amp; Scams</v>
      </c>
      <c r="D814" s="0" t="str">
        <f aca="false">" "&amp;TRIM(SUBSTITUTE(SUBSTITUTE(SUBSTITUTE(SUBSTITUTE(SUBSTITUTE(SUBSTITUTE(SUBSTITUTE(SUBSTITUTE(SUBSTITUTE(SUBSTITUTE(SUBSTITUTE(SUBSTITUTE(SUBSTITUTE(SUBSTITUTE(SUBSTITUTE(SUBSTITUTE(LOWER(B814),"."," "),","," "),"'"," "),"’"," "),"!"," "),"?"," "),";"," "),":"," "),"-"," "),"("," "),")"," "),"""", " "),"£"," "),"&amp;"," "),"/"," "),"%"," "))&amp;" "</f>
        <v> i was tricked into moving savings to a safe account that was not safe this is not acceptable </v>
      </c>
      <c r="E814" s="0" t="n">
        <f aca="false">SUMPRODUCT((Rules!$A$2:$A$60=E$1)*Rules!$C$2:$C$60*ISNUMBER(SEARCH(Rules!$D$2:$D$60,$D814)))</f>
        <v>2</v>
      </c>
      <c r="F814" s="0" t="n">
        <f aca="false">SUMPRODUCT((Rules!$A$2:$A$60=F$1)*Rules!$C$2:$C$60*ISNUMBER(SEARCH(Rules!$D$2:$D$60,$D814)))</f>
        <v>0</v>
      </c>
      <c r="G814" s="0" t="n">
        <f aca="false">SUMPRODUCT((Rules!$A$2:$A$60=G$1)*Rules!$C$2:$C$60*ISNUMBER(SEARCH(Rules!$D$2:$D$60,$D814)))</f>
        <v>0</v>
      </c>
      <c r="H814" s="0" t="n">
        <f aca="false">SUMPRODUCT((Rules!$A$2:$A$60=H$1)*Rules!$C$2:$C$60*ISNUMBER(SEARCH(Rules!$D$2:$D$60,$D814)))</f>
        <v>0</v>
      </c>
      <c r="I814" s="0" t="n">
        <f aca="false">SUMPRODUCT((Rules!$A$2:$A$60=I$1)*Rules!$C$2:$C$60*ISNUMBER(SEARCH(Rules!$D$2:$D$60,$D814)))</f>
        <v>0</v>
      </c>
      <c r="J814" s="0" t="n">
        <f aca="false">SUMPRODUCT((Rules!$A$2:$A$60=J$1)*Rules!$C$2:$C$60*ISNUMBER(SEARCH(Rules!$D$2:$D$60,$D814)))</f>
        <v>0</v>
      </c>
      <c r="K814" s="0" t="str">
        <f aca="false">IF(OR(MAX(E814:J814)&lt;Rules!$H$1,MAX(E814:J814)-LARGE(E814:J814,2)&lt;Rules!$H$2),"No label",INDEX($E$1:$J$1,MATCH(MAX(E814:J814),E814:J814,0)))</f>
        <v>No label</v>
      </c>
      <c r="L814" s="0" t="n">
        <f aca="false">SUMPRODUCT((Rules!$A$2:$A$60=L$1)*Rules!$C$2:$C$60*ISNUMBER(SEARCH(Rules!$E$2:$E$60,$D814)))</f>
        <v>2</v>
      </c>
      <c r="M814" s="0" t="n">
        <f aca="false">SUMPRODUCT((Rules!$A$2:$A$60=M$1)*Rules!$C$2:$C$60*ISNUMBER(SEARCH(Rules!$E$2:$E$60,$D814)))</f>
        <v>0</v>
      </c>
      <c r="N814" s="0" t="n">
        <f aca="false">SUMPRODUCT((Rules!$A$2:$A$60=N$1)*Rules!$C$2:$C$60*ISNUMBER(SEARCH(Rules!$E$2:$E$60,$D814)))</f>
        <v>1</v>
      </c>
      <c r="O814" s="0" t="n">
        <f aca="false">SUMPRODUCT((Rules!$A$2:$A$60=O$1)*Rules!$C$2:$C$60*ISNUMBER(SEARCH(Rules!$E$2:$E$60,$D814)))</f>
        <v>0</v>
      </c>
      <c r="P814" s="0" t="n">
        <f aca="false">SUMPRODUCT((Rules!$A$2:$A$60=P$1)*Rules!$C$2:$C$60*ISNUMBER(SEARCH(Rules!$E$2:$E$60,$D814)))</f>
        <v>0</v>
      </c>
      <c r="Q814" s="0" t="n">
        <f aca="false">SUMPRODUCT((Rules!$A$2:$A$60=Q$1)*Rules!$C$2:$C$60*ISNUMBER(SEARCH(Rules!$E$2:$E$60,$D814)))</f>
        <v>0</v>
      </c>
      <c r="R814" s="0" t="str">
        <f aca="false">IF(OR(MAX(L814:Q814)&lt;Rules!$H$1,MAX(L814:Q814)-LARGE(L814:Q814,2)&lt;Rules!$H$2),"No label",INDEX($L$1:$Q$1,MATCH(MAX(L814:Q814),L814:Q814,0)))</f>
        <v>No label</v>
      </c>
      <c r="S814" s="0" t="n">
        <f aca="false">SUMPRODUCT(ISNUMBER(SEARCH(" "&amp;Terms!$A$3:$A$821&amp;" ",$D814))*Terms!B$3:B$821)+Terms!B$2</f>
        <v>-0.47080501030747</v>
      </c>
      <c r="T814" s="0" t="n">
        <f aca="false">SUMPRODUCT(ISNUMBER(SEARCH(" "&amp;Terms!$A$3:$A$821&amp;" ",$D814))*Terms!C$3:C$821)+Terms!C$2</f>
        <v>-6.7400145728905</v>
      </c>
      <c r="U814" s="0" t="n">
        <f aca="false">SUMPRODUCT(ISNUMBER(SEARCH(" "&amp;Terms!$A$3:$A$821&amp;" ",$D814))*Terms!D$3:D$821)+Terms!D$2</f>
        <v>2.8718670715924</v>
      </c>
      <c r="V814" s="0" t="n">
        <f aca="false">SUMPRODUCT(ISNUMBER(SEARCH(" "&amp;Terms!$A$3:$A$821&amp;" ",$D814))*Terms!E$3:E$821)+Terms!E$2</f>
        <v>-1.80439726256222</v>
      </c>
      <c r="W814" s="0" t="n">
        <f aca="false">SUMPRODUCT(ISNUMBER(SEARCH(" "&amp;Terms!$A$3:$A$821&amp;" ",$D814))*Terms!F$3:F$821)+Terms!F$2</f>
        <v>9.87485105050105</v>
      </c>
      <c r="X814" s="0" t="n">
        <f aca="false">SUMPRODUCT(ISNUMBER(SEARCH(" "&amp;Terms!$A$3:$A$821&amp;" ",$D814))*Terms!G$3:G$821)+Terms!G$2</f>
        <v>-3.73150127633317</v>
      </c>
      <c r="Y814" s="0" t="str">
        <f aca="false">INDEX($S$1:$X$1,MATCH(MAX(S814:X814),S814:X814,0))</f>
        <v>Fraud &amp; Scams</v>
      </c>
      <c r="Z814" s="0" t="s">
        <v>2607</v>
      </c>
    </row>
    <row r="815" customFormat="false" ht="15" hidden="false" customHeight="false" outlineLevel="0" collapsed="false">
      <c r="A815" s="0" t="str">
        <f aca="false">Complaints!A815</f>
        <v>C0814</v>
      </c>
      <c r="B815" s="0" t="str">
        <f aca="false">Complaints!B815</f>
        <v>The paperwork was submitted a month ago and I am still waiting. Please sort this out.</v>
      </c>
      <c r="C815" s="0" t="str">
        <f aca="false">Complaints!C815</f>
        <v>Delays &amp; Processing</v>
      </c>
      <c r="D815" s="0" t="str">
        <f aca="false">" "&amp;TRIM(SUBSTITUTE(SUBSTITUTE(SUBSTITUTE(SUBSTITUTE(SUBSTITUTE(SUBSTITUTE(SUBSTITUTE(SUBSTITUTE(SUBSTITUTE(SUBSTITUTE(SUBSTITUTE(SUBSTITUTE(SUBSTITUTE(SUBSTITUTE(SUBSTITUTE(SUBSTITUTE(LOWER(B815),"."," "),","," "),"'"," "),"’"," "),"!"," "),"?"," "),";"," "),":"," "),"-"," "),"("," "),")"," "),"""", " "),"£"," "),"&amp;"," "),"/"," "),"%"," "))&amp;" "</f>
        <v> the paperwork was submitted a month ago and i am still waiting please sort this out </v>
      </c>
      <c r="E815" s="0" t="n">
        <f aca="false">SUMPRODUCT((Rules!$A$2:$A$60=E$1)*Rules!$C$2:$C$60*ISNUMBER(SEARCH(Rules!$D$2:$D$60,$D815)))</f>
        <v>0</v>
      </c>
      <c r="F815" s="0" t="n">
        <f aca="false">SUMPRODUCT((Rules!$A$2:$A$60=F$1)*Rules!$C$2:$C$60*ISNUMBER(SEARCH(Rules!$D$2:$D$60,$D815)))</f>
        <v>0</v>
      </c>
      <c r="G815" s="0" t="n">
        <f aca="false">SUMPRODUCT((Rules!$A$2:$A$60=G$1)*Rules!$C$2:$C$60*ISNUMBER(SEARCH(Rules!$D$2:$D$60,$D815)))</f>
        <v>0</v>
      </c>
      <c r="H815" s="0" t="n">
        <f aca="false">SUMPRODUCT((Rules!$A$2:$A$60=H$1)*Rules!$C$2:$C$60*ISNUMBER(SEARCH(Rules!$D$2:$D$60,$D815)))</f>
        <v>0</v>
      </c>
      <c r="I815" s="0" t="n">
        <f aca="false">SUMPRODUCT((Rules!$A$2:$A$60=I$1)*Rules!$C$2:$C$60*ISNUMBER(SEARCH(Rules!$D$2:$D$60,$D815)))</f>
        <v>2</v>
      </c>
      <c r="J815" s="0" t="n">
        <f aca="false">SUMPRODUCT((Rules!$A$2:$A$60=J$1)*Rules!$C$2:$C$60*ISNUMBER(SEARCH(Rules!$D$2:$D$60,$D815)))</f>
        <v>0</v>
      </c>
      <c r="K815" s="0" t="str">
        <f aca="false">IF(OR(MAX(E815:J815)&lt;Rules!$H$1,MAX(E815:J815)-LARGE(E815:J815,2)&lt;Rules!$H$2),"No label",INDEX($E$1:$J$1,MATCH(MAX(E815:J815),E815:J815,0)))</f>
        <v>No label</v>
      </c>
      <c r="L815" s="0" t="n">
        <f aca="false">SUMPRODUCT((Rules!$A$2:$A$60=L$1)*Rules!$C$2:$C$60*ISNUMBER(SEARCH(Rules!$E$2:$E$60,$D815)))</f>
        <v>0</v>
      </c>
      <c r="M815" s="0" t="n">
        <f aca="false">SUMPRODUCT((Rules!$A$2:$A$60=M$1)*Rules!$C$2:$C$60*ISNUMBER(SEARCH(Rules!$E$2:$E$60,$D815)))</f>
        <v>0</v>
      </c>
      <c r="N815" s="0" t="n">
        <f aca="false">SUMPRODUCT((Rules!$A$2:$A$60=N$1)*Rules!$C$2:$C$60*ISNUMBER(SEARCH(Rules!$E$2:$E$60,$D815)))</f>
        <v>0</v>
      </c>
      <c r="O815" s="0" t="n">
        <f aca="false">SUMPRODUCT((Rules!$A$2:$A$60=O$1)*Rules!$C$2:$C$60*ISNUMBER(SEARCH(Rules!$E$2:$E$60,$D815)))</f>
        <v>0</v>
      </c>
      <c r="P815" s="0" t="n">
        <f aca="false">SUMPRODUCT((Rules!$A$2:$A$60=P$1)*Rules!$C$2:$C$60*ISNUMBER(SEARCH(Rules!$E$2:$E$60,$D815)))</f>
        <v>2</v>
      </c>
      <c r="Q815" s="0" t="n">
        <f aca="false">SUMPRODUCT((Rules!$A$2:$A$60=Q$1)*Rules!$C$2:$C$60*ISNUMBER(SEARCH(Rules!$E$2:$E$60,$D815)))</f>
        <v>0</v>
      </c>
      <c r="R815" s="0" t="str">
        <f aca="false">IF(OR(MAX(L815:Q815)&lt;Rules!$H$1,MAX(L815:Q815)-LARGE(L815:Q815,2)&lt;Rules!$H$2),"No label",INDEX($L$1:$Q$1,MATCH(MAX(L815:Q815),L815:Q815,0)))</f>
        <v>No label</v>
      </c>
      <c r="S815" s="0" t="n">
        <f aca="false">SUMPRODUCT(ISNUMBER(SEARCH(" "&amp;Terms!$A$3:$A$821&amp;" ",$D815))*Terms!B$3:B$821)+Terms!B$2</f>
        <v>-2.45792813729751</v>
      </c>
      <c r="T815" s="0" t="n">
        <f aca="false">SUMPRODUCT(ISNUMBER(SEARCH(" "&amp;Terms!$A$3:$A$821&amp;" ",$D815))*Terms!C$3:C$821)+Terms!C$2</f>
        <v>-0.206496797762064</v>
      </c>
      <c r="U815" s="0" t="n">
        <f aca="false">SUMPRODUCT(ISNUMBER(SEARCH(" "&amp;Terms!$A$3:$A$821&amp;" ",$D815))*Terms!D$3:D$821)+Terms!D$2</f>
        <v>6.91101210267402</v>
      </c>
      <c r="V815" s="0" t="n">
        <f aca="false">SUMPRODUCT(ISNUMBER(SEARCH(" "&amp;Terms!$A$3:$A$821&amp;" ",$D815))*Terms!E$3:E$821)+Terms!E$2</f>
        <v>0.833973698893135</v>
      </c>
      <c r="W815" s="0" t="n">
        <f aca="false">SUMPRODUCT(ISNUMBER(SEARCH(" "&amp;Terms!$A$3:$A$821&amp;" ",$D815))*Terms!F$3:F$821)+Terms!F$2</f>
        <v>-3.22345426827088</v>
      </c>
      <c r="X815" s="0" t="n">
        <f aca="false">SUMPRODUCT(ISNUMBER(SEARCH(" "&amp;Terms!$A$3:$A$821&amp;" ",$D815))*Terms!G$3:G$821)+Terms!G$2</f>
        <v>-1.85710659823662</v>
      </c>
      <c r="Y815" s="0" t="str">
        <f aca="false">INDEX($S$1:$X$1,MATCH(MAX(S815:X815),S815:X815,0))</f>
        <v>Delays &amp; Processing</v>
      </c>
      <c r="Z815" s="0" t="s">
        <v>2608</v>
      </c>
    </row>
    <row r="816" customFormat="false" ht="15" hidden="false" customHeight="false" outlineLevel="0" collapsed="false">
      <c r="A816" s="0" t="str">
        <f aca="false">Complaints!A816</f>
        <v>C0815</v>
      </c>
      <c r="B816" s="0" t="str">
        <f aca="false">Complaints!B816</f>
        <v>This has caused me a lot of stress and I want answers. Please escalate this.</v>
      </c>
      <c r="C816" s="0" t="str">
        <f aca="false">Complaints!C816</f>
        <v>Mis-selling</v>
      </c>
      <c r="D816" s="0" t="str">
        <f aca="false">" "&amp;TRIM(SUBSTITUTE(SUBSTITUTE(SUBSTITUTE(SUBSTITUTE(SUBSTITUTE(SUBSTITUTE(SUBSTITUTE(SUBSTITUTE(SUBSTITUTE(SUBSTITUTE(SUBSTITUTE(SUBSTITUTE(SUBSTITUTE(SUBSTITUTE(SUBSTITUTE(SUBSTITUTE(LOWER(B816),"."," "),","," "),"'"," "),"’"," "),"!"," "),"?"," "),";"," "),":"," "),"-"," "),"("," "),")"," "),"""", " "),"£"," "),"&amp;"," "),"/"," "),"%"," "))&amp;" "</f>
        <v> this has caused me a lot of stress and i want answers please escalate this </v>
      </c>
      <c r="E816" s="0" t="n">
        <f aca="false">SUMPRODUCT((Rules!$A$2:$A$60=E$1)*Rules!$C$2:$C$60*ISNUMBER(SEARCH(Rules!$D$2:$D$60,$D816)))</f>
        <v>0</v>
      </c>
      <c r="F816" s="0" t="n">
        <f aca="false">SUMPRODUCT((Rules!$A$2:$A$60=F$1)*Rules!$C$2:$C$60*ISNUMBER(SEARCH(Rules!$D$2:$D$60,$D816)))</f>
        <v>0</v>
      </c>
      <c r="G816" s="0" t="n">
        <f aca="false">SUMPRODUCT((Rules!$A$2:$A$60=G$1)*Rules!$C$2:$C$60*ISNUMBER(SEARCH(Rules!$D$2:$D$60,$D816)))</f>
        <v>0</v>
      </c>
      <c r="H816" s="0" t="n">
        <f aca="false">SUMPRODUCT((Rules!$A$2:$A$60=H$1)*Rules!$C$2:$C$60*ISNUMBER(SEARCH(Rules!$D$2:$D$60,$D816)))</f>
        <v>0</v>
      </c>
      <c r="I816" s="0" t="n">
        <f aca="false">SUMPRODUCT((Rules!$A$2:$A$60=I$1)*Rules!$C$2:$C$60*ISNUMBER(SEARCH(Rules!$D$2:$D$60,$D816)))</f>
        <v>0</v>
      </c>
      <c r="J816" s="0" t="n">
        <f aca="false">SUMPRODUCT((Rules!$A$2:$A$60=J$1)*Rules!$C$2:$C$60*ISNUMBER(SEARCH(Rules!$D$2:$D$60,$D816)))</f>
        <v>0</v>
      </c>
      <c r="K816" s="0" t="str">
        <f aca="false">IF(OR(MAX(E816:J816)&lt;Rules!$H$1,MAX(E816:J816)-LARGE(E816:J816,2)&lt;Rules!$H$2),"No label",INDEX($E$1:$J$1,MATCH(MAX(E816:J816),E816:J816,0)))</f>
        <v>No label</v>
      </c>
      <c r="L816" s="0" t="n">
        <f aca="false">SUMPRODUCT((Rules!$A$2:$A$60=L$1)*Rules!$C$2:$C$60*ISNUMBER(SEARCH(Rules!$E$2:$E$60,$D816)))</f>
        <v>0</v>
      </c>
      <c r="M816" s="0" t="n">
        <f aca="false">SUMPRODUCT((Rules!$A$2:$A$60=M$1)*Rules!$C$2:$C$60*ISNUMBER(SEARCH(Rules!$E$2:$E$60,$D816)))</f>
        <v>0</v>
      </c>
      <c r="N816" s="0" t="n">
        <f aca="false">SUMPRODUCT((Rules!$A$2:$A$60=N$1)*Rules!$C$2:$C$60*ISNUMBER(SEARCH(Rules!$E$2:$E$60,$D816)))</f>
        <v>0</v>
      </c>
      <c r="O816" s="0" t="n">
        <f aca="false">SUMPRODUCT((Rules!$A$2:$A$60=O$1)*Rules!$C$2:$C$60*ISNUMBER(SEARCH(Rules!$E$2:$E$60,$D816)))</f>
        <v>0</v>
      </c>
      <c r="P816" s="0" t="n">
        <f aca="false">SUMPRODUCT((Rules!$A$2:$A$60=P$1)*Rules!$C$2:$C$60*ISNUMBER(SEARCH(Rules!$E$2:$E$60,$D816)))</f>
        <v>0</v>
      </c>
      <c r="Q816" s="0" t="n">
        <f aca="false">SUMPRODUCT((Rules!$A$2:$A$60=Q$1)*Rules!$C$2:$C$60*ISNUMBER(SEARCH(Rules!$E$2:$E$60,$D816)))</f>
        <v>0</v>
      </c>
      <c r="R816" s="0" t="str">
        <f aca="false">IF(OR(MAX(L816:Q816)&lt;Rules!$H$1,MAX(L816:Q816)-LARGE(L816:Q816,2)&lt;Rules!$H$2),"No label",INDEX($L$1:$Q$1,MATCH(MAX(L816:Q816),L816:Q816,0)))</f>
        <v>No label</v>
      </c>
      <c r="S816" s="0" t="n">
        <f aca="false">SUMPRODUCT(ISNUMBER(SEARCH(" "&amp;Terms!$A$3:$A$821&amp;" ",$D816))*Terms!B$3:B$821)+Terms!B$2</f>
        <v>1.5260318548283</v>
      </c>
      <c r="T816" s="0" t="n">
        <f aca="false">SUMPRODUCT(ISNUMBER(SEARCH(" "&amp;Terms!$A$3:$A$821&amp;" ",$D816))*Terms!C$3:C$821)+Terms!C$2</f>
        <v>2.05831084884439</v>
      </c>
      <c r="U816" s="0" t="n">
        <f aca="false">SUMPRODUCT(ISNUMBER(SEARCH(" "&amp;Terms!$A$3:$A$821&amp;" ",$D816))*Terms!D$3:D$821)+Terms!D$2</f>
        <v>1.22660713938667</v>
      </c>
      <c r="V816" s="0" t="n">
        <f aca="false">SUMPRODUCT(ISNUMBER(SEARCH(" "&amp;Terms!$A$3:$A$821&amp;" ",$D816))*Terms!E$3:E$821)+Terms!E$2</f>
        <v>-1.07813562721938</v>
      </c>
      <c r="W816" s="0" t="n">
        <f aca="false">SUMPRODUCT(ISNUMBER(SEARCH(" "&amp;Terms!$A$3:$A$821&amp;" ",$D816))*Terms!F$3:F$821)+Terms!F$2</f>
        <v>-1.64144654179328</v>
      </c>
      <c r="X816" s="0" t="n">
        <f aca="false">SUMPRODUCT(ISNUMBER(SEARCH(" "&amp;Terms!$A$3:$A$821&amp;" ",$D816))*Terms!G$3:G$821)+Terms!G$2</f>
        <v>-2.0913676740466</v>
      </c>
      <c r="Y816" s="0" t="str">
        <f aca="false">INDEX($S$1:$X$1,MATCH(MAX(S816:X816),S816:X816,0))</f>
        <v>Customer Service</v>
      </c>
      <c r="Z816" s="0" t="s">
        <v>2608</v>
      </c>
    </row>
    <row r="817" customFormat="false" ht="15" hidden="false" customHeight="false" outlineLevel="0" collapsed="false">
      <c r="A817" s="0" t="str">
        <f aca="false">Complaints!A817</f>
        <v>C0816</v>
      </c>
      <c r="B817" s="0" t="str">
        <f aca="false">Complaints!B817</f>
        <v>The account maintenance fee was taken twice this month. Also, i feel I was treated badly because of my age. Please escalate this.</v>
      </c>
      <c r="C817" s="0" t="str">
        <f aca="false">Complaints!C817</f>
        <v>Fees &amp; Charges</v>
      </c>
      <c r="D817" s="0" t="str">
        <f aca="false">" "&amp;TRIM(SUBSTITUTE(SUBSTITUTE(SUBSTITUTE(SUBSTITUTE(SUBSTITUTE(SUBSTITUTE(SUBSTITUTE(SUBSTITUTE(SUBSTITUTE(SUBSTITUTE(SUBSTITUTE(SUBSTITUTE(SUBSTITUTE(SUBSTITUTE(SUBSTITUTE(SUBSTITUTE(LOWER(B817),"."," "),","," "),"'"," "),"’"," "),"!"," "),"?"," "),";"," "),":"," "),"-"," "),"("," "),")"," "),"""", " "),"£"," "),"&amp;"," "),"/"," "),"%"," "))&amp;" "</f>
        <v> the account maintenance fee was taken twice this month also i feel i was treated badly because of my age please escalate this </v>
      </c>
      <c r="E817" s="0" t="n">
        <f aca="false">SUMPRODUCT((Rules!$A$2:$A$60=E$1)*Rules!$C$2:$C$60*ISNUMBER(SEARCH(Rules!$D$2:$D$60,$D817)))</f>
        <v>0</v>
      </c>
      <c r="F817" s="0" t="n">
        <f aca="false">SUMPRODUCT((Rules!$A$2:$A$60=F$1)*Rules!$C$2:$C$60*ISNUMBER(SEARCH(Rules!$D$2:$D$60,$D817)))</f>
        <v>0</v>
      </c>
      <c r="G817" s="0" t="n">
        <f aca="false">SUMPRODUCT((Rules!$A$2:$A$60=G$1)*Rules!$C$2:$C$60*ISNUMBER(SEARCH(Rules!$D$2:$D$60,$D817)))</f>
        <v>0</v>
      </c>
      <c r="H817" s="0" t="n">
        <f aca="false">SUMPRODUCT((Rules!$A$2:$A$60=H$1)*Rules!$C$2:$C$60*ISNUMBER(SEARCH(Rules!$D$2:$D$60,$D817)))</f>
        <v>2</v>
      </c>
      <c r="I817" s="0" t="n">
        <f aca="false">SUMPRODUCT((Rules!$A$2:$A$60=I$1)*Rules!$C$2:$C$60*ISNUMBER(SEARCH(Rules!$D$2:$D$60,$D817)))</f>
        <v>0</v>
      </c>
      <c r="J817" s="0" t="n">
        <f aca="false">SUMPRODUCT((Rules!$A$2:$A$60=J$1)*Rules!$C$2:$C$60*ISNUMBER(SEARCH(Rules!$D$2:$D$60,$D817)))</f>
        <v>3</v>
      </c>
      <c r="K817" s="0" t="str">
        <f aca="false">IF(OR(MAX(E817:J817)&lt;Rules!$H$1,MAX(E817:J817)-LARGE(E817:J817,2)&lt;Rules!$H$2),"No label",INDEX($E$1:$J$1,MATCH(MAX(E817:J817),E817:J817,0)))</f>
        <v>No label</v>
      </c>
      <c r="L817" s="0" t="n">
        <f aca="false">SUMPRODUCT((Rules!$A$2:$A$60=L$1)*Rules!$C$2:$C$60*ISNUMBER(SEARCH(Rules!$E$2:$E$60,$D817)))</f>
        <v>0</v>
      </c>
      <c r="M817" s="0" t="n">
        <f aca="false">SUMPRODUCT((Rules!$A$2:$A$60=M$1)*Rules!$C$2:$C$60*ISNUMBER(SEARCH(Rules!$E$2:$E$60,$D817)))</f>
        <v>0</v>
      </c>
      <c r="N817" s="0" t="n">
        <f aca="false">SUMPRODUCT((Rules!$A$2:$A$60=N$1)*Rules!$C$2:$C$60*ISNUMBER(SEARCH(Rules!$E$2:$E$60,$D817)))</f>
        <v>0</v>
      </c>
      <c r="O817" s="0" t="n">
        <f aca="false">SUMPRODUCT((Rules!$A$2:$A$60=O$1)*Rules!$C$2:$C$60*ISNUMBER(SEARCH(Rules!$E$2:$E$60,$D817)))</f>
        <v>2</v>
      </c>
      <c r="P817" s="0" t="n">
        <f aca="false">SUMPRODUCT((Rules!$A$2:$A$60=P$1)*Rules!$C$2:$C$60*ISNUMBER(SEARCH(Rules!$E$2:$E$60,$D817)))</f>
        <v>0</v>
      </c>
      <c r="Q817" s="0" t="n">
        <f aca="false">SUMPRODUCT((Rules!$A$2:$A$60=Q$1)*Rules!$C$2:$C$60*ISNUMBER(SEARCH(Rules!$E$2:$E$60,$D817)))</f>
        <v>3</v>
      </c>
      <c r="R817" s="0" t="str">
        <f aca="false">IF(OR(MAX(L817:Q817)&lt;Rules!$H$1,MAX(L817:Q817)-LARGE(L817:Q817,2)&lt;Rules!$H$2),"No label",INDEX($L$1:$Q$1,MATCH(MAX(L817:Q817),L817:Q817,0)))</f>
        <v>No label</v>
      </c>
      <c r="S817" s="0" t="n">
        <f aca="false">SUMPRODUCT(ISNUMBER(SEARCH(" "&amp;Terms!$A$3:$A$821&amp;" ",$D817))*Terms!B$3:B$821)+Terms!B$2</f>
        <v>-1.36197211094024</v>
      </c>
      <c r="T817" s="0" t="n">
        <f aca="false">SUMPRODUCT(ISNUMBER(SEARCH(" "&amp;Terms!$A$3:$A$821&amp;" ",$D817))*Terms!C$3:C$821)+Terms!C$2</f>
        <v>5.95989231702066</v>
      </c>
      <c r="U817" s="0" t="n">
        <f aca="false">SUMPRODUCT(ISNUMBER(SEARCH(" "&amp;Terms!$A$3:$A$821&amp;" ",$D817))*Terms!D$3:D$821)+Terms!D$2</f>
        <v>-3.26917067505401</v>
      </c>
      <c r="V817" s="0" t="n">
        <f aca="false">SUMPRODUCT(ISNUMBER(SEARCH(" "&amp;Terms!$A$3:$A$821&amp;" ",$D817))*Terms!E$3:E$821)+Terms!E$2</f>
        <v>8.99530064598195</v>
      </c>
      <c r="W817" s="0" t="n">
        <f aca="false">SUMPRODUCT(ISNUMBER(SEARCH(" "&amp;Terms!$A$3:$A$821&amp;" ",$D817))*Terms!F$3:F$821)+Terms!F$2</f>
        <v>-4.54261573225159</v>
      </c>
      <c r="X817" s="0" t="n">
        <f aca="false">SUMPRODUCT(ISNUMBER(SEARCH(" "&amp;Terms!$A$3:$A$821&amp;" ",$D817))*Terms!G$3:G$821)+Terms!G$2</f>
        <v>-5.78143444475667</v>
      </c>
      <c r="Y817" s="0" t="str">
        <f aca="false">INDEX($S$1:$X$1,MATCH(MAX(S817:X817),S817:X817,0))</f>
        <v>Fees &amp; Charges</v>
      </c>
      <c r="Z817" s="0" t="s">
        <v>2608</v>
      </c>
    </row>
    <row r="818" customFormat="false" ht="15" hidden="false" customHeight="false" outlineLevel="0" collapsed="false">
      <c r="A818" s="0" t="str">
        <f aca="false">Complaints!A818</f>
        <v>C0817</v>
      </c>
      <c r="B818" s="0" t="str">
        <f aca="false">Complaints!B818</f>
        <v>I have been billed an annual fee I never agreed to. It has also been taking far too long.</v>
      </c>
      <c r="C818" s="0" t="str">
        <f aca="false">Complaints!C818</f>
        <v>Fees &amp; Charges</v>
      </c>
      <c r="D818" s="0" t="str">
        <f aca="false">" "&amp;TRIM(SUBSTITUTE(SUBSTITUTE(SUBSTITUTE(SUBSTITUTE(SUBSTITUTE(SUBSTITUTE(SUBSTITUTE(SUBSTITUTE(SUBSTITUTE(SUBSTITUTE(SUBSTITUTE(SUBSTITUTE(SUBSTITUTE(SUBSTITUTE(SUBSTITUTE(SUBSTITUTE(LOWER(B818),"."," "),","," "),"'"," "),"’"," "),"!"," "),"?"," "),";"," "),":"," "),"-"," "),"("," "),")"," "),"""", " "),"£"," "),"&amp;"," "),"/"," "),"%"," "))&amp;" "</f>
        <v> i have been billed an annual fee i never agreed to it has also been taking far too long </v>
      </c>
      <c r="E818" s="0" t="n">
        <f aca="false">SUMPRODUCT((Rules!$A$2:$A$60=E$1)*Rules!$C$2:$C$60*ISNUMBER(SEARCH(Rules!$D$2:$D$60,$D818)))</f>
        <v>0</v>
      </c>
      <c r="F818" s="0" t="n">
        <f aca="false">SUMPRODUCT((Rules!$A$2:$A$60=F$1)*Rules!$C$2:$C$60*ISNUMBER(SEARCH(Rules!$D$2:$D$60,$D818)))</f>
        <v>0</v>
      </c>
      <c r="G818" s="0" t="n">
        <f aca="false">SUMPRODUCT((Rules!$A$2:$A$60=G$1)*Rules!$C$2:$C$60*ISNUMBER(SEARCH(Rules!$D$2:$D$60,$D818)))</f>
        <v>0</v>
      </c>
      <c r="H818" s="0" t="n">
        <f aca="false">SUMPRODUCT((Rules!$A$2:$A$60=H$1)*Rules!$C$2:$C$60*ISNUMBER(SEARCH(Rules!$D$2:$D$60,$D818)))</f>
        <v>4</v>
      </c>
      <c r="I818" s="0" t="n">
        <f aca="false">SUMPRODUCT((Rules!$A$2:$A$60=I$1)*Rules!$C$2:$C$60*ISNUMBER(SEARCH(Rules!$D$2:$D$60,$D818)))</f>
        <v>0</v>
      </c>
      <c r="J818" s="0" t="n">
        <f aca="false">SUMPRODUCT((Rules!$A$2:$A$60=J$1)*Rules!$C$2:$C$60*ISNUMBER(SEARCH(Rules!$D$2:$D$60,$D818)))</f>
        <v>0</v>
      </c>
      <c r="K818" s="0" t="str">
        <f aca="false">IF(OR(MAX(E818:J818)&lt;Rules!$H$1,MAX(E818:J818)-LARGE(E818:J818,2)&lt;Rules!$H$2),"No label",INDEX($E$1:$J$1,MATCH(MAX(E818:J818),E818:J818,0)))</f>
        <v>Fees &amp; Charges</v>
      </c>
      <c r="L818" s="0" t="n">
        <f aca="false">SUMPRODUCT((Rules!$A$2:$A$60=L$1)*Rules!$C$2:$C$60*ISNUMBER(SEARCH(Rules!$E$2:$E$60,$D818)))</f>
        <v>0</v>
      </c>
      <c r="M818" s="0" t="n">
        <f aca="false">SUMPRODUCT((Rules!$A$2:$A$60=M$1)*Rules!$C$2:$C$60*ISNUMBER(SEARCH(Rules!$E$2:$E$60,$D818)))</f>
        <v>0</v>
      </c>
      <c r="N818" s="0" t="n">
        <f aca="false">SUMPRODUCT((Rules!$A$2:$A$60=N$1)*Rules!$C$2:$C$60*ISNUMBER(SEARCH(Rules!$E$2:$E$60,$D818)))</f>
        <v>0</v>
      </c>
      <c r="O818" s="0" t="n">
        <f aca="false">SUMPRODUCT((Rules!$A$2:$A$60=O$1)*Rules!$C$2:$C$60*ISNUMBER(SEARCH(Rules!$E$2:$E$60,$D818)))</f>
        <v>4</v>
      </c>
      <c r="P818" s="0" t="n">
        <f aca="false">SUMPRODUCT((Rules!$A$2:$A$60=P$1)*Rules!$C$2:$C$60*ISNUMBER(SEARCH(Rules!$E$2:$E$60,$D818)))</f>
        <v>0</v>
      </c>
      <c r="Q818" s="0" t="n">
        <f aca="false">SUMPRODUCT((Rules!$A$2:$A$60=Q$1)*Rules!$C$2:$C$60*ISNUMBER(SEARCH(Rules!$E$2:$E$60,$D818)))</f>
        <v>0</v>
      </c>
      <c r="R818" s="0" t="str">
        <f aca="false">IF(OR(MAX(L818:Q818)&lt;Rules!$H$1,MAX(L818:Q818)-LARGE(L818:Q818,2)&lt;Rules!$H$2),"No label",INDEX($L$1:$Q$1,MATCH(MAX(L818:Q818),L818:Q818,0)))</f>
        <v>Fees &amp; Charges</v>
      </c>
      <c r="S818" s="0" t="n">
        <f aca="false">SUMPRODUCT(ISNUMBER(SEARCH(" "&amp;Terms!$A$3:$A$821&amp;" ",$D818))*Terms!B$3:B$821)+Terms!B$2</f>
        <v>-1.3219021551108</v>
      </c>
      <c r="T818" s="0" t="n">
        <f aca="false">SUMPRODUCT(ISNUMBER(SEARCH(" "&amp;Terms!$A$3:$A$821&amp;" ",$D818))*Terms!C$3:C$821)+Terms!C$2</f>
        <v>-1.42212055738574</v>
      </c>
      <c r="U818" s="0" t="n">
        <f aca="false">SUMPRODUCT(ISNUMBER(SEARCH(" "&amp;Terms!$A$3:$A$821&amp;" ",$D818))*Terms!D$3:D$821)+Terms!D$2</f>
        <v>-1.47319783746898</v>
      </c>
      <c r="V818" s="0" t="n">
        <f aca="false">SUMPRODUCT(ISNUMBER(SEARCH(" "&amp;Terms!$A$3:$A$821&amp;" ",$D818))*Terms!E$3:E$821)+Terms!E$2</f>
        <v>11.8637215800194</v>
      </c>
      <c r="W818" s="0" t="n">
        <f aca="false">SUMPRODUCT(ISNUMBER(SEARCH(" "&amp;Terms!$A$3:$A$821&amp;" ",$D818))*Terms!F$3:F$821)+Terms!F$2</f>
        <v>-5.21792775608541</v>
      </c>
      <c r="X818" s="0" t="n">
        <f aca="false">SUMPRODUCT(ISNUMBER(SEARCH(" "&amp;Terms!$A$3:$A$821&amp;" ",$D818))*Terms!G$3:G$821)+Terms!G$2</f>
        <v>-2.4285732739684</v>
      </c>
      <c r="Y818" s="0" t="str">
        <f aca="false">INDEX($S$1:$X$1,MATCH(MAX(S818:X818),S818:X818,0))</f>
        <v>Fees &amp; Charges</v>
      </c>
      <c r="Z818" s="0" t="s">
        <v>2607</v>
      </c>
    </row>
    <row r="819" customFormat="false" ht="15" hidden="false" customHeight="false" outlineLevel="0" collapsed="false">
      <c r="A819" s="0" t="str">
        <f aca="false">Complaints!A819</f>
        <v>C0818</v>
      </c>
      <c r="B819" s="0" t="str">
        <f aca="false">Complaints!B819</f>
        <v>A late payment fee appeared and I want it refunded. I also spent ages on hold when I called about it. I want this put right.</v>
      </c>
      <c r="C819" s="0" t="str">
        <f aca="false">Complaints!C819</f>
        <v>Fees &amp; Charges</v>
      </c>
      <c r="D819" s="0" t="str">
        <f aca="false">" "&amp;TRIM(SUBSTITUTE(SUBSTITUTE(SUBSTITUTE(SUBSTITUTE(SUBSTITUTE(SUBSTITUTE(SUBSTITUTE(SUBSTITUTE(SUBSTITUTE(SUBSTITUTE(SUBSTITUTE(SUBSTITUTE(SUBSTITUTE(SUBSTITUTE(SUBSTITUTE(SUBSTITUTE(LOWER(B819),"."," "),","," "),"'"," "),"’"," "),"!"," "),"?"," "),";"," "),":"," "),"-"," "),"("," "),")"," "),"""", " "),"£"," "),"&amp;"," "),"/"," "),"%"," "))&amp;" "</f>
        <v> a late payment fee appeared and i want it refunded i also spent ages on hold when i called about it i want this put right </v>
      </c>
      <c r="E819" s="0" t="n">
        <f aca="false">SUMPRODUCT((Rules!$A$2:$A$60=E$1)*Rules!$C$2:$C$60*ISNUMBER(SEARCH(Rules!$D$2:$D$60,$D819)))</f>
        <v>0</v>
      </c>
      <c r="F819" s="0" t="n">
        <f aca="false">SUMPRODUCT((Rules!$A$2:$A$60=F$1)*Rules!$C$2:$C$60*ISNUMBER(SEARCH(Rules!$D$2:$D$60,$D819)))</f>
        <v>0</v>
      </c>
      <c r="G819" s="0" t="n">
        <f aca="false">SUMPRODUCT((Rules!$A$2:$A$60=G$1)*Rules!$C$2:$C$60*ISNUMBER(SEARCH(Rules!$D$2:$D$60,$D819)))</f>
        <v>0</v>
      </c>
      <c r="H819" s="0" t="n">
        <f aca="false">SUMPRODUCT((Rules!$A$2:$A$60=H$1)*Rules!$C$2:$C$60*ISNUMBER(SEARCH(Rules!$D$2:$D$60,$D819)))</f>
        <v>2</v>
      </c>
      <c r="I819" s="0" t="n">
        <f aca="false">SUMPRODUCT((Rules!$A$2:$A$60=I$1)*Rules!$C$2:$C$60*ISNUMBER(SEARCH(Rules!$D$2:$D$60,$D819)))</f>
        <v>0</v>
      </c>
      <c r="J819" s="0" t="n">
        <f aca="false">SUMPRODUCT((Rules!$A$2:$A$60=J$1)*Rules!$C$2:$C$60*ISNUMBER(SEARCH(Rules!$D$2:$D$60,$D819)))</f>
        <v>3</v>
      </c>
      <c r="K819" s="0" t="str">
        <f aca="false">IF(OR(MAX(E819:J819)&lt;Rules!$H$1,MAX(E819:J819)-LARGE(E819:J819,2)&lt;Rules!$H$2),"No label",INDEX($E$1:$J$1,MATCH(MAX(E819:J819),E819:J819,0)))</f>
        <v>No label</v>
      </c>
      <c r="L819" s="0" t="n">
        <f aca="false">SUMPRODUCT((Rules!$A$2:$A$60=L$1)*Rules!$C$2:$C$60*ISNUMBER(SEARCH(Rules!$E$2:$E$60,$D819)))</f>
        <v>0</v>
      </c>
      <c r="M819" s="0" t="n">
        <f aca="false">SUMPRODUCT((Rules!$A$2:$A$60=M$1)*Rules!$C$2:$C$60*ISNUMBER(SEARCH(Rules!$E$2:$E$60,$D819)))</f>
        <v>0</v>
      </c>
      <c r="N819" s="0" t="n">
        <f aca="false">SUMPRODUCT((Rules!$A$2:$A$60=N$1)*Rules!$C$2:$C$60*ISNUMBER(SEARCH(Rules!$E$2:$E$60,$D819)))</f>
        <v>0</v>
      </c>
      <c r="O819" s="0" t="n">
        <f aca="false">SUMPRODUCT((Rules!$A$2:$A$60=O$1)*Rules!$C$2:$C$60*ISNUMBER(SEARCH(Rules!$E$2:$E$60,$D819)))</f>
        <v>2</v>
      </c>
      <c r="P819" s="0" t="n">
        <f aca="false">SUMPRODUCT((Rules!$A$2:$A$60=P$1)*Rules!$C$2:$C$60*ISNUMBER(SEARCH(Rules!$E$2:$E$60,$D819)))</f>
        <v>0</v>
      </c>
      <c r="Q819" s="0" t="n">
        <f aca="false">SUMPRODUCT((Rules!$A$2:$A$60=Q$1)*Rules!$C$2:$C$60*ISNUMBER(SEARCH(Rules!$E$2:$E$60,$D819)))</f>
        <v>3</v>
      </c>
      <c r="R819" s="0" t="str">
        <f aca="false">IF(OR(MAX(L819:Q819)&lt;Rules!$H$1,MAX(L819:Q819)-LARGE(L819:Q819,2)&lt;Rules!$H$2),"No label",INDEX($L$1:$Q$1,MATCH(MAX(L819:Q819),L819:Q819,0)))</f>
        <v>No label</v>
      </c>
      <c r="S819" s="0" t="n">
        <f aca="false">SUMPRODUCT(ISNUMBER(SEARCH(" "&amp;Terms!$A$3:$A$821&amp;" ",$D819))*Terms!B$3:B$821)+Terms!B$2</f>
        <v>-4.47299335013952</v>
      </c>
      <c r="T819" s="0" t="n">
        <f aca="false">SUMPRODUCT(ISNUMBER(SEARCH(" "&amp;Terms!$A$3:$A$821&amp;" ",$D819))*Terms!C$3:C$821)+Terms!C$2</f>
        <v>-5.65217736868109</v>
      </c>
      <c r="U819" s="0" t="n">
        <f aca="false">SUMPRODUCT(ISNUMBER(SEARCH(" "&amp;Terms!$A$3:$A$821&amp;" ",$D819))*Terms!D$3:D$821)+Terms!D$2</f>
        <v>-0.824415462066699</v>
      </c>
      <c r="V819" s="0" t="n">
        <f aca="false">SUMPRODUCT(ISNUMBER(SEARCH(" "&amp;Terms!$A$3:$A$821&amp;" ",$D819))*Terms!E$3:E$821)+Terms!E$2</f>
        <v>14.4344664460129</v>
      </c>
      <c r="W819" s="0" t="n">
        <f aca="false">SUMPRODUCT(ISNUMBER(SEARCH(" "&amp;Terms!$A$3:$A$821&amp;" ",$D819))*Terms!F$3:F$821)+Terms!F$2</f>
        <v>1.0617768597137</v>
      </c>
      <c r="X819" s="0" t="n">
        <f aca="false">SUMPRODUCT(ISNUMBER(SEARCH(" "&amp;Terms!$A$3:$A$821&amp;" ",$D819))*Terms!G$3:G$821)+Terms!G$2</f>
        <v>-4.54665712483915</v>
      </c>
      <c r="Y819" s="0" t="str">
        <f aca="false">INDEX($S$1:$X$1,MATCH(MAX(S819:X819),S819:X819,0))</f>
        <v>Fees &amp; Charges</v>
      </c>
      <c r="Z819" s="0" t="s">
        <v>2607</v>
      </c>
    </row>
    <row r="820" customFormat="false" ht="15" hidden="false" customHeight="false" outlineLevel="0" collapsed="false">
      <c r="A820" s="0" t="str">
        <f aca="false">Complaints!A820</f>
        <v>C0819</v>
      </c>
      <c r="B820" s="0" t="str">
        <f aca="false">Complaints!B820</f>
        <v>The fraud team closed my case without investigating properly. Please escalate this.</v>
      </c>
      <c r="C820" s="0" t="str">
        <f aca="false">Complaints!C820</f>
        <v>Fraud &amp; Scams</v>
      </c>
      <c r="D820" s="0" t="str">
        <f aca="false">" "&amp;TRIM(SUBSTITUTE(SUBSTITUTE(SUBSTITUTE(SUBSTITUTE(SUBSTITUTE(SUBSTITUTE(SUBSTITUTE(SUBSTITUTE(SUBSTITUTE(SUBSTITUTE(SUBSTITUTE(SUBSTITUTE(SUBSTITUTE(SUBSTITUTE(SUBSTITUTE(SUBSTITUTE(LOWER(B820),"."," "),","," "),"'"," "),"’"," "),"!"," "),"?"," "),";"," "),":"," "),"-"," "),"("," "),")"," "),"""", " "),"£"," "),"&amp;"," "),"/"," "),"%"," "))&amp;" "</f>
        <v> the fraud team closed my case without investigating properly please escalate this </v>
      </c>
      <c r="E820" s="0" t="n">
        <f aca="false">SUMPRODUCT((Rules!$A$2:$A$60=E$1)*Rules!$C$2:$C$60*ISNUMBER(SEARCH(Rules!$D$2:$D$60,$D820)))</f>
        <v>3</v>
      </c>
      <c r="F820" s="0" t="n">
        <f aca="false">SUMPRODUCT((Rules!$A$2:$A$60=F$1)*Rules!$C$2:$C$60*ISNUMBER(SEARCH(Rules!$D$2:$D$60,$D820)))</f>
        <v>0</v>
      </c>
      <c r="G820" s="0" t="n">
        <f aca="false">SUMPRODUCT((Rules!$A$2:$A$60=G$1)*Rules!$C$2:$C$60*ISNUMBER(SEARCH(Rules!$D$2:$D$60,$D820)))</f>
        <v>0</v>
      </c>
      <c r="H820" s="0" t="n">
        <f aca="false">SUMPRODUCT((Rules!$A$2:$A$60=H$1)*Rules!$C$2:$C$60*ISNUMBER(SEARCH(Rules!$D$2:$D$60,$D820)))</f>
        <v>0</v>
      </c>
      <c r="I820" s="0" t="n">
        <f aca="false">SUMPRODUCT((Rules!$A$2:$A$60=I$1)*Rules!$C$2:$C$60*ISNUMBER(SEARCH(Rules!$D$2:$D$60,$D820)))</f>
        <v>0</v>
      </c>
      <c r="J820" s="0" t="n">
        <f aca="false">SUMPRODUCT((Rules!$A$2:$A$60=J$1)*Rules!$C$2:$C$60*ISNUMBER(SEARCH(Rules!$D$2:$D$60,$D820)))</f>
        <v>0</v>
      </c>
      <c r="K820" s="0" t="str">
        <f aca="false">IF(OR(MAX(E820:J820)&lt;Rules!$H$1,MAX(E820:J820)-LARGE(E820:J820,2)&lt;Rules!$H$2),"No label",INDEX($E$1:$J$1,MATCH(MAX(E820:J820),E820:J820,0)))</f>
        <v>Fraud &amp; Scams</v>
      </c>
      <c r="L820" s="0" t="n">
        <f aca="false">SUMPRODUCT((Rules!$A$2:$A$60=L$1)*Rules!$C$2:$C$60*ISNUMBER(SEARCH(Rules!$E$2:$E$60,$D820)))</f>
        <v>3</v>
      </c>
      <c r="M820" s="0" t="n">
        <f aca="false">SUMPRODUCT((Rules!$A$2:$A$60=M$1)*Rules!$C$2:$C$60*ISNUMBER(SEARCH(Rules!$E$2:$E$60,$D820)))</f>
        <v>0</v>
      </c>
      <c r="N820" s="0" t="n">
        <f aca="false">SUMPRODUCT((Rules!$A$2:$A$60=N$1)*Rules!$C$2:$C$60*ISNUMBER(SEARCH(Rules!$E$2:$E$60,$D820)))</f>
        <v>0</v>
      </c>
      <c r="O820" s="0" t="n">
        <f aca="false">SUMPRODUCT((Rules!$A$2:$A$60=O$1)*Rules!$C$2:$C$60*ISNUMBER(SEARCH(Rules!$E$2:$E$60,$D820)))</f>
        <v>0</v>
      </c>
      <c r="P820" s="0" t="n">
        <f aca="false">SUMPRODUCT((Rules!$A$2:$A$60=P$1)*Rules!$C$2:$C$60*ISNUMBER(SEARCH(Rules!$E$2:$E$60,$D820)))</f>
        <v>0</v>
      </c>
      <c r="Q820" s="0" t="n">
        <f aca="false">SUMPRODUCT((Rules!$A$2:$A$60=Q$1)*Rules!$C$2:$C$60*ISNUMBER(SEARCH(Rules!$E$2:$E$60,$D820)))</f>
        <v>0</v>
      </c>
      <c r="R820" s="0" t="str">
        <f aca="false">IF(OR(MAX(L820:Q820)&lt;Rules!$H$1,MAX(L820:Q820)-LARGE(L820:Q820,2)&lt;Rules!$H$2),"No label",INDEX($L$1:$Q$1,MATCH(MAX(L820:Q820),L820:Q820,0)))</f>
        <v>Fraud &amp; Scams</v>
      </c>
      <c r="S820" s="0" t="n">
        <f aca="false">SUMPRODUCT(ISNUMBER(SEARCH(" "&amp;Terms!$A$3:$A$821&amp;" ",$D820))*Terms!B$3:B$821)+Terms!B$2</f>
        <v>-3.49543431297026</v>
      </c>
      <c r="T820" s="0" t="n">
        <f aca="false">SUMPRODUCT(ISNUMBER(SEARCH(" "&amp;Terms!$A$3:$A$821&amp;" ",$D820))*Terms!C$3:C$821)+Terms!C$2</f>
        <v>-0.102386169795101</v>
      </c>
      <c r="U820" s="0" t="n">
        <f aca="false">SUMPRODUCT(ISNUMBER(SEARCH(" "&amp;Terms!$A$3:$A$821&amp;" ",$D820))*Terms!D$3:D$821)+Terms!D$2</f>
        <v>-2.64772376769364</v>
      </c>
      <c r="V820" s="0" t="n">
        <f aca="false">SUMPRODUCT(ISNUMBER(SEARCH(" "&amp;Terms!$A$3:$A$821&amp;" ",$D820))*Terms!E$3:E$821)+Terms!E$2</f>
        <v>-2.830766049347</v>
      </c>
      <c r="W820" s="0" t="n">
        <f aca="false">SUMPRODUCT(ISNUMBER(SEARCH(" "&amp;Terms!$A$3:$A$821&amp;" ",$D820))*Terms!F$3:F$821)+Terms!F$2</f>
        <v>10.7696526790442</v>
      </c>
      <c r="X820" s="0" t="n">
        <f aca="false">SUMPRODUCT(ISNUMBER(SEARCH(" "&amp;Terms!$A$3:$A$821&amp;" ",$D820))*Terms!G$3:G$821)+Terms!G$2</f>
        <v>-1.69334237923806</v>
      </c>
      <c r="Y820" s="0" t="str">
        <f aca="false">INDEX($S$1:$X$1,MATCH(MAX(S820:X820),S820:X820,0))</f>
        <v>Fraud &amp; Scams</v>
      </c>
      <c r="Z820" s="0" t="s">
        <v>2608</v>
      </c>
    </row>
    <row r="821" customFormat="false" ht="15" hidden="false" customHeight="false" outlineLevel="0" collapsed="false">
      <c r="A821" s="0" t="str">
        <f aca="false">Complaints!A821</f>
        <v>C0820</v>
      </c>
      <c r="B821" s="0" t="str">
        <f aca="false">Complaints!B821</f>
        <v>Hello, The adviser did not explain the risks of the investment. Also, you promised the money within three working days and it is still outstanding.</v>
      </c>
      <c r="C821" s="0" t="str">
        <f aca="false">Complaints!C821</f>
        <v>Mis-selling</v>
      </c>
      <c r="D821" s="0" t="str">
        <f aca="false">" "&amp;TRIM(SUBSTITUTE(SUBSTITUTE(SUBSTITUTE(SUBSTITUTE(SUBSTITUTE(SUBSTITUTE(SUBSTITUTE(SUBSTITUTE(SUBSTITUTE(SUBSTITUTE(SUBSTITUTE(SUBSTITUTE(SUBSTITUTE(SUBSTITUTE(SUBSTITUTE(SUBSTITUTE(LOWER(B821),"."," "),","," "),"'"," "),"’"," "),"!"," "),"?"," "),";"," "),":"," "),"-"," "),"("," "),")"," "),"""", " "),"£"," "),"&amp;"," "),"/"," "),"%"," "))&amp;" "</f>
        <v> hello the adviser did not explain the risks of the investment also you promised the money within three working days and it is still outstanding </v>
      </c>
      <c r="E821" s="0" t="n">
        <f aca="false">SUMPRODUCT((Rules!$A$2:$A$60=E$1)*Rules!$C$2:$C$60*ISNUMBER(SEARCH(Rules!$D$2:$D$60,$D821)))</f>
        <v>0</v>
      </c>
      <c r="F821" s="0" t="n">
        <f aca="false">SUMPRODUCT((Rules!$A$2:$A$60=F$1)*Rules!$C$2:$C$60*ISNUMBER(SEARCH(Rules!$D$2:$D$60,$D821)))</f>
        <v>5</v>
      </c>
      <c r="G821" s="0" t="n">
        <f aca="false">SUMPRODUCT((Rules!$A$2:$A$60=G$1)*Rules!$C$2:$C$60*ISNUMBER(SEARCH(Rules!$D$2:$D$60,$D821)))</f>
        <v>0</v>
      </c>
      <c r="H821" s="0" t="n">
        <f aca="false">SUMPRODUCT((Rules!$A$2:$A$60=H$1)*Rules!$C$2:$C$60*ISNUMBER(SEARCH(Rules!$D$2:$D$60,$D821)))</f>
        <v>0</v>
      </c>
      <c r="I821" s="0" t="n">
        <f aca="false">SUMPRODUCT((Rules!$A$2:$A$60=I$1)*Rules!$C$2:$C$60*ISNUMBER(SEARCH(Rules!$D$2:$D$60,$D821)))</f>
        <v>2</v>
      </c>
      <c r="J821" s="0" t="n">
        <f aca="false">SUMPRODUCT((Rules!$A$2:$A$60=J$1)*Rules!$C$2:$C$60*ISNUMBER(SEARCH(Rules!$D$2:$D$60,$D821)))</f>
        <v>0</v>
      </c>
      <c r="K821" s="0" t="str">
        <f aca="false">IF(OR(MAX(E821:J821)&lt;Rules!$H$1,MAX(E821:J821)-LARGE(E821:J821,2)&lt;Rules!$H$2),"No label",INDEX($E$1:$J$1,MATCH(MAX(E821:J821),E821:J821,0)))</f>
        <v>Mis-selling</v>
      </c>
      <c r="L821" s="0" t="n">
        <f aca="false">SUMPRODUCT((Rules!$A$2:$A$60=L$1)*Rules!$C$2:$C$60*ISNUMBER(SEARCH(Rules!$E$2:$E$60,$D821)))</f>
        <v>0</v>
      </c>
      <c r="M821" s="0" t="n">
        <f aca="false">SUMPRODUCT((Rules!$A$2:$A$60=M$1)*Rules!$C$2:$C$60*ISNUMBER(SEARCH(Rules!$E$2:$E$60,$D821)))</f>
        <v>7</v>
      </c>
      <c r="N821" s="0" t="n">
        <f aca="false">SUMPRODUCT((Rules!$A$2:$A$60=N$1)*Rules!$C$2:$C$60*ISNUMBER(SEARCH(Rules!$E$2:$E$60,$D821)))</f>
        <v>0</v>
      </c>
      <c r="O821" s="0" t="n">
        <f aca="false">SUMPRODUCT((Rules!$A$2:$A$60=O$1)*Rules!$C$2:$C$60*ISNUMBER(SEARCH(Rules!$E$2:$E$60,$D821)))</f>
        <v>0</v>
      </c>
      <c r="P821" s="0" t="n">
        <f aca="false">SUMPRODUCT((Rules!$A$2:$A$60=P$1)*Rules!$C$2:$C$60*ISNUMBER(SEARCH(Rules!$E$2:$E$60,$D821)))</f>
        <v>2</v>
      </c>
      <c r="Q821" s="0" t="n">
        <f aca="false">SUMPRODUCT((Rules!$A$2:$A$60=Q$1)*Rules!$C$2:$C$60*ISNUMBER(SEARCH(Rules!$E$2:$E$60,$D821)))</f>
        <v>1</v>
      </c>
      <c r="R821" s="0" t="str">
        <f aca="false">IF(OR(MAX(L821:Q821)&lt;Rules!$H$1,MAX(L821:Q821)-LARGE(L821:Q821,2)&lt;Rules!$H$2),"No label",INDEX($L$1:$Q$1,MATCH(MAX(L821:Q821),L821:Q821,0)))</f>
        <v>Mis-selling</v>
      </c>
      <c r="S821" s="0" t="n">
        <f aca="false">SUMPRODUCT(ISNUMBER(SEARCH(" "&amp;Terms!$A$3:$A$821&amp;" ",$D821))*Terms!B$3:B$821)+Terms!B$2</f>
        <v>-1.38285045840116</v>
      </c>
      <c r="T821" s="0" t="n">
        <f aca="false">SUMPRODUCT(ISNUMBER(SEARCH(" "&amp;Terms!$A$3:$A$821&amp;" ",$D821))*Terms!C$3:C$821)+Terms!C$2</f>
        <v>-4.05775770918244</v>
      </c>
      <c r="U821" s="0" t="n">
        <f aca="false">SUMPRODUCT(ISNUMBER(SEARCH(" "&amp;Terms!$A$3:$A$821&amp;" ",$D821))*Terms!D$3:D$821)+Terms!D$2</f>
        <v>1.48602474443032</v>
      </c>
      <c r="V821" s="0" t="n">
        <f aca="false">SUMPRODUCT(ISNUMBER(SEARCH(" "&amp;Terms!$A$3:$A$821&amp;" ",$D821))*Terms!E$3:E$821)+Terms!E$2</f>
        <v>-1.48623782938035</v>
      </c>
      <c r="W821" s="0" t="n">
        <f aca="false">SUMPRODUCT(ISNUMBER(SEARCH(" "&amp;Terms!$A$3:$A$821&amp;" ",$D821))*Terms!F$3:F$821)+Terms!F$2</f>
        <v>-2.75147433321839</v>
      </c>
      <c r="X821" s="0" t="n">
        <f aca="false">SUMPRODUCT(ISNUMBER(SEARCH(" "&amp;Terms!$A$3:$A$821&amp;" ",$D821))*Terms!G$3:G$821)+Terms!G$2</f>
        <v>8.19229558575209</v>
      </c>
      <c r="Y821" s="0" t="str">
        <f aca="false">INDEX($S$1:$X$1,MATCH(MAX(S821:X821),S821:X821,0))</f>
        <v>Mis-selling</v>
      </c>
      <c r="Z821" s="0" t="s">
        <v>2607</v>
      </c>
    </row>
    <row r="822" customFormat="false" ht="15" hidden="false" customHeight="false" outlineLevel="0" collapsed="false">
      <c r="A822" s="0" t="str">
        <f aca="false">Complaints!A822</f>
        <v>C0821</v>
      </c>
      <c r="B822" s="0" t="str">
        <f aca="false">Complaints!B822</f>
        <v>Frankly, The brochure said guaranteed returns and my money has lost value. Please escalate this.</v>
      </c>
      <c r="C822" s="0" t="str">
        <f aca="false">Complaints!C822</f>
        <v>Mis-selling</v>
      </c>
      <c r="D822" s="0" t="str">
        <f aca="false">" "&amp;TRIM(SUBSTITUTE(SUBSTITUTE(SUBSTITUTE(SUBSTITUTE(SUBSTITUTE(SUBSTITUTE(SUBSTITUTE(SUBSTITUTE(SUBSTITUTE(SUBSTITUTE(SUBSTITUTE(SUBSTITUTE(SUBSTITUTE(SUBSTITUTE(SUBSTITUTE(SUBSTITUTE(LOWER(B822),"."," "),","," "),"'"," "),"’"," "),"!"," "),"?"," "),";"," "),":"," "),"-"," "),"("," "),")"," "),"""", " "),"£"," "),"&amp;"," "),"/"," "),"%"," "))&amp;" "</f>
        <v> frankly the brochure said guaranteed returns and my money has lost value please escalate this </v>
      </c>
      <c r="E822" s="0" t="n">
        <f aca="false">SUMPRODUCT((Rules!$A$2:$A$60=E$1)*Rules!$C$2:$C$60*ISNUMBER(SEARCH(Rules!$D$2:$D$60,$D822)))</f>
        <v>0</v>
      </c>
      <c r="F822" s="0" t="n">
        <f aca="false">SUMPRODUCT((Rules!$A$2:$A$60=F$1)*Rules!$C$2:$C$60*ISNUMBER(SEARCH(Rules!$D$2:$D$60,$D822)))</f>
        <v>2</v>
      </c>
      <c r="G822" s="0" t="n">
        <f aca="false">SUMPRODUCT((Rules!$A$2:$A$60=G$1)*Rules!$C$2:$C$60*ISNUMBER(SEARCH(Rules!$D$2:$D$60,$D822)))</f>
        <v>0</v>
      </c>
      <c r="H822" s="0" t="n">
        <f aca="false">SUMPRODUCT((Rules!$A$2:$A$60=H$1)*Rules!$C$2:$C$60*ISNUMBER(SEARCH(Rules!$D$2:$D$60,$D822)))</f>
        <v>0</v>
      </c>
      <c r="I822" s="0" t="n">
        <f aca="false">SUMPRODUCT((Rules!$A$2:$A$60=I$1)*Rules!$C$2:$C$60*ISNUMBER(SEARCH(Rules!$D$2:$D$60,$D822)))</f>
        <v>0</v>
      </c>
      <c r="J822" s="0" t="n">
        <f aca="false">SUMPRODUCT((Rules!$A$2:$A$60=J$1)*Rules!$C$2:$C$60*ISNUMBER(SEARCH(Rules!$D$2:$D$60,$D822)))</f>
        <v>0</v>
      </c>
      <c r="K822" s="0" t="str">
        <f aca="false">IF(OR(MAX(E822:J822)&lt;Rules!$H$1,MAX(E822:J822)-LARGE(E822:J822,2)&lt;Rules!$H$2),"No label",INDEX($E$1:$J$1,MATCH(MAX(E822:J822),E822:J822,0)))</f>
        <v>No label</v>
      </c>
      <c r="L822" s="0" t="n">
        <f aca="false">SUMPRODUCT((Rules!$A$2:$A$60=L$1)*Rules!$C$2:$C$60*ISNUMBER(SEARCH(Rules!$E$2:$E$60,$D822)))</f>
        <v>0</v>
      </c>
      <c r="M822" s="0" t="n">
        <f aca="false">SUMPRODUCT((Rules!$A$2:$A$60=M$1)*Rules!$C$2:$C$60*ISNUMBER(SEARCH(Rules!$E$2:$E$60,$D822)))</f>
        <v>2</v>
      </c>
      <c r="N822" s="0" t="n">
        <f aca="false">SUMPRODUCT((Rules!$A$2:$A$60=N$1)*Rules!$C$2:$C$60*ISNUMBER(SEARCH(Rules!$E$2:$E$60,$D822)))</f>
        <v>0</v>
      </c>
      <c r="O822" s="0" t="n">
        <f aca="false">SUMPRODUCT((Rules!$A$2:$A$60=O$1)*Rules!$C$2:$C$60*ISNUMBER(SEARCH(Rules!$E$2:$E$60,$D822)))</f>
        <v>0</v>
      </c>
      <c r="P822" s="0" t="n">
        <f aca="false">SUMPRODUCT((Rules!$A$2:$A$60=P$1)*Rules!$C$2:$C$60*ISNUMBER(SEARCH(Rules!$E$2:$E$60,$D822)))</f>
        <v>0</v>
      </c>
      <c r="Q822" s="0" t="n">
        <f aca="false">SUMPRODUCT((Rules!$A$2:$A$60=Q$1)*Rules!$C$2:$C$60*ISNUMBER(SEARCH(Rules!$E$2:$E$60,$D822)))</f>
        <v>0</v>
      </c>
      <c r="R822" s="0" t="str">
        <f aca="false">IF(OR(MAX(L822:Q822)&lt;Rules!$H$1,MAX(L822:Q822)-LARGE(L822:Q822,2)&lt;Rules!$H$2),"No label",INDEX($L$1:$Q$1,MATCH(MAX(L822:Q822),L822:Q822,0)))</f>
        <v>No label</v>
      </c>
      <c r="S822" s="0" t="n">
        <f aca="false">SUMPRODUCT(ISNUMBER(SEARCH(" "&amp;Terms!$A$3:$A$821&amp;" ",$D822))*Terms!B$3:B$821)+Terms!B$2</f>
        <v>-4.74048412367399</v>
      </c>
      <c r="T822" s="0" t="n">
        <f aca="false">SUMPRODUCT(ISNUMBER(SEARCH(" "&amp;Terms!$A$3:$A$821&amp;" ",$D822))*Terms!C$3:C$821)+Terms!C$2</f>
        <v>-3.98424147460848</v>
      </c>
      <c r="U822" s="0" t="n">
        <f aca="false">SUMPRODUCT(ISNUMBER(SEARCH(" "&amp;Terms!$A$3:$A$821&amp;" ",$D822))*Terms!D$3:D$821)+Terms!D$2</f>
        <v>-1.27463119341505</v>
      </c>
      <c r="V822" s="0" t="n">
        <f aca="false">SUMPRODUCT(ISNUMBER(SEARCH(" "&amp;Terms!$A$3:$A$821&amp;" ",$D822))*Terms!E$3:E$821)+Terms!E$2</f>
        <v>-3.34711295415406</v>
      </c>
      <c r="W822" s="0" t="n">
        <f aca="false">SUMPRODUCT(ISNUMBER(SEARCH(" "&amp;Terms!$A$3:$A$821&amp;" ",$D822))*Terms!F$3:F$821)+Terms!F$2</f>
        <v>0.316920808682221</v>
      </c>
      <c r="X822" s="0" t="n">
        <f aca="false">SUMPRODUCT(ISNUMBER(SEARCH(" "&amp;Terms!$A$3:$A$821&amp;" ",$D822))*Terms!G$3:G$821)+Terms!G$2</f>
        <v>13.0295489371695</v>
      </c>
      <c r="Y822" s="0" t="str">
        <f aca="false">INDEX($S$1:$X$1,MATCH(MAX(S822:X822),S822:X822,0))</f>
        <v>Mis-selling</v>
      </c>
      <c r="Z822" s="0" t="s">
        <v>2607</v>
      </c>
    </row>
    <row r="823" customFormat="false" ht="15" hidden="false" customHeight="false" outlineLevel="0" collapsed="false">
      <c r="A823" s="0" t="str">
        <f aca="false">Complaints!A823</f>
        <v>C0822</v>
      </c>
      <c r="B823" s="0" t="str">
        <f aca="false">Complaints!B823</f>
        <v>Nobody explained the foreign transaction charges before my holiday. I would like a response in writing.</v>
      </c>
      <c r="C823" s="0" t="str">
        <f aca="false">Complaints!C823</f>
        <v>Fees &amp; Charges</v>
      </c>
      <c r="D823" s="0" t="str">
        <f aca="false">" "&amp;TRIM(SUBSTITUTE(SUBSTITUTE(SUBSTITUTE(SUBSTITUTE(SUBSTITUTE(SUBSTITUTE(SUBSTITUTE(SUBSTITUTE(SUBSTITUTE(SUBSTITUTE(SUBSTITUTE(SUBSTITUTE(SUBSTITUTE(SUBSTITUTE(SUBSTITUTE(SUBSTITUTE(LOWER(B823),"."," "),","," "),"'"," "),"’"," "),"!"," "),"?"," "),";"," "),":"," "),"-"," "),"("," "),")"," "),"""", " "),"£"," "),"&amp;"," "),"/"," "),"%"," "))&amp;" "</f>
        <v> nobody explained the foreign transaction charges before my holiday i would like a response in writing </v>
      </c>
      <c r="E823" s="0" t="n">
        <f aca="false">SUMPRODUCT((Rules!$A$2:$A$60=E$1)*Rules!$C$2:$C$60*ISNUMBER(SEARCH(Rules!$D$2:$D$60,$D823)))</f>
        <v>0</v>
      </c>
      <c r="F823" s="0" t="n">
        <f aca="false">SUMPRODUCT((Rules!$A$2:$A$60=F$1)*Rules!$C$2:$C$60*ISNUMBER(SEARCH(Rules!$D$2:$D$60,$D823)))</f>
        <v>0</v>
      </c>
      <c r="G823" s="0" t="n">
        <f aca="false">SUMPRODUCT((Rules!$A$2:$A$60=G$1)*Rules!$C$2:$C$60*ISNUMBER(SEARCH(Rules!$D$2:$D$60,$D823)))</f>
        <v>0</v>
      </c>
      <c r="H823" s="0" t="n">
        <f aca="false">SUMPRODUCT((Rules!$A$2:$A$60=H$1)*Rules!$C$2:$C$60*ISNUMBER(SEARCH(Rules!$D$2:$D$60,$D823)))</f>
        <v>0</v>
      </c>
      <c r="I823" s="0" t="n">
        <f aca="false">SUMPRODUCT((Rules!$A$2:$A$60=I$1)*Rules!$C$2:$C$60*ISNUMBER(SEARCH(Rules!$D$2:$D$60,$D823)))</f>
        <v>0</v>
      </c>
      <c r="J823" s="0" t="n">
        <f aca="false">SUMPRODUCT((Rules!$A$2:$A$60=J$1)*Rules!$C$2:$C$60*ISNUMBER(SEARCH(Rules!$D$2:$D$60,$D823)))</f>
        <v>0</v>
      </c>
      <c r="K823" s="0" t="str">
        <f aca="false">IF(OR(MAX(E823:J823)&lt;Rules!$H$1,MAX(E823:J823)-LARGE(E823:J823,2)&lt;Rules!$H$2),"No label",INDEX($E$1:$J$1,MATCH(MAX(E823:J823),E823:J823,0)))</f>
        <v>No label</v>
      </c>
      <c r="L823" s="0" t="n">
        <f aca="false">SUMPRODUCT((Rules!$A$2:$A$60=L$1)*Rules!$C$2:$C$60*ISNUMBER(SEARCH(Rules!$E$2:$E$60,$D823)))</f>
        <v>0</v>
      </c>
      <c r="M823" s="0" t="n">
        <f aca="false">SUMPRODUCT((Rules!$A$2:$A$60=M$1)*Rules!$C$2:$C$60*ISNUMBER(SEARCH(Rules!$E$2:$E$60,$D823)))</f>
        <v>0</v>
      </c>
      <c r="N823" s="0" t="n">
        <f aca="false">SUMPRODUCT((Rules!$A$2:$A$60=N$1)*Rules!$C$2:$C$60*ISNUMBER(SEARCH(Rules!$E$2:$E$60,$D823)))</f>
        <v>0</v>
      </c>
      <c r="O823" s="0" t="n">
        <f aca="false">SUMPRODUCT((Rules!$A$2:$A$60=O$1)*Rules!$C$2:$C$60*ISNUMBER(SEARCH(Rules!$E$2:$E$60,$D823)))</f>
        <v>4</v>
      </c>
      <c r="P823" s="0" t="n">
        <f aca="false">SUMPRODUCT((Rules!$A$2:$A$60=P$1)*Rules!$C$2:$C$60*ISNUMBER(SEARCH(Rules!$E$2:$E$60,$D823)))</f>
        <v>0</v>
      </c>
      <c r="Q823" s="0" t="n">
        <f aca="false">SUMPRODUCT((Rules!$A$2:$A$60=Q$1)*Rules!$C$2:$C$60*ISNUMBER(SEARCH(Rules!$E$2:$E$60,$D823)))</f>
        <v>0</v>
      </c>
      <c r="R823" s="0" t="str">
        <f aca="false">IF(OR(MAX(L823:Q823)&lt;Rules!$H$1,MAX(L823:Q823)-LARGE(L823:Q823,2)&lt;Rules!$H$2),"No label",INDEX($L$1:$Q$1,MATCH(MAX(L823:Q823),L823:Q823,0)))</f>
        <v>Fees &amp; Charges</v>
      </c>
      <c r="S823" s="0" t="n">
        <f aca="false">SUMPRODUCT(ISNUMBER(SEARCH(" "&amp;Terms!$A$3:$A$821&amp;" ",$D823))*Terms!B$3:B$821)+Terms!B$2</f>
        <v>-1.03363361641935</v>
      </c>
      <c r="T823" s="0" t="n">
        <f aca="false">SUMPRODUCT(ISNUMBER(SEARCH(" "&amp;Terms!$A$3:$A$821&amp;" ",$D823))*Terms!C$3:C$821)+Terms!C$2</f>
        <v>-1.48815502178306</v>
      </c>
      <c r="U823" s="0" t="n">
        <f aca="false">SUMPRODUCT(ISNUMBER(SEARCH(" "&amp;Terms!$A$3:$A$821&amp;" ",$D823))*Terms!D$3:D$821)+Terms!D$2</f>
        <v>-2.84483705560942</v>
      </c>
      <c r="V823" s="0" t="n">
        <f aca="false">SUMPRODUCT(ISNUMBER(SEARCH(" "&amp;Terms!$A$3:$A$821&amp;" ",$D823))*Terms!E$3:E$821)+Terms!E$2</f>
        <v>10.7543083777025</v>
      </c>
      <c r="W823" s="0" t="n">
        <f aca="false">SUMPRODUCT(ISNUMBER(SEARCH(" "&amp;Terms!$A$3:$A$821&amp;" ",$D823))*Terms!F$3:F$821)+Terms!F$2</f>
        <v>-4.4784948633251</v>
      </c>
      <c r="X823" s="0" t="n">
        <f aca="false">SUMPRODUCT(ISNUMBER(SEARCH(" "&amp;Terms!$A$3:$A$821&amp;" ",$D823))*Terms!G$3:G$821)+Terms!G$2</f>
        <v>-0.909187820565468</v>
      </c>
      <c r="Y823" s="0" t="str">
        <f aca="false">INDEX($S$1:$X$1,MATCH(MAX(S823:X823),S823:X823,0))</f>
        <v>Fees &amp; Charges</v>
      </c>
      <c r="Z823" s="0" t="s">
        <v>2607</v>
      </c>
    </row>
    <row r="824" customFormat="false" ht="15" hidden="false" customHeight="false" outlineLevel="0" collapsed="false">
      <c r="A824" s="0" t="str">
        <f aca="false">Complaints!A824</f>
        <v>C0823</v>
      </c>
      <c r="B824" s="0" t="str">
        <f aca="false">Complaints!B824</f>
        <v>I am writing to complain. My identity was stolen and a loan was taken out in my name. I expect compensation.</v>
      </c>
      <c r="C824" s="0" t="str">
        <f aca="false">Complaints!C824</f>
        <v>Fraud &amp; Scams</v>
      </c>
      <c r="D824" s="0" t="str">
        <f aca="false">" "&amp;TRIM(SUBSTITUTE(SUBSTITUTE(SUBSTITUTE(SUBSTITUTE(SUBSTITUTE(SUBSTITUTE(SUBSTITUTE(SUBSTITUTE(SUBSTITUTE(SUBSTITUTE(SUBSTITUTE(SUBSTITUTE(SUBSTITUTE(SUBSTITUTE(SUBSTITUTE(SUBSTITUTE(LOWER(B824),"."," "),","," "),"'"," "),"’"," "),"!"," "),"?"," "),";"," "),":"," "),"-"," "),"("," "),")"," "),"""", " "),"£"," "),"&amp;"," "),"/"," "),"%"," "))&amp;" "</f>
        <v> i am writing to complain my identity was stolen and a loan was taken out in my name i expect compensation </v>
      </c>
      <c r="E824" s="0" t="n">
        <f aca="false">SUMPRODUCT((Rules!$A$2:$A$60=E$1)*Rules!$C$2:$C$60*ISNUMBER(SEARCH(Rules!$D$2:$D$60,$D824)))</f>
        <v>2</v>
      </c>
      <c r="F824" s="0" t="n">
        <f aca="false">SUMPRODUCT((Rules!$A$2:$A$60=F$1)*Rules!$C$2:$C$60*ISNUMBER(SEARCH(Rules!$D$2:$D$60,$D824)))</f>
        <v>0</v>
      </c>
      <c r="G824" s="0" t="n">
        <f aca="false">SUMPRODUCT((Rules!$A$2:$A$60=G$1)*Rules!$C$2:$C$60*ISNUMBER(SEARCH(Rules!$D$2:$D$60,$D824)))</f>
        <v>0</v>
      </c>
      <c r="H824" s="0" t="n">
        <f aca="false">SUMPRODUCT((Rules!$A$2:$A$60=H$1)*Rules!$C$2:$C$60*ISNUMBER(SEARCH(Rules!$D$2:$D$60,$D824)))</f>
        <v>0</v>
      </c>
      <c r="I824" s="0" t="n">
        <f aca="false">SUMPRODUCT((Rules!$A$2:$A$60=I$1)*Rules!$C$2:$C$60*ISNUMBER(SEARCH(Rules!$D$2:$D$60,$D824)))</f>
        <v>0</v>
      </c>
      <c r="J824" s="0" t="n">
        <f aca="false">SUMPRODUCT((Rules!$A$2:$A$60=J$1)*Rules!$C$2:$C$60*ISNUMBER(SEARCH(Rules!$D$2:$D$60,$D824)))</f>
        <v>0</v>
      </c>
      <c r="K824" s="0" t="str">
        <f aca="false">IF(OR(MAX(E824:J824)&lt;Rules!$H$1,MAX(E824:J824)-LARGE(E824:J824,2)&lt;Rules!$H$2),"No label",INDEX($E$1:$J$1,MATCH(MAX(E824:J824),E824:J824,0)))</f>
        <v>No label</v>
      </c>
      <c r="L824" s="0" t="n">
        <f aca="false">SUMPRODUCT((Rules!$A$2:$A$60=L$1)*Rules!$C$2:$C$60*ISNUMBER(SEARCH(Rules!$E$2:$E$60,$D824)))</f>
        <v>2</v>
      </c>
      <c r="M824" s="0" t="n">
        <f aca="false">SUMPRODUCT((Rules!$A$2:$A$60=M$1)*Rules!$C$2:$C$60*ISNUMBER(SEARCH(Rules!$E$2:$E$60,$D824)))</f>
        <v>0</v>
      </c>
      <c r="N824" s="0" t="n">
        <f aca="false">SUMPRODUCT((Rules!$A$2:$A$60=N$1)*Rules!$C$2:$C$60*ISNUMBER(SEARCH(Rules!$E$2:$E$60,$D824)))</f>
        <v>0</v>
      </c>
      <c r="O824" s="0" t="n">
        <f aca="false">SUMPRODUCT((Rules!$A$2:$A$60=O$1)*Rules!$C$2:$C$60*ISNUMBER(SEARCH(Rules!$E$2:$E$60,$D824)))</f>
        <v>0</v>
      </c>
      <c r="P824" s="0" t="n">
        <f aca="false">SUMPRODUCT((Rules!$A$2:$A$60=P$1)*Rules!$C$2:$C$60*ISNUMBER(SEARCH(Rules!$E$2:$E$60,$D824)))</f>
        <v>0</v>
      </c>
      <c r="Q824" s="0" t="n">
        <f aca="false">SUMPRODUCT((Rules!$A$2:$A$60=Q$1)*Rules!$C$2:$C$60*ISNUMBER(SEARCH(Rules!$E$2:$E$60,$D824)))</f>
        <v>0</v>
      </c>
      <c r="R824" s="0" t="str">
        <f aca="false">IF(OR(MAX(L824:Q824)&lt;Rules!$H$1,MAX(L824:Q824)-LARGE(L824:Q824,2)&lt;Rules!$H$2),"No label",INDEX($L$1:$Q$1,MATCH(MAX(L824:Q824),L824:Q824,0)))</f>
        <v>No label</v>
      </c>
      <c r="S824" s="0" t="n">
        <f aca="false">SUMPRODUCT(ISNUMBER(SEARCH(" "&amp;Terms!$A$3:$A$821&amp;" ",$D824))*Terms!B$3:B$821)+Terms!B$2</f>
        <v>1.21901529104947</v>
      </c>
      <c r="T824" s="0" t="n">
        <f aca="false">SUMPRODUCT(ISNUMBER(SEARCH(" "&amp;Terms!$A$3:$A$821&amp;" ",$D824))*Terms!C$3:C$821)+Terms!C$2</f>
        <v>-0.884392096389932</v>
      </c>
      <c r="U824" s="0" t="n">
        <f aca="false">SUMPRODUCT(ISNUMBER(SEARCH(" "&amp;Terms!$A$3:$A$821&amp;" ",$D824))*Terms!D$3:D$821)+Terms!D$2</f>
        <v>-1.7198967161894</v>
      </c>
      <c r="V824" s="0" t="n">
        <f aca="false">SUMPRODUCT(ISNUMBER(SEARCH(" "&amp;Terms!$A$3:$A$821&amp;" ",$D824))*Terms!E$3:E$821)+Terms!E$2</f>
        <v>-2.2258748525677</v>
      </c>
      <c r="W824" s="0" t="n">
        <f aca="false">SUMPRODUCT(ISNUMBER(SEARCH(" "&amp;Terms!$A$3:$A$821&amp;" ",$D824))*Terms!F$3:F$821)+Terms!F$2</f>
        <v>7.33035876492261</v>
      </c>
      <c r="X824" s="0" t="n">
        <f aca="false">SUMPRODUCT(ISNUMBER(SEARCH(" "&amp;Terms!$A$3:$A$821&amp;" ",$D824))*Terms!G$3:G$821)+Terms!G$2</f>
        <v>-3.71921039082496</v>
      </c>
      <c r="Y824" s="0" t="str">
        <f aca="false">INDEX($S$1:$X$1,MATCH(MAX(S824:X824),S824:X824,0))</f>
        <v>Fraud &amp; Scams</v>
      </c>
      <c r="Z824" s="0" t="s">
        <v>2607</v>
      </c>
    </row>
    <row r="825" customFormat="false" ht="15" hidden="false" customHeight="false" outlineLevel="0" collapsed="false">
      <c r="A825" s="0" t="str">
        <f aca="false">Complaints!A825</f>
        <v>C0824</v>
      </c>
      <c r="B825" s="0" t="str">
        <f aca="false">Complaints!B825</f>
        <v>I have been a customer for years. My account was frozen and I cannot get in to move money. I do not think it was explained properly when I bought it. I want this put right.</v>
      </c>
      <c r="C825" s="0" t="str">
        <f aca="false">Complaints!C825</f>
        <v>Account Access</v>
      </c>
      <c r="D825" s="0" t="str">
        <f aca="false">" "&amp;TRIM(SUBSTITUTE(SUBSTITUTE(SUBSTITUTE(SUBSTITUTE(SUBSTITUTE(SUBSTITUTE(SUBSTITUTE(SUBSTITUTE(SUBSTITUTE(SUBSTITUTE(SUBSTITUTE(SUBSTITUTE(SUBSTITUTE(SUBSTITUTE(SUBSTITUTE(SUBSTITUTE(LOWER(B825),"."," "),","," "),"'"," "),"’"," "),"!"," "),"?"," "),";"," "),":"," "),"-"," "),"("," "),")"," "),"""", " "),"£"," "),"&amp;"," "),"/"," "),"%"," "))&amp;" "</f>
        <v> i have been a customer for years my account was frozen and i cannot get in to move money i do not think it was explained properly when i bought it i want this put right </v>
      </c>
      <c r="E825" s="0" t="n">
        <f aca="false">SUMPRODUCT((Rules!$A$2:$A$60=E$1)*Rules!$C$2:$C$60*ISNUMBER(SEARCH(Rules!$D$2:$D$60,$D825)))</f>
        <v>0</v>
      </c>
      <c r="F825" s="0" t="n">
        <f aca="false">SUMPRODUCT((Rules!$A$2:$A$60=F$1)*Rules!$C$2:$C$60*ISNUMBER(SEARCH(Rules!$D$2:$D$60,$D825)))</f>
        <v>0</v>
      </c>
      <c r="G825" s="0" t="n">
        <f aca="false">SUMPRODUCT((Rules!$A$2:$A$60=G$1)*Rules!$C$2:$C$60*ISNUMBER(SEARCH(Rules!$D$2:$D$60,$D825)))</f>
        <v>0</v>
      </c>
      <c r="H825" s="0" t="n">
        <f aca="false">SUMPRODUCT((Rules!$A$2:$A$60=H$1)*Rules!$C$2:$C$60*ISNUMBER(SEARCH(Rules!$D$2:$D$60,$D825)))</f>
        <v>0</v>
      </c>
      <c r="I825" s="0" t="n">
        <f aca="false">SUMPRODUCT((Rules!$A$2:$A$60=I$1)*Rules!$C$2:$C$60*ISNUMBER(SEARCH(Rules!$D$2:$D$60,$D825)))</f>
        <v>0</v>
      </c>
      <c r="J825" s="0" t="n">
        <f aca="false">SUMPRODUCT((Rules!$A$2:$A$60=J$1)*Rules!$C$2:$C$60*ISNUMBER(SEARCH(Rules!$D$2:$D$60,$D825)))</f>
        <v>0</v>
      </c>
      <c r="K825" s="0" t="str">
        <f aca="false">IF(OR(MAX(E825:J825)&lt;Rules!$H$1,MAX(E825:J825)-LARGE(E825:J825,2)&lt;Rules!$H$2),"No label",INDEX($E$1:$J$1,MATCH(MAX(E825:J825),E825:J825,0)))</f>
        <v>No label</v>
      </c>
      <c r="L825" s="0" t="n">
        <f aca="false">SUMPRODUCT((Rules!$A$2:$A$60=L$1)*Rules!$C$2:$C$60*ISNUMBER(SEARCH(Rules!$E$2:$E$60,$D825)))</f>
        <v>0</v>
      </c>
      <c r="M825" s="0" t="n">
        <f aca="false">SUMPRODUCT((Rules!$A$2:$A$60=M$1)*Rules!$C$2:$C$60*ISNUMBER(SEARCH(Rules!$E$2:$E$60,$D825)))</f>
        <v>0</v>
      </c>
      <c r="N825" s="0" t="n">
        <f aca="false">SUMPRODUCT((Rules!$A$2:$A$60=N$1)*Rules!$C$2:$C$60*ISNUMBER(SEARCH(Rules!$E$2:$E$60,$D825)))</f>
        <v>0</v>
      </c>
      <c r="O825" s="0" t="n">
        <f aca="false">SUMPRODUCT((Rules!$A$2:$A$60=O$1)*Rules!$C$2:$C$60*ISNUMBER(SEARCH(Rules!$E$2:$E$60,$D825)))</f>
        <v>0</v>
      </c>
      <c r="P825" s="0" t="n">
        <f aca="false">SUMPRODUCT((Rules!$A$2:$A$60=P$1)*Rules!$C$2:$C$60*ISNUMBER(SEARCH(Rules!$E$2:$E$60,$D825)))</f>
        <v>0</v>
      </c>
      <c r="Q825" s="0" t="n">
        <f aca="false">SUMPRODUCT((Rules!$A$2:$A$60=Q$1)*Rules!$C$2:$C$60*ISNUMBER(SEARCH(Rules!$E$2:$E$60,$D825)))</f>
        <v>0</v>
      </c>
      <c r="R825" s="0" t="str">
        <f aca="false">IF(OR(MAX(L825:Q825)&lt;Rules!$H$1,MAX(L825:Q825)-LARGE(L825:Q825,2)&lt;Rules!$H$2),"No label",INDEX($L$1:$Q$1,MATCH(MAX(L825:Q825),L825:Q825,0)))</f>
        <v>No label</v>
      </c>
      <c r="S825" s="0" t="n">
        <f aca="false">SUMPRODUCT(ISNUMBER(SEARCH(" "&amp;Terms!$A$3:$A$821&amp;" ",$D825))*Terms!B$3:B$821)+Terms!B$2</f>
        <v>4.39482742890148</v>
      </c>
      <c r="T825" s="0" t="n">
        <f aca="false">SUMPRODUCT(ISNUMBER(SEARCH(" "&amp;Terms!$A$3:$A$821&amp;" ",$D825))*Terms!C$3:C$821)+Terms!C$2</f>
        <v>-4.52277432307825</v>
      </c>
      <c r="U825" s="0" t="n">
        <f aca="false">SUMPRODUCT(ISNUMBER(SEARCH(" "&amp;Terms!$A$3:$A$821&amp;" ",$D825))*Terms!D$3:D$821)+Terms!D$2</f>
        <v>-0.370036784400548</v>
      </c>
      <c r="V825" s="0" t="n">
        <f aca="false">SUMPRODUCT(ISNUMBER(SEARCH(" "&amp;Terms!$A$3:$A$821&amp;" ",$D825))*Terms!E$3:E$821)+Terms!E$2</f>
        <v>0.938302652728702</v>
      </c>
      <c r="W825" s="0" t="n">
        <f aca="false">SUMPRODUCT(ISNUMBER(SEARCH(" "&amp;Terms!$A$3:$A$821&amp;" ",$D825))*Terms!F$3:F$821)+Terms!F$2</f>
        <v>4.06359021167579</v>
      </c>
      <c r="X825" s="0" t="n">
        <f aca="false">SUMPRODUCT(ISNUMBER(SEARCH(" "&amp;Terms!$A$3:$A$821&amp;" ",$D825))*Terms!G$3:G$821)+Terms!G$2</f>
        <v>-4.50390918582709</v>
      </c>
      <c r="Y825" s="0" t="str">
        <f aca="false">INDEX($S$1:$X$1,MATCH(MAX(S825:X825),S825:X825,0))</f>
        <v>Account Access</v>
      </c>
      <c r="Z825" s="0" t="s">
        <v>2607</v>
      </c>
    </row>
    <row r="826" customFormat="false" ht="15" hidden="false" customHeight="false" outlineLevel="0" collapsed="false">
      <c r="A826" s="0" t="str">
        <f aca="false">Complaints!A826</f>
        <v>C0825</v>
      </c>
      <c r="B826" s="0" t="str">
        <f aca="false">Complaints!B826</f>
        <v>To whom it may concern, The staff member was rude and dismissive when I called. Also, i cannot log in to the mobile app since the update. I want this put right.</v>
      </c>
      <c r="C826" s="0" t="str">
        <f aca="false">Complaints!C826</f>
        <v>Customer Service</v>
      </c>
      <c r="D826" s="0" t="str">
        <f aca="false">" "&amp;TRIM(SUBSTITUTE(SUBSTITUTE(SUBSTITUTE(SUBSTITUTE(SUBSTITUTE(SUBSTITUTE(SUBSTITUTE(SUBSTITUTE(SUBSTITUTE(SUBSTITUTE(SUBSTITUTE(SUBSTITUTE(SUBSTITUTE(SUBSTITUTE(SUBSTITUTE(SUBSTITUTE(LOWER(B826),"."," "),","," "),"'"," "),"’"," "),"!"," "),"?"," "),";"," "),":"," "),"-"," "),"("," "),")"," "),"""", " "),"£"," "),"&amp;"," "),"/"," "),"%"," "))&amp;" "</f>
        <v> to whom it may concern the staff member was rude and dismissive when i called also i cannot log in to the mobile app since the update i want this put right </v>
      </c>
      <c r="E826" s="0" t="n">
        <f aca="false">SUMPRODUCT((Rules!$A$2:$A$60=E$1)*Rules!$C$2:$C$60*ISNUMBER(SEARCH(Rules!$D$2:$D$60,$D826)))</f>
        <v>0</v>
      </c>
      <c r="F826" s="0" t="n">
        <f aca="false">SUMPRODUCT((Rules!$A$2:$A$60=F$1)*Rules!$C$2:$C$60*ISNUMBER(SEARCH(Rules!$D$2:$D$60,$D826)))</f>
        <v>0</v>
      </c>
      <c r="G826" s="0" t="n">
        <f aca="false">SUMPRODUCT((Rules!$A$2:$A$60=G$1)*Rules!$C$2:$C$60*ISNUMBER(SEARCH(Rules!$D$2:$D$60,$D826)))</f>
        <v>4</v>
      </c>
      <c r="H826" s="0" t="n">
        <f aca="false">SUMPRODUCT((Rules!$A$2:$A$60=H$1)*Rules!$C$2:$C$60*ISNUMBER(SEARCH(Rules!$D$2:$D$60,$D826)))</f>
        <v>0</v>
      </c>
      <c r="I826" s="0" t="n">
        <f aca="false">SUMPRODUCT((Rules!$A$2:$A$60=I$1)*Rules!$C$2:$C$60*ISNUMBER(SEARCH(Rules!$D$2:$D$60,$D826)))</f>
        <v>0</v>
      </c>
      <c r="J826" s="0" t="n">
        <f aca="false">SUMPRODUCT((Rules!$A$2:$A$60=J$1)*Rules!$C$2:$C$60*ISNUMBER(SEARCH(Rules!$D$2:$D$60,$D826)))</f>
        <v>4</v>
      </c>
      <c r="K826" s="0" t="str">
        <f aca="false">IF(OR(MAX(E826:J826)&lt;Rules!$H$1,MAX(E826:J826)-LARGE(E826:J826,2)&lt;Rules!$H$2),"No label",INDEX($E$1:$J$1,MATCH(MAX(E826:J826),E826:J826,0)))</f>
        <v>No label</v>
      </c>
      <c r="L826" s="0" t="n">
        <f aca="false">SUMPRODUCT((Rules!$A$2:$A$60=L$1)*Rules!$C$2:$C$60*ISNUMBER(SEARCH(Rules!$E$2:$E$60,$D826)))</f>
        <v>0</v>
      </c>
      <c r="M826" s="0" t="n">
        <f aca="false">SUMPRODUCT((Rules!$A$2:$A$60=M$1)*Rules!$C$2:$C$60*ISNUMBER(SEARCH(Rules!$E$2:$E$60,$D826)))</f>
        <v>0</v>
      </c>
      <c r="N826" s="0" t="n">
        <f aca="false">SUMPRODUCT((Rules!$A$2:$A$60=N$1)*Rules!$C$2:$C$60*ISNUMBER(SEARCH(Rules!$E$2:$E$60,$D826)))</f>
        <v>4</v>
      </c>
      <c r="O826" s="0" t="n">
        <f aca="false">SUMPRODUCT((Rules!$A$2:$A$60=O$1)*Rules!$C$2:$C$60*ISNUMBER(SEARCH(Rules!$E$2:$E$60,$D826)))</f>
        <v>0</v>
      </c>
      <c r="P826" s="0" t="n">
        <f aca="false">SUMPRODUCT((Rules!$A$2:$A$60=P$1)*Rules!$C$2:$C$60*ISNUMBER(SEARCH(Rules!$E$2:$E$60,$D826)))</f>
        <v>0</v>
      </c>
      <c r="Q826" s="0" t="n">
        <f aca="false">SUMPRODUCT((Rules!$A$2:$A$60=Q$1)*Rules!$C$2:$C$60*ISNUMBER(SEARCH(Rules!$E$2:$E$60,$D826)))</f>
        <v>4</v>
      </c>
      <c r="R826" s="0" t="str">
        <f aca="false">IF(OR(MAX(L826:Q826)&lt;Rules!$H$1,MAX(L826:Q826)-LARGE(L826:Q826,2)&lt;Rules!$H$2),"No label",INDEX($L$1:$Q$1,MATCH(MAX(L826:Q826),L826:Q826,0)))</f>
        <v>No label</v>
      </c>
      <c r="S826" s="0" t="n">
        <f aca="false">SUMPRODUCT(ISNUMBER(SEARCH(" "&amp;Terms!$A$3:$A$821&amp;" ",$D826))*Terms!B$3:B$821)+Terms!B$2</f>
        <v>3.73568105404229</v>
      </c>
      <c r="T826" s="0" t="n">
        <f aca="false">SUMPRODUCT(ISNUMBER(SEARCH(" "&amp;Terms!$A$3:$A$821&amp;" ",$D826))*Terms!C$3:C$821)+Terms!C$2</f>
        <v>6.43064680678519</v>
      </c>
      <c r="U826" s="0" t="n">
        <f aca="false">SUMPRODUCT(ISNUMBER(SEARCH(" "&amp;Terms!$A$3:$A$821&amp;" ",$D826))*Terms!D$3:D$821)+Terms!D$2</f>
        <v>-3.25982780950019</v>
      </c>
      <c r="V826" s="0" t="n">
        <f aca="false">SUMPRODUCT(ISNUMBER(SEARCH(" "&amp;Terms!$A$3:$A$821&amp;" ",$D826))*Terms!E$3:E$821)+Terms!E$2</f>
        <v>0.906596851444586</v>
      </c>
      <c r="W826" s="0" t="n">
        <f aca="false">SUMPRODUCT(ISNUMBER(SEARCH(" "&amp;Terms!$A$3:$A$821&amp;" ",$D826))*Terms!F$3:F$821)+Terms!F$2</f>
        <v>-4.47910714908728</v>
      </c>
      <c r="X826" s="0" t="n">
        <f aca="false">SUMPRODUCT(ISNUMBER(SEARCH(" "&amp;Terms!$A$3:$A$821&amp;" ",$D826))*Terms!G$3:G$821)+Terms!G$2</f>
        <v>-3.33398975368452</v>
      </c>
      <c r="Y826" s="0" t="str">
        <f aca="false">INDEX($S$1:$X$1,MATCH(MAX(S826:X826),S826:X826,0))</f>
        <v>Customer Service</v>
      </c>
      <c r="Z826" s="0" t="s">
        <v>2608</v>
      </c>
    </row>
    <row r="827" customFormat="false" ht="15" hidden="false" customHeight="false" outlineLevel="0" collapsed="false">
      <c r="A827" s="0" t="str">
        <f aca="false">Complaints!A827</f>
        <v>C0826</v>
      </c>
      <c r="B827" s="0" t="str">
        <f aca="false">Complaints!B827</f>
        <v>I keep getting an error message when I sign in. Also, you took an overdraft fee even though I was within my limit. This is not acceptable.</v>
      </c>
      <c r="C827" s="0" t="str">
        <f aca="false">Complaints!C827</f>
        <v>Account Access</v>
      </c>
      <c r="D827" s="0" t="str">
        <f aca="false">" "&amp;TRIM(SUBSTITUTE(SUBSTITUTE(SUBSTITUTE(SUBSTITUTE(SUBSTITUTE(SUBSTITUTE(SUBSTITUTE(SUBSTITUTE(SUBSTITUTE(SUBSTITUTE(SUBSTITUTE(SUBSTITUTE(SUBSTITUTE(SUBSTITUTE(SUBSTITUTE(SUBSTITUTE(LOWER(B827),"."," "),","," "),"'"," "),"’"," "),"!"," "),"?"," "),";"," "),":"," "),"-"," "),"("," "),")"," "),"""", " "),"£"," "),"&amp;"," "),"/"," "),"%"," "))&amp;" "</f>
        <v> i keep getting an error message when i sign in also you took an overdraft fee even though i was within my limit this is not acceptable </v>
      </c>
      <c r="E827" s="0" t="n">
        <f aca="false">SUMPRODUCT((Rules!$A$2:$A$60=E$1)*Rules!$C$2:$C$60*ISNUMBER(SEARCH(Rules!$D$2:$D$60,$D827)))</f>
        <v>0</v>
      </c>
      <c r="F827" s="0" t="n">
        <f aca="false">SUMPRODUCT((Rules!$A$2:$A$60=F$1)*Rules!$C$2:$C$60*ISNUMBER(SEARCH(Rules!$D$2:$D$60,$D827)))</f>
        <v>0</v>
      </c>
      <c r="G827" s="0" t="n">
        <f aca="false">SUMPRODUCT((Rules!$A$2:$A$60=G$1)*Rules!$C$2:$C$60*ISNUMBER(SEARCH(Rules!$D$2:$D$60,$D827)))</f>
        <v>3</v>
      </c>
      <c r="H827" s="0" t="n">
        <f aca="false">SUMPRODUCT((Rules!$A$2:$A$60=H$1)*Rules!$C$2:$C$60*ISNUMBER(SEARCH(Rules!$D$2:$D$60,$D827)))</f>
        <v>2</v>
      </c>
      <c r="I827" s="0" t="n">
        <f aca="false">SUMPRODUCT((Rules!$A$2:$A$60=I$1)*Rules!$C$2:$C$60*ISNUMBER(SEARCH(Rules!$D$2:$D$60,$D827)))</f>
        <v>0</v>
      </c>
      <c r="J827" s="0" t="n">
        <f aca="false">SUMPRODUCT((Rules!$A$2:$A$60=J$1)*Rules!$C$2:$C$60*ISNUMBER(SEARCH(Rules!$D$2:$D$60,$D827)))</f>
        <v>0</v>
      </c>
      <c r="K827" s="0" t="str">
        <f aca="false">IF(OR(MAX(E827:J827)&lt;Rules!$H$1,MAX(E827:J827)-LARGE(E827:J827,2)&lt;Rules!$H$2),"No label",INDEX($E$1:$J$1,MATCH(MAX(E827:J827),E827:J827,0)))</f>
        <v>No label</v>
      </c>
      <c r="L827" s="0" t="n">
        <f aca="false">SUMPRODUCT((Rules!$A$2:$A$60=L$1)*Rules!$C$2:$C$60*ISNUMBER(SEARCH(Rules!$E$2:$E$60,$D827)))</f>
        <v>0</v>
      </c>
      <c r="M827" s="0" t="n">
        <f aca="false">SUMPRODUCT((Rules!$A$2:$A$60=M$1)*Rules!$C$2:$C$60*ISNUMBER(SEARCH(Rules!$E$2:$E$60,$D827)))</f>
        <v>0</v>
      </c>
      <c r="N827" s="0" t="n">
        <f aca="false">SUMPRODUCT((Rules!$A$2:$A$60=N$1)*Rules!$C$2:$C$60*ISNUMBER(SEARCH(Rules!$E$2:$E$60,$D827)))</f>
        <v>4</v>
      </c>
      <c r="O827" s="0" t="n">
        <f aca="false">SUMPRODUCT((Rules!$A$2:$A$60=O$1)*Rules!$C$2:$C$60*ISNUMBER(SEARCH(Rules!$E$2:$E$60,$D827)))</f>
        <v>2</v>
      </c>
      <c r="P827" s="0" t="n">
        <f aca="false">SUMPRODUCT((Rules!$A$2:$A$60=P$1)*Rules!$C$2:$C$60*ISNUMBER(SEARCH(Rules!$E$2:$E$60,$D827)))</f>
        <v>0</v>
      </c>
      <c r="Q827" s="0" t="n">
        <f aca="false">SUMPRODUCT((Rules!$A$2:$A$60=Q$1)*Rules!$C$2:$C$60*ISNUMBER(SEARCH(Rules!$E$2:$E$60,$D827)))</f>
        <v>0</v>
      </c>
      <c r="R827" s="0" t="str">
        <f aca="false">IF(OR(MAX(L827:Q827)&lt;Rules!$H$1,MAX(L827:Q827)-LARGE(L827:Q827,2)&lt;Rules!$H$2),"No label",INDEX($L$1:$Q$1,MATCH(MAX(L827:Q827),L827:Q827,0)))</f>
        <v>Account Access</v>
      </c>
      <c r="S827" s="0" t="n">
        <f aca="false">SUMPRODUCT(ISNUMBER(SEARCH(" "&amp;Terms!$A$3:$A$821&amp;" ",$D827))*Terms!B$3:B$821)+Terms!B$2</f>
        <v>8.43657808425824</v>
      </c>
      <c r="T827" s="0" t="n">
        <f aca="false">SUMPRODUCT(ISNUMBER(SEARCH(" "&amp;Terms!$A$3:$A$821&amp;" ",$D827))*Terms!C$3:C$821)+Terms!C$2</f>
        <v>-1.02806574477725</v>
      </c>
      <c r="U827" s="0" t="n">
        <f aca="false">SUMPRODUCT(ISNUMBER(SEARCH(" "&amp;Terms!$A$3:$A$821&amp;" ",$D827))*Terms!D$3:D$821)+Terms!D$2</f>
        <v>-5.21897959479392</v>
      </c>
      <c r="V827" s="0" t="n">
        <f aca="false">SUMPRODUCT(ISNUMBER(SEARCH(" "&amp;Terms!$A$3:$A$821&amp;" ",$D827))*Terms!E$3:E$821)+Terms!E$2</f>
        <v>4.91212776468778</v>
      </c>
      <c r="W827" s="0" t="n">
        <f aca="false">SUMPRODUCT(ISNUMBER(SEARCH(" "&amp;Terms!$A$3:$A$821&amp;" ",$D827))*Terms!F$3:F$821)+Terms!F$2</f>
        <v>-1.90807978710363</v>
      </c>
      <c r="X827" s="0" t="n">
        <f aca="false">SUMPRODUCT(ISNUMBER(SEARCH(" "&amp;Terms!$A$3:$A$821&amp;" ",$D827))*Terms!G$3:G$821)+Terms!G$2</f>
        <v>-5.19358072227111</v>
      </c>
      <c r="Y827" s="0" t="str">
        <f aca="false">INDEX($S$1:$X$1,MATCH(MAX(S827:X827),S827:X827,0))</f>
        <v>Account Access</v>
      </c>
      <c r="Z827" s="0" t="s">
        <v>2607</v>
      </c>
    </row>
    <row r="828" customFormat="false" ht="15" hidden="false" customHeight="false" outlineLevel="0" collapsed="false">
      <c r="A828" s="0" t="str">
        <f aca="false">Complaints!A828</f>
        <v>C0827</v>
      </c>
      <c r="B828" s="0" t="str">
        <f aca="false">Complaints!B828</f>
        <v>I have been a customer for years. I sent the form twice and it seems to have been lost in the system.</v>
      </c>
      <c r="C828" s="0" t="str">
        <f aca="false">Complaints!C828</f>
        <v>Delays &amp; Processing</v>
      </c>
      <c r="D828" s="0" t="str">
        <f aca="false">" "&amp;TRIM(SUBSTITUTE(SUBSTITUTE(SUBSTITUTE(SUBSTITUTE(SUBSTITUTE(SUBSTITUTE(SUBSTITUTE(SUBSTITUTE(SUBSTITUTE(SUBSTITUTE(SUBSTITUTE(SUBSTITUTE(SUBSTITUTE(SUBSTITUTE(SUBSTITUTE(SUBSTITUTE(LOWER(B828),"."," "),","," "),"'"," "),"’"," "),"!"," "),"?"," "),";"," "),":"," "),"-"," "),"("," "),")"," "),"""", " "),"£"," "),"&amp;"," "),"/"," "),"%"," "))&amp;" "</f>
        <v> i have been a customer for years i sent the form twice and it seems to have been lost in the system </v>
      </c>
      <c r="E828" s="0" t="n">
        <f aca="false">SUMPRODUCT((Rules!$A$2:$A$60=E$1)*Rules!$C$2:$C$60*ISNUMBER(SEARCH(Rules!$D$2:$D$60,$D828)))</f>
        <v>0</v>
      </c>
      <c r="F828" s="0" t="n">
        <f aca="false">SUMPRODUCT((Rules!$A$2:$A$60=F$1)*Rules!$C$2:$C$60*ISNUMBER(SEARCH(Rules!$D$2:$D$60,$D828)))</f>
        <v>0</v>
      </c>
      <c r="G828" s="0" t="n">
        <f aca="false">SUMPRODUCT((Rules!$A$2:$A$60=G$1)*Rules!$C$2:$C$60*ISNUMBER(SEARCH(Rules!$D$2:$D$60,$D828)))</f>
        <v>0</v>
      </c>
      <c r="H828" s="0" t="n">
        <f aca="false">SUMPRODUCT((Rules!$A$2:$A$60=H$1)*Rules!$C$2:$C$60*ISNUMBER(SEARCH(Rules!$D$2:$D$60,$D828)))</f>
        <v>0</v>
      </c>
      <c r="I828" s="0" t="n">
        <f aca="false">SUMPRODUCT((Rules!$A$2:$A$60=I$1)*Rules!$C$2:$C$60*ISNUMBER(SEARCH(Rules!$D$2:$D$60,$D828)))</f>
        <v>0</v>
      </c>
      <c r="J828" s="0" t="n">
        <f aca="false">SUMPRODUCT((Rules!$A$2:$A$60=J$1)*Rules!$C$2:$C$60*ISNUMBER(SEARCH(Rules!$D$2:$D$60,$D828)))</f>
        <v>0</v>
      </c>
      <c r="K828" s="0" t="str">
        <f aca="false">IF(OR(MAX(E828:J828)&lt;Rules!$H$1,MAX(E828:J828)-LARGE(E828:J828,2)&lt;Rules!$H$2),"No label",INDEX($E$1:$J$1,MATCH(MAX(E828:J828),E828:J828,0)))</f>
        <v>No label</v>
      </c>
      <c r="L828" s="0" t="n">
        <f aca="false">SUMPRODUCT((Rules!$A$2:$A$60=L$1)*Rules!$C$2:$C$60*ISNUMBER(SEARCH(Rules!$E$2:$E$60,$D828)))</f>
        <v>0</v>
      </c>
      <c r="M828" s="0" t="n">
        <f aca="false">SUMPRODUCT((Rules!$A$2:$A$60=M$1)*Rules!$C$2:$C$60*ISNUMBER(SEARCH(Rules!$E$2:$E$60,$D828)))</f>
        <v>0</v>
      </c>
      <c r="N828" s="0" t="n">
        <f aca="false">SUMPRODUCT((Rules!$A$2:$A$60=N$1)*Rules!$C$2:$C$60*ISNUMBER(SEARCH(Rules!$E$2:$E$60,$D828)))</f>
        <v>0</v>
      </c>
      <c r="O828" s="0" t="n">
        <f aca="false">SUMPRODUCT((Rules!$A$2:$A$60=O$1)*Rules!$C$2:$C$60*ISNUMBER(SEARCH(Rules!$E$2:$E$60,$D828)))</f>
        <v>0</v>
      </c>
      <c r="P828" s="0" t="n">
        <f aca="false">SUMPRODUCT((Rules!$A$2:$A$60=P$1)*Rules!$C$2:$C$60*ISNUMBER(SEARCH(Rules!$E$2:$E$60,$D828)))</f>
        <v>0</v>
      </c>
      <c r="Q828" s="0" t="n">
        <f aca="false">SUMPRODUCT((Rules!$A$2:$A$60=Q$1)*Rules!$C$2:$C$60*ISNUMBER(SEARCH(Rules!$E$2:$E$60,$D828)))</f>
        <v>0</v>
      </c>
      <c r="R828" s="0" t="str">
        <f aca="false">IF(OR(MAX(L828:Q828)&lt;Rules!$H$1,MAX(L828:Q828)-LARGE(L828:Q828,2)&lt;Rules!$H$2),"No label",INDEX($L$1:$Q$1,MATCH(MAX(L828:Q828),L828:Q828,0)))</f>
        <v>No label</v>
      </c>
      <c r="S828" s="0" t="n">
        <f aca="false">SUMPRODUCT(ISNUMBER(SEARCH(" "&amp;Terms!$A$3:$A$821&amp;" ",$D828))*Terms!B$3:B$821)+Terms!B$2</f>
        <v>-2.46453815696768</v>
      </c>
      <c r="T828" s="0" t="n">
        <f aca="false">SUMPRODUCT(ISNUMBER(SEARCH(" "&amp;Terms!$A$3:$A$821&amp;" ",$D828))*Terms!C$3:C$821)+Terms!C$2</f>
        <v>-0.108162052605452</v>
      </c>
      <c r="U828" s="0" t="n">
        <f aca="false">SUMPRODUCT(ISNUMBER(SEARCH(" "&amp;Terms!$A$3:$A$821&amp;" ",$D828))*Terms!D$3:D$821)+Terms!D$2</f>
        <v>9.84492757490629</v>
      </c>
      <c r="V828" s="0" t="n">
        <f aca="false">SUMPRODUCT(ISNUMBER(SEARCH(" "&amp;Terms!$A$3:$A$821&amp;" ",$D828))*Terms!E$3:E$821)+Terms!E$2</f>
        <v>-0.610224988599906</v>
      </c>
      <c r="W828" s="0" t="n">
        <f aca="false">SUMPRODUCT(ISNUMBER(SEARCH(" "&amp;Terms!$A$3:$A$821&amp;" ",$D828))*Terms!F$3:F$821)+Terms!F$2</f>
        <v>-4.09225376800293</v>
      </c>
      <c r="X828" s="0" t="n">
        <f aca="false">SUMPRODUCT(ISNUMBER(SEARCH(" "&amp;Terms!$A$3:$A$821&amp;" ",$D828))*Terms!G$3:G$821)+Terms!G$2</f>
        <v>-2.56974860873022</v>
      </c>
      <c r="Y828" s="0" t="str">
        <f aca="false">INDEX($S$1:$X$1,MATCH(MAX(S828:X828),S828:X828,0))</f>
        <v>Delays &amp; Processing</v>
      </c>
      <c r="Z828" s="0" t="s">
        <v>2608</v>
      </c>
    </row>
    <row r="829" customFormat="false" ht="15" hidden="false" customHeight="false" outlineLevel="0" collapsed="false">
      <c r="A829" s="0" t="str">
        <f aca="false">Complaints!A829</f>
        <v>C0828</v>
      </c>
      <c r="B829" s="0" t="str">
        <f aca="false">Complaints!B829</f>
        <v>I think I was the victim of a scam and sent money to a fraudster. Please escalate this.</v>
      </c>
      <c r="C829" s="0" t="str">
        <f aca="false">Complaints!C829</f>
        <v>Fraud &amp; Scams</v>
      </c>
      <c r="D829" s="0" t="str">
        <f aca="false">" "&amp;TRIM(SUBSTITUTE(SUBSTITUTE(SUBSTITUTE(SUBSTITUTE(SUBSTITUTE(SUBSTITUTE(SUBSTITUTE(SUBSTITUTE(SUBSTITUTE(SUBSTITUTE(SUBSTITUTE(SUBSTITUTE(SUBSTITUTE(SUBSTITUTE(SUBSTITUTE(SUBSTITUTE(LOWER(B829),"."," "),","," "),"'"," "),"’"," "),"!"," "),"?"," "),";"," "),":"," "),"-"," "),"("," "),")"," "),"""", " "),"£"," "),"&amp;"," "),"/"," "),"%"," "))&amp;" "</f>
        <v> i think i was the victim of a scam and sent money to a fraudster please escalate this </v>
      </c>
      <c r="E829" s="0" t="n">
        <f aca="false">SUMPRODUCT((Rules!$A$2:$A$60=E$1)*Rules!$C$2:$C$60*ISNUMBER(SEARCH(Rules!$D$2:$D$60,$D829)))</f>
        <v>6</v>
      </c>
      <c r="F829" s="0" t="n">
        <f aca="false">SUMPRODUCT((Rules!$A$2:$A$60=F$1)*Rules!$C$2:$C$60*ISNUMBER(SEARCH(Rules!$D$2:$D$60,$D829)))</f>
        <v>0</v>
      </c>
      <c r="G829" s="0" t="n">
        <f aca="false">SUMPRODUCT((Rules!$A$2:$A$60=G$1)*Rules!$C$2:$C$60*ISNUMBER(SEARCH(Rules!$D$2:$D$60,$D829)))</f>
        <v>0</v>
      </c>
      <c r="H829" s="0" t="n">
        <f aca="false">SUMPRODUCT((Rules!$A$2:$A$60=H$1)*Rules!$C$2:$C$60*ISNUMBER(SEARCH(Rules!$D$2:$D$60,$D829)))</f>
        <v>0</v>
      </c>
      <c r="I829" s="0" t="n">
        <f aca="false">SUMPRODUCT((Rules!$A$2:$A$60=I$1)*Rules!$C$2:$C$60*ISNUMBER(SEARCH(Rules!$D$2:$D$60,$D829)))</f>
        <v>0</v>
      </c>
      <c r="J829" s="0" t="n">
        <f aca="false">SUMPRODUCT((Rules!$A$2:$A$60=J$1)*Rules!$C$2:$C$60*ISNUMBER(SEARCH(Rules!$D$2:$D$60,$D829)))</f>
        <v>0</v>
      </c>
      <c r="K829" s="0" t="str">
        <f aca="false">IF(OR(MAX(E829:J829)&lt;Rules!$H$1,MAX(E829:J829)-LARGE(E829:J829,2)&lt;Rules!$H$2),"No label",INDEX($E$1:$J$1,MATCH(MAX(E829:J829),E829:J829,0)))</f>
        <v>Fraud &amp; Scams</v>
      </c>
      <c r="L829" s="0" t="n">
        <f aca="false">SUMPRODUCT((Rules!$A$2:$A$60=L$1)*Rules!$C$2:$C$60*ISNUMBER(SEARCH(Rules!$E$2:$E$60,$D829)))</f>
        <v>6</v>
      </c>
      <c r="M829" s="0" t="n">
        <f aca="false">SUMPRODUCT((Rules!$A$2:$A$60=M$1)*Rules!$C$2:$C$60*ISNUMBER(SEARCH(Rules!$E$2:$E$60,$D829)))</f>
        <v>0</v>
      </c>
      <c r="N829" s="0" t="n">
        <f aca="false">SUMPRODUCT((Rules!$A$2:$A$60=N$1)*Rules!$C$2:$C$60*ISNUMBER(SEARCH(Rules!$E$2:$E$60,$D829)))</f>
        <v>0</v>
      </c>
      <c r="O829" s="0" t="n">
        <f aca="false">SUMPRODUCT((Rules!$A$2:$A$60=O$1)*Rules!$C$2:$C$60*ISNUMBER(SEARCH(Rules!$E$2:$E$60,$D829)))</f>
        <v>0</v>
      </c>
      <c r="P829" s="0" t="n">
        <f aca="false">SUMPRODUCT((Rules!$A$2:$A$60=P$1)*Rules!$C$2:$C$60*ISNUMBER(SEARCH(Rules!$E$2:$E$60,$D829)))</f>
        <v>0</v>
      </c>
      <c r="Q829" s="0" t="n">
        <f aca="false">SUMPRODUCT((Rules!$A$2:$A$60=Q$1)*Rules!$C$2:$C$60*ISNUMBER(SEARCH(Rules!$E$2:$E$60,$D829)))</f>
        <v>0</v>
      </c>
      <c r="R829" s="0" t="str">
        <f aca="false">IF(OR(MAX(L829:Q829)&lt;Rules!$H$1,MAX(L829:Q829)-LARGE(L829:Q829,2)&lt;Rules!$H$2),"No label",INDEX($L$1:$Q$1,MATCH(MAX(L829:Q829),L829:Q829,0)))</f>
        <v>Fraud &amp; Scams</v>
      </c>
      <c r="S829" s="0" t="n">
        <f aca="false">SUMPRODUCT(ISNUMBER(SEARCH(" "&amp;Terms!$A$3:$A$821&amp;" ",$D829))*Terms!B$3:B$821)+Terms!B$2</f>
        <v>-0.0397966082133778</v>
      </c>
      <c r="T829" s="0" t="n">
        <f aca="false">SUMPRODUCT(ISNUMBER(SEARCH(" "&amp;Terms!$A$3:$A$821&amp;" ",$D829))*Terms!C$3:C$821)+Terms!C$2</f>
        <v>-3.93928005195188</v>
      </c>
      <c r="U829" s="0" t="n">
        <f aca="false">SUMPRODUCT(ISNUMBER(SEARCH(" "&amp;Terms!$A$3:$A$821&amp;" ",$D829))*Terms!D$3:D$821)+Terms!D$2</f>
        <v>-0.719493611725208</v>
      </c>
      <c r="V829" s="0" t="n">
        <f aca="false">SUMPRODUCT(ISNUMBER(SEARCH(" "&amp;Terms!$A$3:$A$821&amp;" ",$D829))*Terms!E$3:E$821)+Terms!E$2</f>
        <v>-2.09505529450791</v>
      </c>
      <c r="W829" s="0" t="n">
        <f aca="false">SUMPRODUCT(ISNUMBER(SEARCH(" "&amp;Terms!$A$3:$A$821&amp;" ",$D829))*Terms!F$3:F$821)+Terms!F$2</f>
        <v>8.6906509581713</v>
      </c>
      <c r="X829" s="0" t="n">
        <f aca="false">SUMPRODUCT(ISNUMBER(SEARCH(" "&amp;Terms!$A$3:$A$821&amp;" ",$D829))*Terms!G$3:G$821)+Terms!G$2</f>
        <v>-1.89702539177283</v>
      </c>
      <c r="Y829" s="0" t="str">
        <f aca="false">INDEX($S$1:$X$1,MATCH(MAX(S829:X829),S829:X829,0))</f>
        <v>Fraud &amp; Scams</v>
      </c>
      <c r="Z829" s="0" t="s">
        <v>2607</v>
      </c>
    </row>
    <row r="830" customFormat="false" ht="15" hidden="false" customHeight="false" outlineLevel="0" collapsed="false">
      <c r="A830" s="0" t="str">
        <f aca="false">Complaints!A830</f>
        <v>C0829</v>
      </c>
      <c r="B830" s="0" t="str">
        <f aca="false">Complaints!B830</f>
        <v>I am very uhappy with how this has been handled.</v>
      </c>
      <c r="C830" s="0" t="str">
        <f aca="false">Complaints!C830</f>
        <v>Account Access</v>
      </c>
      <c r="D830" s="0" t="str">
        <f aca="false">" "&amp;TRIM(SUBSTITUTE(SUBSTITUTE(SUBSTITUTE(SUBSTITUTE(SUBSTITUTE(SUBSTITUTE(SUBSTITUTE(SUBSTITUTE(SUBSTITUTE(SUBSTITUTE(SUBSTITUTE(SUBSTITUTE(SUBSTITUTE(SUBSTITUTE(SUBSTITUTE(SUBSTITUTE(LOWER(B830),"."," "),","," "),"'"," "),"’"," "),"!"," "),"?"," "),";"," "),":"," "),"-"," "),"("," "),")"," "),"""", " "),"£"," "),"&amp;"," "),"/"," "),"%"," "))&amp;" "</f>
        <v> i am very uhappy with how this has been handled </v>
      </c>
      <c r="E830" s="0" t="n">
        <f aca="false">SUMPRODUCT((Rules!$A$2:$A$60=E$1)*Rules!$C$2:$C$60*ISNUMBER(SEARCH(Rules!$D$2:$D$60,$D830)))</f>
        <v>0</v>
      </c>
      <c r="F830" s="0" t="n">
        <f aca="false">SUMPRODUCT((Rules!$A$2:$A$60=F$1)*Rules!$C$2:$C$60*ISNUMBER(SEARCH(Rules!$D$2:$D$60,$D830)))</f>
        <v>0</v>
      </c>
      <c r="G830" s="0" t="n">
        <f aca="false">SUMPRODUCT((Rules!$A$2:$A$60=G$1)*Rules!$C$2:$C$60*ISNUMBER(SEARCH(Rules!$D$2:$D$60,$D830)))</f>
        <v>0</v>
      </c>
      <c r="H830" s="0" t="n">
        <f aca="false">SUMPRODUCT((Rules!$A$2:$A$60=H$1)*Rules!$C$2:$C$60*ISNUMBER(SEARCH(Rules!$D$2:$D$60,$D830)))</f>
        <v>0</v>
      </c>
      <c r="I830" s="0" t="n">
        <f aca="false">SUMPRODUCT((Rules!$A$2:$A$60=I$1)*Rules!$C$2:$C$60*ISNUMBER(SEARCH(Rules!$D$2:$D$60,$D830)))</f>
        <v>0</v>
      </c>
      <c r="J830" s="0" t="n">
        <f aca="false">SUMPRODUCT((Rules!$A$2:$A$60=J$1)*Rules!$C$2:$C$60*ISNUMBER(SEARCH(Rules!$D$2:$D$60,$D830)))</f>
        <v>0</v>
      </c>
      <c r="K830" s="0" t="str">
        <f aca="false">IF(OR(MAX(E830:J830)&lt;Rules!$H$1,MAX(E830:J830)-LARGE(E830:J830,2)&lt;Rules!$H$2),"No label",INDEX($E$1:$J$1,MATCH(MAX(E830:J830),E830:J830,0)))</f>
        <v>No label</v>
      </c>
      <c r="L830" s="0" t="n">
        <f aca="false">SUMPRODUCT((Rules!$A$2:$A$60=L$1)*Rules!$C$2:$C$60*ISNUMBER(SEARCH(Rules!$E$2:$E$60,$D830)))</f>
        <v>0</v>
      </c>
      <c r="M830" s="0" t="n">
        <f aca="false">SUMPRODUCT((Rules!$A$2:$A$60=M$1)*Rules!$C$2:$C$60*ISNUMBER(SEARCH(Rules!$E$2:$E$60,$D830)))</f>
        <v>0</v>
      </c>
      <c r="N830" s="0" t="n">
        <f aca="false">SUMPRODUCT((Rules!$A$2:$A$60=N$1)*Rules!$C$2:$C$60*ISNUMBER(SEARCH(Rules!$E$2:$E$60,$D830)))</f>
        <v>0</v>
      </c>
      <c r="O830" s="0" t="n">
        <f aca="false">SUMPRODUCT((Rules!$A$2:$A$60=O$1)*Rules!$C$2:$C$60*ISNUMBER(SEARCH(Rules!$E$2:$E$60,$D830)))</f>
        <v>0</v>
      </c>
      <c r="P830" s="0" t="n">
        <f aca="false">SUMPRODUCT((Rules!$A$2:$A$60=P$1)*Rules!$C$2:$C$60*ISNUMBER(SEARCH(Rules!$E$2:$E$60,$D830)))</f>
        <v>0</v>
      </c>
      <c r="Q830" s="0" t="n">
        <f aca="false">SUMPRODUCT((Rules!$A$2:$A$60=Q$1)*Rules!$C$2:$C$60*ISNUMBER(SEARCH(Rules!$E$2:$E$60,$D830)))</f>
        <v>0</v>
      </c>
      <c r="R830" s="0" t="str">
        <f aca="false">IF(OR(MAX(L830:Q830)&lt;Rules!$H$1,MAX(L830:Q830)-LARGE(L830:Q830,2)&lt;Rules!$H$2),"No label",INDEX($L$1:$Q$1,MATCH(MAX(L830:Q830),L830:Q830,0)))</f>
        <v>No label</v>
      </c>
      <c r="S830" s="0" t="n">
        <f aca="false">SUMPRODUCT(ISNUMBER(SEARCH(" "&amp;Terms!$A$3:$A$821&amp;" ",$D830))*Terms!B$3:B$821)+Terms!B$2</f>
        <v>2.59522210567503</v>
      </c>
      <c r="T830" s="0" t="n">
        <f aca="false">SUMPRODUCT(ISNUMBER(SEARCH(" "&amp;Terms!$A$3:$A$821&amp;" ",$D830))*Terms!C$3:C$821)+Terms!C$2</f>
        <v>-0.782175921313425</v>
      </c>
      <c r="U830" s="0" t="n">
        <f aca="false">SUMPRODUCT(ISNUMBER(SEARCH(" "&amp;Terms!$A$3:$A$821&amp;" ",$D830))*Terms!D$3:D$821)+Terms!D$2</f>
        <v>0.389589712560248</v>
      </c>
      <c r="V830" s="0" t="n">
        <f aca="false">SUMPRODUCT(ISNUMBER(SEARCH(" "&amp;Terms!$A$3:$A$821&amp;" ",$D830))*Terms!E$3:E$821)+Terms!E$2</f>
        <v>-0.196904639365913</v>
      </c>
      <c r="W830" s="0" t="n">
        <f aca="false">SUMPRODUCT(ISNUMBER(SEARCH(" "&amp;Terms!$A$3:$A$821&amp;" ",$D830))*Terms!F$3:F$821)+Terms!F$2</f>
        <v>-1.1367885016435</v>
      </c>
      <c r="X830" s="0" t="n">
        <f aca="false">SUMPRODUCT(ISNUMBER(SEARCH(" "&amp;Terms!$A$3:$A$821&amp;" ",$D830))*Terms!G$3:G$821)+Terms!G$2</f>
        <v>-0.868942755912333</v>
      </c>
      <c r="Y830" s="0" t="str">
        <f aca="false">INDEX($S$1:$X$1,MATCH(MAX(S830:X830),S830:X830,0))</f>
        <v>Account Access</v>
      </c>
      <c r="Z830" s="0" t="s">
        <v>2607</v>
      </c>
    </row>
    <row r="831" customFormat="false" ht="15" hidden="false" customHeight="false" outlineLevel="0" collapsed="false">
      <c r="A831" s="0" t="str">
        <f aca="false">Complaints!A831</f>
        <v>C0830</v>
      </c>
      <c r="B831" s="0" t="str">
        <f aca="false">Complaints!B831</f>
        <v>The staff member was rude and dismissive when I called. I want this put right.</v>
      </c>
      <c r="C831" s="0" t="str">
        <f aca="false">Complaints!C831</f>
        <v>Customer Service</v>
      </c>
      <c r="D831" s="0" t="str">
        <f aca="false">" "&amp;TRIM(SUBSTITUTE(SUBSTITUTE(SUBSTITUTE(SUBSTITUTE(SUBSTITUTE(SUBSTITUTE(SUBSTITUTE(SUBSTITUTE(SUBSTITUTE(SUBSTITUTE(SUBSTITUTE(SUBSTITUTE(SUBSTITUTE(SUBSTITUTE(SUBSTITUTE(SUBSTITUTE(LOWER(B831),"."," "),","," "),"'"," "),"’"," "),"!"," "),"?"," "),";"," "),":"," "),"-"," "),"("," "),")"," "),"""", " "),"£"," "),"&amp;"," "),"/"," "),"%"," "))&amp;" "</f>
        <v> the staff member was rude and dismissive when i called i want this put right </v>
      </c>
      <c r="E831" s="0" t="n">
        <f aca="false">SUMPRODUCT((Rules!$A$2:$A$60=E$1)*Rules!$C$2:$C$60*ISNUMBER(SEARCH(Rules!$D$2:$D$60,$D831)))</f>
        <v>0</v>
      </c>
      <c r="F831" s="0" t="n">
        <f aca="false">SUMPRODUCT((Rules!$A$2:$A$60=F$1)*Rules!$C$2:$C$60*ISNUMBER(SEARCH(Rules!$D$2:$D$60,$D831)))</f>
        <v>0</v>
      </c>
      <c r="G831" s="0" t="n">
        <f aca="false">SUMPRODUCT((Rules!$A$2:$A$60=G$1)*Rules!$C$2:$C$60*ISNUMBER(SEARCH(Rules!$D$2:$D$60,$D831)))</f>
        <v>0</v>
      </c>
      <c r="H831" s="0" t="n">
        <f aca="false">SUMPRODUCT((Rules!$A$2:$A$60=H$1)*Rules!$C$2:$C$60*ISNUMBER(SEARCH(Rules!$D$2:$D$60,$D831)))</f>
        <v>0</v>
      </c>
      <c r="I831" s="0" t="n">
        <f aca="false">SUMPRODUCT((Rules!$A$2:$A$60=I$1)*Rules!$C$2:$C$60*ISNUMBER(SEARCH(Rules!$D$2:$D$60,$D831)))</f>
        <v>0</v>
      </c>
      <c r="J831" s="0" t="n">
        <f aca="false">SUMPRODUCT((Rules!$A$2:$A$60=J$1)*Rules!$C$2:$C$60*ISNUMBER(SEARCH(Rules!$D$2:$D$60,$D831)))</f>
        <v>4</v>
      </c>
      <c r="K831" s="0" t="str">
        <f aca="false">IF(OR(MAX(E831:J831)&lt;Rules!$H$1,MAX(E831:J831)-LARGE(E831:J831,2)&lt;Rules!$H$2),"No label",INDEX($E$1:$J$1,MATCH(MAX(E831:J831),E831:J831,0)))</f>
        <v>Customer Service</v>
      </c>
      <c r="L831" s="0" t="n">
        <f aca="false">SUMPRODUCT((Rules!$A$2:$A$60=L$1)*Rules!$C$2:$C$60*ISNUMBER(SEARCH(Rules!$E$2:$E$60,$D831)))</f>
        <v>0</v>
      </c>
      <c r="M831" s="0" t="n">
        <f aca="false">SUMPRODUCT((Rules!$A$2:$A$60=M$1)*Rules!$C$2:$C$60*ISNUMBER(SEARCH(Rules!$E$2:$E$60,$D831)))</f>
        <v>0</v>
      </c>
      <c r="N831" s="0" t="n">
        <f aca="false">SUMPRODUCT((Rules!$A$2:$A$60=N$1)*Rules!$C$2:$C$60*ISNUMBER(SEARCH(Rules!$E$2:$E$60,$D831)))</f>
        <v>0</v>
      </c>
      <c r="O831" s="0" t="n">
        <f aca="false">SUMPRODUCT((Rules!$A$2:$A$60=O$1)*Rules!$C$2:$C$60*ISNUMBER(SEARCH(Rules!$E$2:$E$60,$D831)))</f>
        <v>0</v>
      </c>
      <c r="P831" s="0" t="n">
        <f aca="false">SUMPRODUCT((Rules!$A$2:$A$60=P$1)*Rules!$C$2:$C$60*ISNUMBER(SEARCH(Rules!$E$2:$E$60,$D831)))</f>
        <v>0</v>
      </c>
      <c r="Q831" s="0" t="n">
        <f aca="false">SUMPRODUCT((Rules!$A$2:$A$60=Q$1)*Rules!$C$2:$C$60*ISNUMBER(SEARCH(Rules!$E$2:$E$60,$D831)))</f>
        <v>4</v>
      </c>
      <c r="R831" s="0" t="str">
        <f aca="false">IF(OR(MAX(L831:Q831)&lt;Rules!$H$1,MAX(L831:Q831)-LARGE(L831:Q831,2)&lt;Rules!$H$2),"No label",INDEX($L$1:$Q$1,MATCH(MAX(L831:Q831),L831:Q831,0)))</f>
        <v>Customer Service</v>
      </c>
      <c r="S831" s="0" t="n">
        <f aca="false">SUMPRODUCT(ISNUMBER(SEARCH(" "&amp;Terms!$A$3:$A$821&amp;" ",$D831))*Terms!B$3:B$821)+Terms!B$2</f>
        <v>-4.70779167443736</v>
      </c>
      <c r="T831" s="0" t="n">
        <f aca="false">SUMPRODUCT(ISNUMBER(SEARCH(" "&amp;Terms!$A$3:$A$821&amp;" ",$D831))*Terms!C$3:C$821)+Terms!C$2</f>
        <v>7.68852083358436</v>
      </c>
      <c r="U831" s="0" t="n">
        <f aca="false">SUMPRODUCT(ISNUMBER(SEARCH(" "&amp;Terms!$A$3:$A$821&amp;" ",$D831))*Terms!D$3:D$821)+Terms!D$2</f>
        <v>-1.39413354343351</v>
      </c>
      <c r="V831" s="0" t="n">
        <f aca="false">SUMPRODUCT(ISNUMBER(SEARCH(" "&amp;Terms!$A$3:$A$821&amp;" ",$D831))*Terms!E$3:E$821)+Terms!E$2</f>
        <v>1.67008961779851</v>
      </c>
      <c r="W831" s="0" t="n">
        <f aca="false">SUMPRODUCT(ISNUMBER(SEARCH(" "&amp;Terms!$A$3:$A$821&amp;" ",$D831))*Terms!F$3:F$821)+Terms!F$2</f>
        <v>-0.103815132202537</v>
      </c>
      <c r="X831" s="0" t="n">
        <f aca="false">SUMPRODUCT(ISNUMBER(SEARCH(" "&amp;Terms!$A$3:$A$821&amp;" ",$D831))*Terms!G$3:G$821)+Terms!G$2</f>
        <v>-3.15287010130937</v>
      </c>
      <c r="Y831" s="0" t="str">
        <f aca="false">INDEX($S$1:$X$1,MATCH(MAX(S831:X831),S831:X831,0))</f>
        <v>Customer Service</v>
      </c>
      <c r="Z831" s="0" t="s">
        <v>2607</v>
      </c>
    </row>
    <row r="832" customFormat="false" ht="15" hidden="false" customHeight="false" outlineLevel="0" collapsed="false">
      <c r="A832" s="0" t="str">
        <f aca="false">Complaints!A832</f>
        <v>C0831</v>
      </c>
      <c r="B832" s="0" t="str">
        <f aca="false">Complaints!B832</f>
        <v>Hello, My card was cloned and used abroad.</v>
      </c>
      <c r="C832" s="0" t="str">
        <f aca="false">Complaints!C832</f>
        <v>Fraud &amp; Scams</v>
      </c>
      <c r="D832" s="0" t="str">
        <f aca="false">" "&amp;TRIM(SUBSTITUTE(SUBSTITUTE(SUBSTITUTE(SUBSTITUTE(SUBSTITUTE(SUBSTITUTE(SUBSTITUTE(SUBSTITUTE(SUBSTITUTE(SUBSTITUTE(SUBSTITUTE(SUBSTITUTE(SUBSTITUTE(SUBSTITUTE(SUBSTITUTE(SUBSTITUTE(LOWER(B832),"."," "),","," "),"'"," "),"’"," "),"!"," "),"?"," "),";"," "),":"," "),"-"," "),"("," "),")"," "),"""", " "),"£"," "),"&amp;"," "),"/"," "),"%"," "))&amp;" "</f>
        <v> hello my card was cloned and used abroad </v>
      </c>
      <c r="E832" s="0" t="n">
        <f aca="false">SUMPRODUCT((Rules!$A$2:$A$60=E$1)*Rules!$C$2:$C$60*ISNUMBER(SEARCH(Rules!$D$2:$D$60,$D832)))</f>
        <v>3</v>
      </c>
      <c r="F832" s="0" t="n">
        <f aca="false">SUMPRODUCT((Rules!$A$2:$A$60=F$1)*Rules!$C$2:$C$60*ISNUMBER(SEARCH(Rules!$D$2:$D$60,$D832)))</f>
        <v>0</v>
      </c>
      <c r="G832" s="0" t="n">
        <f aca="false">SUMPRODUCT((Rules!$A$2:$A$60=G$1)*Rules!$C$2:$C$60*ISNUMBER(SEARCH(Rules!$D$2:$D$60,$D832)))</f>
        <v>0</v>
      </c>
      <c r="H832" s="0" t="n">
        <f aca="false">SUMPRODUCT((Rules!$A$2:$A$60=H$1)*Rules!$C$2:$C$60*ISNUMBER(SEARCH(Rules!$D$2:$D$60,$D832)))</f>
        <v>0</v>
      </c>
      <c r="I832" s="0" t="n">
        <f aca="false">SUMPRODUCT((Rules!$A$2:$A$60=I$1)*Rules!$C$2:$C$60*ISNUMBER(SEARCH(Rules!$D$2:$D$60,$D832)))</f>
        <v>0</v>
      </c>
      <c r="J832" s="0" t="n">
        <f aca="false">SUMPRODUCT((Rules!$A$2:$A$60=J$1)*Rules!$C$2:$C$60*ISNUMBER(SEARCH(Rules!$D$2:$D$60,$D832)))</f>
        <v>0</v>
      </c>
      <c r="K832" s="0" t="str">
        <f aca="false">IF(OR(MAX(E832:J832)&lt;Rules!$H$1,MAX(E832:J832)-LARGE(E832:J832,2)&lt;Rules!$H$2),"No label",INDEX($E$1:$J$1,MATCH(MAX(E832:J832),E832:J832,0)))</f>
        <v>Fraud &amp; Scams</v>
      </c>
      <c r="L832" s="0" t="n">
        <f aca="false">SUMPRODUCT((Rules!$A$2:$A$60=L$1)*Rules!$C$2:$C$60*ISNUMBER(SEARCH(Rules!$E$2:$E$60,$D832)))</f>
        <v>3</v>
      </c>
      <c r="M832" s="0" t="n">
        <f aca="false">SUMPRODUCT((Rules!$A$2:$A$60=M$1)*Rules!$C$2:$C$60*ISNUMBER(SEARCH(Rules!$E$2:$E$60,$D832)))</f>
        <v>0</v>
      </c>
      <c r="N832" s="0" t="n">
        <f aca="false">SUMPRODUCT((Rules!$A$2:$A$60=N$1)*Rules!$C$2:$C$60*ISNUMBER(SEARCH(Rules!$E$2:$E$60,$D832)))</f>
        <v>0</v>
      </c>
      <c r="O832" s="0" t="n">
        <f aca="false">SUMPRODUCT((Rules!$A$2:$A$60=O$1)*Rules!$C$2:$C$60*ISNUMBER(SEARCH(Rules!$E$2:$E$60,$D832)))</f>
        <v>0</v>
      </c>
      <c r="P832" s="0" t="n">
        <f aca="false">SUMPRODUCT((Rules!$A$2:$A$60=P$1)*Rules!$C$2:$C$60*ISNUMBER(SEARCH(Rules!$E$2:$E$60,$D832)))</f>
        <v>0</v>
      </c>
      <c r="Q832" s="0" t="n">
        <f aca="false">SUMPRODUCT((Rules!$A$2:$A$60=Q$1)*Rules!$C$2:$C$60*ISNUMBER(SEARCH(Rules!$E$2:$E$60,$D832)))</f>
        <v>0</v>
      </c>
      <c r="R832" s="0" t="str">
        <f aca="false">IF(OR(MAX(L832:Q832)&lt;Rules!$H$1,MAX(L832:Q832)-LARGE(L832:Q832,2)&lt;Rules!$H$2),"No label",INDEX($L$1:$Q$1,MATCH(MAX(L832:Q832),L832:Q832,0)))</f>
        <v>Fraud &amp; Scams</v>
      </c>
      <c r="S832" s="0" t="n">
        <f aca="false">SUMPRODUCT(ISNUMBER(SEARCH(" "&amp;Terms!$A$3:$A$821&amp;" ",$D832))*Terms!B$3:B$821)+Terms!B$2</f>
        <v>0.0987824214152799</v>
      </c>
      <c r="T832" s="0" t="n">
        <f aca="false">SUMPRODUCT(ISNUMBER(SEARCH(" "&amp;Terms!$A$3:$A$821&amp;" ",$D832))*Terms!C$3:C$821)+Terms!C$2</f>
        <v>-0.893791194287993</v>
      </c>
      <c r="U832" s="0" t="n">
        <f aca="false">SUMPRODUCT(ISNUMBER(SEARCH(" "&amp;Terms!$A$3:$A$821&amp;" ",$D832))*Terms!D$3:D$821)+Terms!D$2</f>
        <v>-5.07595713241748</v>
      </c>
      <c r="V832" s="0" t="n">
        <f aca="false">SUMPRODUCT(ISNUMBER(SEARCH(" "&amp;Terms!$A$3:$A$821&amp;" ",$D832))*Terms!E$3:E$821)+Terms!E$2</f>
        <v>-1.47121001923875</v>
      </c>
      <c r="W832" s="0" t="n">
        <f aca="false">SUMPRODUCT(ISNUMBER(SEARCH(" "&amp;Terms!$A$3:$A$821&amp;" ",$D832))*Terms!F$3:F$821)+Terms!F$2</f>
        <v>9.38379078910538</v>
      </c>
      <c r="X832" s="0" t="n">
        <f aca="false">SUMPRODUCT(ISNUMBER(SEARCH(" "&amp;Terms!$A$3:$A$821&amp;" ",$D832))*Terms!G$3:G$821)+Terms!G$2</f>
        <v>-2.04161486457634</v>
      </c>
      <c r="Y832" s="0" t="str">
        <f aca="false">INDEX($S$1:$X$1,MATCH(MAX(S832:X832),S832:X832,0))</f>
        <v>Fraud &amp; Scams</v>
      </c>
      <c r="Z832" s="0" t="s">
        <v>2607</v>
      </c>
    </row>
    <row r="833" customFormat="false" ht="15" hidden="false" customHeight="false" outlineLevel="0" collapsed="false">
      <c r="A833" s="0" t="str">
        <f aca="false">Complaints!A833</f>
        <v>C0832</v>
      </c>
      <c r="B833" s="0" t="str">
        <f aca="false">Complaints!B833</f>
        <v>Frankly, I reported the unauthorised payment but you refused to reimburse me. Also, there is an unexpected charge on my statement of £25. Please sort this out.</v>
      </c>
      <c r="C833" s="0" t="str">
        <f aca="false">Complaints!C833</f>
        <v>Fraud &amp; Scams</v>
      </c>
      <c r="D833" s="0" t="str">
        <f aca="false">" "&amp;TRIM(SUBSTITUTE(SUBSTITUTE(SUBSTITUTE(SUBSTITUTE(SUBSTITUTE(SUBSTITUTE(SUBSTITUTE(SUBSTITUTE(SUBSTITUTE(SUBSTITUTE(SUBSTITUTE(SUBSTITUTE(SUBSTITUTE(SUBSTITUTE(SUBSTITUTE(SUBSTITUTE(LOWER(B833),"."," "),","," "),"'"," "),"’"," "),"!"," "),"?"," "),";"," "),":"," "),"-"," "),"("," "),")"," "),"""", " "),"£"," "),"&amp;"," "),"/"," "),"%"," "))&amp;" "</f>
        <v> frankly i reported the unauthorised payment but you refused to reimburse me also there is an unexpected charge on my statement of 25 please sort this out </v>
      </c>
      <c r="E833" s="0" t="n">
        <f aca="false">SUMPRODUCT((Rules!$A$2:$A$60=E$1)*Rules!$C$2:$C$60*ISNUMBER(SEARCH(Rules!$D$2:$D$60,$D833)))</f>
        <v>3</v>
      </c>
      <c r="F833" s="0" t="n">
        <f aca="false">SUMPRODUCT((Rules!$A$2:$A$60=F$1)*Rules!$C$2:$C$60*ISNUMBER(SEARCH(Rules!$D$2:$D$60,$D833)))</f>
        <v>0</v>
      </c>
      <c r="G833" s="0" t="n">
        <f aca="false">SUMPRODUCT((Rules!$A$2:$A$60=G$1)*Rules!$C$2:$C$60*ISNUMBER(SEARCH(Rules!$D$2:$D$60,$D833)))</f>
        <v>0</v>
      </c>
      <c r="H833" s="0" t="n">
        <f aca="false">SUMPRODUCT((Rules!$A$2:$A$60=H$1)*Rules!$C$2:$C$60*ISNUMBER(SEARCH(Rules!$D$2:$D$60,$D833)))</f>
        <v>3</v>
      </c>
      <c r="I833" s="0" t="n">
        <f aca="false">SUMPRODUCT((Rules!$A$2:$A$60=I$1)*Rules!$C$2:$C$60*ISNUMBER(SEARCH(Rules!$D$2:$D$60,$D833)))</f>
        <v>0</v>
      </c>
      <c r="J833" s="0" t="n">
        <f aca="false">SUMPRODUCT((Rules!$A$2:$A$60=J$1)*Rules!$C$2:$C$60*ISNUMBER(SEARCH(Rules!$D$2:$D$60,$D833)))</f>
        <v>0</v>
      </c>
      <c r="K833" s="0" t="str">
        <f aca="false">IF(OR(MAX(E833:J833)&lt;Rules!$H$1,MAX(E833:J833)-LARGE(E833:J833,2)&lt;Rules!$H$2),"No label",INDEX($E$1:$J$1,MATCH(MAX(E833:J833),E833:J833,0)))</f>
        <v>No label</v>
      </c>
      <c r="L833" s="0" t="n">
        <f aca="false">SUMPRODUCT((Rules!$A$2:$A$60=L$1)*Rules!$C$2:$C$60*ISNUMBER(SEARCH(Rules!$E$2:$E$60,$D833)))</f>
        <v>3</v>
      </c>
      <c r="M833" s="0" t="n">
        <f aca="false">SUMPRODUCT((Rules!$A$2:$A$60=M$1)*Rules!$C$2:$C$60*ISNUMBER(SEARCH(Rules!$E$2:$E$60,$D833)))</f>
        <v>0</v>
      </c>
      <c r="N833" s="0" t="n">
        <f aca="false">SUMPRODUCT((Rules!$A$2:$A$60=N$1)*Rules!$C$2:$C$60*ISNUMBER(SEARCH(Rules!$E$2:$E$60,$D833)))</f>
        <v>0</v>
      </c>
      <c r="O833" s="0" t="n">
        <f aca="false">SUMPRODUCT((Rules!$A$2:$A$60=O$1)*Rules!$C$2:$C$60*ISNUMBER(SEARCH(Rules!$E$2:$E$60,$D833)))</f>
        <v>5</v>
      </c>
      <c r="P833" s="0" t="n">
        <f aca="false">SUMPRODUCT((Rules!$A$2:$A$60=P$1)*Rules!$C$2:$C$60*ISNUMBER(SEARCH(Rules!$E$2:$E$60,$D833)))</f>
        <v>0</v>
      </c>
      <c r="Q833" s="0" t="n">
        <f aca="false">SUMPRODUCT((Rules!$A$2:$A$60=Q$1)*Rules!$C$2:$C$60*ISNUMBER(SEARCH(Rules!$E$2:$E$60,$D833)))</f>
        <v>0</v>
      </c>
      <c r="R833" s="0" t="str">
        <f aca="false">IF(OR(MAX(L833:Q833)&lt;Rules!$H$1,MAX(L833:Q833)-LARGE(L833:Q833,2)&lt;Rules!$H$2),"No label",INDEX($L$1:$Q$1,MATCH(MAX(L833:Q833),L833:Q833,0)))</f>
        <v>Fees &amp; Charges</v>
      </c>
      <c r="S833" s="0" t="n">
        <f aca="false">SUMPRODUCT(ISNUMBER(SEARCH(" "&amp;Terms!$A$3:$A$821&amp;" ",$D833))*Terms!B$3:B$821)+Terms!B$2</f>
        <v>-6.2189489293792</v>
      </c>
      <c r="T833" s="0" t="n">
        <f aca="false">SUMPRODUCT(ISNUMBER(SEARCH(" "&amp;Terms!$A$3:$A$821&amp;" ",$D833))*Terms!C$3:C$821)+Terms!C$2</f>
        <v>-5.32822477804961</v>
      </c>
      <c r="U833" s="0" t="n">
        <f aca="false">SUMPRODUCT(ISNUMBER(SEARCH(" "&amp;Terms!$A$3:$A$821&amp;" ",$D833))*Terms!D$3:D$821)+Terms!D$2</f>
        <v>-3.17381856416114</v>
      </c>
      <c r="V833" s="0" t="n">
        <f aca="false">SUMPRODUCT(ISNUMBER(SEARCH(" "&amp;Terms!$A$3:$A$821&amp;" ",$D833))*Terms!E$3:E$821)+Terms!E$2</f>
        <v>9.94003509694064</v>
      </c>
      <c r="W833" s="0" t="n">
        <f aca="false">SUMPRODUCT(ISNUMBER(SEARCH(" "&amp;Terms!$A$3:$A$821&amp;" ",$D833))*Terms!F$3:F$821)+Terms!F$2</f>
        <v>9.15280786065557</v>
      </c>
      <c r="X833" s="0" t="n">
        <f aca="false">SUMPRODUCT(ISNUMBER(SEARCH(" "&amp;Terms!$A$3:$A$821&amp;" ",$D833))*Terms!G$3:G$821)+Terms!G$2</f>
        <v>-4.37185068600619</v>
      </c>
      <c r="Y833" s="0" t="str">
        <f aca="false">INDEX($S$1:$X$1,MATCH(MAX(S833:X833),S833:X833,0))</f>
        <v>Fees &amp; Charges</v>
      </c>
      <c r="Z833" s="0" t="s">
        <v>2607</v>
      </c>
    </row>
    <row r="834" customFormat="false" ht="15" hidden="false" customHeight="false" outlineLevel="0" collapsed="false">
      <c r="A834" s="0" t="str">
        <f aca="false">Complaints!A834</f>
        <v>C0833</v>
      </c>
      <c r="B834" s="0" t="str">
        <f aca="false">Complaints!B834</f>
        <v>I was misled about what the insurance actually included. Also, a person pretending to be from your bank phoned me and I gave them details.</v>
      </c>
      <c r="C834" s="0" t="str">
        <f aca="false">Complaints!C834</f>
        <v>Mis-selling</v>
      </c>
      <c r="D834" s="0" t="str">
        <f aca="false">" "&amp;TRIM(SUBSTITUTE(SUBSTITUTE(SUBSTITUTE(SUBSTITUTE(SUBSTITUTE(SUBSTITUTE(SUBSTITUTE(SUBSTITUTE(SUBSTITUTE(SUBSTITUTE(SUBSTITUTE(SUBSTITUTE(SUBSTITUTE(SUBSTITUTE(SUBSTITUTE(SUBSTITUTE(LOWER(B834),"."," "),","," "),"'"," "),"’"," "),"!"," "),"?"," "),";"," "),":"," "),"-"," "),"("," "),")"," "),"""", " "),"£"," "),"&amp;"," "),"/"," "),"%"," "))&amp;" "</f>
        <v> i was misled about what the insurance actually included also a person pretending to be from your bank phoned me and i gave them details </v>
      </c>
      <c r="E834" s="0" t="n">
        <f aca="false">SUMPRODUCT((Rules!$A$2:$A$60=E$1)*Rules!$C$2:$C$60*ISNUMBER(SEARCH(Rules!$D$2:$D$60,$D834)))</f>
        <v>0</v>
      </c>
      <c r="F834" s="0" t="n">
        <f aca="false">SUMPRODUCT((Rules!$A$2:$A$60=F$1)*Rules!$C$2:$C$60*ISNUMBER(SEARCH(Rules!$D$2:$D$60,$D834)))</f>
        <v>4</v>
      </c>
      <c r="G834" s="0" t="n">
        <f aca="false">SUMPRODUCT((Rules!$A$2:$A$60=G$1)*Rules!$C$2:$C$60*ISNUMBER(SEARCH(Rules!$D$2:$D$60,$D834)))</f>
        <v>0</v>
      </c>
      <c r="H834" s="0" t="n">
        <f aca="false">SUMPRODUCT((Rules!$A$2:$A$60=H$1)*Rules!$C$2:$C$60*ISNUMBER(SEARCH(Rules!$D$2:$D$60,$D834)))</f>
        <v>0</v>
      </c>
      <c r="I834" s="0" t="n">
        <f aca="false">SUMPRODUCT((Rules!$A$2:$A$60=I$1)*Rules!$C$2:$C$60*ISNUMBER(SEARCH(Rules!$D$2:$D$60,$D834)))</f>
        <v>0</v>
      </c>
      <c r="J834" s="0" t="n">
        <f aca="false">SUMPRODUCT((Rules!$A$2:$A$60=J$1)*Rules!$C$2:$C$60*ISNUMBER(SEARCH(Rules!$D$2:$D$60,$D834)))</f>
        <v>0</v>
      </c>
      <c r="K834" s="0" t="str">
        <f aca="false">IF(OR(MAX(E834:J834)&lt;Rules!$H$1,MAX(E834:J834)-LARGE(E834:J834,2)&lt;Rules!$H$2),"No label",INDEX($E$1:$J$1,MATCH(MAX(E834:J834),E834:J834,0)))</f>
        <v>Mis-selling</v>
      </c>
      <c r="L834" s="0" t="n">
        <f aca="false">SUMPRODUCT((Rules!$A$2:$A$60=L$1)*Rules!$C$2:$C$60*ISNUMBER(SEARCH(Rules!$E$2:$E$60,$D834)))</f>
        <v>0</v>
      </c>
      <c r="M834" s="0" t="n">
        <f aca="false">SUMPRODUCT((Rules!$A$2:$A$60=M$1)*Rules!$C$2:$C$60*ISNUMBER(SEARCH(Rules!$E$2:$E$60,$D834)))</f>
        <v>4</v>
      </c>
      <c r="N834" s="0" t="n">
        <f aca="false">SUMPRODUCT((Rules!$A$2:$A$60=N$1)*Rules!$C$2:$C$60*ISNUMBER(SEARCH(Rules!$E$2:$E$60,$D834)))</f>
        <v>0</v>
      </c>
      <c r="O834" s="0" t="n">
        <f aca="false">SUMPRODUCT((Rules!$A$2:$A$60=O$1)*Rules!$C$2:$C$60*ISNUMBER(SEARCH(Rules!$E$2:$E$60,$D834)))</f>
        <v>0</v>
      </c>
      <c r="P834" s="0" t="n">
        <f aca="false">SUMPRODUCT((Rules!$A$2:$A$60=P$1)*Rules!$C$2:$C$60*ISNUMBER(SEARCH(Rules!$E$2:$E$60,$D834)))</f>
        <v>0</v>
      </c>
      <c r="Q834" s="0" t="n">
        <f aca="false">SUMPRODUCT((Rules!$A$2:$A$60=Q$1)*Rules!$C$2:$C$60*ISNUMBER(SEARCH(Rules!$E$2:$E$60,$D834)))</f>
        <v>0</v>
      </c>
      <c r="R834" s="0" t="str">
        <f aca="false">IF(OR(MAX(L834:Q834)&lt;Rules!$H$1,MAX(L834:Q834)-LARGE(L834:Q834,2)&lt;Rules!$H$2),"No label",INDEX($L$1:$Q$1,MATCH(MAX(L834:Q834),L834:Q834,0)))</f>
        <v>Mis-selling</v>
      </c>
      <c r="S834" s="0" t="n">
        <f aca="false">SUMPRODUCT(ISNUMBER(SEARCH(" "&amp;Terms!$A$3:$A$821&amp;" ",$D834))*Terms!B$3:B$821)+Terms!B$2</f>
        <v>-2.81075105309329</v>
      </c>
      <c r="T834" s="0" t="n">
        <f aca="false">SUMPRODUCT(ISNUMBER(SEARCH(" "&amp;Terms!$A$3:$A$821&amp;" ",$D834))*Terms!C$3:C$821)+Terms!C$2</f>
        <v>-6.49751051332314</v>
      </c>
      <c r="U834" s="0" t="n">
        <f aca="false">SUMPRODUCT(ISNUMBER(SEARCH(" "&amp;Terms!$A$3:$A$821&amp;" ",$D834))*Terms!D$3:D$821)+Terms!D$2</f>
        <v>-5.73313968427612</v>
      </c>
      <c r="V834" s="0" t="n">
        <f aca="false">SUMPRODUCT(ISNUMBER(SEARCH(" "&amp;Terms!$A$3:$A$821&amp;" ",$D834))*Terms!E$3:E$821)+Terms!E$2</f>
        <v>-2.83099712397251</v>
      </c>
      <c r="W834" s="0" t="n">
        <f aca="false">SUMPRODUCT(ISNUMBER(SEARCH(" "&amp;Terms!$A$3:$A$821&amp;" ",$D834))*Terms!F$3:F$821)+Terms!F$2</f>
        <v>5.95396494612907</v>
      </c>
      <c r="X834" s="0" t="n">
        <f aca="false">SUMPRODUCT(ISNUMBER(SEARCH(" "&amp;Terms!$A$3:$A$821&amp;" ",$D834))*Terms!G$3:G$821)+Terms!G$2</f>
        <v>11.9184334285361</v>
      </c>
      <c r="Y834" s="0" t="str">
        <f aca="false">INDEX($S$1:$X$1,MATCH(MAX(S834:X834),S834:X834,0))</f>
        <v>Mis-selling</v>
      </c>
      <c r="Z834" s="0" t="s">
        <v>2607</v>
      </c>
    </row>
    <row r="835" customFormat="false" ht="15" hidden="false" customHeight="false" outlineLevel="0" collapsed="false">
      <c r="A835" s="0" t="str">
        <f aca="false">Complaints!A835</f>
        <v>C0834</v>
      </c>
      <c r="B835" s="0" t="str">
        <f aca="false">Complaints!B835</f>
        <v>I have been a customer for years. The closure of my old account has dragged on for months. Also, i asked for a callback and it never happened. Please sort this out.</v>
      </c>
      <c r="C835" s="0" t="str">
        <f aca="false">Complaints!C835</f>
        <v>Delays &amp; Processing</v>
      </c>
      <c r="D835" s="0" t="str">
        <f aca="false">" "&amp;TRIM(SUBSTITUTE(SUBSTITUTE(SUBSTITUTE(SUBSTITUTE(SUBSTITUTE(SUBSTITUTE(SUBSTITUTE(SUBSTITUTE(SUBSTITUTE(SUBSTITUTE(SUBSTITUTE(SUBSTITUTE(SUBSTITUTE(SUBSTITUTE(SUBSTITUTE(SUBSTITUTE(LOWER(B835),"."," "),","," "),"'"," "),"’"," "),"!"," "),"?"," "),";"," "),":"," "),"-"," "),"("," "),")"," "),"""", " "),"£"," "),"&amp;"," "),"/"," "),"%"," "))&amp;" "</f>
        <v> i have been a customer for years the closure of my old account has dragged on for months also i asked for a callback and it never happened please sort this out </v>
      </c>
      <c r="E835" s="0" t="n">
        <f aca="false">SUMPRODUCT((Rules!$A$2:$A$60=E$1)*Rules!$C$2:$C$60*ISNUMBER(SEARCH(Rules!$D$2:$D$60,$D835)))</f>
        <v>0</v>
      </c>
      <c r="F835" s="0" t="n">
        <f aca="false">SUMPRODUCT((Rules!$A$2:$A$60=F$1)*Rules!$C$2:$C$60*ISNUMBER(SEARCH(Rules!$D$2:$D$60,$D835)))</f>
        <v>0</v>
      </c>
      <c r="G835" s="0" t="n">
        <f aca="false">SUMPRODUCT((Rules!$A$2:$A$60=G$1)*Rules!$C$2:$C$60*ISNUMBER(SEARCH(Rules!$D$2:$D$60,$D835)))</f>
        <v>0</v>
      </c>
      <c r="H835" s="0" t="n">
        <f aca="false">SUMPRODUCT((Rules!$A$2:$A$60=H$1)*Rules!$C$2:$C$60*ISNUMBER(SEARCH(Rules!$D$2:$D$60,$D835)))</f>
        <v>0</v>
      </c>
      <c r="I835" s="0" t="n">
        <f aca="false">SUMPRODUCT((Rules!$A$2:$A$60=I$1)*Rules!$C$2:$C$60*ISNUMBER(SEARCH(Rules!$D$2:$D$60,$D835)))</f>
        <v>2</v>
      </c>
      <c r="J835" s="0" t="n">
        <f aca="false">SUMPRODUCT((Rules!$A$2:$A$60=J$1)*Rules!$C$2:$C$60*ISNUMBER(SEARCH(Rules!$D$2:$D$60,$D835)))</f>
        <v>2</v>
      </c>
      <c r="K835" s="0" t="str">
        <f aca="false">IF(OR(MAX(E835:J835)&lt;Rules!$H$1,MAX(E835:J835)-LARGE(E835:J835,2)&lt;Rules!$H$2),"No label",INDEX($E$1:$J$1,MATCH(MAX(E835:J835),E835:J835,0)))</f>
        <v>No label</v>
      </c>
      <c r="L835" s="0" t="n">
        <f aca="false">SUMPRODUCT((Rules!$A$2:$A$60=L$1)*Rules!$C$2:$C$60*ISNUMBER(SEARCH(Rules!$E$2:$E$60,$D835)))</f>
        <v>0</v>
      </c>
      <c r="M835" s="0" t="n">
        <f aca="false">SUMPRODUCT((Rules!$A$2:$A$60=M$1)*Rules!$C$2:$C$60*ISNUMBER(SEARCH(Rules!$E$2:$E$60,$D835)))</f>
        <v>0</v>
      </c>
      <c r="N835" s="0" t="n">
        <f aca="false">SUMPRODUCT((Rules!$A$2:$A$60=N$1)*Rules!$C$2:$C$60*ISNUMBER(SEARCH(Rules!$E$2:$E$60,$D835)))</f>
        <v>0</v>
      </c>
      <c r="O835" s="0" t="n">
        <f aca="false">SUMPRODUCT((Rules!$A$2:$A$60=O$1)*Rules!$C$2:$C$60*ISNUMBER(SEARCH(Rules!$E$2:$E$60,$D835)))</f>
        <v>0</v>
      </c>
      <c r="P835" s="0" t="n">
        <f aca="false">SUMPRODUCT((Rules!$A$2:$A$60=P$1)*Rules!$C$2:$C$60*ISNUMBER(SEARCH(Rules!$E$2:$E$60,$D835)))</f>
        <v>2</v>
      </c>
      <c r="Q835" s="0" t="n">
        <f aca="false">SUMPRODUCT((Rules!$A$2:$A$60=Q$1)*Rules!$C$2:$C$60*ISNUMBER(SEARCH(Rules!$E$2:$E$60,$D835)))</f>
        <v>2</v>
      </c>
      <c r="R835" s="0" t="str">
        <f aca="false">IF(OR(MAX(L835:Q835)&lt;Rules!$H$1,MAX(L835:Q835)-LARGE(L835:Q835,2)&lt;Rules!$H$2),"No label",INDEX($L$1:$Q$1,MATCH(MAX(L835:Q835),L835:Q835,0)))</f>
        <v>No label</v>
      </c>
      <c r="S835" s="0" t="n">
        <f aca="false">SUMPRODUCT(ISNUMBER(SEARCH(" "&amp;Terms!$A$3:$A$821&amp;" ",$D835))*Terms!B$3:B$821)+Terms!B$2</f>
        <v>-3.51858663517184</v>
      </c>
      <c r="T835" s="0" t="n">
        <f aca="false">SUMPRODUCT(ISNUMBER(SEARCH(" "&amp;Terms!$A$3:$A$821&amp;" ",$D835))*Terms!C$3:C$821)+Terms!C$2</f>
        <v>4.74169959055899</v>
      </c>
      <c r="U835" s="0" t="n">
        <f aca="false">SUMPRODUCT(ISNUMBER(SEARCH(" "&amp;Terms!$A$3:$A$821&amp;" ",$D835))*Terms!D$3:D$821)+Terms!D$2</f>
        <v>7.99741518411133</v>
      </c>
      <c r="V835" s="0" t="n">
        <f aca="false">SUMPRODUCT(ISNUMBER(SEARCH(" "&amp;Terms!$A$3:$A$821&amp;" ",$D835))*Terms!E$3:E$821)+Terms!E$2</f>
        <v>-2.65472657355047</v>
      </c>
      <c r="W835" s="0" t="n">
        <f aca="false">SUMPRODUCT(ISNUMBER(SEARCH(" "&amp;Terms!$A$3:$A$821&amp;" ",$D835))*Terms!F$3:F$821)+Terms!F$2</f>
        <v>-1.76092723754071</v>
      </c>
      <c r="X835" s="0" t="n">
        <f aca="false">SUMPRODUCT(ISNUMBER(SEARCH(" "&amp;Terms!$A$3:$A$821&amp;" ",$D835))*Terms!G$3:G$821)+Terms!G$2</f>
        <v>-4.8048743284072</v>
      </c>
      <c r="Y835" s="0" t="str">
        <f aca="false">INDEX($S$1:$X$1,MATCH(MAX(S835:X835),S835:X835,0))</f>
        <v>Delays &amp; Processing</v>
      </c>
      <c r="Z835" s="0" t="s">
        <v>2607</v>
      </c>
    </row>
    <row r="836" customFormat="false" ht="15" hidden="false" customHeight="false" outlineLevel="0" collapsed="false">
      <c r="A836" s="0" t="str">
        <f aca="false">Complaints!A836</f>
        <v>C0835</v>
      </c>
      <c r="B836" s="0" t="str">
        <f aca="false">Complaints!B836</f>
        <v>Hello, My card reader stopped working and I cannot approve payments. I am worried it might be fraud. Please escalate this.</v>
      </c>
      <c r="C836" s="0" t="str">
        <f aca="false">Complaints!C836</f>
        <v>Account Access</v>
      </c>
      <c r="D836" s="0" t="str">
        <f aca="false">" "&amp;TRIM(SUBSTITUTE(SUBSTITUTE(SUBSTITUTE(SUBSTITUTE(SUBSTITUTE(SUBSTITUTE(SUBSTITUTE(SUBSTITUTE(SUBSTITUTE(SUBSTITUTE(SUBSTITUTE(SUBSTITUTE(SUBSTITUTE(SUBSTITUTE(SUBSTITUTE(SUBSTITUTE(LOWER(B836),"."," "),","," "),"'"," "),"’"," "),"!"," "),"?"," "),";"," "),":"," "),"-"," "),"("," "),")"," "),"""", " "),"£"," "),"&amp;"," "),"/"," "),"%"," "))&amp;" "</f>
        <v> hello my card reader stopped working and i cannot approve payments i am worried it might be fraud please escalate this </v>
      </c>
      <c r="E836" s="0" t="n">
        <f aca="false">SUMPRODUCT((Rules!$A$2:$A$60=E$1)*Rules!$C$2:$C$60*ISNUMBER(SEARCH(Rules!$D$2:$D$60,$D836)))</f>
        <v>3</v>
      </c>
      <c r="F836" s="0" t="n">
        <f aca="false">SUMPRODUCT((Rules!$A$2:$A$60=F$1)*Rules!$C$2:$C$60*ISNUMBER(SEARCH(Rules!$D$2:$D$60,$D836)))</f>
        <v>0</v>
      </c>
      <c r="G836" s="0" t="n">
        <f aca="false">SUMPRODUCT((Rules!$A$2:$A$60=G$1)*Rules!$C$2:$C$60*ISNUMBER(SEARCH(Rules!$D$2:$D$60,$D836)))</f>
        <v>0</v>
      </c>
      <c r="H836" s="0" t="n">
        <f aca="false">SUMPRODUCT((Rules!$A$2:$A$60=H$1)*Rules!$C$2:$C$60*ISNUMBER(SEARCH(Rules!$D$2:$D$60,$D836)))</f>
        <v>0</v>
      </c>
      <c r="I836" s="0" t="n">
        <f aca="false">SUMPRODUCT((Rules!$A$2:$A$60=I$1)*Rules!$C$2:$C$60*ISNUMBER(SEARCH(Rules!$D$2:$D$60,$D836)))</f>
        <v>0</v>
      </c>
      <c r="J836" s="0" t="n">
        <f aca="false">SUMPRODUCT((Rules!$A$2:$A$60=J$1)*Rules!$C$2:$C$60*ISNUMBER(SEARCH(Rules!$D$2:$D$60,$D836)))</f>
        <v>0</v>
      </c>
      <c r="K836" s="0" t="str">
        <f aca="false">IF(OR(MAX(E836:J836)&lt;Rules!$H$1,MAX(E836:J836)-LARGE(E836:J836,2)&lt;Rules!$H$2),"No label",INDEX($E$1:$J$1,MATCH(MAX(E836:J836),E836:J836,0)))</f>
        <v>Fraud &amp; Scams</v>
      </c>
      <c r="L836" s="0" t="n">
        <f aca="false">SUMPRODUCT((Rules!$A$2:$A$60=L$1)*Rules!$C$2:$C$60*ISNUMBER(SEARCH(Rules!$E$2:$E$60,$D836)))</f>
        <v>3</v>
      </c>
      <c r="M836" s="0" t="n">
        <f aca="false">SUMPRODUCT((Rules!$A$2:$A$60=M$1)*Rules!$C$2:$C$60*ISNUMBER(SEARCH(Rules!$E$2:$E$60,$D836)))</f>
        <v>0</v>
      </c>
      <c r="N836" s="0" t="n">
        <f aca="false">SUMPRODUCT((Rules!$A$2:$A$60=N$1)*Rules!$C$2:$C$60*ISNUMBER(SEARCH(Rules!$E$2:$E$60,$D836)))</f>
        <v>0</v>
      </c>
      <c r="O836" s="0" t="n">
        <f aca="false">SUMPRODUCT((Rules!$A$2:$A$60=O$1)*Rules!$C$2:$C$60*ISNUMBER(SEARCH(Rules!$E$2:$E$60,$D836)))</f>
        <v>0</v>
      </c>
      <c r="P836" s="0" t="n">
        <f aca="false">SUMPRODUCT((Rules!$A$2:$A$60=P$1)*Rules!$C$2:$C$60*ISNUMBER(SEARCH(Rules!$E$2:$E$60,$D836)))</f>
        <v>0</v>
      </c>
      <c r="Q836" s="0" t="n">
        <f aca="false">SUMPRODUCT((Rules!$A$2:$A$60=Q$1)*Rules!$C$2:$C$60*ISNUMBER(SEARCH(Rules!$E$2:$E$60,$D836)))</f>
        <v>0</v>
      </c>
      <c r="R836" s="0" t="str">
        <f aca="false">IF(OR(MAX(L836:Q836)&lt;Rules!$H$1,MAX(L836:Q836)-LARGE(L836:Q836,2)&lt;Rules!$H$2),"No label",INDEX($L$1:$Q$1,MATCH(MAX(L836:Q836),L836:Q836,0)))</f>
        <v>Fraud &amp; Scams</v>
      </c>
      <c r="S836" s="0" t="n">
        <f aca="false">SUMPRODUCT(ISNUMBER(SEARCH(" "&amp;Terms!$A$3:$A$821&amp;" ",$D836))*Terms!B$3:B$821)+Terms!B$2</f>
        <v>16.7846606058717</v>
      </c>
      <c r="T836" s="0" t="n">
        <f aca="false">SUMPRODUCT(ISNUMBER(SEARCH(" "&amp;Terms!$A$3:$A$821&amp;" ",$D836))*Terms!C$3:C$821)+Terms!C$2</f>
        <v>0.367965326599439</v>
      </c>
      <c r="U836" s="0" t="n">
        <f aca="false">SUMPRODUCT(ISNUMBER(SEARCH(" "&amp;Terms!$A$3:$A$821&amp;" ",$D836))*Terms!D$3:D$821)+Terms!D$2</f>
        <v>-4.30332576437317</v>
      </c>
      <c r="V836" s="0" t="n">
        <f aca="false">SUMPRODUCT(ISNUMBER(SEARCH(" "&amp;Terms!$A$3:$A$821&amp;" ",$D836))*Terms!E$3:E$821)+Terms!E$2</f>
        <v>-4.08176129017332</v>
      </c>
      <c r="W836" s="0" t="n">
        <f aca="false">SUMPRODUCT(ISNUMBER(SEARCH(" "&amp;Terms!$A$3:$A$821&amp;" ",$D836))*Terms!F$3:F$821)+Terms!F$2</f>
        <v>-0.746866186124224</v>
      </c>
      <c r="X836" s="0" t="n">
        <f aca="false">SUMPRODUCT(ISNUMBER(SEARCH(" "&amp;Terms!$A$3:$A$821&amp;" ",$D836))*Terms!G$3:G$821)+Terms!G$2</f>
        <v>-8.02067269180038</v>
      </c>
      <c r="Y836" s="0" t="str">
        <f aca="false">INDEX($S$1:$X$1,MATCH(MAX(S836:X836),S836:X836,0))</f>
        <v>Account Access</v>
      </c>
      <c r="Z836" s="0" t="s">
        <v>2607</v>
      </c>
    </row>
    <row r="837" customFormat="false" ht="15" hidden="false" customHeight="false" outlineLevel="0" collapsed="false">
      <c r="A837" s="0" t="str">
        <f aca="false">Complaints!A837</f>
        <v>C0836</v>
      </c>
      <c r="B837" s="0" t="str">
        <f aca="false">Complaints!B837</f>
        <v>I have had enough of the way this has gone. This is not acceptable.</v>
      </c>
      <c r="C837" s="0" t="str">
        <f aca="false">Complaints!C837</f>
        <v>Account Access</v>
      </c>
      <c r="D837" s="0" t="str">
        <f aca="false">" "&amp;TRIM(SUBSTITUTE(SUBSTITUTE(SUBSTITUTE(SUBSTITUTE(SUBSTITUTE(SUBSTITUTE(SUBSTITUTE(SUBSTITUTE(SUBSTITUTE(SUBSTITUTE(SUBSTITUTE(SUBSTITUTE(SUBSTITUTE(SUBSTITUTE(SUBSTITUTE(SUBSTITUTE(LOWER(B837),"."," "),","," "),"'"," "),"’"," "),"!"," "),"?"," "),";"," "),":"," "),"-"," "),"("," "),")"," "),"""", " "),"£"," "),"&amp;"," "),"/"," "),"%"," "))&amp;" "</f>
        <v> i have had enough of the way this has gone this is not acceptable </v>
      </c>
      <c r="E837" s="0" t="n">
        <f aca="false">SUMPRODUCT((Rules!$A$2:$A$60=E$1)*Rules!$C$2:$C$60*ISNUMBER(SEARCH(Rules!$D$2:$D$60,$D837)))</f>
        <v>0</v>
      </c>
      <c r="F837" s="0" t="n">
        <f aca="false">SUMPRODUCT((Rules!$A$2:$A$60=F$1)*Rules!$C$2:$C$60*ISNUMBER(SEARCH(Rules!$D$2:$D$60,$D837)))</f>
        <v>0</v>
      </c>
      <c r="G837" s="0" t="n">
        <f aca="false">SUMPRODUCT((Rules!$A$2:$A$60=G$1)*Rules!$C$2:$C$60*ISNUMBER(SEARCH(Rules!$D$2:$D$60,$D837)))</f>
        <v>0</v>
      </c>
      <c r="H837" s="0" t="n">
        <f aca="false">SUMPRODUCT((Rules!$A$2:$A$60=H$1)*Rules!$C$2:$C$60*ISNUMBER(SEARCH(Rules!$D$2:$D$60,$D837)))</f>
        <v>0</v>
      </c>
      <c r="I837" s="0" t="n">
        <f aca="false">SUMPRODUCT((Rules!$A$2:$A$60=I$1)*Rules!$C$2:$C$60*ISNUMBER(SEARCH(Rules!$D$2:$D$60,$D837)))</f>
        <v>0</v>
      </c>
      <c r="J837" s="0" t="n">
        <f aca="false">SUMPRODUCT((Rules!$A$2:$A$60=J$1)*Rules!$C$2:$C$60*ISNUMBER(SEARCH(Rules!$D$2:$D$60,$D837)))</f>
        <v>0</v>
      </c>
      <c r="K837" s="0" t="str">
        <f aca="false">IF(OR(MAX(E837:J837)&lt;Rules!$H$1,MAX(E837:J837)-LARGE(E837:J837,2)&lt;Rules!$H$2),"No label",INDEX($E$1:$J$1,MATCH(MAX(E837:J837),E837:J837,0)))</f>
        <v>No label</v>
      </c>
      <c r="L837" s="0" t="n">
        <f aca="false">SUMPRODUCT((Rules!$A$2:$A$60=L$1)*Rules!$C$2:$C$60*ISNUMBER(SEARCH(Rules!$E$2:$E$60,$D837)))</f>
        <v>0</v>
      </c>
      <c r="M837" s="0" t="n">
        <f aca="false">SUMPRODUCT((Rules!$A$2:$A$60=M$1)*Rules!$C$2:$C$60*ISNUMBER(SEARCH(Rules!$E$2:$E$60,$D837)))</f>
        <v>0</v>
      </c>
      <c r="N837" s="0" t="n">
        <f aca="false">SUMPRODUCT((Rules!$A$2:$A$60=N$1)*Rules!$C$2:$C$60*ISNUMBER(SEARCH(Rules!$E$2:$E$60,$D837)))</f>
        <v>1</v>
      </c>
      <c r="O837" s="0" t="n">
        <f aca="false">SUMPRODUCT((Rules!$A$2:$A$60=O$1)*Rules!$C$2:$C$60*ISNUMBER(SEARCH(Rules!$E$2:$E$60,$D837)))</f>
        <v>0</v>
      </c>
      <c r="P837" s="0" t="n">
        <f aca="false">SUMPRODUCT((Rules!$A$2:$A$60=P$1)*Rules!$C$2:$C$60*ISNUMBER(SEARCH(Rules!$E$2:$E$60,$D837)))</f>
        <v>0</v>
      </c>
      <c r="Q837" s="0" t="n">
        <f aca="false">SUMPRODUCT((Rules!$A$2:$A$60=Q$1)*Rules!$C$2:$C$60*ISNUMBER(SEARCH(Rules!$E$2:$E$60,$D837)))</f>
        <v>0</v>
      </c>
      <c r="R837" s="0" t="str">
        <f aca="false">IF(OR(MAX(L837:Q837)&lt;Rules!$H$1,MAX(L837:Q837)-LARGE(L837:Q837,2)&lt;Rules!$H$2),"No label",INDEX($L$1:$Q$1,MATCH(MAX(L837:Q837),L837:Q837,0)))</f>
        <v>No label</v>
      </c>
      <c r="S837" s="0" t="n">
        <f aca="false">SUMPRODUCT(ISNUMBER(SEARCH(" "&amp;Terms!$A$3:$A$821&amp;" ",$D837))*Terms!B$3:B$821)+Terms!B$2</f>
        <v>1.67405630031065</v>
      </c>
      <c r="T837" s="0" t="n">
        <f aca="false">SUMPRODUCT(ISNUMBER(SEARCH(" "&amp;Terms!$A$3:$A$821&amp;" ",$D837))*Terms!C$3:C$821)+Terms!C$2</f>
        <v>-1.1945625903231</v>
      </c>
      <c r="U837" s="0" t="n">
        <f aca="false">SUMPRODUCT(ISNUMBER(SEARCH(" "&amp;Terms!$A$3:$A$821&amp;" ",$D837))*Terms!D$3:D$821)+Terms!D$2</f>
        <v>0.605440245578665</v>
      </c>
      <c r="V837" s="0" t="n">
        <f aca="false">SUMPRODUCT(ISNUMBER(SEARCH(" "&amp;Terms!$A$3:$A$821&amp;" ",$D837))*Terms!E$3:E$821)+Terms!E$2</f>
        <v>0.915808293548891</v>
      </c>
      <c r="W837" s="0" t="n">
        <f aca="false">SUMPRODUCT(ISNUMBER(SEARCH(" "&amp;Terms!$A$3:$A$821&amp;" ",$D837))*Terms!F$3:F$821)+Terms!F$2</f>
        <v>-1.77124250964187</v>
      </c>
      <c r="X837" s="0" t="n">
        <f aca="false">SUMPRODUCT(ISNUMBER(SEARCH(" "&amp;Terms!$A$3:$A$821&amp;" ",$D837))*Terms!G$3:G$821)+Terms!G$2</f>
        <v>-0.229499739473143</v>
      </c>
      <c r="Y837" s="0" t="str">
        <f aca="false">INDEX($S$1:$X$1,MATCH(MAX(S837:X837),S837:X837,0))</f>
        <v>Account Access</v>
      </c>
      <c r="Z837" s="0" t="s">
        <v>2607</v>
      </c>
    </row>
    <row r="838" customFormat="false" ht="15" hidden="false" customHeight="false" outlineLevel="0" collapsed="false">
      <c r="A838" s="0" t="str">
        <f aca="false">Complaints!A838</f>
        <v>C0837</v>
      </c>
      <c r="B838" s="0" t="str">
        <f aca="false">Complaints!B838</f>
        <v>Frankly, The costs keep creeping up and my balance is lower than it should be. Please sort this out.</v>
      </c>
      <c r="C838" s="0" t="str">
        <f aca="false">Complaints!C838</f>
        <v>Fees &amp; Charges</v>
      </c>
      <c r="D838" s="0" t="str">
        <f aca="false">" "&amp;TRIM(SUBSTITUTE(SUBSTITUTE(SUBSTITUTE(SUBSTITUTE(SUBSTITUTE(SUBSTITUTE(SUBSTITUTE(SUBSTITUTE(SUBSTITUTE(SUBSTITUTE(SUBSTITUTE(SUBSTITUTE(SUBSTITUTE(SUBSTITUTE(SUBSTITUTE(SUBSTITUTE(LOWER(B838),"."," "),","," "),"'"," "),"’"," "),"!"," "),"?"," "),";"," "),":"," "),"-"," "),"("," "),")"," "),"""", " "),"£"," "),"&amp;"," "),"/"," "),"%"," "))&amp;" "</f>
        <v> frankly the costs keep creeping up and my balance is lower than it should be please sort this out </v>
      </c>
      <c r="E838" s="0" t="n">
        <f aca="false">SUMPRODUCT((Rules!$A$2:$A$60=E$1)*Rules!$C$2:$C$60*ISNUMBER(SEARCH(Rules!$D$2:$D$60,$D838)))</f>
        <v>0</v>
      </c>
      <c r="F838" s="0" t="n">
        <f aca="false">SUMPRODUCT((Rules!$A$2:$A$60=F$1)*Rules!$C$2:$C$60*ISNUMBER(SEARCH(Rules!$D$2:$D$60,$D838)))</f>
        <v>0</v>
      </c>
      <c r="G838" s="0" t="n">
        <f aca="false">SUMPRODUCT((Rules!$A$2:$A$60=G$1)*Rules!$C$2:$C$60*ISNUMBER(SEARCH(Rules!$D$2:$D$60,$D838)))</f>
        <v>0</v>
      </c>
      <c r="H838" s="0" t="n">
        <f aca="false">SUMPRODUCT((Rules!$A$2:$A$60=H$1)*Rules!$C$2:$C$60*ISNUMBER(SEARCH(Rules!$D$2:$D$60,$D838)))</f>
        <v>1</v>
      </c>
      <c r="I838" s="0" t="n">
        <f aca="false">SUMPRODUCT((Rules!$A$2:$A$60=I$1)*Rules!$C$2:$C$60*ISNUMBER(SEARCH(Rules!$D$2:$D$60,$D838)))</f>
        <v>0</v>
      </c>
      <c r="J838" s="0" t="n">
        <f aca="false">SUMPRODUCT((Rules!$A$2:$A$60=J$1)*Rules!$C$2:$C$60*ISNUMBER(SEARCH(Rules!$D$2:$D$60,$D838)))</f>
        <v>0</v>
      </c>
      <c r="K838" s="0" t="str">
        <f aca="false">IF(OR(MAX(E838:J838)&lt;Rules!$H$1,MAX(E838:J838)-LARGE(E838:J838,2)&lt;Rules!$H$2),"No label",INDEX($E$1:$J$1,MATCH(MAX(E838:J838),E838:J838,0)))</f>
        <v>No label</v>
      </c>
      <c r="L838" s="0" t="n">
        <f aca="false">SUMPRODUCT((Rules!$A$2:$A$60=L$1)*Rules!$C$2:$C$60*ISNUMBER(SEARCH(Rules!$E$2:$E$60,$D838)))</f>
        <v>0</v>
      </c>
      <c r="M838" s="0" t="n">
        <f aca="false">SUMPRODUCT((Rules!$A$2:$A$60=M$1)*Rules!$C$2:$C$60*ISNUMBER(SEARCH(Rules!$E$2:$E$60,$D838)))</f>
        <v>0</v>
      </c>
      <c r="N838" s="0" t="n">
        <f aca="false">SUMPRODUCT((Rules!$A$2:$A$60=N$1)*Rules!$C$2:$C$60*ISNUMBER(SEARCH(Rules!$E$2:$E$60,$D838)))</f>
        <v>0</v>
      </c>
      <c r="O838" s="0" t="n">
        <f aca="false">SUMPRODUCT((Rules!$A$2:$A$60=O$1)*Rules!$C$2:$C$60*ISNUMBER(SEARCH(Rules!$E$2:$E$60,$D838)))</f>
        <v>1</v>
      </c>
      <c r="P838" s="0" t="n">
        <f aca="false">SUMPRODUCT((Rules!$A$2:$A$60=P$1)*Rules!$C$2:$C$60*ISNUMBER(SEARCH(Rules!$E$2:$E$60,$D838)))</f>
        <v>0</v>
      </c>
      <c r="Q838" s="0" t="n">
        <f aca="false">SUMPRODUCT((Rules!$A$2:$A$60=Q$1)*Rules!$C$2:$C$60*ISNUMBER(SEARCH(Rules!$E$2:$E$60,$D838)))</f>
        <v>0</v>
      </c>
      <c r="R838" s="0" t="str">
        <f aca="false">IF(OR(MAX(L838:Q838)&lt;Rules!$H$1,MAX(L838:Q838)-LARGE(L838:Q838,2)&lt;Rules!$H$2),"No label",INDEX($L$1:$Q$1,MATCH(MAX(L838:Q838),L838:Q838,0)))</f>
        <v>No label</v>
      </c>
      <c r="S838" s="0" t="n">
        <f aca="false">SUMPRODUCT(ISNUMBER(SEARCH(" "&amp;Terms!$A$3:$A$821&amp;" ",$D838))*Terms!B$3:B$821)+Terms!B$2</f>
        <v>-2.48042023237849</v>
      </c>
      <c r="T838" s="0" t="n">
        <f aca="false">SUMPRODUCT(ISNUMBER(SEARCH(" "&amp;Terms!$A$3:$A$821&amp;" ",$D838))*Terms!C$3:C$821)+Terms!C$2</f>
        <v>-0.790172220499629</v>
      </c>
      <c r="U838" s="0" t="n">
        <f aca="false">SUMPRODUCT(ISNUMBER(SEARCH(" "&amp;Terms!$A$3:$A$821&amp;" ",$D838))*Terms!D$3:D$821)+Terms!D$2</f>
        <v>-1.40966298537791</v>
      </c>
      <c r="V838" s="0" t="n">
        <f aca="false">SUMPRODUCT(ISNUMBER(SEARCH(" "&amp;Terms!$A$3:$A$821&amp;" ",$D838))*Terms!E$3:E$821)+Terms!E$2</f>
        <v>7.46674810524812</v>
      </c>
      <c r="W838" s="0" t="n">
        <f aca="false">SUMPRODUCT(ISNUMBER(SEARCH(" "&amp;Terms!$A$3:$A$821&amp;" ",$D838))*Terms!F$3:F$821)+Terms!F$2</f>
        <v>0.416113012016672</v>
      </c>
      <c r="X838" s="0" t="n">
        <f aca="false">SUMPRODUCT(ISNUMBER(SEARCH(" "&amp;Terms!$A$3:$A$821&amp;" ",$D838))*Terms!G$3:G$821)+Terms!G$2</f>
        <v>-3.20260567900867</v>
      </c>
      <c r="Y838" s="0" t="str">
        <f aca="false">INDEX($S$1:$X$1,MATCH(MAX(S838:X838),S838:X838,0))</f>
        <v>Fees &amp; Charges</v>
      </c>
      <c r="Z838" s="0" t="s">
        <v>2607</v>
      </c>
    </row>
    <row r="839" customFormat="false" ht="15" hidden="false" customHeight="false" outlineLevel="0" collapsed="false">
      <c r="A839" s="0" t="str">
        <f aca="false">Complaints!A839</f>
        <v>C0838</v>
      </c>
      <c r="B839" s="0" t="str">
        <f aca="false">Complaints!B839</f>
        <v>The password reset keeps failing and I am locked out. Also, i was advised to take out cover that duplicates what I already had. I would like a response in writing.</v>
      </c>
      <c r="C839" s="0" t="str">
        <f aca="false">Complaints!C839</f>
        <v>Account Access</v>
      </c>
      <c r="D839" s="0" t="str">
        <f aca="false">" "&amp;TRIM(SUBSTITUTE(SUBSTITUTE(SUBSTITUTE(SUBSTITUTE(SUBSTITUTE(SUBSTITUTE(SUBSTITUTE(SUBSTITUTE(SUBSTITUTE(SUBSTITUTE(SUBSTITUTE(SUBSTITUTE(SUBSTITUTE(SUBSTITUTE(SUBSTITUTE(SUBSTITUTE(LOWER(B839),"."," "),","," "),"'"," "),"’"," "),"!"," "),"?"," "),";"," "),":"," "),"-"," "),"("," "),")"," "),"""", " "),"£"," "),"&amp;"," "),"/"," "),"%"," "))&amp;" "</f>
        <v> the password reset keeps failing and i am locked out also i was advised to take out cover that duplicates what i already had i would like a response in writing </v>
      </c>
      <c r="E839" s="0" t="n">
        <f aca="false">SUMPRODUCT((Rules!$A$2:$A$60=E$1)*Rules!$C$2:$C$60*ISNUMBER(SEARCH(Rules!$D$2:$D$60,$D839)))</f>
        <v>0</v>
      </c>
      <c r="F839" s="0" t="n">
        <f aca="false">SUMPRODUCT((Rules!$A$2:$A$60=F$1)*Rules!$C$2:$C$60*ISNUMBER(SEARCH(Rules!$D$2:$D$60,$D839)))</f>
        <v>0</v>
      </c>
      <c r="G839" s="0" t="n">
        <f aca="false">SUMPRODUCT((Rules!$A$2:$A$60=G$1)*Rules!$C$2:$C$60*ISNUMBER(SEARCH(Rules!$D$2:$D$60,$D839)))</f>
        <v>8</v>
      </c>
      <c r="H839" s="0" t="n">
        <f aca="false">SUMPRODUCT((Rules!$A$2:$A$60=H$1)*Rules!$C$2:$C$60*ISNUMBER(SEARCH(Rules!$D$2:$D$60,$D839)))</f>
        <v>0</v>
      </c>
      <c r="I839" s="0" t="n">
        <f aca="false">SUMPRODUCT((Rules!$A$2:$A$60=I$1)*Rules!$C$2:$C$60*ISNUMBER(SEARCH(Rules!$D$2:$D$60,$D839)))</f>
        <v>0</v>
      </c>
      <c r="J839" s="0" t="n">
        <f aca="false">SUMPRODUCT((Rules!$A$2:$A$60=J$1)*Rules!$C$2:$C$60*ISNUMBER(SEARCH(Rules!$D$2:$D$60,$D839)))</f>
        <v>0</v>
      </c>
      <c r="K839" s="0" t="str">
        <f aca="false">IF(OR(MAX(E839:J839)&lt;Rules!$H$1,MAX(E839:J839)-LARGE(E839:J839,2)&lt;Rules!$H$2),"No label",INDEX($E$1:$J$1,MATCH(MAX(E839:J839),E839:J839,0)))</f>
        <v>Account Access</v>
      </c>
      <c r="L839" s="0" t="n">
        <f aca="false">SUMPRODUCT((Rules!$A$2:$A$60=L$1)*Rules!$C$2:$C$60*ISNUMBER(SEARCH(Rules!$E$2:$E$60,$D839)))</f>
        <v>0</v>
      </c>
      <c r="M839" s="0" t="n">
        <f aca="false">SUMPRODUCT((Rules!$A$2:$A$60=M$1)*Rules!$C$2:$C$60*ISNUMBER(SEARCH(Rules!$E$2:$E$60,$D839)))</f>
        <v>4</v>
      </c>
      <c r="N839" s="0" t="n">
        <f aca="false">SUMPRODUCT((Rules!$A$2:$A$60=N$1)*Rules!$C$2:$C$60*ISNUMBER(SEARCH(Rules!$E$2:$E$60,$D839)))</f>
        <v>8</v>
      </c>
      <c r="O839" s="0" t="n">
        <f aca="false">SUMPRODUCT((Rules!$A$2:$A$60=O$1)*Rules!$C$2:$C$60*ISNUMBER(SEARCH(Rules!$E$2:$E$60,$D839)))</f>
        <v>0</v>
      </c>
      <c r="P839" s="0" t="n">
        <f aca="false">SUMPRODUCT((Rules!$A$2:$A$60=P$1)*Rules!$C$2:$C$60*ISNUMBER(SEARCH(Rules!$E$2:$E$60,$D839)))</f>
        <v>0</v>
      </c>
      <c r="Q839" s="0" t="n">
        <f aca="false">SUMPRODUCT((Rules!$A$2:$A$60=Q$1)*Rules!$C$2:$C$60*ISNUMBER(SEARCH(Rules!$E$2:$E$60,$D839)))</f>
        <v>1</v>
      </c>
      <c r="R839" s="0" t="str">
        <f aca="false">IF(OR(MAX(L839:Q839)&lt;Rules!$H$1,MAX(L839:Q839)-LARGE(L839:Q839,2)&lt;Rules!$H$2),"No label",INDEX($L$1:$Q$1,MATCH(MAX(L839:Q839),L839:Q839,0)))</f>
        <v>Account Access</v>
      </c>
      <c r="S839" s="0" t="n">
        <f aca="false">SUMPRODUCT(ISNUMBER(SEARCH(" "&amp;Terms!$A$3:$A$821&amp;" ",$D839))*Terms!B$3:B$821)+Terms!B$2</f>
        <v>10.3402394755857</v>
      </c>
      <c r="T839" s="0" t="n">
        <f aca="false">SUMPRODUCT(ISNUMBER(SEARCH(" "&amp;Terms!$A$3:$A$821&amp;" ",$D839))*Terms!C$3:C$821)+Terms!C$2</f>
        <v>-5.98128159046484</v>
      </c>
      <c r="U839" s="0" t="n">
        <f aca="false">SUMPRODUCT(ISNUMBER(SEARCH(" "&amp;Terms!$A$3:$A$821&amp;" ",$D839))*Terms!D$3:D$821)+Terms!D$2</f>
        <v>-3.97680761601041</v>
      </c>
      <c r="V839" s="0" t="n">
        <f aca="false">SUMPRODUCT(ISNUMBER(SEARCH(" "&amp;Terms!$A$3:$A$821&amp;" ",$D839))*Terms!E$3:E$821)+Terms!E$2</f>
        <v>-3.66015501585848</v>
      </c>
      <c r="W839" s="0" t="n">
        <f aca="false">SUMPRODUCT(ISNUMBER(SEARCH(" "&amp;Terms!$A$3:$A$821&amp;" ",$D839))*Terms!F$3:F$821)+Terms!F$2</f>
        <v>-4.44615757136659</v>
      </c>
      <c r="X839" s="0" t="n">
        <f aca="false">SUMPRODUCT(ISNUMBER(SEARCH(" "&amp;Terms!$A$3:$A$821&amp;" ",$D839))*Terms!G$3:G$821)+Terms!G$2</f>
        <v>7.7241623181147</v>
      </c>
      <c r="Y839" s="0" t="str">
        <f aca="false">INDEX($S$1:$X$1,MATCH(MAX(S839:X839),S839:X839,0))</f>
        <v>Account Access</v>
      </c>
      <c r="Z839" s="0" t="s">
        <v>2608</v>
      </c>
    </row>
    <row r="840" customFormat="false" ht="15" hidden="false" customHeight="false" outlineLevel="0" collapsed="false">
      <c r="A840" s="0" t="str">
        <f aca="false">Complaints!A840</f>
        <v>C0839</v>
      </c>
      <c r="B840" s="0" t="str">
        <f aca="false">Complaints!B840</f>
        <v>The direct debit setup was delayed and I missed a bill because of it. This is not acceptable.</v>
      </c>
      <c r="C840" s="0" t="str">
        <f aca="false">Complaints!C840</f>
        <v>Delays &amp; Processing</v>
      </c>
      <c r="D840" s="0" t="str">
        <f aca="false">" "&amp;TRIM(SUBSTITUTE(SUBSTITUTE(SUBSTITUTE(SUBSTITUTE(SUBSTITUTE(SUBSTITUTE(SUBSTITUTE(SUBSTITUTE(SUBSTITUTE(SUBSTITUTE(SUBSTITUTE(SUBSTITUTE(SUBSTITUTE(SUBSTITUTE(SUBSTITUTE(SUBSTITUTE(LOWER(B840),"."," "),","," "),"'"," "),"’"," "),"!"," "),"?"," "),";"," "),":"," "),"-"," "),"("," "),")"," "),"""", " "),"£"," "),"&amp;"," "),"/"," "),"%"," "))&amp;" "</f>
        <v> the direct debit setup was delayed and i missed a bill because of it this is not acceptable </v>
      </c>
      <c r="E840" s="0" t="n">
        <f aca="false">SUMPRODUCT((Rules!$A$2:$A$60=E$1)*Rules!$C$2:$C$60*ISNUMBER(SEARCH(Rules!$D$2:$D$60,$D840)))</f>
        <v>0</v>
      </c>
      <c r="F840" s="0" t="n">
        <f aca="false">SUMPRODUCT((Rules!$A$2:$A$60=F$1)*Rules!$C$2:$C$60*ISNUMBER(SEARCH(Rules!$D$2:$D$60,$D840)))</f>
        <v>0</v>
      </c>
      <c r="G840" s="0" t="n">
        <f aca="false">SUMPRODUCT((Rules!$A$2:$A$60=G$1)*Rules!$C$2:$C$60*ISNUMBER(SEARCH(Rules!$D$2:$D$60,$D840)))</f>
        <v>0</v>
      </c>
      <c r="H840" s="0" t="n">
        <f aca="false">SUMPRODUCT((Rules!$A$2:$A$60=H$1)*Rules!$C$2:$C$60*ISNUMBER(SEARCH(Rules!$D$2:$D$60,$D840)))</f>
        <v>0</v>
      </c>
      <c r="I840" s="0" t="n">
        <f aca="false">SUMPRODUCT((Rules!$A$2:$A$60=I$1)*Rules!$C$2:$C$60*ISNUMBER(SEARCH(Rules!$D$2:$D$60,$D840)))</f>
        <v>2</v>
      </c>
      <c r="J840" s="0" t="n">
        <f aca="false">SUMPRODUCT((Rules!$A$2:$A$60=J$1)*Rules!$C$2:$C$60*ISNUMBER(SEARCH(Rules!$D$2:$D$60,$D840)))</f>
        <v>0</v>
      </c>
      <c r="K840" s="0" t="str">
        <f aca="false">IF(OR(MAX(E840:J840)&lt;Rules!$H$1,MAX(E840:J840)-LARGE(E840:J840,2)&lt;Rules!$H$2),"No label",INDEX($E$1:$J$1,MATCH(MAX(E840:J840),E840:J840,0)))</f>
        <v>No label</v>
      </c>
      <c r="L840" s="0" t="n">
        <f aca="false">SUMPRODUCT((Rules!$A$2:$A$60=L$1)*Rules!$C$2:$C$60*ISNUMBER(SEARCH(Rules!$E$2:$E$60,$D840)))</f>
        <v>0</v>
      </c>
      <c r="M840" s="0" t="n">
        <f aca="false">SUMPRODUCT((Rules!$A$2:$A$60=M$1)*Rules!$C$2:$C$60*ISNUMBER(SEARCH(Rules!$E$2:$E$60,$D840)))</f>
        <v>0</v>
      </c>
      <c r="N840" s="0" t="n">
        <f aca="false">SUMPRODUCT((Rules!$A$2:$A$60=N$1)*Rules!$C$2:$C$60*ISNUMBER(SEARCH(Rules!$E$2:$E$60,$D840)))</f>
        <v>1</v>
      </c>
      <c r="O840" s="0" t="n">
        <f aca="false">SUMPRODUCT((Rules!$A$2:$A$60=O$1)*Rules!$C$2:$C$60*ISNUMBER(SEARCH(Rules!$E$2:$E$60,$D840)))</f>
        <v>2</v>
      </c>
      <c r="P840" s="0" t="n">
        <f aca="false">SUMPRODUCT((Rules!$A$2:$A$60=P$1)*Rules!$C$2:$C$60*ISNUMBER(SEARCH(Rules!$E$2:$E$60,$D840)))</f>
        <v>2</v>
      </c>
      <c r="Q840" s="0" t="n">
        <f aca="false">SUMPRODUCT((Rules!$A$2:$A$60=Q$1)*Rules!$C$2:$C$60*ISNUMBER(SEARCH(Rules!$E$2:$E$60,$D840)))</f>
        <v>0</v>
      </c>
      <c r="R840" s="0" t="str">
        <f aca="false">IF(OR(MAX(L840:Q840)&lt;Rules!$H$1,MAX(L840:Q840)-LARGE(L840:Q840,2)&lt;Rules!$H$2),"No label",INDEX($L$1:$Q$1,MATCH(MAX(L840:Q840),L840:Q840,0)))</f>
        <v>No label</v>
      </c>
      <c r="S840" s="0" t="n">
        <f aca="false">SUMPRODUCT(ISNUMBER(SEARCH(" "&amp;Terms!$A$3:$A$821&amp;" ",$D840))*Terms!B$3:B$821)+Terms!B$2</f>
        <v>-2.33600182242197</v>
      </c>
      <c r="T840" s="0" t="n">
        <f aca="false">SUMPRODUCT(ISNUMBER(SEARCH(" "&amp;Terms!$A$3:$A$821&amp;" ",$D840))*Terms!C$3:C$821)+Terms!C$2</f>
        <v>-3.54802485026087</v>
      </c>
      <c r="U840" s="0" t="n">
        <f aca="false">SUMPRODUCT(ISNUMBER(SEARCH(" "&amp;Terms!$A$3:$A$821&amp;" ",$D840))*Terms!D$3:D$821)+Terms!D$2</f>
        <v>11.7752038729854</v>
      </c>
      <c r="V840" s="0" t="n">
        <f aca="false">SUMPRODUCT(ISNUMBER(SEARCH(" "&amp;Terms!$A$3:$A$821&amp;" ",$D840))*Terms!E$3:E$821)+Terms!E$2</f>
        <v>-4.04696104222767</v>
      </c>
      <c r="W840" s="0" t="n">
        <f aca="false">SUMPRODUCT(ISNUMBER(SEARCH(" "&amp;Terms!$A$3:$A$821&amp;" ",$D840))*Terms!F$3:F$821)+Terms!F$2</f>
        <v>0.0507111530228932</v>
      </c>
      <c r="X840" s="0" t="n">
        <f aca="false">SUMPRODUCT(ISNUMBER(SEARCH(" "&amp;Terms!$A$3:$A$821&amp;" ",$D840))*Terms!G$3:G$821)+Terms!G$2</f>
        <v>-1.89492731109768</v>
      </c>
      <c r="Y840" s="0" t="str">
        <f aca="false">INDEX($S$1:$X$1,MATCH(MAX(S840:X840),S840:X840,0))</f>
        <v>Delays &amp; Processing</v>
      </c>
      <c r="Z840" s="0" t="s">
        <v>2607</v>
      </c>
    </row>
    <row r="841" customFormat="false" ht="15" hidden="false" customHeight="false" outlineLevel="0" collapsed="false">
      <c r="A841" s="0" t="str">
        <f aca="false">Complaints!A841</f>
        <v>C0840</v>
      </c>
      <c r="B841" s="0" t="str">
        <f aca="false">Complaints!B841</f>
        <v>The password reset keeps failing and I am locked out. It has also been taking far too long. I expect compensation.</v>
      </c>
      <c r="C841" s="0" t="str">
        <f aca="false">Complaints!C841</f>
        <v>Account Access</v>
      </c>
      <c r="D841" s="0" t="str">
        <f aca="false">" "&amp;TRIM(SUBSTITUTE(SUBSTITUTE(SUBSTITUTE(SUBSTITUTE(SUBSTITUTE(SUBSTITUTE(SUBSTITUTE(SUBSTITUTE(SUBSTITUTE(SUBSTITUTE(SUBSTITUTE(SUBSTITUTE(SUBSTITUTE(SUBSTITUTE(SUBSTITUTE(SUBSTITUTE(LOWER(B841),"."," "),","," "),"'"," "),"’"," "),"!"," "),"?"," "),";"," "),":"," "),"-"," "),"("," "),")"," "),"""", " "),"£"," "),"&amp;"," "),"/"," "),"%"," "))&amp;" "</f>
        <v> the password reset keeps failing and i am locked out it has also been taking far too long i expect compensation </v>
      </c>
      <c r="E841" s="0" t="n">
        <f aca="false">SUMPRODUCT((Rules!$A$2:$A$60=E$1)*Rules!$C$2:$C$60*ISNUMBER(SEARCH(Rules!$D$2:$D$60,$D841)))</f>
        <v>0</v>
      </c>
      <c r="F841" s="0" t="n">
        <f aca="false">SUMPRODUCT((Rules!$A$2:$A$60=F$1)*Rules!$C$2:$C$60*ISNUMBER(SEARCH(Rules!$D$2:$D$60,$D841)))</f>
        <v>0</v>
      </c>
      <c r="G841" s="0" t="n">
        <f aca="false">SUMPRODUCT((Rules!$A$2:$A$60=G$1)*Rules!$C$2:$C$60*ISNUMBER(SEARCH(Rules!$D$2:$D$60,$D841)))</f>
        <v>8</v>
      </c>
      <c r="H841" s="0" t="n">
        <f aca="false">SUMPRODUCT((Rules!$A$2:$A$60=H$1)*Rules!$C$2:$C$60*ISNUMBER(SEARCH(Rules!$D$2:$D$60,$D841)))</f>
        <v>0</v>
      </c>
      <c r="I841" s="0" t="n">
        <f aca="false">SUMPRODUCT((Rules!$A$2:$A$60=I$1)*Rules!$C$2:$C$60*ISNUMBER(SEARCH(Rules!$D$2:$D$60,$D841)))</f>
        <v>0</v>
      </c>
      <c r="J841" s="0" t="n">
        <f aca="false">SUMPRODUCT((Rules!$A$2:$A$60=J$1)*Rules!$C$2:$C$60*ISNUMBER(SEARCH(Rules!$D$2:$D$60,$D841)))</f>
        <v>0</v>
      </c>
      <c r="K841" s="0" t="str">
        <f aca="false">IF(OR(MAX(E841:J841)&lt;Rules!$H$1,MAX(E841:J841)-LARGE(E841:J841,2)&lt;Rules!$H$2),"No label",INDEX($E$1:$J$1,MATCH(MAX(E841:J841),E841:J841,0)))</f>
        <v>Account Access</v>
      </c>
      <c r="L841" s="0" t="n">
        <f aca="false">SUMPRODUCT((Rules!$A$2:$A$60=L$1)*Rules!$C$2:$C$60*ISNUMBER(SEARCH(Rules!$E$2:$E$60,$D841)))</f>
        <v>0</v>
      </c>
      <c r="M841" s="0" t="n">
        <f aca="false">SUMPRODUCT((Rules!$A$2:$A$60=M$1)*Rules!$C$2:$C$60*ISNUMBER(SEARCH(Rules!$E$2:$E$60,$D841)))</f>
        <v>0</v>
      </c>
      <c r="N841" s="0" t="n">
        <f aca="false">SUMPRODUCT((Rules!$A$2:$A$60=N$1)*Rules!$C$2:$C$60*ISNUMBER(SEARCH(Rules!$E$2:$E$60,$D841)))</f>
        <v>8</v>
      </c>
      <c r="O841" s="0" t="n">
        <f aca="false">SUMPRODUCT((Rules!$A$2:$A$60=O$1)*Rules!$C$2:$C$60*ISNUMBER(SEARCH(Rules!$E$2:$E$60,$D841)))</f>
        <v>0</v>
      </c>
      <c r="P841" s="0" t="n">
        <f aca="false">SUMPRODUCT((Rules!$A$2:$A$60=P$1)*Rules!$C$2:$C$60*ISNUMBER(SEARCH(Rules!$E$2:$E$60,$D841)))</f>
        <v>0</v>
      </c>
      <c r="Q841" s="0" t="n">
        <f aca="false">SUMPRODUCT((Rules!$A$2:$A$60=Q$1)*Rules!$C$2:$C$60*ISNUMBER(SEARCH(Rules!$E$2:$E$60,$D841)))</f>
        <v>0</v>
      </c>
      <c r="R841" s="0" t="str">
        <f aca="false">IF(OR(MAX(L841:Q841)&lt;Rules!$H$1,MAX(L841:Q841)-LARGE(L841:Q841,2)&lt;Rules!$H$2),"No label",INDEX($L$1:$Q$1,MATCH(MAX(L841:Q841),L841:Q841,0)))</f>
        <v>Account Access</v>
      </c>
      <c r="S841" s="0" t="n">
        <f aca="false">SUMPRODUCT(ISNUMBER(SEARCH(" "&amp;Terms!$A$3:$A$821&amp;" ",$D841))*Terms!B$3:B$821)+Terms!B$2</f>
        <v>12.8735243731968</v>
      </c>
      <c r="T841" s="0" t="n">
        <f aca="false">SUMPRODUCT(ISNUMBER(SEARCH(" "&amp;Terms!$A$3:$A$821&amp;" ",$D841))*Terms!C$3:C$821)+Terms!C$2</f>
        <v>-5.56840635947778</v>
      </c>
      <c r="U841" s="0" t="n">
        <f aca="false">SUMPRODUCT(ISNUMBER(SEARCH(" "&amp;Terms!$A$3:$A$821&amp;" ",$D841))*Terms!D$3:D$821)+Terms!D$2</f>
        <v>-2.61832716350315</v>
      </c>
      <c r="V841" s="0" t="n">
        <f aca="false">SUMPRODUCT(ISNUMBER(SEARCH(" "&amp;Terms!$A$3:$A$821&amp;" ",$D841))*Terms!E$3:E$821)+Terms!E$2</f>
        <v>-1.66931785201703</v>
      </c>
      <c r="W841" s="0" t="n">
        <f aca="false">SUMPRODUCT(ISNUMBER(SEARCH(" "&amp;Terms!$A$3:$A$821&amp;" ",$D841))*Terms!F$3:F$821)+Terms!F$2</f>
        <v>-0.818598607885308</v>
      </c>
      <c r="X841" s="0" t="n">
        <f aca="false">SUMPRODUCT(ISNUMBER(SEARCH(" "&amp;Terms!$A$3:$A$821&amp;" ",$D841))*Terms!G$3:G$821)+Terms!G$2</f>
        <v>-2.1988743903134</v>
      </c>
      <c r="Y841" s="0" t="str">
        <f aca="false">INDEX($S$1:$X$1,MATCH(MAX(S841:X841),S841:X841,0))</f>
        <v>Account Access</v>
      </c>
      <c r="Z841" s="0" t="s">
        <v>2607</v>
      </c>
    </row>
    <row r="842" customFormat="false" ht="15" hidden="false" customHeight="false" outlineLevel="0" collapsed="false">
      <c r="A842" s="0" t="str">
        <f aca="false">Complaints!A842</f>
        <v>C0841</v>
      </c>
      <c r="B842" s="0" t="str">
        <f aca="false">Complaints!B842</f>
        <v>This is the second time I have raised this. I keep getting an error message when I sign in. Please escalate this.</v>
      </c>
      <c r="C842" s="0" t="str">
        <f aca="false">Complaints!C842</f>
        <v>Account Access</v>
      </c>
      <c r="D842" s="0" t="str">
        <f aca="false">" "&amp;TRIM(SUBSTITUTE(SUBSTITUTE(SUBSTITUTE(SUBSTITUTE(SUBSTITUTE(SUBSTITUTE(SUBSTITUTE(SUBSTITUTE(SUBSTITUTE(SUBSTITUTE(SUBSTITUTE(SUBSTITUTE(SUBSTITUTE(SUBSTITUTE(SUBSTITUTE(SUBSTITUTE(LOWER(B842),"."," "),","," "),"'"," "),"’"," "),"!"," "),"?"," "),";"," "),":"," "),"-"," "),"("," "),")"," "),"""", " "),"£"," "),"&amp;"," "),"/"," "),"%"," "))&amp;" "</f>
        <v> this is the second time i have raised this i keep getting an error message when i sign in please escalate this </v>
      </c>
      <c r="E842" s="0" t="n">
        <f aca="false">SUMPRODUCT((Rules!$A$2:$A$60=E$1)*Rules!$C$2:$C$60*ISNUMBER(SEARCH(Rules!$D$2:$D$60,$D842)))</f>
        <v>0</v>
      </c>
      <c r="F842" s="0" t="n">
        <f aca="false">SUMPRODUCT((Rules!$A$2:$A$60=F$1)*Rules!$C$2:$C$60*ISNUMBER(SEARCH(Rules!$D$2:$D$60,$D842)))</f>
        <v>0</v>
      </c>
      <c r="G842" s="0" t="n">
        <f aca="false">SUMPRODUCT((Rules!$A$2:$A$60=G$1)*Rules!$C$2:$C$60*ISNUMBER(SEARCH(Rules!$D$2:$D$60,$D842)))</f>
        <v>3</v>
      </c>
      <c r="H842" s="0" t="n">
        <f aca="false">SUMPRODUCT((Rules!$A$2:$A$60=H$1)*Rules!$C$2:$C$60*ISNUMBER(SEARCH(Rules!$D$2:$D$60,$D842)))</f>
        <v>0</v>
      </c>
      <c r="I842" s="0" t="n">
        <f aca="false">SUMPRODUCT((Rules!$A$2:$A$60=I$1)*Rules!$C$2:$C$60*ISNUMBER(SEARCH(Rules!$D$2:$D$60,$D842)))</f>
        <v>0</v>
      </c>
      <c r="J842" s="0" t="n">
        <f aca="false">SUMPRODUCT((Rules!$A$2:$A$60=J$1)*Rules!$C$2:$C$60*ISNUMBER(SEARCH(Rules!$D$2:$D$60,$D842)))</f>
        <v>0</v>
      </c>
      <c r="K842" s="0" t="str">
        <f aca="false">IF(OR(MAX(E842:J842)&lt;Rules!$H$1,MAX(E842:J842)-LARGE(E842:J842,2)&lt;Rules!$H$2),"No label",INDEX($E$1:$J$1,MATCH(MAX(E842:J842),E842:J842,0)))</f>
        <v>Account Access</v>
      </c>
      <c r="L842" s="0" t="n">
        <f aca="false">SUMPRODUCT((Rules!$A$2:$A$60=L$1)*Rules!$C$2:$C$60*ISNUMBER(SEARCH(Rules!$E$2:$E$60,$D842)))</f>
        <v>0</v>
      </c>
      <c r="M842" s="0" t="n">
        <f aca="false">SUMPRODUCT((Rules!$A$2:$A$60=M$1)*Rules!$C$2:$C$60*ISNUMBER(SEARCH(Rules!$E$2:$E$60,$D842)))</f>
        <v>0</v>
      </c>
      <c r="N842" s="0" t="n">
        <f aca="false">SUMPRODUCT((Rules!$A$2:$A$60=N$1)*Rules!$C$2:$C$60*ISNUMBER(SEARCH(Rules!$E$2:$E$60,$D842)))</f>
        <v>3</v>
      </c>
      <c r="O842" s="0" t="n">
        <f aca="false">SUMPRODUCT((Rules!$A$2:$A$60=O$1)*Rules!$C$2:$C$60*ISNUMBER(SEARCH(Rules!$E$2:$E$60,$D842)))</f>
        <v>0</v>
      </c>
      <c r="P842" s="0" t="n">
        <f aca="false">SUMPRODUCT((Rules!$A$2:$A$60=P$1)*Rules!$C$2:$C$60*ISNUMBER(SEARCH(Rules!$E$2:$E$60,$D842)))</f>
        <v>0</v>
      </c>
      <c r="Q842" s="0" t="n">
        <f aca="false">SUMPRODUCT((Rules!$A$2:$A$60=Q$1)*Rules!$C$2:$C$60*ISNUMBER(SEARCH(Rules!$E$2:$E$60,$D842)))</f>
        <v>0</v>
      </c>
      <c r="R842" s="0" t="str">
        <f aca="false">IF(OR(MAX(L842:Q842)&lt;Rules!$H$1,MAX(L842:Q842)-LARGE(L842:Q842,2)&lt;Rules!$H$2),"No label",INDEX($L$1:$Q$1,MATCH(MAX(L842:Q842),L842:Q842,0)))</f>
        <v>Account Access</v>
      </c>
      <c r="S842" s="0" t="n">
        <f aca="false">SUMPRODUCT(ISNUMBER(SEARCH(" "&amp;Terms!$A$3:$A$821&amp;" ",$D842))*Terms!B$3:B$821)+Terms!B$2</f>
        <v>8.36381482012542</v>
      </c>
      <c r="T842" s="0" t="n">
        <f aca="false">SUMPRODUCT(ISNUMBER(SEARCH(" "&amp;Terms!$A$3:$A$821&amp;" ",$D842))*Terms!C$3:C$821)+Terms!C$2</f>
        <v>3.06758568699437</v>
      </c>
      <c r="U842" s="0" t="n">
        <f aca="false">SUMPRODUCT(ISNUMBER(SEARCH(" "&amp;Terms!$A$3:$A$821&amp;" ",$D842))*Terms!D$3:D$821)+Terms!D$2</f>
        <v>-3.00782513742449</v>
      </c>
      <c r="V842" s="0" t="n">
        <f aca="false">SUMPRODUCT(ISNUMBER(SEARCH(" "&amp;Terms!$A$3:$A$821&amp;" ",$D842))*Terms!E$3:E$821)+Terms!E$2</f>
        <v>-4.1660915840702</v>
      </c>
      <c r="W842" s="0" t="n">
        <f aca="false">SUMPRODUCT(ISNUMBER(SEARCH(" "&amp;Terms!$A$3:$A$821&amp;" ",$D842))*Terms!F$3:F$821)+Terms!F$2</f>
        <v>-0.336863282308938</v>
      </c>
      <c r="X842" s="0" t="n">
        <f aca="false">SUMPRODUCT(ISNUMBER(SEARCH(" "&amp;Terms!$A$3:$A$821&amp;" ",$D842))*Terms!G$3:G$821)+Terms!G$2</f>
        <v>-3.92062050331606</v>
      </c>
      <c r="Y842" s="0" t="str">
        <f aca="false">INDEX($S$1:$X$1,MATCH(MAX(S842:X842),S842:X842,0))</f>
        <v>Account Access</v>
      </c>
      <c r="Z842" s="0" t="s">
        <v>2607</v>
      </c>
    </row>
    <row r="843" customFormat="false" ht="15" hidden="false" customHeight="false" outlineLevel="0" collapsed="false">
      <c r="A843" s="0" t="str">
        <f aca="false">Complaints!A843</f>
        <v>C0842</v>
      </c>
      <c r="B843" s="0" t="str">
        <f aca="false">Complaints!B843</f>
        <v>The direct debit setup was delayed and I missed a bill because of it. Also, a fake text message led me to a website and my money disappeared. Please sort this out.</v>
      </c>
      <c r="C843" s="0" t="str">
        <f aca="false">Complaints!C843</f>
        <v>Delays &amp; Processing</v>
      </c>
      <c r="D843" s="0" t="str">
        <f aca="false">" "&amp;TRIM(SUBSTITUTE(SUBSTITUTE(SUBSTITUTE(SUBSTITUTE(SUBSTITUTE(SUBSTITUTE(SUBSTITUTE(SUBSTITUTE(SUBSTITUTE(SUBSTITUTE(SUBSTITUTE(SUBSTITUTE(SUBSTITUTE(SUBSTITUTE(SUBSTITUTE(SUBSTITUTE(LOWER(B843),"."," "),","," "),"'"," "),"’"," "),"!"," "),"?"," "),";"," "),":"," "),"-"," "),"("," "),")"," "),"""", " "),"£"," "),"&amp;"," "),"/"," "),"%"," "))&amp;" "</f>
        <v> the direct debit setup was delayed and i missed a bill because of it also a fake text message led me to a website and my money disappeared please sort this out </v>
      </c>
      <c r="E843" s="0" t="n">
        <f aca="false">SUMPRODUCT((Rules!$A$2:$A$60=E$1)*Rules!$C$2:$C$60*ISNUMBER(SEARCH(Rules!$D$2:$D$60,$D843)))</f>
        <v>2</v>
      </c>
      <c r="F843" s="0" t="n">
        <f aca="false">SUMPRODUCT((Rules!$A$2:$A$60=F$1)*Rules!$C$2:$C$60*ISNUMBER(SEARCH(Rules!$D$2:$D$60,$D843)))</f>
        <v>0</v>
      </c>
      <c r="G843" s="0" t="n">
        <f aca="false">SUMPRODUCT((Rules!$A$2:$A$60=G$1)*Rules!$C$2:$C$60*ISNUMBER(SEARCH(Rules!$D$2:$D$60,$D843)))</f>
        <v>0</v>
      </c>
      <c r="H843" s="0" t="n">
        <f aca="false">SUMPRODUCT((Rules!$A$2:$A$60=H$1)*Rules!$C$2:$C$60*ISNUMBER(SEARCH(Rules!$D$2:$D$60,$D843)))</f>
        <v>0</v>
      </c>
      <c r="I843" s="0" t="n">
        <f aca="false">SUMPRODUCT((Rules!$A$2:$A$60=I$1)*Rules!$C$2:$C$60*ISNUMBER(SEARCH(Rules!$D$2:$D$60,$D843)))</f>
        <v>2</v>
      </c>
      <c r="J843" s="0" t="n">
        <f aca="false">SUMPRODUCT((Rules!$A$2:$A$60=J$1)*Rules!$C$2:$C$60*ISNUMBER(SEARCH(Rules!$D$2:$D$60,$D843)))</f>
        <v>0</v>
      </c>
      <c r="K843" s="0" t="str">
        <f aca="false">IF(OR(MAX(E843:J843)&lt;Rules!$H$1,MAX(E843:J843)-LARGE(E843:J843,2)&lt;Rules!$H$2),"No label",INDEX($E$1:$J$1,MATCH(MAX(E843:J843),E843:J843,0)))</f>
        <v>No label</v>
      </c>
      <c r="L843" s="0" t="n">
        <f aca="false">SUMPRODUCT((Rules!$A$2:$A$60=L$1)*Rules!$C$2:$C$60*ISNUMBER(SEARCH(Rules!$E$2:$E$60,$D843)))</f>
        <v>2</v>
      </c>
      <c r="M843" s="0" t="n">
        <f aca="false">SUMPRODUCT((Rules!$A$2:$A$60=M$1)*Rules!$C$2:$C$60*ISNUMBER(SEARCH(Rules!$E$2:$E$60,$D843)))</f>
        <v>0</v>
      </c>
      <c r="N843" s="0" t="n">
        <f aca="false">SUMPRODUCT((Rules!$A$2:$A$60=N$1)*Rules!$C$2:$C$60*ISNUMBER(SEARCH(Rules!$E$2:$E$60,$D843)))</f>
        <v>0</v>
      </c>
      <c r="O843" s="0" t="n">
        <f aca="false">SUMPRODUCT((Rules!$A$2:$A$60=O$1)*Rules!$C$2:$C$60*ISNUMBER(SEARCH(Rules!$E$2:$E$60,$D843)))</f>
        <v>2</v>
      </c>
      <c r="P843" s="0" t="n">
        <f aca="false">SUMPRODUCT((Rules!$A$2:$A$60=P$1)*Rules!$C$2:$C$60*ISNUMBER(SEARCH(Rules!$E$2:$E$60,$D843)))</f>
        <v>2</v>
      </c>
      <c r="Q843" s="0" t="n">
        <f aca="false">SUMPRODUCT((Rules!$A$2:$A$60=Q$1)*Rules!$C$2:$C$60*ISNUMBER(SEARCH(Rules!$E$2:$E$60,$D843)))</f>
        <v>0</v>
      </c>
      <c r="R843" s="0" t="str">
        <f aca="false">IF(OR(MAX(L843:Q843)&lt;Rules!$H$1,MAX(L843:Q843)-LARGE(L843:Q843,2)&lt;Rules!$H$2),"No label",INDEX($L$1:$Q$1,MATCH(MAX(L843:Q843),L843:Q843,0)))</f>
        <v>No label</v>
      </c>
      <c r="S843" s="0" t="n">
        <f aca="false">SUMPRODUCT(ISNUMBER(SEARCH(" "&amp;Terms!$A$3:$A$821&amp;" ",$D843))*Terms!B$3:B$821)+Terms!B$2</f>
        <v>-5.05967688314487</v>
      </c>
      <c r="T843" s="0" t="n">
        <f aca="false">SUMPRODUCT(ISNUMBER(SEARCH(" "&amp;Terms!$A$3:$A$821&amp;" ",$D843))*Terms!C$3:C$821)+Terms!C$2</f>
        <v>-4.65065272646777</v>
      </c>
      <c r="U843" s="0" t="n">
        <f aca="false">SUMPRODUCT(ISNUMBER(SEARCH(" "&amp;Terms!$A$3:$A$821&amp;" ",$D843))*Terms!D$3:D$821)+Terms!D$2</f>
        <v>9.79558948737277</v>
      </c>
      <c r="V843" s="0" t="n">
        <f aca="false">SUMPRODUCT(ISNUMBER(SEARCH(" "&amp;Terms!$A$3:$A$821&amp;" ",$D843))*Terms!E$3:E$821)+Terms!E$2</f>
        <v>-8.15325449790671</v>
      </c>
      <c r="W843" s="0" t="n">
        <f aca="false">SUMPRODUCT(ISNUMBER(SEARCH(" "&amp;Terms!$A$3:$A$821&amp;" ",$D843))*Terms!F$3:F$821)+Terms!F$2</f>
        <v>10.9292638671889</v>
      </c>
      <c r="X843" s="0" t="n">
        <f aca="false">SUMPRODUCT(ISNUMBER(SEARCH(" "&amp;Terms!$A$3:$A$821&amp;" ",$D843))*Terms!G$3:G$821)+Terms!G$2</f>
        <v>-2.86126924704224</v>
      </c>
      <c r="Y843" s="0" t="str">
        <f aca="false">INDEX($S$1:$X$1,MATCH(MAX(S843:X843),S843:X843,0))</f>
        <v>Fraud &amp; Scams</v>
      </c>
      <c r="Z843" s="0" t="s">
        <v>2607</v>
      </c>
    </row>
    <row r="844" customFormat="false" ht="15" hidden="false" customHeight="false" outlineLevel="0" collapsed="false">
      <c r="A844" s="0" t="str">
        <f aca="false">Complaints!A844</f>
        <v>C0843</v>
      </c>
      <c r="B844" s="0" t="str">
        <f aca="false">Complaints!B844</f>
        <v>I am writing to complain. I was advised to take out cover that duplicates what I already had.</v>
      </c>
      <c r="C844" s="0" t="str">
        <f aca="false">Complaints!C844</f>
        <v>Mis-selling</v>
      </c>
      <c r="D844" s="0" t="str">
        <f aca="false">" "&amp;TRIM(SUBSTITUTE(SUBSTITUTE(SUBSTITUTE(SUBSTITUTE(SUBSTITUTE(SUBSTITUTE(SUBSTITUTE(SUBSTITUTE(SUBSTITUTE(SUBSTITUTE(SUBSTITUTE(SUBSTITUTE(SUBSTITUTE(SUBSTITUTE(SUBSTITUTE(SUBSTITUTE(LOWER(B844),"."," "),","," "),"'"," "),"’"," "),"!"," "),"?"," "),";"," "),":"," "),"-"," "),"("," "),")"," "),"""", " "),"£"," "),"&amp;"," "),"/"," "),"%"," "))&amp;" "</f>
        <v> i am writing to complain i was advised to take out cover that duplicates what i already had </v>
      </c>
      <c r="E844" s="0" t="n">
        <f aca="false">SUMPRODUCT((Rules!$A$2:$A$60=E$1)*Rules!$C$2:$C$60*ISNUMBER(SEARCH(Rules!$D$2:$D$60,$D844)))</f>
        <v>0</v>
      </c>
      <c r="F844" s="0" t="n">
        <f aca="false">SUMPRODUCT((Rules!$A$2:$A$60=F$1)*Rules!$C$2:$C$60*ISNUMBER(SEARCH(Rules!$D$2:$D$60,$D844)))</f>
        <v>0</v>
      </c>
      <c r="G844" s="0" t="n">
        <f aca="false">SUMPRODUCT((Rules!$A$2:$A$60=G$1)*Rules!$C$2:$C$60*ISNUMBER(SEARCH(Rules!$D$2:$D$60,$D844)))</f>
        <v>0</v>
      </c>
      <c r="H844" s="0" t="n">
        <f aca="false">SUMPRODUCT((Rules!$A$2:$A$60=H$1)*Rules!$C$2:$C$60*ISNUMBER(SEARCH(Rules!$D$2:$D$60,$D844)))</f>
        <v>0</v>
      </c>
      <c r="I844" s="0" t="n">
        <f aca="false">SUMPRODUCT((Rules!$A$2:$A$60=I$1)*Rules!$C$2:$C$60*ISNUMBER(SEARCH(Rules!$D$2:$D$60,$D844)))</f>
        <v>0</v>
      </c>
      <c r="J844" s="0" t="n">
        <f aca="false">SUMPRODUCT((Rules!$A$2:$A$60=J$1)*Rules!$C$2:$C$60*ISNUMBER(SEARCH(Rules!$D$2:$D$60,$D844)))</f>
        <v>0</v>
      </c>
      <c r="K844" s="0" t="str">
        <f aca="false">IF(OR(MAX(E844:J844)&lt;Rules!$H$1,MAX(E844:J844)-LARGE(E844:J844,2)&lt;Rules!$H$2),"No label",INDEX($E$1:$J$1,MATCH(MAX(E844:J844),E844:J844,0)))</f>
        <v>No label</v>
      </c>
      <c r="L844" s="0" t="n">
        <f aca="false">SUMPRODUCT((Rules!$A$2:$A$60=L$1)*Rules!$C$2:$C$60*ISNUMBER(SEARCH(Rules!$E$2:$E$60,$D844)))</f>
        <v>0</v>
      </c>
      <c r="M844" s="0" t="n">
        <f aca="false">SUMPRODUCT((Rules!$A$2:$A$60=M$1)*Rules!$C$2:$C$60*ISNUMBER(SEARCH(Rules!$E$2:$E$60,$D844)))</f>
        <v>4</v>
      </c>
      <c r="N844" s="0" t="n">
        <f aca="false">SUMPRODUCT((Rules!$A$2:$A$60=N$1)*Rules!$C$2:$C$60*ISNUMBER(SEARCH(Rules!$E$2:$E$60,$D844)))</f>
        <v>0</v>
      </c>
      <c r="O844" s="0" t="n">
        <f aca="false">SUMPRODUCT((Rules!$A$2:$A$60=O$1)*Rules!$C$2:$C$60*ISNUMBER(SEARCH(Rules!$E$2:$E$60,$D844)))</f>
        <v>0</v>
      </c>
      <c r="P844" s="0" t="n">
        <f aca="false">SUMPRODUCT((Rules!$A$2:$A$60=P$1)*Rules!$C$2:$C$60*ISNUMBER(SEARCH(Rules!$E$2:$E$60,$D844)))</f>
        <v>0</v>
      </c>
      <c r="Q844" s="0" t="n">
        <f aca="false">SUMPRODUCT((Rules!$A$2:$A$60=Q$1)*Rules!$C$2:$C$60*ISNUMBER(SEARCH(Rules!$E$2:$E$60,$D844)))</f>
        <v>1</v>
      </c>
      <c r="R844" s="0" t="str">
        <f aca="false">IF(OR(MAX(L844:Q844)&lt;Rules!$H$1,MAX(L844:Q844)-LARGE(L844:Q844,2)&lt;Rules!$H$2),"No label",INDEX($L$1:$Q$1,MATCH(MAX(L844:Q844),L844:Q844,0)))</f>
        <v>Mis-selling</v>
      </c>
      <c r="S844" s="0" t="n">
        <f aca="false">SUMPRODUCT(ISNUMBER(SEARCH(" "&amp;Terms!$A$3:$A$821&amp;" ",$D844))*Terms!B$3:B$821)+Terms!B$2</f>
        <v>-1.07311631827179</v>
      </c>
      <c r="T844" s="0" t="n">
        <f aca="false">SUMPRODUCT(ISNUMBER(SEARCH(" "&amp;Terms!$A$3:$A$821&amp;" ",$D844))*Terms!C$3:C$821)+Terms!C$2</f>
        <v>0.0832577236835703</v>
      </c>
      <c r="U844" s="0" t="n">
        <f aca="false">SUMPRODUCT(ISNUMBER(SEARCH(" "&amp;Terms!$A$3:$A$821&amp;" ",$D844))*Terms!D$3:D$821)+Terms!D$2</f>
        <v>0.019127980930545</v>
      </c>
      <c r="V844" s="0" t="n">
        <f aca="false">SUMPRODUCT(ISNUMBER(SEARCH(" "&amp;Terms!$A$3:$A$821&amp;" ",$D844))*Terms!E$3:E$821)+Terms!E$2</f>
        <v>-2.52968345260798</v>
      </c>
      <c r="W844" s="0" t="n">
        <f aca="false">SUMPRODUCT(ISNUMBER(SEARCH(" "&amp;Terms!$A$3:$A$821&amp;" ",$D844))*Terms!F$3:F$821)+Terms!F$2</f>
        <v>-2.01838395970127</v>
      </c>
      <c r="X844" s="0" t="n">
        <f aca="false">SUMPRODUCT(ISNUMBER(SEARCH(" "&amp;Terms!$A$3:$A$821&amp;" ",$D844))*Terms!G$3:G$821)+Terms!G$2</f>
        <v>5.518798025967</v>
      </c>
      <c r="Y844" s="0" t="str">
        <f aca="false">INDEX($S$1:$X$1,MATCH(MAX(S844:X844),S844:X844,0))</f>
        <v>Mis-selling</v>
      </c>
      <c r="Z844" s="0" t="s">
        <v>2607</v>
      </c>
    </row>
    <row r="845" customFormat="false" ht="15" hidden="false" customHeight="false" outlineLevel="0" collapsed="false">
      <c r="A845" s="0" t="str">
        <f aca="false">Complaints!A845</f>
        <v>C0844</v>
      </c>
      <c r="B845" s="0" t="str">
        <f aca="false">Complaints!B845</f>
        <v>This is the second time I have raised this. I was hit with a penalty charge for a payment I made on time. It has also been taking far too long. I expect compensation.</v>
      </c>
      <c r="C845" s="0" t="str">
        <f aca="false">Complaints!C845</f>
        <v>Fees &amp; Charges</v>
      </c>
      <c r="D845" s="0" t="str">
        <f aca="false">" "&amp;TRIM(SUBSTITUTE(SUBSTITUTE(SUBSTITUTE(SUBSTITUTE(SUBSTITUTE(SUBSTITUTE(SUBSTITUTE(SUBSTITUTE(SUBSTITUTE(SUBSTITUTE(SUBSTITUTE(SUBSTITUTE(SUBSTITUTE(SUBSTITUTE(SUBSTITUTE(SUBSTITUTE(LOWER(B845),"."," "),","," "),"'"," "),"’"," "),"!"," "),"?"," "),";"," "),":"," "),"-"," "),"("," "),")"," "),"""", " "),"£"," "),"&amp;"," "),"/"," "),"%"," "))&amp;" "</f>
        <v> this is the second time i have raised this i was hit with a penalty charge for a payment i made on time it has also been taking far too long i expect compensation </v>
      </c>
      <c r="E845" s="0" t="n">
        <f aca="false">SUMPRODUCT((Rules!$A$2:$A$60=E$1)*Rules!$C$2:$C$60*ISNUMBER(SEARCH(Rules!$D$2:$D$60,$D845)))</f>
        <v>0</v>
      </c>
      <c r="F845" s="0" t="n">
        <f aca="false">SUMPRODUCT((Rules!$A$2:$A$60=F$1)*Rules!$C$2:$C$60*ISNUMBER(SEARCH(Rules!$D$2:$D$60,$D845)))</f>
        <v>0</v>
      </c>
      <c r="G845" s="0" t="n">
        <f aca="false">SUMPRODUCT((Rules!$A$2:$A$60=G$1)*Rules!$C$2:$C$60*ISNUMBER(SEARCH(Rules!$D$2:$D$60,$D845)))</f>
        <v>0</v>
      </c>
      <c r="H845" s="0" t="n">
        <f aca="false">SUMPRODUCT((Rules!$A$2:$A$60=H$1)*Rules!$C$2:$C$60*ISNUMBER(SEARCH(Rules!$D$2:$D$60,$D845)))</f>
        <v>4</v>
      </c>
      <c r="I845" s="0" t="n">
        <f aca="false">SUMPRODUCT((Rules!$A$2:$A$60=I$1)*Rules!$C$2:$C$60*ISNUMBER(SEARCH(Rules!$D$2:$D$60,$D845)))</f>
        <v>0</v>
      </c>
      <c r="J845" s="0" t="n">
        <f aca="false">SUMPRODUCT((Rules!$A$2:$A$60=J$1)*Rules!$C$2:$C$60*ISNUMBER(SEARCH(Rules!$D$2:$D$60,$D845)))</f>
        <v>0</v>
      </c>
      <c r="K845" s="0" t="str">
        <f aca="false">IF(OR(MAX(E845:J845)&lt;Rules!$H$1,MAX(E845:J845)-LARGE(E845:J845,2)&lt;Rules!$H$2),"No label",INDEX($E$1:$J$1,MATCH(MAX(E845:J845),E845:J845,0)))</f>
        <v>Fees &amp; Charges</v>
      </c>
      <c r="L845" s="0" t="n">
        <f aca="false">SUMPRODUCT((Rules!$A$2:$A$60=L$1)*Rules!$C$2:$C$60*ISNUMBER(SEARCH(Rules!$E$2:$E$60,$D845)))</f>
        <v>0</v>
      </c>
      <c r="M845" s="0" t="n">
        <f aca="false">SUMPRODUCT((Rules!$A$2:$A$60=M$1)*Rules!$C$2:$C$60*ISNUMBER(SEARCH(Rules!$E$2:$E$60,$D845)))</f>
        <v>0</v>
      </c>
      <c r="N845" s="0" t="n">
        <f aca="false">SUMPRODUCT((Rules!$A$2:$A$60=N$1)*Rules!$C$2:$C$60*ISNUMBER(SEARCH(Rules!$E$2:$E$60,$D845)))</f>
        <v>0</v>
      </c>
      <c r="O845" s="0" t="n">
        <f aca="false">SUMPRODUCT((Rules!$A$2:$A$60=O$1)*Rules!$C$2:$C$60*ISNUMBER(SEARCH(Rules!$E$2:$E$60,$D845)))</f>
        <v>6</v>
      </c>
      <c r="P845" s="0" t="n">
        <f aca="false">SUMPRODUCT((Rules!$A$2:$A$60=P$1)*Rules!$C$2:$C$60*ISNUMBER(SEARCH(Rules!$E$2:$E$60,$D845)))</f>
        <v>0</v>
      </c>
      <c r="Q845" s="0" t="n">
        <f aca="false">SUMPRODUCT((Rules!$A$2:$A$60=Q$1)*Rules!$C$2:$C$60*ISNUMBER(SEARCH(Rules!$E$2:$E$60,$D845)))</f>
        <v>0</v>
      </c>
      <c r="R845" s="0" t="str">
        <f aca="false">IF(OR(MAX(L845:Q845)&lt;Rules!$H$1,MAX(L845:Q845)-LARGE(L845:Q845,2)&lt;Rules!$H$2),"No label",INDEX($L$1:$Q$1,MATCH(MAX(L845:Q845),L845:Q845,0)))</f>
        <v>Fees &amp; Charges</v>
      </c>
      <c r="S845" s="0" t="n">
        <f aca="false">SUMPRODUCT(ISNUMBER(SEARCH(" "&amp;Terms!$A$3:$A$821&amp;" ",$D845))*Terms!B$3:B$821)+Terms!B$2</f>
        <v>-3.93931179744345</v>
      </c>
      <c r="T845" s="0" t="n">
        <f aca="false">SUMPRODUCT(ISNUMBER(SEARCH(" "&amp;Terms!$A$3:$A$821&amp;" ",$D845))*Terms!C$3:C$821)+Terms!C$2</f>
        <v>1.05802565938172</v>
      </c>
      <c r="U845" s="0" t="n">
        <f aca="false">SUMPRODUCT(ISNUMBER(SEARCH(" "&amp;Terms!$A$3:$A$821&amp;" ",$D845))*Terms!D$3:D$821)+Terms!D$2</f>
        <v>-1.97904368817586</v>
      </c>
      <c r="V845" s="0" t="n">
        <f aca="false">SUMPRODUCT(ISNUMBER(SEARCH(" "&amp;Terms!$A$3:$A$821&amp;" ",$D845))*Terms!E$3:E$821)+Terms!E$2</f>
        <v>9.1670808177838</v>
      </c>
      <c r="W845" s="0" t="n">
        <f aca="false">SUMPRODUCT(ISNUMBER(SEARCH(" "&amp;Terms!$A$3:$A$821&amp;" ",$D845))*Terms!F$3:F$821)+Terms!F$2</f>
        <v>1.07228127801933</v>
      </c>
      <c r="X845" s="0" t="n">
        <f aca="false">SUMPRODUCT(ISNUMBER(SEARCH(" "&amp;Terms!$A$3:$A$821&amp;" ",$D845))*Terms!G$3:G$821)+Terms!G$2</f>
        <v>-5.37903226956546</v>
      </c>
      <c r="Y845" s="0" t="str">
        <f aca="false">INDEX($S$1:$X$1,MATCH(MAX(S845:X845),S845:X845,0))</f>
        <v>Fees &amp; Charges</v>
      </c>
      <c r="Z845" s="0" t="s">
        <v>2608</v>
      </c>
    </row>
    <row r="846" customFormat="false" ht="15" hidden="false" customHeight="false" outlineLevel="0" collapsed="false">
      <c r="A846" s="0" t="str">
        <f aca="false">Complaints!A846</f>
        <v>C0845</v>
      </c>
      <c r="B846" s="0" t="str">
        <f aca="false">Complaints!B846</f>
        <v>Hello, I spent an hour on hold and then the call was cut off. I want this put right.</v>
      </c>
      <c r="C846" s="0" t="str">
        <f aca="false">Complaints!C846</f>
        <v>Customer Service</v>
      </c>
      <c r="D846" s="0" t="str">
        <f aca="false">" "&amp;TRIM(SUBSTITUTE(SUBSTITUTE(SUBSTITUTE(SUBSTITUTE(SUBSTITUTE(SUBSTITUTE(SUBSTITUTE(SUBSTITUTE(SUBSTITUTE(SUBSTITUTE(SUBSTITUTE(SUBSTITUTE(SUBSTITUTE(SUBSTITUTE(SUBSTITUTE(SUBSTITUTE(LOWER(B846),"."," "),","," "),"'"," "),"’"," "),"!"," "),"?"," "),";"," "),":"," "),"-"," "),"("," "),")"," "),"""", " "),"£"," "),"&amp;"," "),"/"," "),"%"," "))&amp;" "</f>
        <v> hello i spent an hour on hold and then the call was cut off i want this put right </v>
      </c>
      <c r="E846" s="0" t="n">
        <f aca="false">SUMPRODUCT((Rules!$A$2:$A$60=E$1)*Rules!$C$2:$C$60*ISNUMBER(SEARCH(Rules!$D$2:$D$60,$D846)))</f>
        <v>0</v>
      </c>
      <c r="F846" s="0" t="n">
        <f aca="false">SUMPRODUCT((Rules!$A$2:$A$60=F$1)*Rules!$C$2:$C$60*ISNUMBER(SEARCH(Rules!$D$2:$D$60,$D846)))</f>
        <v>0</v>
      </c>
      <c r="G846" s="0" t="n">
        <f aca="false">SUMPRODUCT((Rules!$A$2:$A$60=G$1)*Rules!$C$2:$C$60*ISNUMBER(SEARCH(Rules!$D$2:$D$60,$D846)))</f>
        <v>0</v>
      </c>
      <c r="H846" s="0" t="n">
        <f aca="false">SUMPRODUCT((Rules!$A$2:$A$60=H$1)*Rules!$C$2:$C$60*ISNUMBER(SEARCH(Rules!$D$2:$D$60,$D846)))</f>
        <v>0</v>
      </c>
      <c r="I846" s="0" t="n">
        <f aca="false">SUMPRODUCT((Rules!$A$2:$A$60=I$1)*Rules!$C$2:$C$60*ISNUMBER(SEARCH(Rules!$D$2:$D$60,$D846)))</f>
        <v>0</v>
      </c>
      <c r="J846" s="0" t="n">
        <f aca="false">SUMPRODUCT((Rules!$A$2:$A$60=J$1)*Rules!$C$2:$C$60*ISNUMBER(SEARCH(Rules!$D$2:$D$60,$D846)))</f>
        <v>3</v>
      </c>
      <c r="K846" s="0" t="str">
        <f aca="false">IF(OR(MAX(E846:J846)&lt;Rules!$H$1,MAX(E846:J846)-LARGE(E846:J846,2)&lt;Rules!$H$2),"No label",INDEX($E$1:$J$1,MATCH(MAX(E846:J846),E846:J846,0)))</f>
        <v>Customer Service</v>
      </c>
      <c r="L846" s="0" t="n">
        <f aca="false">SUMPRODUCT((Rules!$A$2:$A$60=L$1)*Rules!$C$2:$C$60*ISNUMBER(SEARCH(Rules!$E$2:$E$60,$D846)))</f>
        <v>0</v>
      </c>
      <c r="M846" s="0" t="n">
        <f aca="false">SUMPRODUCT((Rules!$A$2:$A$60=M$1)*Rules!$C$2:$C$60*ISNUMBER(SEARCH(Rules!$E$2:$E$60,$D846)))</f>
        <v>0</v>
      </c>
      <c r="N846" s="0" t="n">
        <f aca="false">SUMPRODUCT((Rules!$A$2:$A$60=N$1)*Rules!$C$2:$C$60*ISNUMBER(SEARCH(Rules!$E$2:$E$60,$D846)))</f>
        <v>0</v>
      </c>
      <c r="O846" s="0" t="n">
        <f aca="false">SUMPRODUCT((Rules!$A$2:$A$60=O$1)*Rules!$C$2:$C$60*ISNUMBER(SEARCH(Rules!$E$2:$E$60,$D846)))</f>
        <v>0</v>
      </c>
      <c r="P846" s="0" t="n">
        <f aca="false">SUMPRODUCT((Rules!$A$2:$A$60=P$1)*Rules!$C$2:$C$60*ISNUMBER(SEARCH(Rules!$E$2:$E$60,$D846)))</f>
        <v>0</v>
      </c>
      <c r="Q846" s="0" t="n">
        <f aca="false">SUMPRODUCT((Rules!$A$2:$A$60=Q$1)*Rules!$C$2:$C$60*ISNUMBER(SEARCH(Rules!$E$2:$E$60,$D846)))</f>
        <v>3</v>
      </c>
      <c r="R846" s="0" t="str">
        <f aca="false">IF(OR(MAX(L846:Q846)&lt;Rules!$H$1,MAX(L846:Q846)-LARGE(L846:Q846,2)&lt;Rules!$H$2),"No label",INDEX($L$1:$Q$1,MATCH(MAX(L846:Q846),L846:Q846,0)))</f>
        <v>Customer Service</v>
      </c>
      <c r="S846" s="0" t="n">
        <f aca="false">SUMPRODUCT(ISNUMBER(SEARCH(" "&amp;Terms!$A$3:$A$821&amp;" ",$D846))*Terms!B$3:B$821)+Terms!B$2</f>
        <v>-1.57701906505863</v>
      </c>
      <c r="T846" s="0" t="n">
        <f aca="false">SUMPRODUCT(ISNUMBER(SEARCH(" "&amp;Terms!$A$3:$A$821&amp;" ",$D846))*Terms!C$3:C$821)+Terms!C$2</f>
        <v>5.50197162326562</v>
      </c>
      <c r="U846" s="0" t="n">
        <f aca="false">SUMPRODUCT(ISNUMBER(SEARCH(" "&amp;Terms!$A$3:$A$821&amp;" ",$D846))*Terms!D$3:D$821)+Terms!D$2</f>
        <v>-3.48345916401581</v>
      </c>
      <c r="V846" s="0" t="n">
        <f aca="false">SUMPRODUCT(ISNUMBER(SEARCH(" "&amp;Terms!$A$3:$A$821&amp;" ",$D846))*Terms!E$3:E$821)+Terms!E$2</f>
        <v>-1.60864830309526</v>
      </c>
      <c r="W846" s="0" t="n">
        <f aca="false">SUMPRODUCT(ISNUMBER(SEARCH(" "&amp;Terms!$A$3:$A$821&amp;" ",$D846))*Terms!F$3:F$821)+Terms!F$2</f>
        <v>1.25024333056827</v>
      </c>
      <c r="X846" s="0" t="n">
        <f aca="false">SUMPRODUCT(ISNUMBER(SEARCH(" "&amp;Terms!$A$3:$A$821&amp;" ",$D846))*Terms!G$3:G$821)+Terms!G$2</f>
        <v>-0.0830884216640885</v>
      </c>
      <c r="Y846" s="0" t="str">
        <f aca="false">INDEX($S$1:$X$1,MATCH(MAX(S846:X846),S846:X846,0))</f>
        <v>Customer Service</v>
      </c>
      <c r="Z846" s="0" t="s">
        <v>2608</v>
      </c>
    </row>
    <row r="847" customFormat="false" ht="15" hidden="false" customHeight="false" outlineLevel="0" collapsed="false">
      <c r="A847" s="0" t="str">
        <f aca="false">Complaints!A847</f>
        <v>C0846</v>
      </c>
      <c r="B847" s="0" t="str">
        <f aca="false">Complaints!B847</f>
        <v>I am writing to complain. I was advised to take out cover that duplicates what I already had. Also, i asked for a callback and it never happened. Please sort this out.</v>
      </c>
      <c r="C847" s="0" t="str">
        <f aca="false">Complaints!C847</f>
        <v>Mis-selling</v>
      </c>
      <c r="D847" s="0" t="str">
        <f aca="false">" "&amp;TRIM(SUBSTITUTE(SUBSTITUTE(SUBSTITUTE(SUBSTITUTE(SUBSTITUTE(SUBSTITUTE(SUBSTITUTE(SUBSTITUTE(SUBSTITUTE(SUBSTITUTE(SUBSTITUTE(SUBSTITUTE(SUBSTITUTE(SUBSTITUTE(SUBSTITUTE(SUBSTITUTE(LOWER(B847),"."," "),","," "),"'"," "),"’"," "),"!"," "),"?"," "),";"," "),":"," "),"-"," "),"("," "),")"," "),"""", " "),"£"," "),"&amp;"," "),"/"," "),"%"," "))&amp;" "</f>
        <v> i am writing to complain i was advised to take out cover that duplicates what i already had also i asked for a callback and it never happened please sort this out </v>
      </c>
      <c r="E847" s="0" t="n">
        <f aca="false">SUMPRODUCT((Rules!$A$2:$A$60=E$1)*Rules!$C$2:$C$60*ISNUMBER(SEARCH(Rules!$D$2:$D$60,$D847)))</f>
        <v>0</v>
      </c>
      <c r="F847" s="0" t="n">
        <f aca="false">SUMPRODUCT((Rules!$A$2:$A$60=F$1)*Rules!$C$2:$C$60*ISNUMBER(SEARCH(Rules!$D$2:$D$60,$D847)))</f>
        <v>0</v>
      </c>
      <c r="G847" s="0" t="n">
        <f aca="false">SUMPRODUCT((Rules!$A$2:$A$60=G$1)*Rules!$C$2:$C$60*ISNUMBER(SEARCH(Rules!$D$2:$D$60,$D847)))</f>
        <v>0</v>
      </c>
      <c r="H847" s="0" t="n">
        <f aca="false">SUMPRODUCT((Rules!$A$2:$A$60=H$1)*Rules!$C$2:$C$60*ISNUMBER(SEARCH(Rules!$D$2:$D$60,$D847)))</f>
        <v>0</v>
      </c>
      <c r="I847" s="0" t="n">
        <f aca="false">SUMPRODUCT((Rules!$A$2:$A$60=I$1)*Rules!$C$2:$C$60*ISNUMBER(SEARCH(Rules!$D$2:$D$60,$D847)))</f>
        <v>0</v>
      </c>
      <c r="J847" s="0" t="n">
        <f aca="false">SUMPRODUCT((Rules!$A$2:$A$60=J$1)*Rules!$C$2:$C$60*ISNUMBER(SEARCH(Rules!$D$2:$D$60,$D847)))</f>
        <v>2</v>
      </c>
      <c r="K847" s="0" t="str">
        <f aca="false">IF(OR(MAX(E847:J847)&lt;Rules!$H$1,MAX(E847:J847)-LARGE(E847:J847,2)&lt;Rules!$H$2),"No label",INDEX($E$1:$J$1,MATCH(MAX(E847:J847),E847:J847,0)))</f>
        <v>No label</v>
      </c>
      <c r="L847" s="0" t="n">
        <f aca="false">SUMPRODUCT((Rules!$A$2:$A$60=L$1)*Rules!$C$2:$C$60*ISNUMBER(SEARCH(Rules!$E$2:$E$60,$D847)))</f>
        <v>0</v>
      </c>
      <c r="M847" s="0" t="n">
        <f aca="false">SUMPRODUCT((Rules!$A$2:$A$60=M$1)*Rules!$C$2:$C$60*ISNUMBER(SEARCH(Rules!$E$2:$E$60,$D847)))</f>
        <v>4</v>
      </c>
      <c r="N847" s="0" t="n">
        <f aca="false">SUMPRODUCT((Rules!$A$2:$A$60=N$1)*Rules!$C$2:$C$60*ISNUMBER(SEARCH(Rules!$E$2:$E$60,$D847)))</f>
        <v>0</v>
      </c>
      <c r="O847" s="0" t="n">
        <f aca="false">SUMPRODUCT((Rules!$A$2:$A$60=O$1)*Rules!$C$2:$C$60*ISNUMBER(SEARCH(Rules!$E$2:$E$60,$D847)))</f>
        <v>0</v>
      </c>
      <c r="P847" s="0" t="n">
        <f aca="false">SUMPRODUCT((Rules!$A$2:$A$60=P$1)*Rules!$C$2:$C$60*ISNUMBER(SEARCH(Rules!$E$2:$E$60,$D847)))</f>
        <v>0</v>
      </c>
      <c r="Q847" s="0" t="n">
        <f aca="false">SUMPRODUCT((Rules!$A$2:$A$60=Q$1)*Rules!$C$2:$C$60*ISNUMBER(SEARCH(Rules!$E$2:$E$60,$D847)))</f>
        <v>3</v>
      </c>
      <c r="R847" s="0" t="str">
        <f aca="false">IF(OR(MAX(L847:Q847)&lt;Rules!$H$1,MAX(L847:Q847)-LARGE(L847:Q847,2)&lt;Rules!$H$2),"No label",INDEX($L$1:$Q$1,MATCH(MAX(L847:Q847),L847:Q847,0)))</f>
        <v>No label</v>
      </c>
      <c r="S847" s="0" t="n">
        <f aca="false">SUMPRODUCT(ISNUMBER(SEARCH(" "&amp;Terms!$A$3:$A$821&amp;" ",$D847))*Terms!B$3:B$821)+Terms!B$2</f>
        <v>-4.60509540191294</v>
      </c>
      <c r="T847" s="0" t="n">
        <f aca="false">SUMPRODUCT(ISNUMBER(SEARCH(" "&amp;Terms!$A$3:$A$821&amp;" ",$D847))*Terms!C$3:C$821)+Terms!C$2</f>
        <v>5.97701753775864</v>
      </c>
      <c r="U847" s="0" t="n">
        <f aca="false">SUMPRODUCT(ISNUMBER(SEARCH(" "&amp;Terms!$A$3:$A$821&amp;" ",$D847))*Terms!D$3:D$821)+Terms!D$2</f>
        <v>-2.14598229532389</v>
      </c>
      <c r="V847" s="0" t="n">
        <f aca="false">SUMPRODUCT(ISNUMBER(SEARCH(" "&amp;Terms!$A$3:$A$821&amp;" ",$D847))*Terms!E$3:E$821)+Terms!E$2</f>
        <v>-1.64230647003334</v>
      </c>
      <c r="W847" s="0" t="n">
        <f aca="false">SUMPRODUCT(ISNUMBER(SEARCH(" "&amp;Terms!$A$3:$A$821&amp;" ",$D847))*Terms!F$3:F$821)+Terms!F$2</f>
        <v>-2.40319050787637</v>
      </c>
      <c r="X847" s="0" t="n">
        <f aca="false">SUMPRODUCT(ISNUMBER(SEARCH(" "&amp;Terms!$A$3:$A$821&amp;" ",$D847))*Terms!G$3:G$821)+Terms!G$2</f>
        <v>4.81955713738797</v>
      </c>
      <c r="Y847" s="0" t="str">
        <f aca="false">INDEX($S$1:$X$1,MATCH(MAX(S847:X847),S847:X847,0))</f>
        <v>Customer Service</v>
      </c>
      <c r="Z847" s="0" t="s">
        <v>2607</v>
      </c>
    </row>
    <row r="848" customFormat="false" ht="15" hidden="false" customHeight="false" outlineLevel="0" collapsed="false">
      <c r="A848" s="0" t="str">
        <f aca="false">Complaints!A848</f>
        <v>C0847</v>
      </c>
      <c r="B848" s="0" t="str">
        <f aca="false">Complaints!B848</f>
        <v>My application has been stuck for weeks with no progress. I could not log in to check either.</v>
      </c>
      <c r="C848" s="0" t="str">
        <f aca="false">Complaints!C848</f>
        <v>Delays &amp; Processing</v>
      </c>
      <c r="D848" s="0" t="str">
        <f aca="false">" "&amp;TRIM(SUBSTITUTE(SUBSTITUTE(SUBSTITUTE(SUBSTITUTE(SUBSTITUTE(SUBSTITUTE(SUBSTITUTE(SUBSTITUTE(SUBSTITUTE(SUBSTITUTE(SUBSTITUTE(SUBSTITUTE(SUBSTITUTE(SUBSTITUTE(SUBSTITUTE(SUBSTITUTE(LOWER(B848),"."," "),","," "),"'"," "),"’"," "),"!"," "),"?"," "),";"," "),":"," "),"-"," "),"("," "),")"," "),"""", " "),"£"," "),"&amp;"," "),"/"," "),"%"," "))&amp;" "</f>
        <v> my application has been stuck for weeks with no progress i could not log in to check either </v>
      </c>
      <c r="E848" s="0" t="n">
        <f aca="false">SUMPRODUCT((Rules!$A$2:$A$60=E$1)*Rules!$C$2:$C$60*ISNUMBER(SEARCH(Rules!$D$2:$D$60,$D848)))</f>
        <v>0</v>
      </c>
      <c r="F848" s="0" t="n">
        <f aca="false">SUMPRODUCT((Rules!$A$2:$A$60=F$1)*Rules!$C$2:$C$60*ISNUMBER(SEARCH(Rules!$D$2:$D$60,$D848)))</f>
        <v>0</v>
      </c>
      <c r="G848" s="0" t="n">
        <f aca="false">SUMPRODUCT((Rules!$A$2:$A$60=G$1)*Rules!$C$2:$C$60*ISNUMBER(SEARCH(Rules!$D$2:$D$60,$D848)))</f>
        <v>3</v>
      </c>
      <c r="H848" s="0" t="n">
        <f aca="false">SUMPRODUCT((Rules!$A$2:$A$60=H$1)*Rules!$C$2:$C$60*ISNUMBER(SEARCH(Rules!$D$2:$D$60,$D848)))</f>
        <v>0</v>
      </c>
      <c r="I848" s="0" t="n">
        <f aca="false">SUMPRODUCT((Rules!$A$2:$A$60=I$1)*Rules!$C$2:$C$60*ISNUMBER(SEARCH(Rules!$D$2:$D$60,$D848)))</f>
        <v>3</v>
      </c>
      <c r="J848" s="0" t="n">
        <f aca="false">SUMPRODUCT((Rules!$A$2:$A$60=J$1)*Rules!$C$2:$C$60*ISNUMBER(SEARCH(Rules!$D$2:$D$60,$D848)))</f>
        <v>0</v>
      </c>
      <c r="K848" s="0" t="str">
        <f aca="false">IF(OR(MAX(E848:J848)&lt;Rules!$H$1,MAX(E848:J848)-LARGE(E848:J848,2)&lt;Rules!$H$2),"No label",INDEX($E$1:$J$1,MATCH(MAX(E848:J848),E848:J848,0)))</f>
        <v>No label</v>
      </c>
      <c r="L848" s="0" t="n">
        <f aca="false">SUMPRODUCT((Rules!$A$2:$A$60=L$1)*Rules!$C$2:$C$60*ISNUMBER(SEARCH(Rules!$E$2:$E$60,$D848)))</f>
        <v>0</v>
      </c>
      <c r="M848" s="0" t="n">
        <f aca="false">SUMPRODUCT((Rules!$A$2:$A$60=M$1)*Rules!$C$2:$C$60*ISNUMBER(SEARCH(Rules!$E$2:$E$60,$D848)))</f>
        <v>0</v>
      </c>
      <c r="N848" s="0" t="n">
        <f aca="false">SUMPRODUCT((Rules!$A$2:$A$60=N$1)*Rules!$C$2:$C$60*ISNUMBER(SEARCH(Rules!$E$2:$E$60,$D848)))</f>
        <v>3</v>
      </c>
      <c r="O848" s="0" t="n">
        <f aca="false">SUMPRODUCT((Rules!$A$2:$A$60=O$1)*Rules!$C$2:$C$60*ISNUMBER(SEARCH(Rules!$E$2:$E$60,$D848)))</f>
        <v>0</v>
      </c>
      <c r="P848" s="0" t="n">
        <f aca="false">SUMPRODUCT((Rules!$A$2:$A$60=P$1)*Rules!$C$2:$C$60*ISNUMBER(SEARCH(Rules!$E$2:$E$60,$D848)))</f>
        <v>3</v>
      </c>
      <c r="Q848" s="0" t="n">
        <f aca="false">SUMPRODUCT((Rules!$A$2:$A$60=Q$1)*Rules!$C$2:$C$60*ISNUMBER(SEARCH(Rules!$E$2:$E$60,$D848)))</f>
        <v>0</v>
      </c>
      <c r="R848" s="0" t="str">
        <f aca="false">IF(OR(MAX(L848:Q848)&lt;Rules!$H$1,MAX(L848:Q848)-LARGE(L848:Q848,2)&lt;Rules!$H$2),"No label",INDEX($L$1:$Q$1,MATCH(MAX(L848:Q848),L848:Q848,0)))</f>
        <v>No label</v>
      </c>
      <c r="S848" s="0" t="n">
        <f aca="false">SUMPRODUCT(ISNUMBER(SEARCH(" "&amp;Terms!$A$3:$A$821&amp;" ",$D848))*Terms!B$3:B$821)+Terms!B$2</f>
        <v>-3.02441784204418</v>
      </c>
      <c r="T848" s="0" t="n">
        <f aca="false">SUMPRODUCT(ISNUMBER(SEARCH(" "&amp;Terms!$A$3:$A$821&amp;" ",$D848))*Terms!C$3:C$821)+Terms!C$2</f>
        <v>-0.151303861713578</v>
      </c>
      <c r="U848" s="0" t="n">
        <f aca="false">SUMPRODUCT(ISNUMBER(SEARCH(" "&amp;Terms!$A$3:$A$821&amp;" ",$D848))*Terms!D$3:D$821)+Terms!D$2</f>
        <v>8.7381232392096</v>
      </c>
      <c r="V848" s="0" t="n">
        <f aca="false">SUMPRODUCT(ISNUMBER(SEARCH(" "&amp;Terms!$A$3:$A$821&amp;" ",$D848))*Terms!E$3:E$821)+Terms!E$2</f>
        <v>-1.16655802916544</v>
      </c>
      <c r="W848" s="0" t="n">
        <f aca="false">SUMPRODUCT(ISNUMBER(SEARCH(" "&amp;Terms!$A$3:$A$821&amp;" ",$D848))*Terms!F$3:F$821)+Terms!F$2</f>
        <v>-3.00048245668498</v>
      </c>
      <c r="X848" s="0" t="n">
        <f aca="false">SUMPRODUCT(ISNUMBER(SEARCH(" "&amp;Terms!$A$3:$A$821&amp;" ",$D848))*Terms!G$3:G$821)+Terms!G$2</f>
        <v>-1.39536104960133</v>
      </c>
      <c r="Y848" s="0" t="str">
        <f aca="false">INDEX($S$1:$X$1,MATCH(MAX(S848:X848),S848:X848,0))</f>
        <v>Delays &amp; Processing</v>
      </c>
      <c r="Z848" s="0" t="s">
        <v>2607</v>
      </c>
    </row>
    <row r="849" customFormat="false" ht="15" hidden="false" customHeight="false" outlineLevel="0" collapsed="false">
      <c r="A849" s="0" t="str">
        <f aca="false">Complaints!A849</f>
        <v>C0848</v>
      </c>
      <c r="B849" s="0" t="str">
        <f aca="false">Complaints!B849</f>
        <v>I have been a customer for years. I sent the form twice and it seems to have been lost in the system. Please sort this out.</v>
      </c>
      <c r="C849" s="0" t="str">
        <f aca="false">Complaints!C849</f>
        <v>Delays &amp; Processing</v>
      </c>
      <c r="D849" s="0" t="str">
        <f aca="false">" "&amp;TRIM(SUBSTITUTE(SUBSTITUTE(SUBSTITUTE(SUBSTITUTE(SUBSTITUTE(SUBSTITUTE(SUBSTITUTE(SUBSTITUTE(SUBSTITUTE(SUBSTITUTE(SUBSTITUTE(SUBSTITUTE(SUBSTITUTE(SUBSTITUTE(SUBSTITUTE(SUBSTITUTE(LOWER(B849),"."," "),","," "),"'"," "),"’"," "),"!"," "),"?"," "),";"," "),":"," "),"-"," "),"("," "),")"," "),"""", " "),"£"," "),"&amp;"," "),"/"," "),"%"," "))&amp;" "</f>
        <v> i have been a customer for years i sent the form twice and it seems to have been lost in the system please sort this out </v>
      </c>
      <c r="E849" s="0" t="n">
        <f aca="false">SUMPRODUCT((Rules!$A$2:$A$60=E$1)*Rules!$C$2:$C$60*ISNUMBER(SEARCH(Rules!$D$2:$D$60,$D849)))</f>
        <v>0</v>
      </c>
      <c r="F849" s="0" t="n">
        <f aca="false">SUMPRODUCT((Rules!$A$2:$A$60=F$1)*Rules!$C$2:$C$60*ISNUMBER(SEARCH(Rules!$D$2:$D$60,$D849)))</f>
        <v>0</v>
      </c>
      <c r="G849" s="0" t="n">
        <f aca="false">SUMPRODUCT((Rules!$A$2:$A$60=G$1)*Rules!$C$2:$C$60*ISNUMBER(SEARCH(Rules!$D$2:$D$60,$D849)))</f>
        <v>0</v>
      </c>
      <c r="H849" s="0" t="n">
        <f aca="false">SUMPRODUCT((Rules!$A$2:$A$60=H$1)*Rules!$C$2:$C$60*ISNUMBER(SEARCH(Rules!$D$2:$D$60,$D849)))</f>
        <v>0</v>
      </c>
      <c r="I849" s="0" t="n">
        <f aca="false">SUMPRODUCT((Rules!$A$2:$A$60=I$1)*Rules!$C$2:$C$60*ISNUMBER(SEARCH(Rules!$D$2:$D$60,$D849)))</f>
        <v>0</v>
      </c>
      <c r="J849" s="0" t="n">
        <f aca="false">SUMPRODUCT((Rules!$A$2:$A$60=J$1)*Rules!$C$2:$C$60*ISNUMBER(SEARCH(Rules!$D$2:$D$60,$D849)))</f>
        <v>0</v>
      </c>
      <c r="K849" s="0" t="str">
        <f aca="false">IF(OR(MAX(E849:J849)&lt;Rules!$H$1,MAX(E849:J849)-LARGE(E849:J849,2)&lt;Rules!$H$2),"No label",INDEX($E$1:$J$1,MATCH(MAX(E849:J849),E849:J849,0)))</f>
        <v>No label</v>
      </c>
      <c r="L849" s="0" t="n">
        <f aca="false">SUMPRODUCT((Rules!$A$2:$A$60=L$1)*Rules!$C$2:$C$60*ISNUMBER(SEARCH(Rules!$E$2:$E$60,$D849)))</f>
        <v>0</v>
      </c>
      <c r="M849" s="0" t="n">
        <f aca="false">SUMPRODUCT((Rules!$A$2:$A$60=M$1)*Rules!$C$2:$C$60*ISNUMBER(SEARCH(Rules!$E$2:$E$60,$D849)))</f>
        <v>0</v>
      </c>
      <c r="N849" s="0" t="n">
        <f aca="false">SUMPRODUCT((Rules!$A$2:$A$60=N$1)*Rules!$C$2:$C$60*ISNUMBER(SEARCH(Rules!$E$2:$E$60,$D849)))</f>
        <v>0</v>
      </c>
      <c r="O849" s="0" t="n">
        <f aca="false">SUMPRODUCT((Rules!$A$2:$A$60=O$1)*Rules!$C$2:$C$60*ISNUMBER(SEARCH(Rules!$E$2:$E$60,$D849)))</f>
        <v>0</v>
      </c>
      <c r="P849" s="0" t="n">
        <f aca="false">SUMPRODUCT((Rules!$A$2:$A$60=P$1)*Rules!$C$2:$C$60*ISNUMBER(SEARCH(Rules!$E$2:$E$60,$D849)))</f>
        <v>0</v>
      </c>
      <c r="Q849" s="0" t="n">
        <f aca="false">SUMPRODUCT((Rules!$A$2:$A$60=Q$1)*Rules!$C$2:$C$60*ISNUMBER(SEARCH(Rules!$E$2:$E$60,$D849)))</f>
        <v>0</v>
      </c>
      <c r="R849" s="0" t="str">
        <f aca="false">IF(OR(MAX(L849:Q849)&lt;Rules!$H$1,MAX(L849:Q849)-LARGE(L849:Q849,2)&lt;Rules!$H$2),"No label",INDEX($L$1:$Q$1,MATCH(MAX(L849:Q849),L849:Q849,0)))</f>
        <v>No label</v>
      </c>
      <c r="S849" s="0" t="n">
        <f aca="false">SUMPRODUCT(ISNUMBER(SEARCH(" "&amp;Terms!$A$3:$A$821&amp;" ",$D849))*Terms!B$3:B$821)+Terms!B$2</f>
        <v>-4.53221197183706</v>
      </c>
      <c r="T849" s="0" t="n">
        <f aca="false">SUMPRODUCT(ISNUMBER(SEARCH(" "&amp;Terms!$A$3:$A$821&amp;" ",$D849))*Terms!C$3:C$821)+Terms!C$2</f>
        <v>0.650861437374768</v>
      </c>
      <c r="U849" s="0" t="n">
        <f aca="false">SUMPRODUCT(ISNUMBER(SEARCH(" "&amp;Terms!$A$3:$A$821&amp;" ",$D849))*Terms!D$3:D$821)+Terms!D$2</f>
        <v>10.0765995943765</v>
      </c>
      <c r="V849" s="0" t="n">
        <f aca="false">SUMPRODUCT(ISNUMBER(SEARCH(" "&amp;Terms!$A$3:$A$821&amp;" ",$D849))*Terms!E$3:E$821)+Terms!E$2</f>
        <v>0.785848518390295</v>
      </c>
      <c r="W849" s="0" t="n">
        <f aca="false">SUMPRODUCT(ISNUMBER(SEARCH(" "&amp;Terms!$A$3:$A$821&amp;" ",$D849))*Terms!F$3:F$821)+Terms!F$2</f>
        <v>-3.94263188359477</v>
      </c>
      <c r="X849" s="0" t="n">
        <f aca="false">SUMPRODUCT(ISNUMBER(SEARCH(" "&amp;Terms!$A$3:$A$821&amp;" ",$D849))*Terms!G$3:G$821)+Terms!G$2</f>
        <v>-3.03846569470965</v>
      </c>
      <c r="Y849" s="0" t="str">
        <f aca="false">INDEX($S$1:$X$1,MATCH(MAX(S849:X849),S849:X849,0))</f>
        <v>Delays &amp; Processing</v>
      </c>
      <c r="Z849" s="0" t="s">
        <v>2607</v>
      </c>
    </row>
    <row r="850" customFormat="false" ht="15" hidden="false" customHeight="false" outlineLevel="0" collapsed="false">
      <c r="A850" s="0" t="str">
        <f aca="false">Complaints!A850</f>
        <v>C0849</v>
      </c>
      <c r="B850" s="0" t="str">
        <f aca="false">Complaints!B850</f>
        <v>A late payment fee appeared and I want it refunded. I do not think it was explained properly when I bought it. I want this put right.</v>
      </c>
      <c r="C850" s="0" t="str">
        <f aca="false">Complaints!C850</f>
        <v>Fees &amp; Charges</v>
      </c>
      <c r="D850" s="0" t="str">
        <f aca="false">" "&amp;TRIM(SUBSTITUTE(SUBSTITUTE(SUBSTITUTE(SUBSTITUTE(SUBSTITUTE(SUBSTITUTE(SUBSTITUTE(SUBSTITUTE(SUBSTITUTE(SUBSTITUTE(SUBSTITUTE(SUBSTITUTE(SUBSTITUTE(SUBSTITUTE(SUBSTITUTE(SUBSTITUTE(LOWER(B850),"."," "),","," "),"'"," "),"’"," "),"!"," "),"?"," "),";"," "),":"," "),"-"," "),"("," "),")"," "),"""", " "),"£"," "),"&amp;"," "),"/"," "),"%"," "))&amp;" "</f>
        <v> a late payment fee appeared and i want it refunded i do not think it was explained properly when i bought it i want this put right </v>
      </c>
      <c r="E850" s="0" t="n">
        <f aca="false">SUMPRODUCT((Rules!$A$2:$A$60=E$1)*Rules!$C$2:$C$60*ISNUMBER(SEARCH(Rules!$D$2:$D$60,$D850)))</f>
        <v>0</v>
      </c>
      <c r="F850" s="0" t="n">
        <f aca="false">SUMPRODUCT((Rules!$A$2:$A$60=F$1)*Rules!$C$2:$C$60*ISNUMBER(SEARCH(Rules!$D$2:$D$60,$D850)))</f>
        <v>0</v>
      </c>
      <c r="G850" s="0" t="n">
        <f aca="false">SUMPRODUCT((Rules!$A$2:$A$60=G$1)*Rules!$C$2:$C$60*ISNUMBER(SEARCH(Rules!$D$2:$D$60,$D850)))</f>
        <v>0</v>
      </c>
      <c r="H850" s="0" t="n">
        <f aca="false">SUMPRODUCT((Rules!$A$2:$A$60=H$1)*Rules!$C$2:$C$60*ISNUMBER(SEARCH(Rules!$D$2:$D$60,$D850)))</f>
        <v>2</v>
      </c>
      <c r="I850" s="0" t="n">
        <f aca="false">SUMPRODUCT((Rules!$A$2:$A$60=I$1)*Rules!$C$2:$C$60*ISNUMBER(SEARCH(Rules!$D$2:$D$60,$D850)))</f>
        <v>0</v>
      </c>
      <c r="J850" s="0" t="n">
        <f aca="false">SUMPRODUCT((Rules!$A$2:$A$60=J$1)*Rules!$C$2:$C$60*ISNUMBER(SEARCH(Rules!$D$2:$D$60,$D850)))</f>
        <v>0</v>
      </c>
      <c r="K850" s="0" t="str">
        <f aca="false">IF(OR(MAX(E850:J850)&lt;Rules!$H$1,MAX(E850:J850)-LARGE(E850:J850,2)&lt;Rules!$H$2),"No label",INDEX($E$1:$J$1,MATCH(MAX(E850:J850),E850:J850,0)))</f>
        <v>No label</v>
      </c>
      <c r="L850" s="0" t="n">
        <f aca="false">SUMPRODUCT((Rules!$A$2:$A$60=L$1)*Rules!$C$2:$C$60*ISNUMBER(SEARCH(Rules!$E$2:$E$60,$D850)))</f>
        <v>0</v>
      </c>
      <c r="M850" s="0" t="n">
        <f aca="false">SUMPRODUCT((Rules!$A$2:$A$60=M$1)*Rules!$C$2:$C$60*ISNUMBER(SEARCH(Rules!$E$2:$E$60,$D850)))</f>
        <v>0</v>
      </c>
      <c r="N850" s="0" t="n">
        <f aca="false">SUMPRODUCT((Rules!$A$2:$A$60=N$1)*Rules!$C$2:$C$60*ISNUMBER(SEARCH(Rules!$E$2:$E$60,$D850)))</f>
        <v>0</v>
      </c>
      <c r="O850" s="0" t="n">
        <f aca="false">SUMPRODUCT((Rules!$A$2:$A$60=O$1)*Rules!$C$2:$C$60*ISNUMBER(SEARCH(Rules!$E$2:$E$60,$D850)))</f>
        <v>2</v>
      </c>
      <c r="P850" s="0" t="n">
        <f aca="false">SUMPRODUCT((Rules!$A$2:$A$60=P$1)*Rules!$C$2:$C$60*ISNUMBER(SEARCH(Rules!$E$2:$E$60,$D850)))</f>
        <v>0</v>
      </c>
      <c r="Q850" s="0" t="n">
        <f aca="false">SUMPRODUCT((Rules!$A$2:$A$60=Q$1)*Rules!$C$2:$C$60*ISNUMBER(SEARCH(Rules!$E$2:$E$60,$D850)))</f>
        <v>0</v>
      </c>
      <c r="R850" s="0" t="str">
        <f aca="false">IF(OR(MAX(L850:Q850)&lt;Rules!$H$1,MAX(L850:Q850)-LARGE(L850:Q850,2)&lt;Rules!$H$2),"No label",INDEX($L$1:$Q$1,MATCH(MAX(L850:Q850),L850:Q850,0)))</f>
        <v>No label</v>
      </c>
      <c r="S850" s="0" t="n">
        <f aca="false">SUMPRODUCT(ISNUMBER(SEARCH(" "&amp;Terms!$A$3:$A$821&amp;" ",$D850))*Terms!B$3:B$821)+Terms!B$2</f>
        <v>-4.38215485407125</v>
      </c>
      <c r="T850" s="0" t="n">
        <f aca="false">SUMPRODUCT(ISNUMBER(SEARCH(" "&amp;Terms!$A$3:$A$821&amp;" ",$D850))*Terms!C$3:C$821)+Terms!C$2</f>
        <v>-7.33427189714926</v>
      </c>
      <c r="U850" s="0" t="n">
        <f aca="false">SUMPRODUCT(ISNUMBER(SEARCH(" "&amp;Terms!$A$3:$A$821&amp;" ",$D850))*Terms!D$3:D$821)+Terms!D$2</f>
        <v>-1.28729240527998</v>
      </c>
      <c r="V850" s="0" t="n">
        <f aca="false">SUMPRODUCT(ISNUMBER(SEARCH(" "&amp;Terms!$A$3:$A$821&amp;" ",$D850))*Terms!E$3:E$821)+Terms!E$2</f>
        <v>17.2281771931475</v>
      </c>
      <c r="W850" s="0" t="n">
        <f aca="false">SUMPRODUCT(ISNUMBER(SEARCH(" "&amp;Terms!$A$3:$A$821&amp;" ",$D850))*Terms!F$3:F$821)+Terms!F$2</f>
        <v>3.51439798554546</v>
      </c>
      <c r="X850" s="0" t="n">
        <f aca="false">SUMPRODUCT(ISNUMBER(SEARCH(" "&amp;Terms!$A$3:$A$821&amp;" ",$D850))*Terms!G$3:G$821)+Terms!G$2</f>
        <v>-7.73885602219236</v>
      </c>
      <c r="Y850" s="0" t="str">
        <f aca="false">INDEX($S$1:$X$1,MATCH(MAX(S850:X850),S850:X850,0))</f>
        <v>Fees &amp; Charges</v>
      </c>
      <c r="Z850" s="0" t="s">
        <v>2607</v>
      </c>
    </row>
    <row r="851" customFormat="false" ht="15" hidden="false" customHeight="false" outlineLevel="0" collapsed="false">
      <c r="A851" s="0" t="str">
        <f aca="false">Complaints!A851</f>
        <v>C0850</v>
      </c>
      <c r="B851" s="0" t="str">
        <f aca="false">Complaints!B851</f>
        <v>I reported the unauthorised payment but you refused to reimburse me. Also, you took an overdraft fee even though I was within my limit. I want this put right.</v>
      </c>
      <c r="C851" s="0" t="str">
        <f aca="false">Complaints!C851</f>
        <v>Fraud &amp; Scams</v>
      </c>
      <c r="D851" s="0" t="str">
        <f aca="false">" "&amp;TRIM(SUBSTITUTE(SUBSTITUTE(SUBSTITUTE(SUBSTITUTE(SUBSTITUTE(SUBSTITUTE(SUBSTITUTE(SUBSTITUTE(SUBSTITUTE(SUBSTITUTE(SUBSTITUTE(SUBSTITUTE(SUBSTITUTE(SUBSTITUTE(SUBSTITUTE(SUBSTITUTE(LOWER(B851),"."," "),","," "),"'"," "),"’"," "),"!"," "),"?"," "),";"," "),":"," "),"-"," "),"("," "),")"," "),"""", " "),"£"," "),"&amp;"," "),"/"," "),"%"," "))&amp;" "</f>
        <v> i reported the unauthorised payment but you refused to reimburse me also you took an overdraft fee even though i was within my limit i want this put right </v>
      </c>
      <c r="E851" s="0" t="n">
        <f aca="false">SUMPRODUCT((Rules!$A$2:$A$60=E$1)*Rules!$C$2:$C$60*ISNUMBER(SEARCH(Rules!$D$2:$D$60,$D851)))</f>
        <v>3</v>
      </c>
      <c r="F851" s="0" t="n">
        <f aca="false">SUMPRODUCT((Rules!$A$2:$A$60=F$1)*Rules!$C$2:$C$60*ISNUMBER(SEARCH(Rules!$D$2:$D$60,$D851)))</f>
        <v>0</v>
      </c>
      <c r="G851" s="0" t="n">
        <f aca="false">SUMPRODUCT((Rules!$A$2:$A$60=G$1)*Rules!$C$2:$C$60*ISNUMBER(SEARCH(Rules!$D$2:$D$60,$D851)))</f>
        <v>0</v>
      </c>
      <c r="H851" s="0" t="n">
        <f aca="false">SUMPRODUCT((Rules!$A$2:$A$60=H$1)*Rules!$C$2:$C$60*ISNUMBER(SEARCH(Rules!$D$2:$D$60,$D851)))</f>
        <v>2</v>
      </c>
      <c r="I851" s="0" t="n">
        <f aca="false">SUMPRODUCT((Rules!$A$2:$A$60=I$1)*Rules!$C$2:$C$60*ISNUMBER(SEARCH(Rules!$D$2:$D$60,$D851)))</f>
        <v>0</v>
      </c>
      <c r="J851" s="0" t="n">
        <f aca="false">SUMPRODUCT((Rules!$A$2:$A$60=J$1)*Rules!$C$2:$C$60*ISNUMBER(SEARCH(Rules!$D$2:$D$60,$D851)))</f>
        <v>0</v>
      </c>
      <c r="K851" s="0" t="str">
        <f aca="false">IF(OR(MAX(E851:J851)&lt;Rules!$H$1,MAX(E851:J851)-LARGE(E851:J851,2)&lt;Rules!$H$2),"No label",INDEX($E$1:$J$1,MATCH(MAX(E851:J851),E851:J851,0)))</f>
        <v>No label</v>
      </c>
      <c r="L851" s="0" t="n">
        <f aca="false">SUMPRODUCT((Rules!$A$2:$A$60=L$1)*Rules!$C$2:$C$60*ISNUMBER(SEARCH(Rules!$E$2:$E$60,$D851)))</f>
        <v>3</v>
      </c>
      <c r="M851" s="0" t="n">
        <f aca="false">SUMPRODUCT((Rules!$A$2:$A$60=M$1)*Rules!$C$2:$C$60*ISNUMBER(SEARCH(Rules!$E$2:$E$60,$D851)))</f>
        <v>0</v>
      </c>
      <c r="N851" s="0" t="n">
        <f aca="false">SUMPRODUCT((Rules!$A$2:$A$60=N$1)*Rules!$C$2:$C$60*ISNUMBER(SEARCH(Rules!$E$2:$E$60,$D851)))</f>
        <v>0</v>
      </c>
      <c r="O851" s="0" t="n">
        <f aca="false">SUMPRODUCT((Rules!$A$2:$A$60=O$1)*Rules!$C$2:$C$60*ISNUMBER(SEARCH(Rules!$E$2:$E$60,$D851)))</f>
        <v>2</v>
      </c>
      <c r="P851" s="0" t="n">
        <f aca="false">SUMPRODUCT((Rules!$A$2:$A$60=P$1)*Rules!$C$2:$C$60*ISNUMBER(SEARCH(Rules!$E$2:$E$60,$D851)))</f>
        <v>0</v>
      </c>
      <c r="Q851" s="0" t="n">
        <f aca="false">SUMPRODUCT((Rules!$A$2:$A$60=Q$1)*Rules!$C$2:$C$60*ISNUMBER(SEARCH(Rules!$E$2:$E$60,$D851)))</f>
        <v>0</v>
      </c>
      <c r="R851" s="0" t="str">
        <f aca="false">IF(OR(MAX(L851:Q851)&lt;Rules!$H$1,MAX(L851:Q851)-LARGE(L851:Q851,2)&lt;Rules!$H$2),"No label",INDEX($L$1:$Q$1,MATCH(MAX(L851:Q851),L851:Q851,0)))</f>
        <v>No label</v>
      </c>
      <c r="S851" s="0" t="n">
        <f aca="false">SUMPRODUCT(ISNUMBER(SEARCH(" "&amp;Terms!$A$3:$A$821&amp;" ",$D851))*Terms!B$3:B$821)+Terms!B$2</f>
        <v>-3.86974724624746</v>
      </c>
      <c r="T851" s="0" t="n">
        <f aca="false">SUMPRODUCT(ISNUMBER(SEARCH(" "&amp;Terms!$A$3:$A$821&amp;" ",$D851))*Terms!C$3:C$821)+Terms!C$2</f>
        <v>-6.72594411813492</v>
      </c>
      <c r="U851" s="0" t="n">
        <f aca="false">SUMPRODUCT(ISNUMBER(SEARCH(" "&amp;Terms!$A$3:$A$821&amp;" ",$D851))*Terms!D$3:D$821)+Terms!D$2</f>
        <v>-4.9385930924073</v>
      </c>
      <c r="V851" s="0" t="n">
        <f aca="false">SUMPRODUCT(ISNUMBER(SEARCH(" "&amp;Terms!$A$3:$A$821&amp;" ",$D851))*Terms!E$3:E$821)+Terms!E$2</f>
        <v>10.1816501400054</v>
      </c>
      <c r="W851" s="0" t="n">
        <f aca="false">SUMPRODUCT(ISNUMBER(SEARCH(" "&amp;Terms!$A$3:$A$821&amp;" ",$D851))*Terms!F$3:F$821)+Terms!F$2</f>
        <v>9.81989916202899</v>
      </c>
      <c r="X851" s="0" t="n">
        <f aca="false">SUMPRODUCT(ISNUMBER(SEARCH(" "&amp;Terms!$A$3:$A$821&amp;" ",$D851))*Terms!G$3:G$821)+Terms!G$2</f>
        <v>-4.46726484524466</v>
      </c>
      <c r="Y851" s="0" t="str">
        <f aca="false">INDEX($S$1:$X$1,MATCH(MAX(S851:X851),S851:X851,0))</f>
        <v>Fees &amp; Charges</v>
      </c>
      <c r="Z851" s="0" t="s">
        <v>2607</v>
      </c>
    </row>
    <row r="852" customFormat="false" ht="15" hidden="false" customHeight="false" outlineLevel="0" collapsed="false">
      <c r="A852" s="0" t="str">
        <f aca="false">Complaints!A852</f>
        <v>C0851</v>
      </c>
      <c r="B852" s="0" t="str">
        <f aca="false">Complaints!B852</f>
        <v>The staff member was rude and dismissive when I called. Also, the paperwork was submitted a month ago and I am still waiting. I expect compensation.</v>
      </c>
      <c r="C852" s="0" t="str">
        <f aca="false">Complaints!C852</f>
        <v>Customer Service</v>
      </c>
      <c r="D852" s="0" t="str">
        <f aca="false">" "&amp;TRIM(SUBSTITUTE(SUBSTITUTE(SUBSTITUTE(SUBSTITUTE(SUBSTITUTE(SUBSTITUTE(SUBSTITUTE(SUBSTITUTE(SUBSTITUTE(SUBSTITUTE(SUBSTITUTE(SUBSTITUTE(SUBSTITUTE(SUBSTITUTE(SUBSTITUTE(SUBSTITUTE(LOWER(B852),"."," "),","," "),"'"," "),"’"," "),"!"," "),"?"," "),";"," "),":"," "),"-"," "),"("," "),")"," "),"""", " "),"£"," "),"&amp;"," "),"/"," "),"%"," "))&amp;" "</f>
        <v> the staff member was rude and dismissive when i called also the paperwork was submitted a month ago and i am still waiting i expect compensation </v>
      </c>
      <c r="E852" s="0" t="n">
        <f aca="false">SUMPRODUCT((Rules!$A$2:$A$60=E$1)*Rules!$C$2:$C$60*ISNUMBER(SEARCH(Rules!$D$2:$D$60,$D852)))</f>
        <v>0</v>
      </c>
      <c r="F852" s="0" t="n">
        <f aca="false">SUMPRODUCT((Rules!$A$2:$A$60=F$1)*Rules!$C$2:$C$60*ISNUMBER(SEARCH(Rules!$D$2:$D$60,$D852)))</f>
        <v>0</v>
      </c>
      <c r="G852" s="0" t="n">
        <f aca="false">SUMPRODUCT((Rules!$A$2:$A$60=G$1)*Rules!$C$2:$C$60*ISNUMBER(SEARCH(Rules!$D$2:$D$60,$D852)))</f>
        <v>0</v>
      </c>
      <c r="H852" s="0" t="n">
        <f aca="false">SUMPRODUCT((Rules!$A$2:$A$60=H$1)*Rules!$C$2:$C$60*ISNUMBER(SEARCH(Rules!$D$2:$D$60,$D852)))</f>
        <v>0</v>
      </c>
      <c r="I852" s="0" t="n">
        <f aca="false">SUMPRODUCT((Rules!$A$2:$A$60=I$1)*Rules!$C$2:$C$60*ISNUMBER(SEARCH(Rules!$D$2:$D$60,$D852)))</f>
        <v>2</v>
      </c>
      <c r="J852" s="0" t="n">
        <f aca="false">SUMPRODUCT((Rules!$A$2:$A$60=J$1)*Rules!$C$2:$C$60*ISNUMBER(SEARCH(Rules!$D$2:$D$60,$D852)))</f>
        <v>4</v>
      </c>
      <c r="K852" s="0" t="str">
        <f aca="false">IF(OR(MAX(E852:J852)&lt;Rules!$H$1,MAX(E852:J852)-LARGE(E852:J852,2)&lt;Rules!$H$2),"No label",INDEX($E$1:$J$1,MATCH(MAX(E852:J852),E852:J852,0)))</f>
        <v>Customer Service</v>
      </c>
      <c r="L852" s="0" t="n">
        <f aca="false">SUMPRODUCT((Rules!$A$2:$A$60=L$1)*Rules!$C$2:$C$60*ISNUMBER(SEARCH(Rules!$E$2:$E$60,$D852)))</f>
        <v>0</v>
      </c>
      <c r="M852" s="0" t="n">
        <f aca="false">SUMPRODUCT((Rules!$A$2:$A$60=M$1)*Rules!$C$2:$C$60*ISNUMBER(SEARCH(Rules!$E$2:$E$60,$D852)))</f>
        <v>0</v>
      </c>
      <c r="N852" s="0" t="n">
        <f aca="false">SUMPRODUCT((Rules!$A$2:$A$60=N$1)*Rules!$C$2:$C$60*ISNUMBER(SEARCH(Rules!$E$2:$E$60,$D852)))</f>
        <v>0</v>
      </c>
      <c r="O852" s="0" t="n">
        <f aca="false">SUMPRODUCT((Rules!$A$2:$A$60=O$1)*Rules!$C$2:$C$60*ISNUMBER(SEARCH(Rules!$E$2:$E$60,$D852)))</f>
        <v>0</v>
      </c>
      <c r="P852" s="0" t="n">
        <f aca="false">SUMPRODUCT((Rules!$A$2:$A$60=P$1)*Rules!$C$2:$C$60*ISNUMBER(SEARCH(Rules!$E$2:$E$60,$D852)))</f>
        <v>2</v>
      </c>
      <c r="Q852" s="0" t="n">
        <f aca="false">SUMPRODUCT((Rules!$A$2:$A$60=Q$1)*Rules!$C$2:$C$60*ISNUMBER(SEARCH(Rules!$E$2:$E$60,$D852)))</f>
        <v>4</v>
      </c>
      <c r="R852" s="0" t="str">
        <f aca="false">IF(OR(MAX(L852:Q852)&lt;Rules!$H$1,MAX(L852:Q852)-LARGE(L852:Q852,2)&lt;Rules!$H$2),"No label",INDEX($L$1:$Q$1,MATCH(MAX(L852:Q852),L852:Q852,0)))</f>
        <v>Customer Service</v>
      </c>
      <c r="S852" s="0" t="n">
        <f aca="false">SUMPRODUCT(ISNUMBER(SEARCH(" "&amp;Terms!$A$3:$A$821&amp;" ",$D852))*Terms!B$3:B$821)+Terms!B$2</f>
        <v>-1.78450982486023</v>
      </c>
      <c r="T852" s="0" t="n">
        <f aca="false">SUMPRODUCT(ISNUMBER(SEARCH(" "&amp;Terms!$A$3:$A$821&amp;" ",$D852))*Terms!C$3:C$821)+Terms!C$2</f>
        <v>7.54097460420853</v>
      </c>
      <c r="U852" s="0" t="n">
        <f aca="false">SUMPRODUCT(ISNUMBER(SEARCH(" "&amp;Terms!$A$3:$A$821&amp;" ",$D852))*Terms!D$3:D$821)+Terms!D$2</f>
        <v>4.98285652041496</v>
      </c>
      <c r="V852" s="0" t="n">
        <f aca="false">SUMPRODUCT(ISNUMBER(SEARCH(" "&amp;Terms!$A$3:$A$821&amp;" ",$D852))*Terms!E$3:E$821)+Terms!E$2</f>
        <v>-0.697450163141912</v>
      </c>
      <c r="W852" s="0" t="n">
        <f aca="false">SUMPRODUCT(ISNUMBER(SEARCH(" "&amp;Terms!$A$3:$A$821&amp;" ",$D852))*Terms!F$3:F$821)+Terms!F$2</f>
        <v>-4.00358533991042</v>
      </c>
      <c r="X852" s="0" t="n">
        <f aca="false">SUMPRODUCT(ISNUMBER(SEARCH(" "&amp;Terms!$A$3:$A$821&amp;" ",$D852))*Terms!G$3:G$821)+Terms!G$2</f>
        <v>-6.03828579671086</v>
      </c>
      <c r="Y852" s="0" t="str">
        <f aca="false">INDEX($S$1:$X$1,MATCH(MAX(S852:X852),S852:X852,0))</f>
        <v>Customer Service</v>
      </c>
      <c r="Z852" s="0" t="s">
        <v>2607</v>
      </c>
    </row>
    <row r="853" customFormat="false" ht="15" hidden="false" customHeight="false" outlineLevel="0" collapsed="false">
      <c r="A853" s="0" t="str">
        <f aca="false">Complaints!A853</f>
        <v>C0852</v>
      </c>
      <c r="B853" s="0" t="str">
        <f aca="false">Complaints!B853</f>
        <v>There are transactions on my card I do not recognise. Also, the paperwork was submitted a month ago and I am still waiting.</v>
      </c>
      <c r="C853" s="0" t="str">
        <f aca="false">Complaints!C853</f>
        <v>Fraud &amp; Scams</v>
      </c>
      <c r="D853" s="0" t="str">
        <f aca="false">" "&amp;TRIM(SUBSTITUTE(SUBSTITUTE(SUBSTITUTE(SUBSTITUTE(SUBSTITUTE(SUBSTITUTE(SUBSTITUTE(SUBSTITUTE(SUBSTITUTE(SUBSTITUTE(SUBSTITUTE(SUBSTITUTE(SUBSTITUTE(SUBSTITUTE(SUBSTITUTE(SUBSTITUTE(LOWER(B853),"."," "),","," "),"'"," "),"’"," "),"!"," "),"?"," "),";"," "),":"," "),"-"," "),"("," "),")"," "),"""", " "),"£"," "),"&amp;"," "),"/"," "),"%"," "))&amp;" "</f>
        <v> there are transactions on my card i do not recognise also the paperwork was submitted a month ago and i am still waiting </v>
      </c>
      <c r="E853" s="0" t="n">
        <f aca="false">SUMPRODUCT((Rules!$A$2:$A$60=E$1)*Rules!$C$2:$C$60*ISNUMBER(SEARCH(Rules!$D$2:$D$60,$D853)))</f>
        <v>2</v>
      </c>
      <c r="F853" s="0" t="n">
        <f aca="false">SUMPRODUCT((Rules!$A$2:$A$60=F$1)*Rules!$C$2:$C$60*ISNUMBER(SEARCH(Rules!$D$2:$D$60,$D853)))</f>
        <v>0</v>
      </c>
      <c r="G853" s="0" t="n">
        <f aca="false">SUMPRODUCT((Rules!$A$2:$A$60=G$1)*Rules!$C$2:$C$60*ISNUMBER(SEARCH(Rules!$D$2:$D$60,$D853)))</f>
        <v>0</v>
      </c>
      <c r="H853" s="0" t="n">
        <f aca="false">SUMPRODUCT((Rules!$A$2:$A$60=H$1)*Rules!$C$2:$C$60*ISNUMBER(SEARCH(Rules!$D$2:$D$60,$D853)))</f>
        <v>0</v>
      </c>
      <c r="I853" s="0" t="n">
        <f aca="false">SUMPRODUCT((Rules!$A$2:$A$60=I$1)*Rules!$C$2:$C$60*ISNUMBER(SEARCH(Rules!$D$2:$D$60,$D853)))</f>
        <v>2</v>
      </c>
      <c r="J853" s="0" t="n">
        <f aca="false">SUMPRODUCT((Rules!$A$2:$A$60=J$1)*Rules!$C$2:$C$60*ISNUMBER(SEARCH(Rules!$D$2:$D$60,$D853)))</f>
        <v>0</v>
      </c>
      <c r="K853" s="0" t="str">
        <f aca="false">IF(OR(MAX(E853:J853)&lt;Rules!$H$1,MAX(E853:J853)-LARGE(E853:J853,2)&lt;Rules!$H$2),"No label",INDEX($E$1:$J$1,MATCH(MAX(E853:J853),E853:J853,0)))</f>
        <v>No label</v>
      </c>
      <c r="L853" s="0" t="n">
        <f aca="false">SUMPRODUCT((Rules!$A$2:$A$60=L$1)*Rules!$C$2:$C$60*ISNUMBER(SEARCH(Rules!$E$2:$E$60,$D853)))</f>
        <v>2</v>
      </c>
      <c r="M853" s="0" t="n">
        <f aca="false">SUMPRODUCT((Rules!$A$2:$A$60=M$1)*Rules!$C$2:$C$60*ISNUMBER(SEARCH(Rules!$E$2:$E$60,$D853)))</f>
        <v>0</v>
      </c>
      <c r="N853" s="0" t="n">
        <f aca="false">SUMPRODUCT((Rules!$A$2:$A$60=N$1)*Rules!$C$2:$C$60*ISNUMBER(SEARCH(Rules!$E$2:$E$60,$D853)))</f>
        <v>0</v>
      </c>
      <c r="O853" s="0" t="n">
        <f aca="false">SUMPRODUCT((Rules!$A$2:$A$60=O$1)*Rules!$C$2:$C$60*ISNUMBER(SEARCH(Rules!$E$2:$E$60,$D853)))</f>
        <v>0</v>
      </c>
      <c r="P853" s="0" t="n">
        <f aca="false">SUMPRODUCT((Rules!$A$2:$A$60=P$1)*Rules!$C$2:$C$60*ISNUMBER(SEARCH(Rules!$E$2:$E$60,$D853)))</f>
        <v>2</v>
      </c>
      <c r="Q853" s="0" t="n">
        <f aca="false">SUMPRODUCT((Rules!$A$2:$A$60=Q$1)*Rules!$C$2:$C$60*ISNUMBER(SEARCH(Rules!$E$2:$E$60,$D853)))</f>
        <v>0</v>
      </c>
      <c r="R853" s="0" t="str">
        <f aca="false">IF(OR(MAX(L853:Q853)&lt;Rules!$H$1,MAX(L853:Q853)-LARGE(L853:Q853,2)&lt;Rules!$H$2),"No label",INDEX($L$1:$Q$1,MATCH(MAX(L853:Q853),L853:Q853,0)))</f>
        <v>No label</v>
      </c>
      <c r="S853" s="0" t="n">
        <f aca="false">SUMPRODUCT(ISNUMBER(SEARCH(" "&amp;Terms!$A$3:$A$821&amp;" ",$D853))*Terms!B$3:B$821)+Terms!B$2</f>
        <v>-0.0788152118085417</v>
      </c>
      <c r="T853" s="0" t="n">
        <f aca="false">SUMPRODUCT(ISNUMBER(SEARCH(" "&amp;Terms!$A$3:$A$821&amp;" ",$D853))*Terms!C$3:C$821)+Terms!C$2</f>
        <v>-1.47662687248959</v>
      </c>
      <c r="U853" s="0" t="n">
        <f aca="false">SUMPRODUCT(ISNUMBER(SEARCH(" "&amp;Terms!$A$3:$A$821&amp;" ",$D853))*Terms!D$3:D$821)+Terms!D$2</f>
        <v>4.86462060946647</v>
      </c>
      <c r="V853" s="0" t="n">
        <f aca="false">SUMPRODUCT(ISNUMBER(SEARCH(" "&amp;Terms!$A$3:$A$821&amp;" ",$D853))*Terms!E$3:E$821)+Terms!E$2</f>
        <v>-2.740101907489</v>
      </c>
      <c r="W853" s="0" t="n">
        <f aca="false">SUMPRODUCT(ISNUMBER(SEARCH(" "&amp;Terms!$A$3:$A$821&amp;" ",$D853))*Terms!F$3:F$821)+Terms!F$2</f>
        <v>2.6349095596363</v>
      </c>
      <c r="X853" s="0" t="n">
        <f aca="false">SUMPRODUCT(ISNUMBER(SEARCH(" "&amp;Terms!$A$3:$A$821&amp;" ",$D853))*Terms!G$3:G$821)+Terms!G$2</f>
        <v>-3.20398617731555</v>
      </c>
      <c r="Y853" s="0" t="str">
        <f aca="false">INDEX($S$1:$X$1,MATCH(MAX(S853:X853),S853:X853,0))</f>
        <v>Delays &amp; Processing</v>
      </c>
      <c r="Z853" s="0" t="s">
        <v>2608</v>
      </c>
    </row>
    <row r="854" customFormat="false" ht="15" hidden="false" customHeight="false" outlineLevel="0" collapsed="false">
      <c r="A854" s="0" t="str">
        <f aca="false">Complaints!A854</f>
        <v>C0853</v>
      </c>
      <c r="B854" s="0" t="str">
        <f aca="false">Complaints!B854</f>
        <v>Hello, My card was cloned and used abroad. I could not log in to check either. I would like a response in writing.</v>
      </c>
      <c r="C854" s="0" t="str">
        <f aca="false">Complaints!C854</f>
        <v>Fraud &amp; Scams</v>
      </c>
      <c r="D854" s="0" t="str">
        <f aca="false">" "&amp;TRIM(SUBSTITUTE(SUBSTITUTE(SUBSTITUTE(SUBSTITUTE(SUBSTITUTE(SUBSTITUTE(SUBSTITUTE(SUBSTITUTE(SUBSTITUTE(SUBSTITUTE(SUBSTITUTE(SUBSTITUTE(SUBSTITUTE(SUBSTITUTE(SUBSTITUTE(SUBSTITUTE(LOWER(B854),"."," "),","," "),"'"," "),"’"," "),"!"," "),"?"," "),";"," "),":"," "),"-"," "),"("," "),")"," "),"""", " "),"£"," "),"&amp;"," "),"/"," "),"%"," "))&amp;" "</f>
        <v> hello my card was cloned and used abroad i could not log in to check either i would like a response in writing </v>
      </c>
      <c r="E854" s="0" t="n">
        <f aca="false">SUMPRODUCT((Rules!$A$2:$A$60=E$1)*Rules!$C$2:$C$60*ISNUMBER(SEARCH(Rules!$D$2:$D$60,$D854)))</f>
        <v>3</v>
      </c>
      <c r="F854" s="0" t="n">
        <f aca="false">SUMPRODUCT((Rules!$A$2:$A$60=F$1)*Rules!$C$2:$C$60*ISNUMBER(SEARCH(Rules!$D$2:$D$60,$D854)))</f>
        <v>0</v>
      </c>
      <c r="G854" s="0" t="n">
        <f aca="false">SUMPRODUCT((Rules!$A$2:$A$60=G$1)*Rules!$C$2:$C$60*ISNUMBER(SEARCH(Rules!$D$2:$D$60,$D854)))</f>
        <v>3</v>
      </c>
      <c r="H854" s="0" t="n">
        <f aca="false">SUMPRODUCT((Rules!$A$2:$A$60=H$1)*Rules!$C$2:$C$60*ISNUMBER(SEARCH(Rules!$D$2:$D$60,$D854)))</f>
        <v>0</v>
      </c>
      <c r="I854" s="0" t="n">
        <f aca="false">SUMPRODUCT((Rules!$A$2:$A$60=I$1)*Rules!$C$2:$C$60*ISNUMBER(SEARCH(Rules!$D$2:$D$60,$D854)))</f>
        <v>0</v>
      </c>
      <c r="J854" s="0" t="n">
        <f aca="false">SUMPRODUCT((Rules!$A$2:$A$60=J$1)*Rules!$C$2:$C$60*ISNUMBER(SEARCH(Rules!$D$2:$D$60,$D854)))</f>
        <v>0</v>
      </c>
      <c r="K854" s="0" t="str">
        <f aca="false">IF(OR(MAX(E854:J854)&lt;Rules!$H$1,MAX(E854:J854)-LARGE(E854:J854,2)&lt;Rules!$H$2),"No label",INDEX($E$1:$J$1,MATCH(MAX(E854:J854),E854:J854,0)))</f>
        <v>No label</v>
      </c>
      <c r="L854" s="0" t="n">
        <f aca="false">SUMPRODUCT((Rules!$A$2:$A$60=L$1)*Rules!$C$2:$C$60*ISNUMBER(SEARCH(Rules!$E$2:$E$60,$D854)))</f>
        <v>3</v>
      </c>
      <c r="M854" s="0" t="n">
        <f aca="false">SUMPRODUCT((Rules!$A$2:$A$60=M$1)*Rules!$C$2:$C$60*ISNUMBER(SEARCH(Rules!$E$2:$E$60,$D854)))</f>
        <v>0</v>
      </c>
      <c r="N854" s="0" t="n">
        <f aca="false">SUMPRODUCT((Rules!$A$2:$A$60=N$1)*Rules!$C$2:$C$60*ISNUMBER(SEARCH(Rules!$E$2:$E$60,$D854)))</f>
        <v>3</v>
      </c>
      <c r="O854" s="0" t="n">
        <f aca="false">SUMPRODUCT((Rules!$A$2:$A$60=O$1)*Rules!$C$2:$C$60*ISNUMBER(SEARCH(Rules!$E$2:$E$60,$D854)))</f>
        <v>0</v>
      </c>
      <c r="P854" s="0" t="n">
        <f aca="false">SUMPRODUCT((Rules!$A$2:$A$60=P$1)*Rules!$C$2:$C$60*ISNUMBER(SEARCH(Rules!$E$2:$E$60,$D854)))</f>
        <v>0</v>
      </c>
      <c r="Q854" s="0" t="n">
        <f aca="false">SUMPRODUCT((Rules!$A$2:$A$60=Q$1)*Rules!$C$2:$C$60*ISNUMBER(SEARCH(Rules!$E$2:$E$60,$D854)))</f>
        <v>0</v>
      </c>
      <c r="R854" s="0" t="str">
        <f aca="false">IF(OR(MAX(L854:Q854)&lt;Rules!$H$1,MAX(L854:Q854)-LARGE(L854:Q854,2)&lt;Rules!$H$2),"No label",INDEX($L$1:$Q$1,MATCH(MAX(L854:Q854),L854:Q854,0)))</f>
        <v>No label</v>
      </c>
      <c r="S854" s="0" t="n">
        <f aca="false">SUMPRODUCT(ISNUMBER(SEARCH(" "&amp;Terms!$A$3:$A$821&amp;" ",$D854))*Terms!B$3:B$821)+Terms!B$2</f>
        <v>-0.0361922578097343</v>
      </c>
      <c r="T854" s="0" t="n">
        <f aca="false">SUMPRODUCT(ISNUMBER(SEARCH(" "&amp;Terms!$A$3:$A$821&amp;" ",$D854))*Terms!C$3:C$821)+Terms!C$2</f>
        <v>-1.39412027974593</v>
      </c>
      <c r="U854" s="0" t="n">
        <f aca="false">SUMPRODUCT(ISNUMBER(SEARCH(" "&amp;Terms!$A$3:$A$821&amp;" ",$D854))*Terms!D$3:D$821)+Terms!D$2</f>
        <v>-4.74170069424916</v>
      </c>
      <c r="V854" s="0" t="n">
        <f aca="false">SUMPRODUCT(ISNUMBER(SEARCH(" "&amp;Terms!$A$3:$A$821&amp;" ",$D854))*Terms!E$3:E$821)+Terms!E$2</f>
        <v>-1.83877619579008</v>
      </c>
      <c r="W854" s="0" t="n">
        <f aca="false">SUMPRODUCT(ISNUMBER(SEARCH(" "&amp;Terms!$A$3:$A$821&amp;" ",$D854))*Terms!F$3:F$821)+Terms!F$2</f>
        <v>7.84599160951861</v>
      </c>
      <c r="X854" s="0" t="n">
        <f aca="false">SUMPRODUCT(ISNUMBER(SEARCH(" "&amp;Terms!$A$3:$A$821&amp;" ",$D854))*Terms!G$3:G$821)+Terms!G$2</f>
        <v>0.164797818076391</v>
      </c>
      <c r="Y854" s="0" t="str">
        <f aca="false">INDEX($S$1:$X$1,MATCH(MAX(S854:X854),S854:X854,0))</f>
        <v>Fraud &amp; Scams</v>
      </c>
      <c r="Z854" s="0" t="s">
        <v>2607</v>
      </c>
    </row>
    <row r="855" customFormat="false" ht="15" hidden="false" customHeight="false" outlineLevel="0" collapsed="false">
      <c r="A855" s="0" t="str">
        <f aca="false">Complaints!A855</f>
        <v>C0854</v>
      </c>
      <c r="B855" s="0" t="str">
        <f aca="false">Complaints!B855</f>
        <v>I have had enough of the way this has gone. I would like a response in writing.</v>
      </c>
      <c r="C855" s="0" t="str">
        <f aca="false">Complaints!C855</f>
        <v>Delays &amp; Processing</v>
      </c>
      <c r="D855" s="0" t="str">
        <f aca="false">" "&amp;TRIM(SUBSTITUTE(SUBSTITUTE(SUBSTITUTE(SUBSTITUTE(SUBSTITUTE(SUBSTITUTE(SUBSTITUTE(SUBSTITUTE(SUBSTITUTE(SUBSTITUTE(SUBSTITUTE(SUBSTITUTE(SUBSTITUTE(SUBSTITUTE(SUBSTITUTE(SUBSTITUTE(LOWER(B855),"."," "),","," "),"'"," "),"’"," "),"!"," "),"?"," "),";"," "),":"," "),"-"," "),"("," "),")"," "),"""", " "),"£"," "),"&amp;"," "),"/"," "),"%"," "))&amp;" "</f>
        <v> i have had enough of the way this has gone i would like a response in writing </v>
      </c>
      <c r="E855" s="0" t="n">
        <f aca="false">SUMPRODUCT((Rules!$A$2:$A$60=E$1)*Rules!$C$2:$C$60*ISNUMBER(SEARCH(Rules!$D$2:$D$60,$D855)))</f>
        <v>0</v>
      </c>
      <c r="F855" s="0" t="n">
        <f aca="false">SUMPRODUCT((Rules!$A$2:$A$60=F$1)*Rules!$C$2:$C$60*ISNUMBER(SEARCH(Rules!$D$2:$D$60,$D855)))</f>
        <v>0</v>
      </c>
      <c r="G855" s="0" t="n">
        <f aca="false">SUMPRODUCT((Rules!$A$2:$A$60=G$1)*Rules!$C$2:$C$60*ISNUMBER(SEARCH(Rules!$D$2:$D$60,$D855)))</f>
        <v>0</v>
      </c>
      <c r="H855" s="0" t="n">
        <f aca="false">SUMPRODUCT((Rules!$A$2:$A$60=H$1)*Rules!$C$2:$C$60*ISNUMBER(SEARCH(Rules!$D$2:$D$60,$D855)))</f>
        <v>0</v>
      </c>
      <c r="I855" s="0" t="n">
        <f aca="false">SUMPRODUCT((Rules!$A$2:$A$60=I$1)*Rules!$C$2:$C$60*ISNUMBER(SEARCH(Rules!$D$2:$D$60,$D855)))</f>
        <v>0</v>
      </c>
      <c r="J855" s="0" t="n">
        <f aca="false">SUMPRODUCT((Rules!$A$2:$A$60=J$1)*Rules!$C$2:$C$60*ISNUMBER(SEARCH(Rules!$D$2:$D$60,$D855)))</f>
        <v>0</v>
      </c>
      <c r="K855" s="0" t="str">
        <f aca="false">IF(OR(MAX(E855:J855)&lt;Rules!$H$1,MAX(E855:J855)-LARGE(E855:J855,2)&lt;Rules!$H$2),"No label",INDEX($E$1:$J$1,MATCH(MAX(E855:J855),E855:J855,0)))</f>
        <v>No label</v>
      </c>
      <c r="L855" s="0" t="n">
        <f aca="false">SUMPRODUCT((Rules!$A$2:$A$60=L$1)*Rules!$C$2:$C$60*ISNUMBER(SEARCH(Rules!$E$2:$E$60,$D855)))</f>
        <v>0</v>
      </c>
      <c r="M855" s="0" t="n">
        <f aca="false">SUMPRODUCT((Rules!$A$2:$A$60=M$1)*Rules!$C$2:$C$60*ISNUMBER(SEARCH(Rules!$E$2:$E$60,$D855)))</f>
        <v>0</v>
      </c>
      <c r="N855" s="0" t="n">
        <f aca="false">SUMPRODUCT((Rules!$A$2:$A$60=N$1)*Rules!$C$2:$C$60*ISNUMBER(SEARCH(Rules!$E$2:$E$60,$D855)))</f>
        <v>0</v>
      </c>
      <c r="O855" s="0" t="n">
        <f aca="false">SUMPRODUCT((Rules!$A$2:$A$60=O$1)*Rules!$C$2:$C$60*ISNUMBER(SEARCH(Rules!$E$2:$E$60,$D855)))</f>
        <v>0</v>
      </c>
      <c r="P855" s="0" t="n">
        <f aca="false">SUMPRODUCT((Rules!$A$2:$A$60=P$1)*Rules!$C$2:$C$60*ISNUMBER(SEARCH(Rules!$E$2:$E$60,$D855)))</f>
        <v>0</v>
      </c>
      <c r="Q855" s="0" t="n">
        <f aca="false">SUMPRODUCT((Rules!$A$2:$A$60=Q$1)*Rules!$C$2:$C$60*ISNUMBER(SEARCH(Rules!$E$2:$E$60,$D855)))</f>
        <v>0</v>
      </c>
      <c r="R855" s="0" t="str">
        <f aca="false">IF(OR(MAX(L855:Q855)&lt;Rules!$H$1,MAX(L855:Q855)-LARGE(L855:Q855,2)&lt;Rules!$H$2),"No label",INDEX($L$1:$Q$1,MATCH(MAX(L855:Q855),L855:Q855,0)))</f>
        <v>No label</v>
      </c>
      <c r="S855" s="0" t="n">
        <f aca="false">SUMPRODUCT(ISNUMBER(SEARCH(" "&amp;Terms!$A$3:$A$821&amp;" ",$D855))*Terms!B$3:B$821)+Terms!B$2</f>
        <v>0.909468616099522</v>
      </c>
      <c r="T855" s="0" t="n">
        <f aca="false">SUMPRODUCT(ISNUMBER(SEARCH(" "&amp;Terms!$A$3:$A$821&amp;" ",$D855))*Terms!C$3:C$821)+Terms!C$2</f>
        <v>-0.366337533986498</v>
      </c>
      <c r="U855" s="0" t="n">
        <f aca="false">SUMPRODUCT(ISNUMBER(SEARCH(" "&amp;Terms!$A$3:$A$821&amp;" ",$D855))*Terms!D$3:D$821)+Terms!D$2</f>
        <v>-0.0958161860751883</v>
      </c>
      <c r="V855" s="0" t="n">
        <f aca="false">SUMPRODUCT(ISNUMBER(SEARCH(" "&amp;Terms!$A$3:$A$821&amp;" ",$D855))*Terms!E$3:E$821)+Terms!E$2</f>
        <v>1.01381044202624</v>
      </c>
      <c r="W855" s="0" t="n">
        <f aca="false">SUMPRODUCT(ISNUMBER(SEARCH(" "&amp;Terms!$A$3:$A$821&amp;" ",$D855))*Terms!F$3:F$821)+Terms!F$2</f>
        <v>-3.10088022943279</v>
      </c>
      <c r="X855" s="0" t="n">
        <f aca="false">SUMPRODUCT(ISNUMBER(SEARCH(" "&amp;Terms!$A$3:$A$821&amp;" ",$D855))*Terms!G$3:G$821)+Terms!G$2</f>
        <v>1.6397548913688</v>
      </c>
      <c r="Y855" s="0" t="str">
        <f aca="false">INDEX($S$1:$X$1,MATCH(MAX(S855:X855),S855:X855,0))</f>
        <v>Mis-selling</v>
      </c>
      <c r="Z855" s="0" t="s">
        <v>2608</v>
      </c>
    </row>
    <row r="856" customFormat="false" ht="15" hidden="false" customHeight="false" outlineLevel="0" collapsed="false">
      <c r="A856" s="0" t="str">
        <f aca="false">Complaints!A856</f>
        <v>C0855</v>
      </c>
      <c r="B856" s="0" t="str">
        <f aca="false">Complaints!B856</f>
        <v>I have had enough of the way this has gone.</v>
      </c>
      <c r="C856" s="0" t="str">
        <f aca="false">Complaints!C856</f>
        <v>Fees &amp; Charges</v>
      </c>
      <c r="D856" s="0" t="str">
        <f aca="false">" "&amp;TRIM(SUBSTITUTE(SUBSTITUTE(SUBSTITUTE(SUBSTITUTE(SUBSTITUTE(SUBSTITUTE(SUBSTITUTE(SUBSTITUTE(SUBSTITUTE(SUBSTITUTE(SUBSTITUTE(SUBSTITUTE(SUBSTITUTE(SUBSTITUTE(SUBSTITUTE(SUBSTITUTE(LOWER(B856),"."," "),","," "),"'"," "),"’"," "),"!"," "),"?"," "),";"," "),":"," "),"-"," "),"("," "),")"," "),"""", " "),"£"," "),"&amp;"," "),"/"," "),"%"," "))&amp;" "</f>
        <v> i have had enough of the way this has gone </v>
      </c>
      <c r="E856" s="0" t="n">
        <f aca="false">SUMPRODUCT((Rules!$A$2:$A$60=E$1)*Rules!$C$2:$C$60*ISNUMBER(SEARCH(Rules!$D$2:$D$60,$D856)))</f>
        <v>0</v>
      </c>
      <c r="F856" s="0" t="n">
        <f aca="false">SUMPRODUCT((Rules!$A$2:$A$60=F$1)*Rules!$C$2:$C$60*ISNUMBER(SEARCH(Rules!$D$2:$D$60,$D856)))</f>
        <v>0</v>
      </c>
      <c r="G856" s="0" t="n">
        <f aca="false">SUMPRODUCT((Rules!$A$2:$A$60=G$1)*Rules!$C$2:$C$60*ISNUMBER(SEARCH(Rules!$D$2:$D$60,$D856)))</f>
        <v>0</v>
      </c>
      <c r="H856" s="0" t="n">
        <f aca="false">SUMPRODUCT((Rules!$A$2:$A$60=H$1)*Rules!$C$2:$C$60*ISNUMBER(SEARCH(Rules!$D$2:$D$60,$D856)))</f>
        <v>0</v>
      </c>
      <c r="I856" s="0" t="n">
        <f aca="false">SUMPRODUCT((Rules!$A$2:$A$60=I$1)*Rules!$C$2:$C$60*ISNUMBER(SEARCH(Rules!$D$2:$D$60,$D856)))</f>
        <v>0</v>
      </c>
      <c r="J856" s="0" t="n">
        <f aca="false">SUMPRODUCT((Rules!$A$2:$A$60=J$1)*Rules!$C$2:$C$60*ISNUMBER(SEARCH(Rules!$D$2:$D$60,$D856)))</f>
        <v>0</v>
      </c>
      <c r="K856" s="0" t="str">
        <f aca="false">IF(OR(MAX(E856:J856)&lt;Rules!$H$1,MAX(E856:J856)-LARGE(E856:J856,2)&lt;Rules!$H$2),"No label",INDEX($E$1:$J$1,MATCH(MAX(E856:J856),E856:J856,0)))</f>
        <v>No label</v>
      </c>
      <c r="L856" s="0" t="n">
        <f aca="false">SUMPRODUCT((Rules!$A$2:$A$60=L$1)*Rules!$C$2:$C$60*ISNUMBER(SEARCH(Rules!$E$2:$E$60,$D856)))</f>
        <v>0</v>
      </c>
      <c r="M856" s="0" t="n">
        <f aca="false">SUMPRODUCT((Rules!$A$2:$A$60=M$1)*Rules!$C$2:$C$60*ISNUMBER(SEARCH(Rules!$E$2:$E$60,$D856)))</f>
        <v>0</v>
      </c>
      <c r="N856" s="0" t="n">
        <f aca="false">SUMPRODUCT((Rules!$A$2:$A$60=N$1)*Rules!$C$2:$C$60*ISNUMBER(SEARCH(Rules!$E$2:$E$60,$D856)))</f>
        <v>0</v>
      </c>
      <c r="O856" s="0" t="n">
        <f aca="false">SUMPRODUCT((Rules!$A$2:$A$60=O$1)*Rules!$C$2:$C$60*ISNUMBER(SEARCH(Rules!$E$2:$E$60,$D856)))</f>
        <v>0</v>
      </c>
      <c r="P856" s="0" t="n">
        <f aca="false">SUMPRODUCT((Rules!$A$2:$A$60=P$1)*Rules!$C$2:$C$60*ISNUMBER(SEARCH(Rules!$E$2:$E$60,$D856)))</f>
        <v>0</v>
      </c>
      <c r="Q856" s="0" t="n">
        <f aca="false">SUMPRODUCT((Rules!$A$2:$A$60=Q$1)*Rules!$C$2:$C$60*ISNUMBER(SEARCH(Rules!$E$2:$E$60,$D856)))</f>
        <v>0</v>
      </c>
      <c r="R856" s="0" t="str">
        <f aca="false">IF(OR(MAX(L856:Q856)&lt;Rules!$H$1,MAX(L856:Q856)-LARGE(L856:Q856,2)&lt;Rules!$H$2),"No label",INDEX($L$1:$Q$1,MATCH(MAX(L856:Q856),L856:Q856,0)))</f>
        <v>No label</v>
      </c>
      <c r="S856" s="0" t="n">
        <f aca="false">SUMPRODUCT(ISNUMBER(SEARCH(" "&amp;Terms!$A$3:$A$821&amp;" ",$D856))*Terms!B$3:B$821)+Terms!B$2</f>
        <v>0.740162088012994</v>
      </c>
      <c r="T856" s="0" t="n">
        <f aca="false">SUMPRODUCT(ISNUMBER(SEARCH(" "&amp;Terms!$A$3:$A$821&amp;" ",$D856))*Terms!C$3:C$821)+Terms!C$2</f>
        <v>-0.0474621897017864</v>
      </c>
      <c r="U856" s="0" t="n">
        <f aca="false">SUMPRODUCT(ISNUMBER(SEARCH(" "&amp;Terms!$A$3:$A$821&amp;" ",$D856))*Terms!D$3:D$821)+Terms!D$2</f>
        <v>0.0542463246819629</v>
      </c>
      <c r="V856" s="0" t="n">
        <f aca="false">SUMPRODUCT(ISNUMBER(SEARCH(" "&amp;Terms!$A$3:$A$821&amp;" ",$D856))*Terms!E$3:E$821)+Terms!E$2</f>
        <v>1.70751695055371</v>
      </c>
      <c r="W856" s="0" t="n">
        <f aca="false">SUMPRODUCT(ISNUMBER(SEARCH(" "&amp;Terms!$A$3:$A$821&amp;" ",$D856))*Terms!F$3:F$821)+Terms!F$2</f>
        <v>-1.95579033890654</v>
      </c>
      <c r="X856" s="0" t="n">
        <f aca="false">SUMPRODUCT(ISNUMBER(SEARCH(" "&amp;Terms!$A$3:$A$821&amp;" ",$D856))*Terms!G$3:G$821)+Terms!G$2</f>
        <v>-0.498672834640244</v>
      </c>
      <c r="Y856" s="0" t="str">
        <f aca="false">INDEX($S$1:$X$1,MATCH(MAX(S856:X856),S856:X856,0))</f>
        <v>Fees &amp; Charges</v>
      </c>
      <c r="Z856" s="0" t="s">
        <v>2607</v>
      </c>
    </row>
    <row r="857" customFormat="false" ht="15" hidden="false" customHeight="false" outlineLevel="0" collapsed="false">
      <c r="A857" s="0" t="str">
        <f aca="false">Complaints!A857</f>
        <v>C0856</v>
      </c>
      <c r="B857" s="0" t="str">
        <f aca="false">Complaints!B857</f>
        <v>Frankly, My transfer has been pending fr over a week. I would like a response in writing.</v>
      </c>
      <c r="C857" s="0" t="str">
        <f aca="false">Complaints!C857</f>
        <v>Delays &amp; Processing</v>
      </c>
      <c r="D857" s="0" t="str">
        <f aca="false">" "&amp;TRIM(SUBSTITUTE(SUBSTITUTE(SUBSTITUTE(SUBSTITUTE(SUBSTITUTE(SUBSTITUTE(SUBSTITUTE(SUBSTITUTE(SUBSTITUTE(SUBSTITUTE(SUBSTITUTE(SUBSTITUTE(SUBSTITUTE(SUBSTITUTE(SUBSTITUTE(SUBSTITUTE(LOWER(B857),"."," "),","," "),"'"," "),"’"," "),"!"," "),"?"," "),";"," "),":"," "),"-"," "),"("," "),")"," "),"""", " "),"£"," "),"&amp;"," "),"/"," "),"%"," "))&amp;" "</f>
        <v> frankly my transfer has been pending fr over a week i would like a response in writing </v>
      </c>
      <c r="E857" s="0" t="n">
        <f aca="false">SUMPRODUCT((Rules!$A$2:$A$60=E$1)*Rules!$C$2:$C$60*ISNUMBER(SEARCH(Rules!$D$2:$D$60,$D857)))</f>
        <v>0</v>
      </c>
      <c r="F857" s="0" t="n">
        <f aca="false">SUMPRODUCT((Rules!$A$2:$A$60=F$1)*Rules!$C$2:$C$60*ISNUMBER(SEARCH(Rules!$D$2:$D$60,$D857)))</f>
        <v>0</v>
      </c>
      <c r="G857" s="0" t="n">
        <f aca="false">SUMPRODUCT((Rules!$A$2:$A$60=G$1)*Rules!$C$2:$C$60*ISNUMBER(SEARCH(Rules!$D$2:$D$60,$D857)))</f>
        <v>0</v>
      </c>
      <c r="H857" s="0" t="n">
        <f aca="false">SUMPRODUCT((Rules!$A$2:$A$60=H$1)*Rules!$C$2:$C$60*ISNUMBER(SEARCH(Rules!$D$2:$D$60,$D857)))</f>
        <v>0</v>
      </c>
      <c r="I857" s="0" t="n">
        <f aca="false">SUMPRODUCT((Rules!$A$2:$A$60=I$1)*Rules!$C$2:$C$60*ISNUMBER(SEARCH(Rules!$D$2:$D$60,$D857)))</f>
        <v>2</v>
      </c>
      <c r="J857" s="0" t="n">
        <f aca="false">SUMPRODUCT((Rules!$A$2:$A$60=J$1)*Rules!$C$2:$C$60*ISNUMBER(SEARCH(Rules!$D$2:$D$60,$D857)))</f>
        <v>0</v>
      </c>
      <c r="K857" s="0" t="str">
        <f aca="false">IF(OR(MAX(E857:J857)&lt;Rules!$H$1,MAX(E857:J857)-LARGE(E857:J857,2)&lt;Rules!$H$2),"No label",INDEX($E$1:$J$1,MATCH(MAX(E857:J857),E857:J857,0)))</f>
        <v>No label</v>
      </c>
      <c r="L857" s="0" t="n">
        <f aca="false">SUMPRODUCT((Rules!$A$2:$A$60=L$1)*Rules!$C$2:$C$60*ISNUMBER(SEARCH(Rules!$E$2:$E$60,$D857)))</f>
        <v>0</v>
      </c>
      <c r="M857" s="0" t="n">
        <f aca="false">SUMPRODUCT((Rules!$A$2:$A$60=M$1)*Rules!$C$2:$C$60*ISNUMBER(SEARCH(Rules!$E$2:$E$60,$D857)))</f>
        <v>0</v>
      </c>
      <c r="N857" s="0" t="n">
        <f aca="false">SUMPRODUCT((Rules!$A$2:$A$60=N$1)*Rules!$C$2:$C$60*ISNUMBER(SEARCH(Rules!$E$2:$E$60,$D857)))</f>
        <v>0</v>
      </c>
      <c r="O857" s="0" t="n">
        <f aca="false">SUMPRODUCT((Rules!$A$2:$A$60=O$1)*Rules!$C$2:$C$60*ISNUMBER(SEARCH(Rules!$E$2:$E$60,$D857)))</f>
        <v>0</v>
      </c>
      <c r="P857" s="0" t="n">
        <f aca="false">SUMPRODUCT((Rules!$A$2:$A$60=P$1)*Rules!$C$2:$C$60*ISNUMBER(SEARCH(Rules!$E$2:$E$60,$D857)))</f>
        <v>2</v>
      </c>
      <c r="Q857" s="0" t="n">
        <f aca="false">SUMPRODUCT((Rules!$A$2:$A$60=Q$1)*Rules!$C$2:$C$60*ISNUMBER(SEARCH(Rules!$E$2:$E$60,$D857)))</f>
        <v>0</v>
      </c>
      <c r="R857" s="0" t="str">
        <f aca="false">IF(OR(MAX(L857:Q857)&lt;Rules!$H$1,MAX(L857:Q857)-LARGE(L857:Q857,2)&lt;Rules!$H$2),"No label",INDEX($L$1:$Q$1,MATCH(MAX(L857:Q857),L857:Q857,0)))</f>
        <v>No label</v>
      </c>
      <c r="S857" s="0" t="n">
        <f aca="false">SUMPRODUCT(ISNUMBER(SEARCH(" "&amp;Terms!$A$3:$A$821&amp;" ",$D857))*Terms!B$3:B$821)+Terms!B$2</f>
        <v>-2.09954928616943</v>
      </c>
      <c r="T857" s="0" t="n">
        <f aca="false">SUMPRODUCT(ISNUMBER(SEARCH(" "&amp;Terms!$A$3:$A$821&amp;" ",$D857))*Terms!C$3:C$821)+Terms!C$2</f>
        <v>-1.15820972932219</v>
      </c>
      <c r="U857" s="0" t="n">
        <f aca="false">SUMPRODUCT(ISNUMBER(SEARCH(" "&amp;Terms!$A$3:$A$821&amp;" ",$D857))*Terms!D$3:D$821)+Terms!D$2</f>
        <v>6.07726443794237</v>
      </c>
      <c r="V857" s="0" t="n">
        <f aca="false">SUMPRODUCT(ISNUMBER(SEARCH(" "&amp;Terms!$A$3:$A$821&amp;" ",$D857))*Terms!E$3:E$821)+Terms!E$2</f>
        <v>-2.73371316637175</v>
      </c>
      <c r="W857" s="0" t="n">
        <f aca="false">SUMPRODUCT(ISNUMBER(SEARCH(" "&amp;Terms!$A$3:$A$821&amp;" ",$D857))*Terms!F$3:F$821)+Terms!F$2</f>
        <v>-0.829554188426815</v>
      </c>
      <c r="X857" s="0" t="n">
        <f aca="false">SUMPRODUCT(ISNUMBER(SEARCH(" "&amp;Terms!$A$3:$A$821&amp;" ",$D857))*Terms!G$3:G$821)+Terms!G$2</f>
        <v>0.743761932347899</v>
      </c>
      <c r="Y857" s="0" t="str">
        <f aca="false">INDEX($S$1:$X$1,MATCH(MAX(S857:X857),S857:X857,0))</f>
        <v>Delays &amp; Processing</v>
      </c>
      <c r="Z857" s="0" t="s">
        <v>2607</v>
      </c>
    </row>
    <row r="858" customFormat="false" ht="15" hidden="false" customHeight="false" outlineLevel="0" collapsed="false">
      <c r="A858" s="0" t="str">
        <f aca="false">Complaints!A858</f>
        <v>C0857</v>
      </c>
      <c r="B858" s="0" t="str">
        <f aca="false">Complaints!B858</f>
        <v>This is the second time I have raised this. A person pretending to be from your bank phoned me and I gave them details. Also, i feel I was treated badly because of my age.</v>
      </c>
      <c r="C858" s="0" t="str">
        <f aca="false">Complaints!C858</f>
        <v>Fraud &amp; Scams</v>
      </c>
      <c r="D858" s="0" t="str">
        <f aca="false">" "&amp;TRIM(SUBSTITUTE(SUBSTITUTE(SUBSTITUTE(SUBSTITUTE(SUBSTITUTE(SUBSTITUTE(SUBSTITUTE(SUBSTITUTE(SUBSTITUTE(SUBSTITUTE(SUBSTITUTE(SUBSTITUTE(SUBSTITUTE(SUBSTITUTE(SUBSTITUTE(SUBSTITUTE(LOWER(B858),"."," "),","," "),"'"," "),"’"," "),"!"," "),"?"," "),";"," "),":"," "),"-"," "),"("," "),")"," "),"""", " "),"£"," "),"&amp;"," "),"/"," "),"%"," "))&amp;" "</f>
        <v> this is the second time i have raised this a person pretending to be from your bank phoned me and i gave them details also i feel i was treated badly because of my age </v>
      </c>
      <c r="E858" s="0" t="n">
        <f aca="false">SUMPRODUCT((Rules!$A$2:$A$60=E$1)*Rules!$C$2:$C$60*ISNUMBER(SEARCH(Rules!$D$2:$D$60,$D858)))</f>
        <v>0</v>
      </c>
      <c r="F858" s="0" t="n">
        <f aca="false">SUMPRODUCT((Rules!$A$2:$A$60=F$1)*Rules!$C$2:$C$60*ISNUMBER(SEARCH(Rules!$D$2:$D$60,$D858)))</f>
        <v>0</v>
      </c>
      <c r="G858" s="0" t="n">
        <f aca="false">SUMPRODUCT((Rules!$A$2:$A$60=G$1)*Rules!$C$2:$C$60*ISNUMBER(SEARCH(Rules!$D$2:$D$60,$D858)))</f>
        <v>0</v>
      </c>
      <c r="H858" s="0" t="n">
        <f aca="false">SUMPRODUCT((Rules!$A$2:$A$60=H$1)*Rules!$C$2:$C$60*ISNUMBER(SEARCH(Rules!$D$2:$D$60,$D858)))</f>
        <v>0</v>
      </c>
      <c r="I858" s="0" t="n">
        <f aca="false">SUMPRODUCT((Rules!$A$2:$A$60=I$1)*Rules!$C$2:$C$60*ISNUMBER(SEARCH(Rules!$D$2:$D$60,$D858)))</f>
        <v>0</v>
      </c>
      <c r="J858" s="0" t="n">
        <f aca="false">SUMPRODUCT((Rules!$A$2:$A$60=J$1)*Rules!$C$2:$C$60*ISNUMBER(SEARCH(Rules!$D$2:$D$60,$D858)))</f>
        <v>3</v>
      </c>
      <c r="K858" s="0" t="str">
        <f aca="false">IF(OR(MAX(E858:J858)&lt;Rules!$H$1,MAX(E858:J858)-LARGE(E858:J858,2)&lt;Rules!$H$2),"No label",INDEX($E$1:$J$1,MATCH(MAX(E858:J858),E858:J858,0)))</f>
        <v>Customer Service</v>
      </c>
      <c r="L858" s="0" t="n">
        <f aca="false">SUMPRODUCT((Rules!$A$2:$A$60=L$1)*Rules!$C$2:$C$60*ISNUMBER(SEARCH(Rules!$E$2:$E$60,$D858)))</f>
        <v>0</v>
      </c>
      <c r="M858" s="0" t="n">
        <f aca="false">SUMPRODUCT((Rules!$A$2:$A$60=M$1)*Rules!$C$2:$C$60*ISNUMBER(SEARCH(Rules!$E$2:$E$60,$D858)))</f>
        <v>0</v>
      </c>
      <c r="N858" s="0" t="n">
        <f aca="false">SUMPRODUCT((Rules!$A$2:$A$60=N$1)*Rules!$C$2:$C$60*ISNUMBER(SEARCH(Rules!$E$2:$E$60,$D858)))</f>
        <v>0</v>
      </c>
      <c r="O858" s="0" t="n">
        <f aca="false">SUMPRODUCT((Rules!$A$2:$A$60=O$1)*Rules!$C$2:$C$60*ISNUMBER(SEARCH(Rules!$E$2:$E$60,$D858)))</f>
        <v>0</v>
      </c>
      <c r="P858" s="0" t="n">
        <f aca="false">SUMPRODUCT((Rules!$A$2:$A$60=P$1)*Rules!$C$2:$C$60*ISNUMBER(SEARCH(Rules!$E$2:$E$60,$D858)))</f>
        <v>0</v>
      </c>
      <c r="Q858" s="0" t="n">
        <f aca="false">SUMPRODUCT((Rules!$A$2:$A$60=Q$1)*Rules!$C$2:$C$60*ISNUMBER(SEARCH(Rules!$E$2:$E$60,$D858)))</f>
        <v>3</v>
      </c>
      <c r="R858" s="0" t="str">
        <f aca="false">IF(OR(MAX(L858:Q858)&lt;Rules!$H$1,MAX(L858:Q858)-LARGE(L858:Q858,2)&lt;Rules!$H$2),"No label",INDEX($L$1:$Q$1,MATCH(MAX(L858:Q858),L858:Q858,0)))</f>
        <v>Customer Service</v>
      </c>
      <c r="S858" s="0" t="n">
        <f aca="false">SUMPRODUCT(ISNUMBER(SEARCH(" "&amp;Terms!$A$3:$A$821&amp;" ",$D858))*Terms!B$3:B$821)+Terms!B$2</f>
        <v>-2.53755580825858</v>
      </c>
      <c r="T858" s="0" t="n">
        <f aca="false">SUMPRODUCT(ISNUMBER(SEARCH(" "&amp;Terms!$A$3:$A$821&amp;" ",$D858))*Terms!C$3:C$821)+Terms!C$2</f>
        <v>7.99318387101325</v>
      </c>
      <c r="U858" s="0" t="n">
        <f aca="false">SUMPRODUCT(ISNUMBER(SEARCH(" "&amp;Terms!$A$3:$A$821&amp;" ",$D858))*Terms!D$3:D$821)+Terms!D$2</f>
        <v>-8.59834885162156</v>
      </c>
      <c r="V858" s="0" t="n">
        <f aca="false">SUMPRODUCT(ISNUMBER(SEARCH(" "&amp;Terms!$A$3:$A$821&amp;" ",$D858))*Terms!E$3:E$821)+Terms!E$2</f>
        <v>-5.0821801951977</v>
      </c>
      <c r="W858" s="0" t="n">
        <f aca="false">SUMPRODUCT(ISNUMBER(SEARCH(" "&amp;Terms!$A$3:$A$821&amp;" ",$D858))*Terms!F$3:F$821)+Terms!F$2</f>
        <v>9.39332533850294</v>
      </c>
      <c r="X858" s="0" t="n">
        <f aca="false">SUMPRODUCT(ISNUMBER(SEARCH(" "&amp;Terms!$A$3:$A$821&amp;" ",$D858))*Terms!G$3:G$821)+Terms!G$2</f>
        <v>-1.16842435443824</v>
      </c>
      <c r="Y858" s="0" t="str">
        <f aca="false">INDEX($S$1:$X$1,MATCH(MAX(S858:X858),S858:X858,0))</f>
        <v>Fraud &amp; Scams</v>
      </c>
      <c r="Z858" s="0" t="s">
        <v>2608</v>
      </c>
    </row>
    <row r="859" customFormat="false" ht="15" hidden="false" customHeight="false" outlineLevel="0" collapsed="false">
      <c r="A859" s="0" t="str">
        <f aca="false">Complaints!A859</f>
        <v>C0858</v>
      </c>
      <c r="B859" s="0" t="str">
        <f aca="false">Complaints!B859</f>
        <v>There is an unexpected charge on my statement of £120. I would like a response in writing.</v>
      </c>
      <c r="C859" s="0" t="str">
        <f aca="false">Complaints!C859</f>
        <v>Fees &amp; Charges</v>
      </c>
      <c r="D859" s="0" t="str">
        <f aca="false">" "&amp;TRIM(SUBSTITUTE(SUBSTITUTE(SUBSTITUTE(SUBSTITUTE(SUBSTITUTE(SUBSTITUTE(SUBSTITUTE(SUBSTITUTE(SUBSTITUTE(SUBSTITUTE(SUBSTITUTE(SUBSTITUTE(SUBSTITUTE(SUBSTITUTE(SUBSTITUTE(SUBSTITUTE(LOWER(B859),"."," "),","," "),"'"," "),"’"," "),"!"," "),"?"," "),";"," "),":"," "),"-"," "),"("," "),")"," "),"""", " "),"£"," "),"&amp;"," "),"/"," "),"%"," "))&amp;" "</f>
        <v> there is an unexpected charge on my statement of 120 i would like a response in writing </v>
      </c>
      <c r="E859" s="0" t="n">
        <f aca="false">SUMPRODUCT((Rules!$A$2:$A$60=E$1)*Rules!$C$2:$C$60*ISNUMBER(SEARCH(Rules!$D$2:$D$60,$D859)))</f>
        <v>0</v>
      </c>
      <c r="F859" s="0" t="n">
        <f aca="false">SUMPRODUCT((Rules!$A$2:$A$60=F$1)*Rules!$C$2:$C$60*ISNUMBER(SEARCH(Rules!$D$2:$D$60,$D859)))</f>
        <v>0</v>
      </c>
      <c r="G859" s="0" t="n">
        <f aca="false">SUMPRODUCT((Rules!$A$2:$A$60=G$1)*Rules!$C$2:$C$60*ISNUMBER(SEARCH(Rules!$D$2:$D$60,$D859)))</f>
        <v>0</v>
      </c>
      <c r="H859" s="0" t="n">
        <f aca="false">SUMPRODUCT((Rules!$A$2:$A$60=H$1)*Rules!$C$2:$C$60*ISNUMBER(SEARCH(Rules!$D$2:$D$60,$D859)))</f>
        <v>3</v>
      </c>
      <c r="I859" s="0" t="n">
        <f aca="false">SUMPRODUCT((Rules!$A$2:$A$60=I$1)*Rules!$C$2:$C$60*ISNUMBER(SEARCH(Rules!$D$2:$D$60,$D859)))</f>
        <v>0</v>
      </c>
      <c r="J859" s="0" t="n">
        <f aca="false">SUMPRODUCT((Rules!$A$2:$A$60=J$1)*Rules!$C$2:$C$60*ISNUMBER(SEARCH(Rules!$D$2:$D$60,$D859)))</f>
        <v>0</v>
      </c>
      <c r="K859" s="0" t="str">
        <f aca="false">IF(OR(MAX(E859:J859)&lt;Rules!$H$1,MAX(E859:J859)-LARGE(E859:J859,2)&lt;Rules!$H$2),"No label",INDEX($E$1:$J$1,MATCH(MAX(E859:J859),E859:J859,0)))</f>
        <v>Fees &amp; Charges</v>
      </c>
      <c r="L859" s="0" t="n">
        <f aca="false">SUMPRODUCT((Rules!$A$2:$A$60=L$1)*Rules!$C$2:$C$60*ISNUMBER(SEARCH(Rules!$E$2:$E$60,$D859)))</f>
        <v>0</v>
      </c>
      <c r="M859" s="0" t="n">
        <f aca="false">SUMPRODUCT((Rules!$A$2:$A$60=M$1)*Rules!$C$2:$C$60*ISNUMBER(SEARCH(Rules!$E$2:$E$60,$D859)))</f>
        <v>0</v>
      </c>
      <c r="N859" s="0" t="n">
        <f aca="false">SUMPRODUCT((Rules!$A$2:$A$60=N$1)*Rules!$C$2:$C$60*ISNUMBER(SEARCH(Rules!$E$2:$E$60,$D859)))</f>
        <v>0</v>
      </c>
      <c r="O859" s="0" t="n">
        <f aca="false">SUMPRODUCT((Rules!$A$2:$A$60=O$1)*Rules!$C$2:$C$60*ISNUMBER(SEARCH(Rules!$E$2:$E$60,$D859)))</f>
        <v>5</v>
      </c>
      <c r="P859" s="0" t="n">
        <f aca="false">SUMPRODUCT((Rules!$A$2:$A$60=P$1)*Rules!$C$2:$C$60*ISNUMBER(SEARCH(Rules!$E$2:$E$60,$D859)))</f>
        <v>0</v>
      </c>
      <c r="Q859" s="0" t="n">
        <f aca="false">SUMPRODUCT((Rules!$A$2:$A$60=Q$1)*Rules!$C$2:$C$60*ISNUMBER(SEARCH(Rules!$E$2:$E$60,$D859)))</f>
        <v>0</v>
      </c>
      <c r="R859" s="0" t="str">
        <f aca="false">IF(OR(MAX(L859:Q859)&lt;Rules!$H$1,MAX(L859:Q859)-LARGE(L859:Q859,2)&lt;Rules!$H$2),"No label",INDEX($L$1:$Q$1,MATCH(MAX(L859:Q859),L859:Q859,0)))</f>
        <v>Fees &amp; Charges</v>
      </c>
      <c r="S859" s="0" t="n">
        <f aca="false">SUMPRODUCT(ISNUMBER(SEARCH(" "&amp;Terms!$A$3:$A$821&amp;" ",$D859))*Terms!B$3:B$821)+Terms!B$2</f>
        <v>-2.73314959212866</v>
      </c>
      <c r="T859" s="0" t="n">
        <f aca="false">SUMPRODUCT(ISNUMBER(SEARCH(" "&amp;Terms!$A$3:$A$821&amp;" ",$D859))*Terms!C$3:C$821)+Terms!C$2</f>
        <v>-1.96818524717413</v>
      </c>
      <c r="U859" s="0" t="n">
        <f aca="false">SUMPRODUCT(ISNUMBER(SEARCH(" "&amp;Terms!$A$3:$A$821&amp;" ",$D859))*Terms!D$3:D$821)+Terms!D$2</f>
        <v>-2.26338294000098</v>
      </c>
      <c r="V859" s="0" t="n">
        <f aca="false">SUMPRODUCT(ISNUMBER(SEARCH(" "&amp;Terms!$A$3:$A$821&amp;" ",$D859))*Terms!E$3:E$821)+Terms!E$2</f>
        <v>8.37391662626666</v>
      </c>
      <c r="W859" s="0" t="n">
        <f aca="false">SUMPRODUCT(ISNUMBER(SEARCH(" "&amp;Terms!$A$3:$A$821&amp;" ",$D859))*Terms!F$3:F$821)+Terms!F$2</f>
        <v>-1.67551885248112</v>
      </c>
      <c r="X859" s="0" t="n">
        <f aca="false">SUMPRODUCT(ISNUMBER(SEARCH(" "&amp;Terms!$A$3:$A$821&amp;" ",$D859))*Terms!G$3:G$821)+Terms!G$2</f>
        <v>0.266320005518313</v>
      </c>
      <c r="Y859" s="0" t="str">
        <f aca="false">INDEX($S$1:$X$1,MATCH(MAX(S859:X859),S859:X859,0))</f>
        <v>Fees &amp; Charges</v>
      </c>
      <c r="Z859" s="0" t="s">
        <v>2608</v>
      </c>
    </row>
    <row r="860" customFormat="false" ht="15" hidden="false" customHeight="false" outlineLevel="0" collapsed="false">
      <c r="A860" s="0" t="str">
        <f aca="false">Complaints!A860</f>
        <v>C0859</v>
      </c>
      <c r="B860" s="0" t="str">
        <f aca="false">Complaints!B860</f>
        <v>I am extremely disappointed and want this resolved.</v>
      </c>
      <c r="C860" s="0" t="str">
        <f aca="false">Complaints!C860</f>
        <v>Customer Service</v>
      </c>
      <c r="D860" s="0" t="str">
        <f aca="false">" "&amp;TRIM(SUBSTITUTE(SUBSTITUTE(SUBSTITUTE(SUBSTITUTE(SUBSTITUTE(SUBSTITUTE(SUBSTITUTE(SUBSTITUTE(SUBSTITUTE(SUBSTITUTE(SUBSTITUTE(SUBSTITUTE(SUBSTITUTE(SUBSTITUTE(SUBSTITUTE(SUBSTITUTE(LOWER(B860),"."," "),","," "),"'"," "),"’"," "),"!"," "),"?"," "),";"," "),":"," "),"-"," "),"("," "),")"," "),"""", " "),"£"," "),"&amp;"," "),"/"," "),"%"," "))&amp;" "</f>
        <v> i am extremely disappointed and want this resolved </v>
      </c>
      <c r="E860" s="0" t="n">
        <f aca="false">SUMPRODUCT((Rules!$A$2:$A$60=E$1)*Rules!$C$2:$C$60*ISNUMBER(SEARCH(Rules!$D$2:$D$60,$D860)))</f>
        <v>0</v>
      </c>
      <c r="F860" s="0" t="n">
        <f aca="false">SUMPRODUCT((Rules!$A$2:$A$60=F$1)*Rules!$C$2:$C$60*ISNUMBER(SEARCH(Rules!$D$2:$D$60,$D860)))</f>
        <v>0</v>
      </c>
      <c r="G860" s="0" t="n">
        <f aca="false">SUMPRODUCT((Rules!$A$2:$A$60=G$1)*Rules!$C$2:$C$60*ISNUMBER(SEARCH(Rules!$D$2:$D$60,$D860)))</f>
        <v>0</v>
      </c>
      <c r="H860" s="0" t="n">
        <f aca="false">SUMPRODUCT((Rules!$A$2:$A$60=H$1)*Rules!$C$2:$C$60*ISNUMBER(SEARCH(Rules!$D$2:$D$60,$D860)))</f>
        <v>0</v>
      </c>
      <c r="I860" s="0" t="n">
        <f aca="false">SUMPRODUCT((Rules!$A$2:$A$60=I$1)*Rules!$C$2:$C$60*ISNUMBER(SEARCH(Rules!$D$2:$D$60,$D860)))</f>
        <v>0</v>
      </c>
      <c r="J860" s="0" t="n">
        <f aca="false">SUMPRODUCT((Rules!$A$2:$A$60=J$1)*Rules!$C$2:$C$60*ISNUMBER(SEARCH(Rules!$D$2:$D$60,$D860)))</f>
        <v>0</v>
      </c>
      <c r="K860" s="0" t="str">
        <f aca="false">IF(OR(MAX(E860:J860)&lt;Rules!$H$1,MAX(E860:J860)-LARGE(E860:J860,2)&lt;Rules!$H$2),"No label",INDEX($E$1:$J$1,MATCH(MAX(E860:J860),E860:J860,0)))</f>
        <v>No label</v>
      </c>
      <c r="L860" s="0" t="n">
        <f aca="false">SUMPRODUCT((Rules!$A$2:$A$60=L$1)*Rules!$C$2:$C$60*ISNUMBER(SEARCH(Rules!$E$2:$E$60,$D860)))</f>
        <v>0</v>
      </c>
      <c r="M860" s="0" t="n">
        <f aca="false">SUMPRODUCT((Rules!$A$2:$A$60=M$1)*Rules!$C$2:$C$60*ISNUMBER(SEARCH(Rules!$E$2:$E$60,$D860)))</f>
        <v>0</v>
      </c>
      <c r="N860" s="0" t="n">
        <f aca="false">SUMPRODUCT((Rules!$A$2:$A$60=N$1)*Rules!$C$2:$C$60*ISNUMBER(SEARCH(Rules!$E$2:$E$60,$D860)))</f>
        <v>0</v>
      </c>
      <c r="O860" s="0" t="n">
        <f aca="false">SUMPRODUCT((Rules!$A$2:$A$60=O$1)*Rules!$C$2:$C$60*ISNUMBER(SEARCH(Rules!$E$2:$E$60,$D860)))</f>
        <v>0</v>
      </c>
      <c r="P860" s="0" t="n">
        <f aca="false">SUMPRODUCT((Rules!$A$2:$A$60=P$1)*Rules!$C$2:$C$60*ISNUMBER(SEARCH(Rules!$E$2:$E$60,$D860)))</f>
        <v>0</v>
      </c>
      <c r="Q860" s="0" t="n">
        <f aca="false">SUMPRODUCT((Rules!$A$2:$A$60=Q$1)*Rules!$C$2:$C$60*ISNUMBER(SEARCH(Rules!$E$2:$E$60,$D860)))</f>
        <v>0</v>
      </c>
      <c r="R860" s="0" t="str">
        <f aca="false">IF(OR(MAX(L860:Q860)&lt;Rules!$H$1,MAX(L860:Q860)-LARGE(L860:Q860,2)&lt;Rules!$H$2),"No label",INDEX($L$1:$Q$1,MATCH(MAX(L860:Q860),L860:Q860,0)))</f>
        <v>No label</v>
      </c>
      <c r="S860" s="0" t="n">
        <f aca="false">SUMPRODUCT(ISNUMBER(SEARCH(" "&amp;Terms!$A$3:$A$821&amp;" ",$D860))*Terms!B$3:B$821)+Terms!B$2</f>
        <v>0.0589782993595527</v>
      </c>
      <c r="T860" s="0" t="n">
        <f aca="false">SUMPRODUCT(ISNUMBER(SEARCH(" "&amp;Terms!$A$3:$A$821&amp;" ",$D860))*Terms!C$3:C$821)+Terms!C$2</f>
        <v>0.311045051775378</v>
      </c>
      <c r="U860" s="0" t="n">
        <f aca="false">SUMPRODUCT(ISNUMBER(SEARCH(" "&amp;Terms!$A$3:$A$821&amp;" ",$D860))*Terms!D$3:D$821)+Terms!D$2</f>
        <v>-2.222931155795</v>
      </c>
      <c r="V860" s="0" t="n">
        <f aca="false">SUMPRODUCT(ISNUMBER(SEARCH(" "&amp;Terms!$A$3:$A$821&amp;" ",$D860))*Terms!E$3:E$821)+Terms!E$2</f>
        <v>-1.37790050708973</v>
      </c>
      <c r="W860" s="0" t="n">
        <f aca="false">SUMPRODUCT(ISNUMBER(SEARCH(" "&amp;Terms!$A$3:$A$821&amp;" ",$D860))*Terms!F$3:F$821)+Terms!F$2</f>
        <v>2.0828924692946</v>
      </c>
      <c r="X860" s="0" t="n">
        <f aca="false">SUMPRODUCT(ISNUMBER(SEARCH(" "&amp;Terms!$A$3:$A$821&amp;" ",$D860))*Terms!G$3:G$821)+Terms!G$2</f>
        <v>1.1479158424553</v>
      </c>
      <c r="Y860" s="0" t="str">
        <f aca="false">INDEX($S$1:$X$1,MATCH(MAX(S860:X860),S860:X860,0))</f>
        <v>Fraud &amp; Scams</v>
      </c>
      <c r="Z860" s="0" t="s">
        <v>2608</v>
      </c>
    </row>
    <row r="861" customFormat="false" ht="15" hidden="false" customHeight="false" outlineLevel="0" collapsed="false">
      <c r="A861" s="0" t="str">
        <f aca="false">Complaints!A861</f>
        <v>C0860</v>
      </c>
      <c r="B861" s="0" t="str">
        <f aca="false">Complaints!B861</f>
        <v>To whom it may concern, Nobody checked wether I could afford the credit agreement. I expect compensation.</v>
      </c>
      <c r="C861" s="0" t="str">
        <f aca="false">Complaints!C861</f>
        <v>Mis-selling</v>
      </c>
      <c r="D861" s="0" t="str">
        <f aca="false">" "&amp;TRIM(SUBSTITUTE(SUBSTITUTE(SUBSTITUTE(SUBSTITUTE(SUBSTITUTE(SUBSTITUTE(SUBSTITUTE(SUBSTITUTE(SUBSTITUTE(SUBSTITUTE(SUBSTITUTE(SUBSTITUTE(SUBSTITUTE(SUBSTITUTE(SUBSTITUTE(SUBSTITUTE(LOWER(B861),"."," "),","," "),"'"," "),"’"," "),"!"," "),"?"," "),";"," "),":"," "),"-"," "),"("," "),")"," "),"""", " "),"£"," "),"&amp;"," "),"/"," "),"%"," "))&amp;" "</f>
        <v> to whom it may concern nobody checked wether i could afford the credit agreement i expect compensation </v>
      </c>
      <c r="E861" s="0" t="n">
        <f aca="false">SUMPRODUCT((Rules!$A$2:$A$60=E$1)*Rules!$C$2:$C$60*ISNUMBER(SEARCH(Rules!$D$2:$D$60,$D861)))</f>
        <v>0</v>
      </c>
      <c r="F861" s="0" t="n">
        <f aca="false">SUMPRODUCT((Rules!$A$2:$A$60=F$1)*Rules!$C$2:$C$60*ISNUMBER(SEARCH(Rules!$D$2:$D$60,$D861)))</f>
        <v>0</v>
      </c>
      <c r="G861" s="0" t="n">
        <f aca="false">SUMPRODUCT((Rules!$A$2:$A$60=G$1)*Rules!$C$2:$C$60*ISNUMBER(SEARCH(Rules!$D$2:$D$60,$D861)))</f>
        <v>0</v>
      </c>
      <c r="H861" s="0" t="n">
        <f aca="false">SUMPRODUCT((Rules!$A$2:$A$60=H$1)*Rules!$C$2:$C$60*ISNUMBER(SEARCH(Rules!$D$2:$D$60,$D861)))</f>
        <v>0</v>
      </c>
      <c r="I861" s="0" t="n">
        <f aca="false">SUMPRODUCT((Rules!$A$2:$A$60=I$1)*Rules!$C$2:$C$60*ISNUMBER(SEARCH(Rules!$D$2:$D$60,$D861)))</f>
        <v>0</v>
      </c>
      <c r="J861" s="0" t="n">
        <f aca="false">SUMPRODUCT((Rules!$A$2:$A$60=J$1)*Rules!$C$2:$C$60*ISNUMBER(SEARCH(Rules!$D$2:$D$60,$D861)))</f>
        <v>0</v>
      </c>
      <c r="K861" s="0" t="str">
        <f aca="false">IF(OR(MAX(E861:J861)&lt;Rules!$H$1,MAX(E861:J861)-LARGE(E861:J861,2)&lt;Rules!$H$2),"No label",INDEX($E$1:$J$1,MATCH(MAX(E861:J861),E861:J861,0)))</f>
        <v>No label</v>
      </c>
      <c r="L861" s="0" t="n">
        <f aca="false">SUMPRODUCT((Rules!$A$2:$A$60=L$1)*Rules!$C$2:$C$60*ISNUMBER(SEARCH(Rules!$E$2:$E$60,$D861)))</f>
        <v>0</v>
      </c>
      <c r="M861" s="0" t="n">
        <f aca="false">SUMPRODUCT((Rules!$A$2:$A$60=M$1)*Rules!$C$2:$C$60*ISNUMBER(SEARCH(Rules!$E$2:$E$60,$D861)))</f>
        <v>0</v>
      </c>
      <c r="N861" s="0" t="n">
        <f aca="false">SUMPRODUCT((Rules!$A$2:$A$60=N$1)*Rules!$C$2:$C$60*ISNUMBER(SEARCH(Rules!$E$2:$E$60,$D861)))</f>
        <v>0</v>
      </c>
      <c r="O861" s="0" t="n">
        <f aca="false">SUMPRODUCT((Rules!$A$2:$A$60=O$1)*Rules!$C$2:$C$60*ISNUMBER(SEARCH(Rules!$E$2:$E$60,$D861)))</f>
        <v>0</v>
      </c>
      <c r="P861" s="0" t="n">
        <f aca="false">SUMPRODUCT((Rules!$A$2:$A$60=P$1)*Rules!$C$2:$C$60*ISNUMBER(SEARCH(Rules!$E$2:$E$60,$D861)))</f>
        <v>0</v>
      </c>
      <c r="Q861" s="0" t="n">
        <f aca="false">SUMPRODUCT((Rules!$A$2:$A$60=Q$1)*Rules!$C$2:$C$60*ISNUMBER(SEARCH(Rules!$E$2:$E$60,$D861)))</f>
        <v>0</v>
      </c>
      <c r="R861" s="0" t="str">
        <f aca="false">IF(OR(MAX(L861:Q861)&lt;Rules!$H$1,MAX(L861:Q861)-LARGE(L861:Q861,2)&lt;Rules!$H$2),"No label",INDEX($L$1:$Q$1,MATCH(MAX(L861:Q861),L861:Q861,0)))</f>
        <v>No label</v>
      </c>
      <c r="S861" s="0" t="n">
        <f aca="false">SUMPRODUCT(ISNUMBER(SEARCH(" "&amp;Terms!$A$3:$A$821&amp;" ",$D861))*Terms!B$3:B$821)+Terms!B$2</f>
        <v>0.240922296148133</v>
      </c>
      <c r="T861" s="0" t="n">
        <f aca="false">SUMPRODUCT(ISNUMBER(SEARCH(" "&amp;Terms!$A$3:$A$821&amp;" ",$D861))*Terms!C$3:C$821)+Terms!C$2</f>
        <v>-3.21597249019227</v>
      </c>
      <c r="U861" s="0" t="n">
        <f aca="false">SUMPRODUCT(ISNUMBER(SEARCH(" "&amp;Terms!$A$3:$A$821&amp;" ",$D861))*Terms!D$3:D$821)+Terms!D$2</f>
        <v>-2.55926343810592</v>
      </c>
      <c r="V861" s="0" t="n">
        <f aca="false">SUMPRODUCT(ISNUMBER(SEARCH(" "&amp;Terms!$A$3:$A$821&amp;" ",$D861))*Terms!E$3:E$821)+Terms!E$2</f>
        <v>0.929856470441724</v>
      </c>
      <c r="W861" s="0" t="n">
        <f aca="false">SUMPRODUCT(ISNUMBER(SEARCH(" "&amp;Terms!$A$3:$A$821&amp;" ",$D861))*Terms!F$3:F$821)+Terms!F$2</f>
        <v>-2.30728227567851</v>
      </c>
      <c r="X861" s="0" t="n">
        <f aca="false">SUMPRODUCT(ISNUMBER(SEARCH(" "&amp;Terms!$A$3:$A$821&amp;" ",$D861))*Terms!G$3:G$821)+Terms!G$2</f>
        <v>6.91173943738696</v>
      </c>
      <c r="Y861" s="0" t="str">
        <f aca="false">INDEX($S$1:$X$1,MATCH(MAX(S861:X861),S861:X861,0))</f>
        <v>Mis-selling</v>
      </c>
      <c r="Z861" s="0" t="s">
        <v>2607</v>
      </c>
    </row>
    <row r="862" customFormat="false" ht="15" hidden="false" customHeight="false" outlineLevel="0" collapsed="false">
      <c r="A862" s="0" t="str">
        <f aca="false">Complaints!A862</f>
        <v>C0861</v>
      </c>
      <c r="B862" s="0" t="str">
        <f aca="false">Complaints!B862</f>
        <v>To whom it may concern, My identity was stolen and a loan was taken out in my name.</v>
      </c>
      <c r="C862" s="0" t="str">
        <f aca="false">Complaints!C862</f>
        <v>Fraud &amp; Scams</v>
      </c>
      <c r="D862" s="0" t="str">
        <f aca="false">" "&amp;TRIM(SUBSTITUTE(SUBSTITUTE(SUBSTITUTE(SUBSTITUTE(SUBSTITUTE(SUBSTITUTE(SUBSTITUTE(SUBSTITUTE(SUBSTITUTE(SUBSTITUTE(SUBSTITUTE(SUBSTITUTE(SUBSTITUTE(SUBSTITUTE(SUBSTITUTE(SUBSTITUTE(LOWER(B862),"."," "),","," "),"'"," "),"’"," "),"!"," "),"?"," "),";"," "),":"," "),"-"," "),"("," "),")"," "),"""", " "),"£"," "),"&amp;"," "),"/"," "),"%"," "))&amp;" "</f>
        <v> to whom it may concern my identity was stolen and a loan was taken out in my name </v>
      </c>
      <c r="E862" s="0" t="n">
        <f aca="false">SUMPRODUCT((Rules!$A$2:$A$60=E$1)*Rules!$C$2:$C$60*ISNUMBER(SEARCH(Rules!$D$2:$D$60,$D862)))</f>
        <v>2</v>
      </c>
      <c r="F862" s="0" t="n">
        <f aca="false">SUMPRODUCT((Rules!$A$2:$A$60=F$1)*Rules!$C$2:$C$60*ISNUMBER(SEARCH(Rules!$D$2:$D$60,$D862)))</f>
        <v>0</v>
      </c>
      <c r="G862" s="0" t="n">
        <f aca="false">SUMPRODUCT((Rules!$A$2:$A$60=G$1)*Rules!$C$2:$C$60*ISNUMBER(SEARCH(Rules!$D$2:$D$60,$D862)))</f>
        <v>0</v>
      </c>
      <c r="H862" s="0" t="n">
        <f aca="false">SUMPRODUCT((Rules!$A$2:$A$60=H$1)*Rules!$C$2:$C$60*ISNUMBER(SEARCH(Rules!$D$2:$D$60,$D862)))</f>
        <v>0</v>
      </c>
      <c r="I862" s="0" t="n">
        <f aca="false">SUMPRODUCT((Rules!$A$2:$A$60=I$1)*Rules!$C$2:$C$60*ISNUMBER(SEARCH(Rules!$D$2:$D$60,$D862)))</f>
        <v>0</v>
      </c>
      <c r="J862" s="0" t="n">
        <f aca="false">SUMPRODUCT((Rules!$A$2:$A$60=J$1)*Rules!$C$2:$C$60*ISNUMBER(SEARCH(Rules!$D$2:$D$60,$D862)))</f>
        <v>0</v>
      </c>
      <c r="K862" s="0" t="str">
        <f aca="false">IF(OR(MAX(E862:J862)&lt;Rules!$H$1,MAX(E862:J862)-LARGE(E862:J862,2)&lt;Rules!$H$2),"No label",INDEX($E$1:$J$1,MATCH(MAX(E862:J862),E862:J862,0)))</f>
        <v>No label</v>
      </c>
      <c r="L862" s="0" t="n">
        <f aca="false">SUMPRODUCT((Rules!$A$2:$A$60=L$1)*Rules!$C$2:$C$60*ISNUMBER(SEARCH(Rules!$E$2:$E$60,$D862)))</f>
        <v>2</v>
      </c>
      <c r="M862" s="0" t="n">
        <f aca="false">SUMPRODUCT((Rules!$A$2:$A$60=M$1)*Rules!$C$2:$C$60*ISNUMBER(SEARCH(Rules!$E$2:$E$60,$D862)))</f>
        <v>0</v>
      </c>
      <c r="N862" s="0" t="n">
        <f aca="false">SUMPRODUCT((Rules!$A$2:$A$60=N$1)*Rules!$C$2:$C$60*ISNUMBER(SEARCH(Rules!$E$2:$E$60,$D862)))</f>
        <v>0</v>
      </c>
      <c r="O862" s="0" t="n">
        <f aca="false">SUMPRODUCT((Rules!$A$2:$A$60=O$1)*Rules!$C$2:$C$60*ISNUMBER(SEARCH(Rules!$E$2:$E$60,$D862)))</f>
        <v>0</v>
      </c>
      <c r="P862" s="0" t="n">
        <f aca="false">SUMPRODUCT((Rules!$A$2:$A$60=P$1)*Rules!$C$2:$C$60*ISNUMBER(SEARCH(Rules!$E$2:$E$60,$D862)))</f>
        <v>0</v>
      </c>
      <c r="Q862" s="0" t="n">
        <f aca="false">SUMPRODUCT((Rules!$A$2:$A$60=Q$1)*Rules!$C$2:$C$60*ISNUMBER(SEARCH(Rules!$E$2:$E$60,$D862)))</f>
        <v>0</v>
      </c>
      <c r="R862" s="0" t="str">
        <f aca="false">IF(OR(MAX(L862:Q862)&lt;Rules!$H$1,MAX(L862:Q862)-LARGE(L862:Q862,2)&lt;Rules!$H$2),"No label",INDEX($L$1:$Q$1,MATCH(MAX(L862:Q862),L862:Q862,0)))</f>
        <v>No label</v>
      </c>
      <c r="S862" s="0" t="n">
        <f aca="false">SUMPRODUCT(ISNUMBER(SEARCH(" "&amp;Terms!$A$3:$A$821&amp;" ",$D862))*Terms!B$3:B$821)+Terms!B$2</f>
        <v>-1.12077331078847</v>
      </c>
      <c r="T862" s="0" t="n">
        <f aca="false">SUMPRODUCT(ISNUMBER(SEARCH(" "&amp;Terms!$A$3:$A$821&amp;" ",$D862))*Terms!C$3:C$821)+Terms!C$2</f>
        <v>-0.59441404873478</v>
      </c>
      <c r="U862" s="0" t="n">
        <f aca="false">SUMPRODUCT(ISNUMBER(SEARCH(" "&amp;Terms!$A$3:$A$821&amp;" ",$D862))*Terms!D$3:D$821)+Terms!D$2</f>
        <v>-2.6561173070062</v>
      </c>
      <c r="V862" s="0" t="n">
        <f aca="false">SUMPRODUCT(ISNUMBER(SEARCH(" "&amp;Terms!$A$3:$A$821&amp;" ",$D862))*Terms!E$3:E$821)+Terms!E$2</f>
        <v>0.735268277094203</v>
      </c>
      <c r="W862" s="0" t="n">
        <f aca="false">SUMPRODUCT(ISNUMBER(SEARCH(" "&amp;Terms!$A$3:$A$821&amp;" ",$D862))*Terms!F$3:F$821)+Terms!F$2</f>
        <v>6.08797082905744</v>
      </c>
      <c r="X862" s="0" t="n">
        <f aca="false">SUMPRODUCT(ISNUMBER(SEARCH(" "&amp;Terms!$A$3:$A$821&amp;" ",$D862))*Terms!G$3:G$821)+Terms!G$2</f>
        <v>-2.45193443962209</v>
      </c>
      <c r="Y862" s="0" t="str">
        <f aca="false">INDEX($S$1:$X$1,MATCH(MAX(S862:X862),S862:X862,0))</f>
        <v>Fraud &amp; Scams</v>
      </c>
      <c r="Z862" s="0" t="s">
        <v>2607</v>
      </c>
    </row>
    <row r="863" customFormat="false" ht="15" hidden="false" customHeight="false" outlineLevel="0" collapsed="false">
      <c r="A863" s="0" t="str">
        <f aca="false">Complaints!A863</f>
        <v>C0862</v>
      </c>
      <c r="B863" s="0" t="str">
        <f aca="false">Complaints!B863</f>
        <v>I am writing to complain. I was charged a monthly fee that nobody told me about. It has also been taking far too long. I expect compensation.</v>
      </c>
      <c r="C863" s="0" t="str">
        <f aca="false">Complaints!C863</f>
        <v>Fees &amp; Charges</v>
      </c>
      <c r="D863" s="0" t="str">
        <f aca="false">" "&amp;TRIM(SUBSTITUTE(SUBSTITUTE(SUBSTITUTE(SUBSTITUTE(SUBSTITUTE(SUBSTITUTE(SUBSTITUTE(SUBSTITUTE(SUBSTITUTE(SUBSTITUTE(SUBSTITUTE(SUBSTITUTE(SUBSTITUTE(SUBSTITUTE(SUBSTITUTE(SUBSTITUTE(LOWER(B863),"."," "),","," "),"'"," "),"’"," "),"!"," "),"?"," "),";"," "),":"," "),"-"," "),"("," "),")"," "),"""", " "),"£"," "),"&amp;"," "),"/"," "),"%"," "))&amp;" "</f>
        <v> i am writing to complain i was charged a monthly fee that nobody told me about it has also been taking far too long i expect compensation </v>
      </c>
      <c r="E863" s="0" t="n">
        <f aca="false">SUMPRODUCT((Rules!$A$2:$A$60=E$1)*Rules!$C$2:$C$60*ISNUMBER(SEARCH(Rules!$D$2:$D$60,$D863)))</f>
        <v>0</v>
      </c>
      <c r="F863" s="0" t="n">
        <f aca="false">SUMPRODUCT((Rules!$A$2:$A$60=F$1)*Rules!$C$2:$C$60*ISNUMBER(SEARCH(Rules!$D$2:$D$60,$D863)))</f>
        <v>0</v>
      </c>
      <c r="G863" s="0" t="n">
        <f aca="false">SUMPRODUCT((Rules!$A$2:$A$60=G$1)*Rules!$C$2:$C$60*ISNUMBER(SEARCH(Rules!$D$2:$D$60,$D863)))</f>
        <v>0</v>
      </c>
      <c r="H863" s="0" t="n">
        <f aca="false">SUMPRODUCT((Rules!$A$2:$A$60=H$1)*Rules!$C$2:$C$60*ISNUMBER(SEARCH(Rules!$D$2:$D$60,$D863)))</f>
        <v>4</v>
      </c>
      <c r="I863" s="0" t="n">
        <f aca="false">SUMPRODUCT((Rules!$A$2:$A$60=I$1)*Rules!$C$2:$C$60*ISNUMBER(SEARCH(Rules!$D$2:$D$60,$D863)))</f>
        <v>0</v>
      </c>
      <c r="J863" s="0" t="n">
        <f aca="false">SUMPRODUCT((Rules!$A$2:$A$60=J$1)*Rules!$C$2:$C$60*ISNUMBER(SEARCH(Rules!$D$2:$D$60,$D863)))</f>
        <v>0</v>
      </c>
      <c r="K863" s="0" t="str">
        <f aca="false">IF(OR(MAX(E863:J863)&lt;Rules!$H$1,MAX(E863:J863)-LARGE(E863:J863,2)&lt;Rules!$H$2),"No label",INDEX($E$1:$J$1,MATCH(MAX(E863:J863),E863:J863,0)))</f>
        <v>Fees &amp; Charges</v>
      </c>
      <c r="L863" s="0" t="n">
        <f aca="false">SUMPRODUCT((Rules!$A$2:$A$60=L$1)*Rules!$C$2:$C$60*ISNUMBER(SEARCH(Rules!$E$2:$E$60,$D863)))</f>
        <v>0</v>
      </c>
      <c r="M863" s="0" t="n">
        <f aca="false">SUMPRODUCT((Rules!$A$2:$A$60=M$1)*Rules!$C$2:$C$60*ISNUMBER(SEARCH(Rules!$E$2:$E$60,$D863)))</f>
        <v>0</v>
      </c>
      <c r="N863" s="0" t="n">
        <f aca="false">SUMPRODUCT((Rules!$A$2:$A$60=N$1)*Rules!$C$2:$C$60*ISNUMBER(SEARCH(Rules!$E$2:$E$60,$D863)))</f>
        <v>0</v>
      </c>
      <c r="O863" s="0" t="n">
        <f aca="false">SUMPRODUCT((Rules!$A$2:$A$60=O$1)*Rules!$C$2:$C$60*ISNUMBER(SEARCH(Rules!$E$2:$E$60,$D863)))</f>
        <v>6</v>
      </c>
      <c r="P863" s="0" t="n">
        <f aca="false">SUMPRODUCT((Rules!$A$2:$A$60=P$1)*Rules!$C$2:$C$60*ISNUMBER(SEARCH(Rules!$E$2:$E$60,$D863)))</f>
        <v>0</v>
      </c>
      <c r="Q863" s="0" t="n">
        <f aca="false">SUMPRODUCT((Rules!$A$2:$A$60=Q$1)*Rules!$C$2:$C$60*ISNUMBER(SEARCH(Rules!$E$2:$E$60,$D863)))</f>
        <v>0</v>
      </c>
      <c r="R863" s="0" t="str">
        <f aca="false">IF(OR(MAX(L863:Q863)&lt;Rules!$H$1,MAX(L863:Q863)-LARGE(L863:Q863,2)&lt;Rules!$H$2),"No label",INDEX($L$1:$Q$1,MATCH(MAX(L863:Q863),L863:Q863,0)))</f>
        <v>Fees &amp; Charges</v>
      </c>
      <c r="S863" s="0" t="n">
        <f aca="false">SUMPRODUCT(ISNUMBER(SEARCH(" "&amp;Terms!$A$3:$A$821&amp;" ",$D863))*Terms!B$3:B$821)+Terms!B$2</f>
        <v>-0.410185533773956</v>
      </c>
      <c r="T863" s="0" t="n">
        <f aca="false">SUMPRODUCT(ISNUMBER(SEARCH(" "&amp;Terms!$A$3:$A$821&amp;" ",$D863))*Terms!C$3:C$821)+Terms!C$2</f>
        <v>-4.369589211013</v>
      </c>
      <c r="U863" s="0" t="n">
        <f aca="false">SUMPRODUCT(ISNUMBER(SEARCH(" "&amp;Terms!$A$3:$A$821&amp;" ",$D863))*Terms!D$3:D$821)+Terms!D$2</f>
        <v>-0.843286553531524</v>
      </c>
      <c r="V863" s="0" t="n">
        <f aca="false">SUMPRODUCT(ISNUMBER(SEARCH(" "&amp;Terms!$A$3:$A$821&amp;" ",$D863))*Terms!E$3:E$821)+Terms!E$2</f>
        <v>9.90919845052139</v>
      </c>
      <c r="W863" s="0" t="n">
        <f aca="false">SUMPRODUCT(ISNUMBER(SEARCH(" "&amp;Terms!$A$3:$A$821&amp;" ",$D863))*Terms!F$3:F$821)+Terms!F$2</f>
        <v>-1.70400146228851</v>
      </c>
      <c r="X863" s="0" t="n">
        <f aca="false">SUMPRODUCT(ISNUMBER(SEARCH(" "&amp;Terms!$A$3:$A$821&amp;" ",$D863))*Terms!G$3:G$821)+Terms!G$2</f>
        <v>-2.58213568991431</v>
      </c>
      <c r="Y863" s="0" t="str">
        <f aca="false">INDEX($S$1:$X$1,MATCH(MAX(S863:X863),S863:X863,0))</f>
        <v>Fees &amp; Charges</v>
      </c>
      <c r="Z863" s="0" t="s">
        <v>2607</v>
      </c>
    </row>
    <row r="864" customFormat="false" ht="15" hidden="false" customHeight="false" outlineLevel="0" collapsed="false">
      <c r="A864" s="0" t="str">
        <f aca="false">Complaints!A864</f>
        <v>C0863</v>
      </c>
      <c r="B864" s="0" t="str">
        <f aca="false">Complaints!B864</f>
        <v>Hello, A late payment fee appeared and I want it refunded.</v>
      </c>
      <c r="C864" s="0" t="str">
        <f aca="false">Complaints!C864</f>
        <v>Fees &amp; Charges</v>
      </c>
      <c r="D864" s="0" t="str">
        <f aca="false">" "&amp;TRIM(SUBSTITUTE(SUBSTITUTE(SUBSTITUTE(SUBSTITUTE(SUBSTITUTE(SUBSTITUTE(SUBSTITUTE(SUBSTITUTE(SUBSTITUTE(SUBSTITUTE(SUBSTITUTE(SUBSTITUTE(SUBSTITUTE(SUBSTITUTE(SUBSTITUTE(SUBSTITUTE(LOWER(B864),"."," "),","," "),"'"," "),"’"," "),"!"," "),"?"," "),";"," "),":"," "),"-"," "),"("," "),")"," "),"""", " "),"£"," "),"&amp;"," "),"/"," "),"%"," "))&amp;" "</f>
        <v> hello a late payment fee appeared and i want it refunded </v>
      </c>
      <c r="E864" s="0" t="n">
        <f aca="false">SUMPRODUCT((Rules!$A$2:$A$60=E$1)*Rules!$C$2:$C$60*ISNUMBER(SEARCH(Rules!$D$2:$D$60,$D864)))</f>
        <v>0</v>
      </c>
      <c r="F864" s="0" t="n">
        <f aca="false">SUMPRODUCT((Rules!$A$2:$A$60=F$1)*Rules!$C$2:$C$60*ISNUMBER(SEARCH(Rules!$D$2:$D$60,$D864)))</f>
        <v>0</v>
      </c>
      <c r="G864" s="0" t="n">
        <f aca="false">SUMPRODUCT((Rules!$A$2:$A$60=G$1)*Rules!$C$2:$C$60*ISNUMBER(SEARCH(Rules!$D$2:$D$60,$D864)))</f>
        <v>0</v>
      </c>
      <c r="H864" s="0" t="n">
        <f aca="false">SUMPRODUCT((Rules!$A$2:$A$60=H$1)*Rules!$C$2:$C$60*ISNUMBER(SEARCH(Rules!$D$2:$D$60,$D864)))</f>
        <v>2</v>
      </c>
      <c r="I864" s="0" t="n">
        <f aca="false">SUMPRODUCT((Rules!$A$2:$A$60=I$1)*Rules!$C$2:$C$60*ISNUMBER(SEARCH(Rules!$D$2:$D$60,$D864)))</f>
        <v>0</v>
      </c>
      <c r="J864" s="0" t="n">
        <f aca="false">SUMPRODUCT((Rules!$A$2:$A$60=J$1)*Rules!$C$2:$C$60*ISNUMBER(SEARCH(Rules!$D$2:$D$60,$D864)))</f>
        <v>0</v>
      </c>
      <c r="K864" s="0" t="str">
        <f aca="false">IF(OR(MAX(E864:J864)&lt;Rules!$H$1,MAX(E864:J864)-LARGE(E864:J864,2)&lt;Rules!$H$2),"No label",INDEX($E$1:$J$1,MATCH(MAX(E864:J864),E864:J864,0)))</f>
        <v>No label</v>
      </c>
      <c r="L864" s="0" t="n">
        <f aca="false">SUMPRODUCT((Rules!$A$2:$A$60=L$1)*Rules!$C$2:$C$60*ISNUMBER(SEARCH(Rules!$E$2:$E$60,$D864)))</f>
        <v>0</v>
      </c>
      <c r="M864" s="0" t="n">
        <f aca="false">SUMPRODUCT((Rules!$A$2:$A$60=M$1)*Rules!$C$2:$C$60*ISNUMBER(SEARCH(Rules!$E$2:$E$60,$D864)))</f>
        <v>0</v>
      </c>
      <c r="N864" s="0" t="n">
        <f aca="false">SUMPRODUCT((Rules!$A$2:$A$60=N$1)*Rules!$C$2:$C$60*ISNUMBER(SEARCH(Rules!$E$2:$E$60,$D864)))</f>
        <v>0</v>
      </c>
      <c r="O864" s="0" t="n">
        <f aca="false">SUMPRODUCT((Rules!$A$2:$A$60=O$1)*Rules!$C$2:$C$60*ISNUMBER(SEARCH(Rules!$E$2:$E$60,$D864)))</f>
        <v>2</v>
      </c>
      <c r="P864" s="0" t="n">
        <f aca="false">SUMPRODUCT((Rules!$A$2:$A$60=P$1)*Rules!$C$2:$C$60*ISNUMBER(SEARCH(Rules!$E$2:$E$60,$D864)))</f>
        <v>0</v>
      </c>
      <c r="Q864" s="0" t="n">
        <f aca="false">SUMPRODUCT((Rules!$A$2:$A$60=Q$1)*Rules!$C$2:$C$60*ISNUMBER(SEARCH(Rules!$E$2:$E$60,$D864)))</f>
        <v>0</v>
      </c>
      <c r="R864" s="0" t="str">
        <f aca="false">IF(OR(MAX(L864:Q864)&lt;Rules!$H$1,MAX(L864:Q864)-LARGE(L864:Q864,2)&lt;Rules!$H$2),"No label",INDEX($L$1:$Q$1,MATCH(MAX(L864:Q864),L864:Q864,0)))</f>
        <v>No label</v>
      </c>
      <c r="S864" s="0" t="n">
        <f aca="false">SUMPRODUCT(ISNUMBER(SEARCH(" "&amp;Terms!$A$3:$A$821&amp;" ",$D864))*Terms!B$3:B$821)+Terms!B$2</f>
        <v>-3.22154082058009</v>
      </c>
      <c r="T864" s="0" t="n">
        <f aca="false">SUMPRODUCT(ISNUMBER(SEARCH(" "&amp;Terms!$A$3:$A$821&amp;" ",$D864))*Terms!C$3:C$821)+Terms!C$2</f>
        <v>-5.82938195203668</v>
      </c>
      <c r="U864" s="0" t="n">
        <f aca="false">SUMPRODUCT(ISNUMBER(SEARCH(" "&amp;Terms!$A$3:$A$821&amp;" ",$D864))*Terms!D$3:D$821)+Terms!D$2</f>
        <v>-1.19766152996404</v>
      </c>
      <c r="V864" s="0" t="n">
        <f aca="false">SUMPRODUCT(ISNUMBER(SEARCH(" "&amp;Terms!$A$3:$A$821&amp;" ",$D864))*Terms!E$3:E$821)+Terms!E$2</f>
        <v>15.1045725998536</v>
      </c>
      <c r="W864" s="0" t="n">
        <f aca="false">SUMPRODUCT(ISNUMBER(SEARCH(" "&amp;Terms!$A$3:$A$821&amp;" ",$D864))*Terms!F$3:F$821)+Terms!F$2</f>
        <v>0.33958783908291</v>
      </c>
      <c r="X864" s="0" t="n">
        <f aca="false">SUMPRODUCT(ISNUMBER(SEARCH(" "&amp;Terms!$A$3:$A$821&amp;" ",$D864))*Terms!G$3:G$821)+Terms!G$2</f>
        <v>-5.19557613635559</v>
      </c>
      <c r="Y864" s="0" t="str">
        <f aca="false">INDEX($S$1:$X$1,MATCH(MAX(S864:X864),S864:X864,0))</f>
        <v>Fees &amp; Charges</v>
      </c>
      <c r="Z864" s="0" t="s">
        <v>2607</v>
      </c>
    </row>
    <row r="865" customFormat="false" ht="15" hidden="false" customHeight="false" outlineLevel="0" collapsed="false">
      <c r="A865" s="0" t="str">
        <f aca="false">Complaints!A865</f>
        <v>C0864</v>
      </c>
      <c r="B865" s="0" t="str">
        <f aca="false">Complaints!B865</f>
        <v>I am writing to complain. The app crashes every time I try to open my statements. Also, i was told this policy covered me but my claim was rejected. I would like a response in writing.</v>
      </c>
      <c r="C865" s="0" t="str">
        <f aca="false">Complaints!C865</f>
        <v>Account Access</v>
      </c>
      <c r="D865" s="0" t="str">
        <f aca="false">" "&amp;TRIM(SUBSTITUTE(SUBSTITUTE(SUBSTITUTE(SUBSTITUTE(SUBSTITUTE(SUBSTITUTE(SUBSTITUTE(SUBSTITUTE(SUBSTITUTE(SUBSTITUTE(SUBSTITUTE(SUBSTITUTE(SUBSTITUTE(SUBSTITUTE(SUBSTITUTE(SUBSTITUTE(LOWER(B865),"."," "),","," "),"'"," "),"’"," "),"!"," "),"?"," "),";"," "),":"," "),"-"," "),"("," "),")"," "),"""", " "),"£"," "),"&amp;"," "),"/"," "),"%"," "))&amp;" "</f>
        <v> i am writing to complain the app crashes every time i try to open my statements also i was told this policy covered me but my claim was rejected i would like a response in writing </v>
      </c>
      <c r="E865" s="0" t="n">
        <f aca="false">SUMPRODUCT((Rules!$A$2:$A$60=E$1)*Rules!$C$2:$C$60*ISNUMBER(SEARCH(Rules!$D$2:$D$60,$D865)))</f>
        <v>0</v>
      </c>
      <c r="F865" s="0" t="n">
        <f aca="false">SUMPRODUCT((Rules!$A$2:$A$60=F$1)*Rules!$C$2:$C$60*ISNUMBER(SEARCH(Rules!$D$2:$D$60,$D865)))</f>
        <v>1</v>
      </c>
      <c r="G865" s="0" t="n">
        <f aca="false">SUMPRODUCT((Rules!$A$2:$A$60=G$1)*Rules!$C$2:$C$60*ISNUMBER(SEARCH(Rules!$D$2:$D$60,$D865)))</f>
        <v>3</v>
      </c>
      <c r="H865" s="0" t="n">
        <f aca="false">SUMPRODUCT((Rules!$A$2:$A$60=H$1)*Rules!$C$2:$C$60*ISNUMBER(SEARCH(Rules!$D$2:$D$60,$D865)))</f>
        <v>0</v>
      </c>
      <c r="I865" s="0" t="n">
        <f aca="false">SUMPRODUCT((Rules!$A$2:$A$60=I$1)*Rules!$C$2:$C$60*ISNUMBER(SEARCH(Rules!$D$2:$D$60,$D865)))</f>
        <v>0</v>
      </c>
      <c r="J865" s="0" t="n">
        <f aca="false">SUMPRODUCT((Rules!$A$2:$A$60=J$1)*Rules!$C$2:$C$60*ISNUMBER(SEARCH(Rules!$D$2:$D$60,$D865)))</f>
        <v>0</v>
      </c>
      <c r="K865" s="0" t="str">
        <f aca="false">IF(OR(MAX(E865:J865)&lt;Rules!$H$1,MAX(E865:J865)-LARGE(E865:J865,2)&lt;Rules!$H$2),"No label",INDEX($E$1:$J$1,MATCH(MAX(E865:J865),E865:J865,0)))</f>
        <v>Account Access</v>
      </c>
      <c r="L865" s="0" t="n">
        <f aca="false">SUMPRODUCT((Rules!$A$2:$A$60=L$1)*Rules!$C$2:$C$60*ISNUMBER(SEARCH(Rules!$E$2:$E$60,$D865)))</f>
        <v>0</v>
      </c>
      <c r="M865" s="0" t="n">
        <f aca="false">SUMPRODUCT((Rules!$A$2:$A$60=M$1)*Rules!$C$2:$C$60*ISNUMBER(SEARCH(Rules!$E$2:$E$60,$D865)))</f>
        <v>1</v>
      </c>
      <c r="N865" s="0" t="n">
        <f aca="false">SUMPRODUCT((Rules!$A$2:$A$60=N$1)*Rules!$C$2:$C$60*ISNUMBER(SEARCH(Rules!$E$2:$E$60,$D865)))</f>
        <v>3</v>
      </c>
      <c r="O865" s="0" t="n">
        <f aca="false">SUMPRODUCT((Rules!$A$2:$A$60=O$1)*Rules!$C$2:$C$60*ISNUMBER(SEARCH(Rules!$E$2:$E$60,$D865)))</f>
        <v>1</v>
      </c>
      <c r="P865" s="0" t="n">
        <f aca="false">SUMPRODUCT((Rules!$A$2:$A$60=P$1)*Rules!$C$2:$C$60*ISNUMBER(SEARCH(Rules!$E$2:$E$60,$D865)))</f>
        <v>0</v>
      </c>
      <c r="Q865" s="0" t="n">
        <f aca="false">SUMPRODUCT((Rules!$A$2:$A$60=Q$1)*Rules!$C$2:$C$60*ISNUMBER(SEARCH(Rules!$E$2:$E$60,$D865)))</f>
        <v>0</v>
      </c>
      <c r="R865" s="0" t="str">
        <f aca="false">IF(OR(MAX(L865:Q865)&lt;Rules!$H$1,MAX(L865:Q865)-LARGE(L865:Q865,2)&lt;Rules!$H$2),"No label",INDEX($L$1:$Q$1,MATCH(MAX(L865:Q865),L865:Q865,0)))</f>
        <v>Account Access</v>
      </c>
      <c r="S865" s="0" t="n">
        <f aca="false">SUMPRODUCT(ISNUMBER(SEARCH(" "&amp;Terms!$A$3:$A$821&amp;" ",$D865))*Terms!B$3:B$821)+Terms!B$2</f>
        <v>6.60253785276999</v>
      </c>
      <c r="T865" s="0" t="n">
        <f aca="false">SUMPRODUCT(ISNUMBER(SEARCH(" "&amp;Terms!$A$3:$A$821&amp;" ",$D865))*Terms!C$3:C$821)+Terms!C$2</f>
        <v>-4.44180071091992</v>
      </c>
      <c r="U865" s="0" t="n">
        <f aca="false">SUMPRODUCT(ISNUMBER(SEARCH(" "&amp;Terms!$A$3:$A$821&amp;" ",$D865))*Terms!D$3:D$821)+Terms!D$2</f>
        <v>-1.0343452462622</v>
      </c>
      <c r="V865" s="0" t="n">
        <f aca="false">SUMPRODUCT(ISNUMBER(SEARCH(" "&amp;Terms!$A$3:$A$821&amp;" ",$D865))*Terms!E$3:E$821)+Terms!E$2</f>
        <v>-2.73441588563584</v>
      </c>
      <c r="W865" s="0" t="n">
        <f aca="false">SUMPRODUCT(ISNUMBER(SEARCH(" "&amp;Terms!$A$3:$A$821&amp;" ",$D865))*Terms!F$3:F$821)+Terms!F$2</f>
        <v>-6.27598686005528</v>
      </c>
      <c r="X865" s="0" t="n">
        <f aca="false">SUMPRODUCT(ISNUMBER(SEARCH(" "&amp;Terms!$A$3:$A$821&amp;" ",$D865))*Terms!G$3:G$821)+Terms!G$2</f>
        <v>7.88401085010336</v>
      </c>
      <c r="Y865" s="0" t="str">
        <f aca="false">INDEX($S$1:$X$1,MATCH(MAX(S865:X865),S865:X865,0))</f>
        <v>Mis-selling</v>
      </c>
      <c r="Z865" s="0" t="s">
        <v>2607</v>
      </c>
    </row>
    <row r="866" customFormat="false" ht="15" hidden="false" customHeight="false" outlineLevel="0" collapsed="false">
      <c r="A866" s="0" t="str">
        <f aca="false">Complaints!A866</f>
        <v>C0865</v>
      </c>
      <c r="B866" s="0" t="str">
        <f aca="false">Complaints!B866</f>
        <v>To whom it may concern, The closure of my old account has dragged on for months. Please escalate this.</v>
      </c>
      <c r="C866" s="0" t="str">
        <f aca="false">Complaints!C866</f>
        <v>Delays &amp; Processing</v>
      </c>
      <c r="D866" s="0" t="str">
        <f aca="false">" "&amp;TRIM(SUBSTITUTE(SUBSTITUTE(SUBSTITUTE(SUBSTITUTE(SUBSTITUTE(SUBSTITUTE(SUBSTITUTE(SUBSTITUTE(SUBSTITUTE(SUBSTITUTE(SUBSTITUTE(SUBSTITUTE(SUBSTITUTE(SUBSTITUTE(SUBSTITUTE(SUBSTITUTE(LOWER(B866),"."," "),","," "),"'"," "),"’"," "),"!"," "),"?"," "),";"," "),":"," "),"-"," "),"("," "),")"," "),"""", " "),"£"," "),"&amp;"," "),"/"," "),"%"," "))&amp;" "</f>
        <v> to whom it may concern the closure of my old account has dragged on for months please escalate this </v>
      </c>
      <c r="E866" s="0" t="n">
        <f aca="false">SUMPRODUCT((Rules!$A$2:$A$60=E$1)*Rules!$C$2:$C$60*ISNUMBER(SEARCH(Rules!$D$2:$D$60,$D866)))</f>
        <v>0</v>
      </c>
      <c r="F866" s="0" t="n">
        <f aca="false">SUMPRODUCT((Rules!$A$2:$A$60=F$1)*Rules!$C$2:$C$60*ISNUMBER(SEARCH(Rules!$D$2:$D$60,$D866)))</f>
        <v>0</v>
      </c>
      <c r="G866" s="0" t="n">
        <f aca="false">SUMPRODUCT((Rules!$A$2:$A$60=G$1)*Rules!$C$2:$C$60*ISNUMBER(SEARCH(Rules!$D$2:$D$60,$D866)))</f>
        <v>0</v>
      </c>
      <c r="H866" s="0" t="n">
        <f aca="false">SUMPRODUCT((Rules!$A$2:$A$60=H$1)*Rules!$C$2:$C$60*ISNUMBER(SEARCH(Rules!$D$2:$D$60,$D866)))</f>
        <v>0</v>
      </c>
      <c r="I866" s="0" t="n">
        <f aca="false">SUMPRODUCT((Rules!$A$2:$A$60=I$1)*Rules!$C$2:$C$60*ISNUMBER(SEARCH(Rules!$D$2:$D$60,$D866)))</f>
        <v>2</v>
      </c>
      <c r="J866" s="0" t="n">
        <f aca="false">SUMPRODUCT((Rules!$A$2:$A$60=J$1)*Rules!$C$2:$C$60*ISNUMBER(SEARCH(Rules!$D$2:$D$60,$D866)))</f>
        <v>0</v>
      </c>
      <c r="K866" s="0" t="str">
        <f aca="false">IF(OR(MAX(E866:J866)&lt;Rules!$H$1,MAX(E866:J866)-LARGE(E866:J866,2)&lt;Rules!$H$2),"No label",INDEX($E$1:$J$1,MATCH(MAX(E866:J866),E866:J866,0)))</f>
        <v>No label</v>
      </c>
      <c r="L866" s="0" t="n">
        <f aca="false">SUMPRODUCT((Rules!$A$2:$A$60=L$1)*Rules!$C$2:$C$60*ISNUMBER(SEARCH(Rules!$E$2:$E$60,$D866)))</f>
        <v>0</v>
      </c>
      <c r="M866" s="0" t="n">
        <f aca="false">SUMPRODUCT((Rules!$A$2:$A$60=M$1)*Rules!$C$2:$C$60*ISNUMBER(SEARCH(Rules!$E$2:$E$60,$D866)))</f>
        <v>0</v>
      </c>
      <c r="N866" s="0" t="n">
        <f aca="false">SUMPRODUCT((Rules!$A$2:$A$60=N$1)*Rules!$C$2:$C$60*ISNUMBER(SEARCH(Rules!$E$2:$E$60,$D866)))</f>
        <v>0</v>
      </c>
      <c r="O866" s="0" t="n">
        <f aca="false">SUMPRODUCT((Rules!$A$2:$A$60=O$1)*Rules!$C$2:$C$60*ISNUMBER(SEARCH(Rules!$E$2:$E$60,$D866)))</f>
        <v>0</v>
      </c>
      <c r="P866" s="0" t="n">
        <f aca="false">SUMPRODUCT((Rules!$A$2:$A$60=P$1)*Rules!$C$2:$C$60*ISNUMBER(SEARCH(Rules!$E$2:$E$60,$D866)))</f>
        <v>2</v>
      </c>
      <c r="Q866" s="0" t="n">
        <f aca="false">SUMPRODUCT((Rules!$A$2:$A$60=Q$1)*Rules!$C$2:$C$60*ISNUMBER(SEARCH(Rules!$E$2:$E$60,$D866)))</f>
        <v>0</v>
      </c>
      <c r="R866" s="0" t="str">
        <f aca="false">IF(OR(MAX(L866:Q866)&lt;Rules!$H$1,MAX(L866:Q866)-LARGE(L866:Q866,2)&lt;Rules!$H$2),"No label",INDEX($L$1:$Q$1,MATCH(MAX(L866:Q866),L866:Q866,0)))</f>
        <v>No label</v>
      </c>
      <c r="S866" s="0" t="n">
        <f aca="false">SUMPRODUCT(ISNUMBER(SEARCH(" "&amp;Terms!$A$3:$A$821&amp;" ",$D866))*Terms!B$3:B$821)+Terms!B$2</f>
        <v>-0.786263711587305</v>
      </c>
      <c r="T866" s="0" t="n">
        <f aca="false">SUMPRODUCT(ISNUMBER(SEARCH(" "&amp;Terms!$A$3:$A$821&amp;" ",$D866))*Terms!C$3:C$821)+Terms!C$2</f>
        <v>-1.69762763210052</v>
      </c>
      <c r="U866" s="0" t="n">
        <f aca="false">SUMPRODUCT(ISNUMBER(SEARCH(" "&amp;Terms!$A$3:$A$821&amp;" ",$D866))*Terms!D$3:D$821)+Terms!D$2</f>
        <v>8.80284689075492</v>
      </c>
      <c r="V866" s="0" t="n">
        <f aca="false">SUMPRODUCT(ISNUMBER(SEARCH(" "&amp;Terms!$A$3:$A$821&amp;" ",$D866))*Terms!E$3:E$821)+Terms!E$2</f>
        <v>-1.25044972592337</v>
      </c>
      <c r="W866" s="0" t="n">
        <f aca="false">SUMPRODUCT(ISNUMBER(SEARCH(" "&amp;Terms!$A$3:$A$821&amp;" ",$D866))*Terms!F$3:F$821)+Terms!F$2</f>
        <v>-1.51737754969754</v>
      </c>
      <c r="X866" s="0" t="n">
        <f aca="false">SUMPRODUCT(ISNUMBER(SEARCH(" "&amp;Terms!$A$3:$A$821&amp;" ",$D866))*Terms!G$3:G$821)+Terms!G$2</f>
        <v>-3.55112827144608</v>
      </c>
      <c r="Y866" s="0" t="str">
        <f aca="false">INDEX($S$1:$X$1,MATCH(MAX(S866:X866),S866:X866,0))</f>
        <v>Delays &amp; Processing</v>
      </c>
      <c r="Z866" s="0" t="s">
        <v>2607</v>
      </c>
    </row>
    <row r="867" customFormat="false" ht="15" hidden="false" customHeight="false" outlineLevel="0" collapsed="false">
      <c r="A867" s="0" t="str">
        <f aca="false">Complaints!A867</f>
        <v>C0866</v>
      </c>
      <c r="B867" s="0" t="str">
        <f aca="false">Complaints!B867</f>
        <v>To whom it may concern, My application has been stuck for weeks with no progress. Also, the app crashes every time I try to open my statements. Please sort this out.</v>
      </c>
      <c r="C867" s="0" t="str">
        <f aca="false">Complaints!C867</f>
        <v>Delays &amp; Processing</v>
      </c>
      <c r="D867" s="0" t="str">
        <f aca="false">" "&amp;TRIM(SUBSTITUTE(SUBSTITUTE(SUBSTITUTE(SUBSTITUTE(SUBSTITUTE(SUBSTITUTE(SUBSTITUTE(SUBSTITUTE(SUBSTITUTE(SUBSTITUTE(SUBSTITUTE(SUBSTITUTE(SUBSTITUTE(SUBSTITUTE(SUBSTITUTE(SUBSTITUTE(LOWER(B867),"."," "),","," "),"'"," "),"’"," "),"!"," "),"?"," "),";"," "),":"," "),"-"," "),"("," "),")"," "),"""", " "),"£"," "),"&amp;"," "),"/"," "),"%"," "))&amp;" "</f>
        <v> to whom it may concern my application has been stuck for weeks with no progress also the app crashes every time i try to open my statements please sort this out </v>
      </c>
      <c r="E867" s="0" t="n">
        <f aca="false">SUMPRODUCT((Rules!$A$2:$A$60=E$1)*Rules!$C$2:$C$60*ISNUMBER(SEARCH(Rules!$D$2:$D$60,$D867)))</f>
        <v>0</v>
      </c>
      <c r="F867" s="0" t="n">
        <f aca="false">SUMPRODUCT((Rules!$A$2:$A$60=F$1)*Rules!$C$2:$C$60*ISNUMBER(SEARCH(Rules!$D$2:$D$60,$D867)))</f>
        <v>0</v>
      </c>
      <c r="G867" s="0" t="n">
        <f aca="false">SUMPRODUCT((Rules!$A$2:$A$60=G$1)*Rules!$C$2:$C$60*ISNUMBER(SEARCH(Rules!$D$2:$D$60,$D867)))</f>
        <v>3</v>
      </c>
      <c r="H867" s="0" t="n">
        <f aca="false">SUMPRODUCT((Rules!$A$2:$A$60=H$1)*Rules!$C$2:$C$60*ISNUMBER(SEARCH(Rules!$D$2:$D$60,$D867)))</f>
        <v>0</v>
      </c>
      <c r="I867" s="0" t="n">
        <f aca="false">SUMPRODUCT((Rules!$A$2:$A$60=I$1)*Rules!$C$2:$C$60*ISNUMBER(SEARCH(Rules!$D$2:$D$60,$D867)))</f>
        <v>3</v>
      </c>
      <c r="J867" s="0" t="n">
        <f aca="false">SUMPRODUCT((Rules!$A$2:$A$60=J$1)*Rules!$C$2:$C$60*ISNUMBER(SEARCH(Rules!$D$2:$D$60,$D867)))</f>
        <v>0</v>
      </c>
      <c r="K867" s="0" t="str">
        <f aca="false">IF(OR(MAX(E867:J867)&lt;Rules!$H$1,MAX(E867:J867)-LARGE(E867:J867,2)&lt;Rules!$H$2),"No label",INDEX($E$1:$J$1,MATCH(MAX(E867:J867),E867:J867,0)))</f>
        <v>No label</v>
      </c>
      <c r="L867" s="0" t="n">
        <f aca="false">SUMPRODUCT((Rules!$A$2:$A$60=L$1)*Rules!$C$2:$C$60*ISNUMBER(SEARCH(Rules!$E$2:$E$60,$D867)))</f>
        <v>0</v>
      </c>
      <c r="M867" s="0" t="n">
        <f aca="false">SUMPRODUCT((Rules!$A$2:$A$60=M$1)*Rules!$C$2:$C$60*ISNUMBER(SEARCH(Rules!$E$2:$E$60,$D867)))</f>
        <v>0</v>
      </c>
      <c r="N867" s="0" t="n">
        <f aca="false">SUMPRODUCT((Rules!$A$2:$A$60=N$1)*Rules!$C$2:$C$60*ISNUMBER(SEARCH(Rules!$E$2:$E$60,$D867)))</f>
        <v>3</v>
      </c>
      <c r="O867" s="0" t="n">
        <f aca="false">SUMPRODUCT((Rules!$A$2:$A$60=O$1)*Rules!$C$2:$C$60*ISNUMBER(SEARCH(Rules!$E$2:$E$60,$D867)))</f>
        <v>1</v>
      </c>
      <c r="P867" s="0" t="n">
        <f aca="false">SUMPRODUCT((Rules!$A$2:$A$60=P$1)*Rules!$C$2:$C$60*ISNUMBER(SEARCH(Rules!$E$2:$E$60,$D867)))</f>
        <v>3</v>
      </c>
      <c r="Q867" s="0" t="n">
        <f aca="false">SUMPRODUCT((Rules!$A$2:$A$60=Q$1)*Rules!$C$2:$C$60*ISNUMBER(SEARCH(Rules!$E$2:$E$60,$D867)))</f>
        <v>0</v>
      </c>
      <c r="R867" s="0" t="str">
        <f aca="false">IF(OR(MAX(L867:Q867)&lt;Rules!$H$1,MAX(L867:Q867)-LARGE(L867:Q867,2)&lt;Rules!$H$2),"No label",INDEX($L$1:$Q$1,MATCH(MAX(L867:Q867),L867:Q867,0)))</f>
        <v>No label</v>
      </c>
      <c r="S867" s="0" t="n">
        <f aca="false">SUMPRODUCT(ISNUMBER(SEARCH(" "&amp;Terms!$A$3:$A$821&amp;" ",$D867))*Terms!B$3:B$821)+Terms!B$2</f>
        <v>3.89123257200672</v>
      </c>
      <c r="T867" s="0" t="n">
        <f aca="false">SUMPRODUCT(ISNUMBER(SEARCH(" "&amp;Terms!$A$3:$A$821&amp;" ",$D867))*Terms!C$3:C$821)+Terms!C$2</f>
        <v>0.468034476191569</v>
      </c>
      <c r="U867" s="0" t="n">
        <f aca="false">SUMPRODUCT(ISNUMBER(SEARCH(" "&amp;Terms!$A$3:$A$821&amp;" ",$D867))*Terms!D$3:D$821)+Terms!D$2</f>
        <v>5.72294488164909</v>
      </c>
      <c r="V867" s="0" t="n">
        <f aca="false">SUMPRODUCT(ISNUMBER(SEARCH(" "&amp;Terms!$A$3:$A$821&amp;" ",$D867))*Terms!E$3:E$821)+Terms!E$2</f>
        <v>0.51621230046036</v>
      </c>
      <c r="W867" s="0" t="n">
        <f aca="false">SUMPRODUCT(ISNUMBER(SEARCH(" "&amp;Terms!$A$3:$A$821&amp;" ",$D867))*Terms!F$3:F$821)+Terms!F$2</f>
        <v>-5.7199286849526</v>
      </c>
      <c r="X867" s="0" t="n">
        <f aca="false">SUMPRODUCT(ISNUMBER(SEARCH(" "&amp;Terms!$A$3:$A$821&amp;" ",$D867))*Terms!G$3:G$821)+Terms!G$2</f>
        <v>-4.87849554535504</v>
      </c>
      <c r="Y867" s="0" t="str">
        <f aca="false">INDEX($S$1:$X$1,MATCH(MAX(S867:X867),S867:X867,0))</f>
        <v>Delays &amp; Processing</v>
      </c>
      <c r="Z867" s="0" t="s">
        <v>2607</v>
      </c>
    </row>
    <row r="868" customFormat="false" ht="15" hidden="false" customHeight="false" outlineLevel="0" collapsed="false">
      <c r="A868" s="0" t="str">
        <f aca="false">Complaints!A868</f>
        <v>C0867</v>
      </c>
      <c r="B868" s="0" t="str">
        <f aca="false">Complaints!B868</f>
        <v>Two factor codes are not being sent to my phone. I also spent ages on hold when I called about it.</v>
      </c>
      <c r="C868" s="0" t="str">
        <f aca="false">Complaints!C868</f>
        <v>Account Access</v>
      </c>
      <c r="D868" s="0" t="str">
        <f aca="false">" "&amp;TRIM(SUBSTITUTE(SUBSTITUTE(SUBSTITUTE(SUBSTITUTE(SUBSTITUTE(SUBSTITUTE(SUBSTITUTE(SUBSTITUTE(SUBSTITUTE(SUBSTITUTE(SUBSTITUTE(SUBSTITUTE(SUBSTITUTE(SUBSTITUTE(SUBSTITUTE(SUBSTITUTE(LOWER(B868),"."," "),","," "),"'"," "),"’"," "),"!"," "),"?"," "),";"," "),":"," "),"-"," "),"("," "),")"," "),"""", " "),"£"," "),"&amp;"," "),"/"," "),"%"," "))&amp;" "</f>
        <v> two factor codes are not being sent to my phone i also spent ages on hold when i called about it </v>
      </c>
      <c r="E868" s="0" t="n">
        <f aca="false">SUMPRODUCT((Rules!$A$2:$A$60=E$1)*Rules!$C$2:$C$60*ISNUMBER(SEARCH(Rules!$D$2:$D$60,$D868)))</f>
        <v>0</v>
      </c>
      <c r="F868" s="0" t="n">
        <f aca="false">SUMPRODUCT((Rules!$A$2:$A$60=F$1)*Rules!$C$2:$C$60*ISNUMBER(SEARCH(Rules!$D$2:$D$60,$D868)))</f>
        <v>0</v>
      </c>
      <c r="G868" s="0" t="n">
        <f aca="false">SUMPRODUCT((Rules!$A$2:$A$60=G$1)*Rules!$C$2:$C$60*ISNUMBER(SEARCH(Rules!$D$2:$D$60,$D868)))</f>
        <v>3</v>
      </c>
      <c r="H868" s="0" t="n">
        <f aca="false">SUMPRODUCT((Rules!$A$2:$A$60=H$1)*Rules!$C$2:$C$60*ISNUMBER(SEARCH(Rules!$D$2:$D$60,$D868)))</f>
        <v>0</v>
      </c>
      <c r="I868" s="0" t="n">
        <f aca="false">SUMPRODUCT((Rules!$A$2:$A$60=I$1)*Rules!$C$2:$C$60*ISNUMBER(SEARCH(Rules!$D$2:$D$60,$D868)))</f>
        <v>0</v>
      </c>
      <c r="J868" s="0" t="n">
        <f aca="false">SUMPRODUCT((Rules!$A$2:$A$60=J$1)*Rules!$C$2:$C$60*ISNUMBER(SEARCH(Rules!$D$2:$D$60,$D868)))</f>
        <v>3</v>
      </c>
      <c r="K868" s="0" t="str">
        <f aca="false">IF(OR(MAX(E868:J868)&lt;Rules!$H$1,MAX(E868:J868)-LARGE(E868:J868,2)&lt;Rules!$H$2),"No label",INDEX($E$1:$J$1,MATCH(MAX(E868:J868),E868:J868,0)))</f>
        <v>No label</v>
      </c>
      <c r="L868" s="0" t="n">
        <f aca="false">SUMPRODUCT((Rules!$A$2:$A$60=L$1)*Rules!$C$2:$C$60*ISNUMBER(SEARCH(Rules!$E$2:$E$60,$D868)))</f>
        <v>0</v>
      </c>
      <c r="M868" s="0" t="n">
        <f aca="false">SUMPRODUCT((Rules!$A$2:$A$60=M$1)*Rules!$C$2:$C$60*ISNUMBER(SEARCH(Rules!$E$2:$E$60,$D868)))</f>
        <v>0</v>
      </c>
      <c r="N868" s="0" t="n">
        <f aca="false">SUMPRODUCT((Rules!$A$2:$A$60=N$1)*Rules!$C$2:$C$60*ISNUMBER(SEARCH(Rules!$E$2:$E$60,$D868)))</f>
        <v>3</v>
      </c>
      <c r="O868" s="0" t="n">
        <f aca="false">SUMPRODUCT((Rules!$A$2:$A$60=O$1)*Rules!$C$2:$C$60*ISNUMBER(SEARCH(Rules!$E$2:$E$60,$D868)))</f>
        <v>0</v>
      </c>
      <c r="P868" s="0" t="n">
        <f aca="false">SUMPRODUCT((Rules!$A$2:$A$60=P$1)*Rules!$C$2:$C$60*ISNUMBER(SEARCH(Rules!$E$2:$E$60,$D868)))</f>
        <v>0</v>
      </c>
      <c r="Q868" s="0" t="n">
        <f aca="false">SUMPRODUCT((Rules!$A$2:$A$60=Q$1)*Rules!$C$2:$C$60*ISNUMBER(SEARCH(Rules!$E$2:$E$60,$D868)))</f>
        <v>3</v>
      </c>
      <c r="R868" s="0" t="str">
        <f aca="false">IF(OR(MAX(L868:Q868)&lt;Rules!$H$1,MAX(L868:Q868)-LARGE(L868:Q868,2)&lt;Rules!$H$2),"No label",INDEX($L$1:$Q$1,MATCH(MAX(L868:Q868),L868:Q868,0)))</f>
        <v>No label</v>
      </c>
      <c r="S868" s="0" t="n">
        <f aca="false">SUMPRODUCT(ISNUMBER(SEARCH(" "&amp;Terms!$A$3:$A$821&amp;" ",$D868))*Terms!B$3:B$821)+Terms!B$2</f>
        <v>8.72719780095712</v>
      </c>
      <c r="T868" s="0" t="n">
        <f aca="false">SUMPRODUCT(ISNUMBER(SEARCH(" "&amp;Terms!$A$3:$A$821&amp;" ",$D868))*Terms!C$3:C$821)+Terms!C$2</f>
        <v>-1.77588569350022</v>
      </c>
      <c r="U868" s="0" t="n">
        <f aca="false">SUMPRODUCT(ISNUMBER(SEARCH(" "&amp;Terms!$A$3:$A$821&amp;" ",$D868))*Terms!D$3:D$821)+Terms!D$2</f>
        <v>2.1664916223862</v>
      </c>
      <c r="V868" s="0" t="n">
        <f aca="false">SUMPRODUCT(ISNUMBER(SEARCH(" "&amp;Terms!$A$3:$A$821&amp;" ",$D868))*Terms!E$3:E$821)+Terms!E$2</f>
        <v>-2.4442626497456</v>
      </c>
      <c r="W868" s="0" t="n">
        <f aca="false">SUMPRODUCT(ISNUMBER(SEARCH(" "&amp;Terms!$A$3:$A$821&amp;" ",$D868))*Terms!F$3:F$821)+Terms!F$2</f>
        <v>-5.00105320708563</v>
      </c>
      <c r="X868" s="0" t="n">
        <f aca="false">SUMPRODUCT(ISNUMBER(SEARCH(" "&amp;Terms!$A$3:$A$821&amp;" ",$D868))*Terms!G$3:G$821)+Terms!G$2</f>
        <v>-1.67248787301178</v>
      </c>
      <c r="Y868" s="0" t="str">
        <f aca="false">INDEX($S$1:$X$1,MATCH(MAX(S868:X868),S868:X868,0))</f>
        <v>Account Access</v>
      </c>
      <c r="Z868" s="0" t="s">
        <v>2608</v>
      </c>
    </row>
    <row r="869" customFormat="false" ht="15" hidden="false" customHeight="false" outlineLevel="0" collapsed="false">
      <c r="A869" s="0" t="str">
        <f aca="false">Complaints!A869</f>
        <v>C0868</v>
      </c>
      <c r="B869" s="0" t="str">
        <f aca="false">Complaints!B869</f>
        <v>Frankly, There is an unexpected charge on my statement of £120. I could not log in to check either. Please sort this out.</v>
      </c>
      <c r="C869" s="0" t="str">
        <f aca="false">Complaints!C869</f>
        <v>Fees &amp; Charges</v>
      </c>
      <c r="D869" s="0" t="str">
        <f aca="false">" "&amp;TRIM(SUBSTITUTE(SUBSTITUTE(SUBSTITUTE(SUBSTITUTE(SUBSTITUTE(SUBSTITUTE(SUBSTITUTE(SUBSTITUTE(SUBSTITUTE(SUBSTITUTE(SUBSTITUTE(SUBSTITUTE(SUBSTITUTE(SUBSTITUTE(SUBSTITUTE(SUBSTITUTE(LOWER(B869),"."," "),","," "),"'"," "),"’"," "),"!"," "),"?"," "),";"," "),":"," "),"-"," "),"("," "),")"," "),"""", " "),"£"," "),"&amp;"," "),"/"," "),"%"," "))&amp;" "</f>
        <v> frankly there is an unexpected charge on my statement of 120 i could not log in to check either please sort this out </v>
      </c>
      <c r="E869" s="0" t="n">
        <f aca="false">SUMPRODUCT((Rules!$A$2:$A$60=E$1)*Rules!$C$2:$C$60*ISNUMBER(SEARCH(Rules!$D$2:$D$60,$D869)))</f>
        <v>0</v>
      </c>
      <c r="F869" s="0" t="n">
        <f aca="false">SUMPRODUCT((Rules!$A$2:$A$60=F$1)*Rules!$C$2:$C$60*ISNUMBER(SEARCH(Rules!$D$2:$D$60,$D869)))</f>
        <v>0</v>
      </c>
      <c r="G869" s="0" t="n">
        <f aca="false">SUMPRODUCT((Rules!$A$2:$A$60=G$1)*Rules!$C$2:$C$60*ISNUMBER(SEARCH(Rules!$D$2:$D$60,$D869)))</f>
        <v>3</v>
      </c>
      <c r="H869" s="0" t="n">
        <f aca="false">SUMPRODUCT((Rules!$A$2:$A$60=H$1)*Rules!$C$2:$C$60*ISNUMBER(SEARCH(Rules!$D$2:$D$60,$D869)))</f>
        <v>3</v>
      </c>
      <c r="I869" s="0" t="n">
        <f aca="false">SUMPRODUCT((Rules!$A$2:$A$60=I$1)*Rules!$C$2:$C$60*ISNUMBER(SEARCH(Rules!$D$2:$D$60,$D869)))</f>
        <v>0</v>
      </c>
      <c r="J869" s="0" t="n">
        <f aca="false">SUMPRODUCT((Rules!$A$2:$A$60=J$1)*Rules!$C$2:$C$60*ISNUMBER(SEARCH(Rules!$D$2:$D$60,$D869)))</f>
        <v>0</v>
      </c>
      <c r="K869" s="0" t="str">
        <f aca="false">IF(OR(MAX(E869:J869)&lt;Rules!$H$1,MAX(E869:J869)-LARGE(E869:J869,2)&lt;Rules!$H$2),"No label",INDEX($E$1:$J$1,MATCH(MAX(E869:J869),E869:J869,0)))</f>
        <v>No label</v>
      </c>
      <c r="L869" s="0" t="n">
        <f aca="false">SUMPRODUCT((Rules!$A$2:$A$60=L$1)*Rules!$C$2:$C$60*ISNUMBER(SEARCH(Rules!$E$2:$E$60,$D869)))</f>
        <v>0</v>
      </c>
      <c r="M869" s="0" t="n">
        <f aca="false">SUMPRODUCT((Rules!$A$2:$A$60=M$1)*Rules!$C$2:$C$60*ISNUMBER(SEARCH(Rules!$E$2:$E$60,$D869)))</f>
        <v>0</v>
      </c>
      <c r="N869" s="0" t="n">
        <f aca="false">SUMPRODUCT((Rules!$A$2:$A$60=N$1)*Rules!$C$2:$C$60*ISNUMBER(SEARCH(Rules!$E$2:$E$60,$D869)))</f>
        <v>3</v>
      </c>
      <c r="O869" s="0" t="n">
        <f aca="false">SUMPRODUCT((Rules!$A$2:$A$60=O$1)*Rules!$C$2:$C$60*ISNUMBER(SEARCH(Rules!$E$2:$E$60,$D869)))</f>
        <v>5</v>
      </c>
      <c r="P869" s="0" t="n">
        <f aca="false">SUMPRODUCT((Rules!$A$2:$A$60=P$1)*Rules!$C$2:$C$60*ISNUMBER(SEARCH(Rules!$E$2:$E$60,$D869)))</f>
        <v>0</v>
      </c>
      <c r="Q869" s="0" t="n">
        <f aca="false">SUMPRODUCT((Rules!$A$2:$A$60=Q$1)*Rules!$C$2:$C$60*ISNUMBER(SEARCH(Rules!$E$2:$E$60,$D869)))</f>
        <v>0</v>
      </c>
      <c r="R869" s="0" t="str">
        <f aca="false">IF(OR(MAX(L869:Q869)&lt;Rules!$H$1,MAX(L869:Q869)-LARGE(L869:Q869,2)&lt;Rules!$H$2),"No label",INDEX($L$1:$Q$1,MATCH(MAX(L869:Q869),L869:Q869,0)))</f>
        <v>Fees &amp; Charges</v>
      </c>
      <c r="S869" s="0" t="n">
        <f aca="false">SUMPRODUCT(ISNUMBER(SEARCH(" "&amp;Terms!$A$3:$A$821&amp;" ",$D869))*Terms!B$3:B$821)+Terms!B$2</f>
        <v>-5.67980617007436</v>
      </c>
      <c r="T869" s="0" t="n">
        <f aca="false">SUMPRODUCT(ISNUMBER(SEARCH(" "&amp;Terms!$A$3:$A$821&amp;" ",$D869))*Terms!C$3:C$821)+Terms!C$2</f>
        <v>-1.11914942567611</v>
      </c>
      <c r="U869" s="0" t="n">
        <f aca="false">SUMPRODUCT(ISNUMBER(SEARCH(" "&amp;Terms!$A$3:$A$821&amp;" ",$D869))*Terms!D$3:D$821)+Terms!D$2</f>
        <v>-1.80484438511192</v>
      </c>
      <c r="V869" s="0" t="n">
        <f aca="false">SUMPRODUCT(ISNUMBER(SEARCH(" "&amp;Terms!$A$3:$A$821&amp;" ",$D869))*Terms!E$3:E$821)+Terms!E$2</f>
        <v>11.3939149197974</v>
      </c>
      <c r="W869" s="0" t="n">
        <f aca="false">SUMPRODUCT(ISNUMBER(SEARCH(" "&amp;Terms!$A$3:$A$821&amp;" ",$D869))*Terms!F$3:F$821)+Terms!F$2</f>
        <v>-0.536449217765641</v>
      </c>
      <c r="X869" s="0" t="n">
        <f aca="false">SUMPRODUCT(ISNUMBER(SEARCH(" "&amp;Terms!$A$3:$A$821&amp;" ",$D869))*Terms!G$3:G$821)+Terms!G$2</f>
        <v>-2.2536657211693</v>
      </c>
      <c r="Y869" s="0" t="str">
        <f aca="false">INDEX($S$1:$X$1,MATCH(MAX(S869:X869),S869:X869,0))</f>
        <v>Fees &amp; Charges</v>
      </c>
      <c r="Z869" s="0" t="s">
        <v>2608</v>
      </c>
    </row>
    <row r="870" customFormat="false" ht="15" hidden="false" customHeight="false" outlineLevel="0" collapsed="false">
      <c r="A870" s="0" t="str">
        <f aca="false">Complaints!A870</f>
        <v>C0869</v>
      </c>
      <c r="B870" s="0" t="str">
        <f aca="false">Complaints!B870</f>
        <v>I was misled about what the insurance actually included. Please escalate this.</v>
      </c>
      <c r="C870" s="0" t="str">
        <f aca="false">Complaints!C870</f>
        <v>Mis-selling</v>
      </c>
      <c r="D870" s="0" t="str">
        <f aca="false">" "&amp;TRIM(SUBSTITUTE(SUBSTITUTE(SUBSTITUTE(SUBSTITUTE(SUBSTITUTE(SUBSTITUTE(SUBSTITUTE(SUBSTITUTE(SUBSTITUTE(SUBSTITUTE(SUBSTITUTE(SUBSTITUTE(SUBSTITUTE(SUBSTITUTE(SUBSTITUTE(SUBSTITUTE(LOWER(B870),"."," "),","," "),"'"," "),"’"," "),"!"," "),"?"," "),";"," "),":"," "),"-"," "),"("," "),")"," "),"""", " "),"£"," "),"&amp;"," "),"/"," "),"%"," "))&amp;" "</f>
        <v> i was misled about what the insurance actually included please escalate this </v>
      </c>
      <c r="E870" s="0" t="n">
        <f aca="false">SUMPRODUCT((Rules!$A$2:$A$60=E$1)*Rules!$C$2:$C$60*ISNUMBER(SEARCH(Rules!$D$2:$D$60,$D870)))</f>
        <v>0</v>
      </c>
      <c r="F870" s="0" t="n">
        <f aca="false">SUMPRODUCT((Rules!$A$2:$A$60=F$1)*Rules!$C$2:$C$60*ISNUMBER(SEARCH(Rules!$D$2:$D$60,$D870)))</f>
        <v>4</v>
      </c>
      <c r="G870" s="0" t="n">
        <f aca="false">SUMPRODUCT((Rules!$A$2:$A$60=G$1)*Rules!$C$2:$C$60*ISNUMBER(SEARCH(Rules!$D$2:$D$60,$D870)))</f>
        <v>0</v>
      </c>
      <c r="H870" s="0" t="n">
        <f aca="false">SUMPRODUCT((Rules!$A$2:$A$60=H$1)*Rules!$C$2:$C$60*ISNUMBER(SEARCH(Rules!$D$2:$D$60,$D870)))</f>
        <v>0</v>
      </c>
      <c r="I870" s="0" t="n">
        <f aca="false">SUMPRODUCT((Rules!$A$2:$A$60=I$1)*Rules!$C$2:$C$60*ISNUMBER(SEARCH(Rules!$D$2:$D$60,$D870)))</f>
        <v>0</v>
      </c>
      <c r="J870" s="0" t="n">
        <f aca="false">SUMPRODUCT((Rules!$A$2:$A$60=J$1)*Rules!$C$2:$C$60*ISNUMBER(SEARCH(Rules!$D$2:$D$60,$D870)))</f>
        <v>0</v>
      </c>
      <c r="K870" s="0" t="str">
        <f aca="false">IF(OR(MAX(E870:J870)&lt;Rules!$H$1,MAX(E870:J870)-LARGE(E870:J870,2)&lt;Rules!$H$2),"No label",INDEX($E$1:$J$1,MATCH(MAX(E870:J870),E870:J870,0)))</f>
        <v>Mis-selling</v>
      </c>
      <c r="L870" s="0" t="n">
        <f aca="false">SUMPRODUCT((Rules!$A$2:$A$60=L$1)*Rules!$C$2:$C$60*ISNUMBER(SEARCH(Rules!$E$2:$E$60,$D870)))</f>
        <v>0</v>
      </c>
      <c r="M870" s="0" t="n">
        <f aca="false">SUMPRODUCT((Rules!$A$2:$A$60=M$1)*Rules!$C$2:$C$60*ISNUMBER(SEARCH(Rules!$E$2:$E$60,$D870)))</f>
        <v>4</v>
      </c>
      <c r="N870" s="0" t="n">
        <f aca="false">SUMPRODUCT((Rules!$A$2:$A$60=N$1)*Rules!$C$2:$C$60*ISNUMBER(SEARCH(Rules!$E$2:$E$60,$D870)))</f>
        <v>0</v>
      </c>
      <c r="O870" s="0" t="n">
        <f aca="false">SUMPRODUCT((Rules!$A$2:$A$60=O$1)*Rules!$C$2:$C$60*ISNUMBER(SEARCH(Rules!$E$2:$E$60,$D870)))</f>
        <v>0</v>
      </c>
      <c r="P870" s="0" t="n">
        <f aca="false">SUMPRODUCT((Rules!$A$2:$A$60=P$1)*Rules!$C$2:$C$60*ISNUMBER(SEARCH(Rules!$E$2:$E$60,$D870)))</f>
        <v>0</v>
      </c>
      <c r="Q870" s="0" t="n">
        <f aca="false">SUMPRODUCT((Rules!$A$2:$A$60=Q$1)*Rules!$C$2:$C$60*ISNUMBER(SEARCH(Rules!$E$2:$E$60,$D870)))</f>
        <v>0</v>
      </c>
      <c r="R870" s="0" t="str">
        <f aca="false">IF(OR(MAX(L870:Q870)&lt;Rules!$H$1,MAX(L870:Q870)-LARGE(L870:Q870,2)&lt;Rules!$H$2),"No label",INDEX($L$1:$Q$1,MATCH(MAX(L870:Q870),L870:Q870,0)))</f>
        <v>Mis-selling</v>
      </c>
      <c r="S870" s="0" t="n">
        <f aca="false">SUMPRODUCT(ISNUMBER(SEARCH(" "&amp;Terms!$A$3:$A$821&amp;" ",$D870))*Terms!B$3:B$821)+Terms!B$2</f>
        <v>-2.1404664410586</v>
      </c>
      <c r="T870" s="0" t="n">
        <f aca="false">SUMPRODUCT(ISNUMBER(SEARCH(" "&amp;Terms!$A$3:$A$821&amp;" ",$D870))*Terms!C$3:C$821)+Terms!C$2</f>
        <v>-3.63143700571506</v>
      </c>
      <c r="U870" s="0" t="n">
        <f aca="false">SUMPRODUCT(ISNUMBER(SEARCH(" "&amp;Terms!$A$3:$A$821&amp;" ",$D870))*Terms!D$3:D$821)+Terms!D$2</f>
        <v>-1.21979937775764</v>
      </c>
      <c r="V870" s="0" t="n">
        <f aca="false">SUMPRODUCT(ISNUMBER(SEARCH(" "&amp;Terms!$A$3:$A$821&amp;" ",$D870))*Terms!E$3:E$821)+Terms!E$2</f>
        <v>-0.105071187468351</v>
      </c>
      <c r="W870" s="0" t="n">
        <f aca="false">SUMPRODUCT(ISNUMBER(SEARCH(" "&amp;Terms!$A$3:$A$821&amp;" ",$D870))*Terms!F$3:F$821)+Terms!F$2</f>
        <v>-5.05576700341063</v>
      </c>
      <c r="X870" s="0" t="n">
        <f aca="false">SUMPRODUCT(ISNUMBER(SEARCH(" "&amp;Terms!$A$3:$A$821&amp;" ",$D870))*Terms!G$3:G$821)+Terms!G$2</f>
        <v>12.1525410154104</v>
      </c>
      <c r="Y870" s="0" t="str">
        <f aca="false">INDEX($S$1:$X$1,MATCH(MAX(S870:X870),S870:X870,0))</f>
        <v>Mis-selling</v>
      </c>
      <c r="Z870" s="0" t="s">
        <v>2607</v>
      </c>
    </row>
    <row r="871" customFormat="false" ht="15" hidden="false" customHeight="false" outlineLevel="0" collapsed="false">
      <c r="A871" s="0" t="str">
        <f aca="false">Complaints!A871</f>
        <v>C0870</v>
      </c>
      <c r="B871" s="0" t="str">
        <f aca="false">Complaints!B871</f>
        <v>Two factor codes are not being sent to my phone. Also, the webchat agent ended the conversation without solving anything. I would like a response in writing.</v>
      </c>
      <c r="C871" s="0" t="str">
        <f aca="false">Complaints!C871</f>
        <v>Account Access</v>
      </c>
      <c r="D871" s="0" t="str">
        <f aca="false">" "&amp;TRIM(SUBSTITUTE(SUBSTITUTE(SUBSTITUTE(SUBSTITUTE(SUBSTITUTE(SUBSTITUTE(SUBSTITUTE(SUBSTITUTE(SUBSTITUTE(SUBSTITUTE(SUBSTITUTE(SUBSTITUTE(SUBSTITUTE(SUBSTITUTE(SUBSTITUTE(SUBSTITUTE(LOWER(B871),"."," "),","," "),"'"," "),"’"," "),"!"," "),"?"," "),";"," "),":"," "),"-"," "),"("," "),")"," "),"""", " "),"£"," "),"&amp;"," "),"/"," "),"%"," "))&amp;" "</f>
        <v> two factor codes are not being sent to my phone also the webchat agent ended the conversation without solving anything i would like a response in writing </v>
      </c>
      <c r="E871" s="0" t="n">
        <f aca="false">SUMPRODUCT((Rules!$A$2:$A$60=E$1)*Rules!$C$2:$C$60*ISNUMBER(SEARCH(Rules!$D$2:$D$60,$D871)))</f>
        <v>0</v>
      </c>
      <c r="F871" s="0" t="n">
        <f aca="false">SUMPRODUCT((Rules!$A$2:$A$60=F$1)*Rules!$C$2:$C$60*ISNUMBER(SEARCH(Rules!$D$2:$D$60,$D871)))</f>
        <v>0</v>
      </c>
      <c r="G871" s="0" t="n">
        <f aca="false">SUMPRODUCT((Rules!$A$2:$A$60=G$1)*Rules!$C$2:$C$60*ISNUMBER(SEARCH(Rules!$D$2:$D$60,$D871)))</f>
        <v>3</v>
      </c>
      <c r="H871" s="0" t="n">
        <f aca="false">SUMPRODUCT((Rules!$A$2:$A$60=H$1)*Rules!$C$2:$C$60*ISNUMBER(SEARCH(Rules!$D$2:$D$60,$D871)))</f>
        <v>0</v>
      </c>
      <c r="I871" s="0" t="n">
        <f aca="false">SUMPRODUCT((Rules!$A$2:$A$60=I$1)*Rules!$C$2:$C$60*ISNUMBER(SEARCH(Rules!$D$2:$D$60,$D871)))</f>
        <v>0</v>
      </c>
      <c r="J871" s="0" t="n">
        <f aca="false">SUMPRODUCT((Rules!$A$2:$A$60=J$1)*Rules!$C$2:$C$60*ISNUMBER(SEARCH(Rules!$D$2:$D$60,$D871)))</f>
        <v>2</v>
      </c>
      <c r="K871" s="0" t="str">
        <f aca="false">IF(OR(MAX(E871:J871)&lt;Rules!$H$1,MAX(E871:J871)-LARGE(E871:J871,2)&lt;Rules!$H$2),"No label",INDEX($E$1:$J$1,MATCH(MAX(E871:J871),E871:J871,0)))</f>
        <v>No label</v>
      </c>
      <c r="L871" s="0" t="n">
        <f aca="false">SUMPRODUCT((Rules!$A$2:$A$60=L$1)*Rules!$C$2:$C$60*ISNUMBER(SEARCH(Rules!$E$2:$E$60,$D871)))</f>
        <v>0</v>
      </c>
      <c r="M871" s="0" t="n">
        <f aca="false">SUMPRODUCT((Rules!$A$2:$A$60=M$1)*Rules!$C$2:$C$60*ISNUMBER(SEARCH(Rules!$E$2:$E$60,$D871)))</f>
        <v>0</v>
      </c>
      <c r="N871" s="0" t="n">
        <f aca="false">SUMPRODUCT((Rules!$A$2:$A$60=N$1)*Rules!$C$2:$C$60*ISNUMBER(SEARCH(Rules!$E$2:$E$60,$D871)))</f>
        <v>3</v>
      </c>
      <c r="O871" s="0" t="n">
        <f aca="false">SUMPRODUCT((Rules!$A$2:$A$60=O$1)*Rules!$C$2:$C$60*ISNUMBER(SEARCH(Rules!$E$2:$E$60,$D871)))</f>
        <v>0</v>
      </c>
      <c r="P871" s="0" t="n">
        <f aca="false">SUMPRODUCT((Rules!$A$2:$A$60=P$1)*Rules!$C$2:$C$60*ISNUMBER(SEARCH(Rules!$E$2:$E$60,$D871)))</f>
        <v>0</v>
      </c>
      <c r="Q871" s="0" t="n">
        <f aca="false">SUMPRODUCT((Rules!$A$2:$A$60=Q$1)*Rules!$C$2:$C$60*ISNUMBER(SEARCH(Rules!$E$2:$E$60,$D871)))</f>
        <v>2</v>
      </c>
      <c r="R871" s="0" t="str">
        <f aca="false">IF(OR(MAX(L871:Q871)&lt;Rules!$H$1,MAX(L871:Q871)-LARGE(L871:Q871,2)&lt;Rules!$H$2),"No label",INDEX($L$1:$Q$1,MATCH(MAX(L871:Q871),L871:Q871,0)))</f>
        <v>No label</v>
      </c>
      <c r="S871" s="0" t="n">
        <f aca="false">SUMPRODUCT(ISNUMBER(SEARCH(" "&amp;Terms!$A$3:$A$821&amp;" ",$D871))*Terms!B$3:B$821)+Terms!B$2</f>
        <v>7.72600688055925</v>
      </c>
      <c r="T871" s="0" t="n">
        <f aca="false">SUMPRODUCT(ISNUMBER(SEARCH(" "&amp;Terms!$A$3:$A$821&amp;" ",$D871))*Terms!C$3:C$821)+Terms!C$2</f>
        <v>6.1305475884878</v>
      </c>
      <c r="U871" s="0" t="n">
        <f aca="false">SUMPRODUCT(ISNUMBER(SEARCH(" "&amp;Terms!$A$3:$A$821&amp;" ",$D871))*Terms!D$3:D$821)+Terms!D$2</f>
        <v>0.0596300717549902</v>
      </c>
      <c r="V871" s="0" t="n">
        <f aca="false">SUMPRODUCT(ISNUMBER(SEARCH(" "&amp;Terms!$A$3:$A$821&amp;" ",$D871))*Terms!E$3:E$821)+Terms!E$2</f>
        <v>-4.76210781488566</v>
      </c>
      <c r="W871" s="0" t="n">
        <f aca="false">SUMPRODUCT(ISNUMBER(SEARCH(" "&amp;Terms!$A$3:$A$821&amp;" ",$D871))*Terms!F$3:F$821)+Terms!F$2</f>
        <v>-7.34068369822138</v>
      </c>
      <c r="X871" s="0" t="n">
        <f aca="false">SUMPRODUCT(ISNUMBER(SEARCH(" "&amp;Terms!$A$3:$A$821&amp;" ",$D871))*Terms!G$3:G$821)+Terms!G$2</f>
        <v>-1.81339302769492</v>
      </c>
      <c r="Y871" s="0" t="str">
        <f aca="false">INDEX($S$1:$X$1,MATCH(MAX(S871:X871),S871:X871,0))</f>
        <v>Account Access</v>
      </c>
      <c r="Z871" s="0" t="s">
        <v>2607</v>
      </c>
    </row>
    <row r="872" customFormat="false" ht="15" hidden="false" customHeight="false" outlineLevel="0" collapsed="false">
      <c r="A872" s="0" t="str">
        <f aca="false">Complaints!A872</f>
        <v>C0871</v>
      </c>
      <c r="B872" s="0" t="str">
        <f aca="false">Complaints!B872</f>
        <v>The pension transfer advice I received was poor and I have lost out. I lso spent ages on hold when I called about it. I expect compensation.</v>
      </c>
      <c r="C872" s="0" t="str">
        <f aca="false">Complaints!C872</f>
        <v>Mis-selling</v>
      </c>
      <c r="D872" s="0" t="str">
        <f aca="false">" "&amp;TRIM(SUBSTITUTE(SUBSTITUTE(SUBSTITUTE(SUBSTITUTE(SUBSTITUTE(SUBSTITUTE(SUBSTITUTE(SUBSTITUTE(SUBSTITUTE(SUBSTITUTE(SUBSTITUTE(SUBSTITUTE(SUBSTITUTE(SUBSTITUTE(SUBSTITUTE(SUBSTITUTE(LOWER(B872),"."," "),","," "),"'"," "),"’"," "),"!"," "),"?"," "),";"," "),":"," "),"-"," "),"("," "),")"," "),"""", " "),"£"," "),"&amp;"," "),"/"," "),"%"," "))&amp;" "</f>
        <v> the pension transfer advice i received was poor and i have lost out i lso spent ages on hold when i called about it i expect compensation </v>
      </c>
      <c r="E872" s="0" t="n">
        <f aca="false">SUMPRODUCT((Rules!$A$2:$A$60=E$1)*Rules!$C$2:$C$60*ISNUMBER(SEARCH(Rules!$D$2:$D$60,$D872)))</f>
        <v>0</v>
      </c>
      <c r="F872" s="0" t="n">
        <f aca="false">SUMPRODUCT((Rules!$A$2:$A$60=F$1)*Rules!$C$2:$C$60*ISNUMBER(SEARCH(Rules!$D$2:$D$60,$D872)))</f>
        <v>2</v>
      </c>
      <c r="G872" s="0" t="n">
        <f aca="false">SUMPRODUCT((Rules!$A$2:$A$60=G$1)*Rules!$C$2:$C$60*ISNUMBER(SEARCH(Rules!$D$2:$D$60,$D872)))</f>
        <v>0</v>
      </c>
      <c r="H872" s="0" t="n">
        <f aca="false">SUMPRODUCT((Rules!$A$2:$A$60=H$1)*Rules!$C$2:$C$60*ISNUMBER(SEARCH(Rules!$D$2:$D$60,$D872)))</f>
        <v>0</v>
      </c>
      <c r="I872" s="0" t="n">
        <f aca="false">SUMPRODUCT((Rules!$A$2:$A$60=I$1)*Rules!$C$2:$C$60*ISNUMBER(SEARCH(Rules!$D$2:$D$60,$D872)))</f>
        <v>0</v>
      </c>
      <c r="J872" s="0" t="n">
        <f aca="false">SUMPRODUCT((Rules!$A$2:$A$60=J$1)*Rules!$C$2:$C$60*ISNUMBER(SEARCH(Rules!$D$2:$D$60,$D872)))</f>
        <v>3</v>
      </c>
      <c r="K872" s="0" t="str">
        <f aca="false">IF(OR(MAX(E872:J872)&lt;Rules!$H$1,MAX(E872:J872)-LARGE(E872:J872,2)&lt;Rules!$H$2),"No label",INDEX($E$1:$J$1,MATCH(MAX(E872:J872),E872:J872,0)))</f>
        <v>No label</v>
      </c>
      <c r="L872" s="0" t="n">
        <f aca="false">SUMPRODUCT((Rules!$A$2:$A$60=L$1)*Rules!$C$2:$C$60*ISNUMBER(SEARCH(Rules!$E$2:$E$60,$D872)))</f>
        <v>0</v>
      </c>
      <c r="M872" s="0" t="n">
        <f aca="false">SUMPRODUCT((Rules!$A$2:$A$60=M$1)*Rules!$C$2:$C$60*ISNUMBER(SEARCH(Rules!$E$2:$E$60,$D872)))</f>
        <v>2</v>
      </c>
      <c r="N872" s="0" t="n">
        <f aca="false">SUMPRODUCT((Rules!$A$2:$A$60=N$1)*Rules!$C$2:$C$60*ISNUMBER(SEARCH(Rules!$E$2:$E$60,$D872)))</f>
        <v>0</v>
      </c>
      <c r="O872" s="0" t="n">
        <f aca="false">SUMPRODUCT((Rules!$A$2:$A$60=O$1)*Rules!$C$2:$C$60*ISNUMBER(SEARCH(Rules!$E$2:$E$60,$D872)))</f>
        <v>0</v>
      </c>
      <c r="P872" s="0" t="n">
        <f aca="false">SUMPRODUCT((Rules!$A$2:$A$60=P$1)*Rules!$C$2:$C$60*ISNUMBER(SEARCH(Rules!$E$2:$E$60,$D872)))</f>
        <v>0</v>
      </c>
      <c r="Q872" s="0" t="n">
        <f aca="false">SUMPRODUCT((Rules!$A$2:$A$60=Q$1)*Rules!$C$2:$C$60*ISNUMBER(SEARCH(Rules!$E$2:$E$60,$D872)))</f>
        <v>3</v>
      </c>
      <c r="R872" s="0" t="str">
        <f aca="false">IF(OR(MAX(L872:Q872)&lt;Rules!$H$1,MAX(L872:Q872)-LARGE(L872:Q872,2)&lt;Rules!$H$2),"No label",INDEX($L$1:$Q$1,MATCH(MAX(L872:Q872),L872:Q872,0)))</f>
        <v>No label</v>
      </c>
      <c r="S872" s="0" t="n">
        <f aca="false">SUMPRODUCT(ISNUMBER(SEARCH(" "&amp;Terms!$A$3:$A$821&amp;" ",$D872))*Terms!B$3:B$821)+Terms!B$2</f>
        <v>-1.04333351957655</v>
      </c>
      <c r="T872" s="0" t="n">
        <f aca="false">SUMPRODUCT(ISNUMBER(SEARCH(" "&amp;Terms!$A$3:$A$821&amp;" ",$D872))*Terms!C$3:C$821)+Terms!C$2</f>
        <v>-2.2301644163844</v>
      </c>
      <c r="U872" s="0" t="n">
        <f aca="false">SUMPRODUCT(ISNUMBER(SEARCH(" "&amp;Terms!$A$3:$A$821&amp;" ",$D872))*Terms!D$3:D$821)+Terms!D$2</f>
        <v>0.600161633403526</v>
      </c>
      <c r="V872" s="0" t="n">
        <f aca="false">SUMPRODUCT(ISNUMBER(SEARCH(" "&amp;Terms!$A$3:$A$821&amp;" ",$D872))*Terms!E$3:E$821)+Terms!E$2</f>
        <v>-3.87927679209856</v>
      </c>
      <c r="W872" s="0" t="n">
        <f aca="false">SUMPRODUCT(ISNUMBER(SEARCH(" "&amp;Terms!$A$3:$A$821&amp;" ",$D872))*Terms!F$3:F$821)+Terms!F$2</f>
        <v>-2.04545123547412</v>
      </c>
      <c r="X872" s="0" t="n">
        <f aca="false">SUMPRODUCT(ISNUMBER(SEARCH(" "&amp;Terms!$A$3:$A$821&amp;" ",$D872))*Terms!G$3:G$821)+Terms!G$2</f>
        <v>8.5980643301302</v>
      </c>
      <c r="Y872" s="0" t="str">
        <f aca="false">INDEX($S$1:$X$1,MATCH(MAX(S872:X872),S872:X872,0))</f>
        <v>Mis-selling</v>
      </c>
      <c r="Z872" s="0" t="s">
        <v>2607</v>
      </c>
    </row>
    <row r="873" customFormat="false" ht="15" hidden="false" customHeight="false" outlineLevel="0" collapsed="false">
      <c r="A873" s="0" t="str">
        <f aca="false">Complaints!A873</f>
        <v>C0872</v>
      </c>
      <c r="B873" s="0" t="str">
        <f aca="false">Complaints!B873</f>
        <v>This is the second time I have raised this. There are transactions on my card I do not recognise. I expect compensation.</v>
      </c>
      <c r="C873" s="0" t="str">
        <f aca="false">Complaints!C873</f>
        <v>Fraud &amp; Scams</v>
      </c>
      <c r="D873" s="0" t="str">
        <f aca="false">" "&amp;TRIM(SUBSTITUTE(SUBSTITUTE(SUBSTITUTE(SUBSTITUTE(SUBSTITUTE(SUBSTITUTE(SUBSTITUTE(SUBSTITUTE(SUBSTITUTE(SUBSTITUTE(SUBSTITUTE(SUBSTITUTE(SUBSTITUTE(SUBSTITUTE(SUBSTITUTE(SUBSTITUTE(LOWER(B873),"."," "),","," "),"'"," "),"’"," "),"!"," "),"?"," "),";"," "),":"," "),"-"," "),"("," "),")"," "),"""", " "),"£"," "),"&amp;"," "),"/"," "),"%"," "))&amp;" "</f>
        <v> this is the second time i have raised this there are transactions on my card i do not recognise i expect compensation </v>
      </c>
      <c r="E873" s="0" t="n">
        <f aca="false">SUMPRODUCT((Rules!$A$2:$A$60=E$1)*Rules!$C$2:$C$60*ISNUMBER(SEARCH(Rules!$D$2:$D$60,$D873)))</f>
        <v>2</v>
      </c>
      <c r="F873" s="0" t="n">
        <f aca="false">SUMPRODUCT((Rules!$A$2:$A$60=F$1)*Rules!$C$2:$C$60*ISNUMBER(SEARCH(Rules!$D$2:$D$60,$D873)))</f>
        <v>0</v>
      </c>
      <c r="G873" s="0" t="n">
        <f aca="false">SUMPRODUCT((Rules!$A$2:$A$60=G$1)*Rules!$C$2:$C$60*ISNUMBER(SEARCH(Rules!$D$2:$D$60,$D873)))</f>
        <v>0</v>
      </c>
      <c r="H873" s="0" t="n">
        <f aca="false">SUMPRODUCT((Rules!$A$2:$A$60=H$1)*Rules!$C$2:$C$60*ISNUMBER(SEARCH(Rules!$D$2:$D$60,$D873)))</f>
        <v>0</v>
      </c>
      <c r="I873" s="0" t="n">
        <f aca="false">SUMPRODUCT((Rules!$A$2:$A$60=I$1)*Rules!$C$2:$C$60*ISNUMBER(SEARCH(Rules!$D$2:$D$60,$D873)))</f>
        <v>0</v>
      </c>
      <c r="J873" s="0" t="n">
        <f aca="false">SUMPRODUCT((Rules!$A$2:$A$60=J$1)*Rules!$C$2:$C$60*ISNUMBER(SEARCH(Rules!$D$2:$D$60,$D873)))</f>
        <v>0</v>
      </c>
      <c r="K873" s="0" t="str">
        <f aca="false">IF(OR(MAX(E873:J873)&lt;Rules!$H$1,MAX(E873:J873)-LARGE(E873:J873,2)&lt;Rules!$H$2),"No label",INDEX($E$1:$J$1,MATCH(MAX(E873:J873),E873:J873,0)))</f>
        <v>No label</v>
      </c>
      <c r="L873" s="0" t="n">
        <f aca="false">SUMPRODUCT((Rules!$A$2:$A$60=L$1)*Rules!$C$2:$C$60*ISNUMBER(SEARCH(Rules!$E$2:$E$60,$D873)))</f>
        <v>2</v>
      </c>
      <c r="M873" s="0" t="n">
        <f aca="false">SUMPRODUCT((Rules!$A$2:$A$60=M$1)*Rules!$C$2:$C$60*ISNUMBER(SEARCH(Rules!$E$2:$E$60,$D873)))</f>
        <v>0</v>
      </c>
      <c r="N873" s="0" t="n">
        <f aca="false">SUMPRODUCT((Rules!$A$2:$A$60=N$1)*Rules!$C$2:$C$60*ISNUMBER(SEARCH(Rules!$E$2:$E$60,$D873)))</f>
        <v>0</v>
      </c>
      <c r="O873" s="0" t="n">
        <f aca="false">SUMPRODUCT((Rules!$A$2:$A$60=O$1)*Rules!$C$2:$C$60*ISNUMBER(SEARCH(Rules!$E$2:$E$60,$D873)))</f>
        <v>0</v>
      </c>
      <c r="P873" s="0" t="n">
        <f aca="false">SUMPRODUCT((Rules!$A$2:$A$60=P$1)*Rules!$C$2:$C$60*ISNUMBER(SEARCH(Rules!$E$2:$E$60,$D873)))</f>
        <v>0</v>
      </c>
      <c r="Q873" s="0" t="n">
        <f aca="false">SUMPRODUCT((Rules!$A$2:$A$60=Q$1)*Rules!$C$2:$C$60*ISNUMBER(SEARCH(Rules!$E$2:$E$60,$D873)))</f>
        <v>0</v>
      </c>
      <c r="R873" s="0" t="str">
        <f aca="false">IF(OR(MAX(L873:Q873)&lt;Rules!$H$1,MAX(L873:Q873)-LARGE(L873:Q873,2)&lt;Rules!$H$2),"No label",INDEX($L$1:$Q$1,MATCH(MAX(L873:Q873),L873:Q873,0)))</f>
        <v>No label</v>
      </c>
      <c r="S873" s="0" t="n">
        <f aca="false">SUMPRODUCT(ISNUMBER(SEARCH(" "&amp;Terms!$A$3:$A$821&amp;" ",$D873))*Terms!B$3:B$821)+Terms!B$2</f>
        <v>1.03885786650164</v>
      </c>
      <c r="T873" s="0" t="n">
        <f aca="false">SUMPRODUCT(ISNUMBER(SEARCH(" "&amp;Terms!$A$3:$A$821&amp;" ",$D873))*Terms!C$3:C$821)+Terms!C$2</f>
        <v>0.700315923985391</v>
      </c>
      <c r="U873" s="0" t="n">
        <f aca="false">SUMPRODUCT(ISNUMBER(SEARCH(" "&amp;Terms!$A$3:$A$821&amp;" ",$D873))*Terms!D$3:D$821)+Terms!D$2</f>
        <v>-3.34894858855231</v>
      </c>
      <c r="V873" s="0" t="n">
        <f aca="false">SUMPRODUCT(ISNUMBER(SEARCH(" "&amp;Terms!$A$3:$A$821&amp;" ",$D873))*Terms!E$3:E$821)+Terms!E$2</f>
        <v>-2.43779665941486</v>
      </c>
      <c r="W873" s="0" t="n">
        <f aca="false">SUMPRODUCT(ISNUMBER(SEARCH(" "&amp;Terms!$A$3:$A$821&amp;" ",$D873))*Terms!F$3:F$821)+Terms!F$2</f>
        <v>8.0139545149936</v>
      </c>
      <c r="X873" s="0" t="n">
        <f aca="false">SUMPRODUCT(ISNUMBER(SEARCH(" "&amp;Terms!$A$3:$A$821&amp;" ",$D873))*Terms!G$3:G$821)+Terms!G$2</f>
        <v>-3.96638305751337</v>
      </c>
      <c r="Y873" s="0" t="str">
        <f aca="false">INDEX($S$1:$X$1,MATCH(MAX(S873:X873),S873:X873,0))</f>
        <v>Fraud &amp; Scams</v>
      </c>
      <c r="Z873" s="0" t="s">
        <v>2607</v>
      </c>
    </row>
    <row r="874" customFormat="false" ht="15" hidden="false" customHeight="false" outlineLevel="0" collapsed="false">
      <c r="A874" s="0" t="str">
        <f aca="false">Complaints!A874</f>
        <v>C0873</v>
      </c>
      <c r="B874" s="0" t="str">
        <f aca="false">Complaints!B874</f>
        <v>My card reader stopped working and I cannot approve payments. Please sort this out.</v>
      </c>
      <c r="C874" s="0" t="str">
        <f aca="false">Complaints!C874</f>
        <v>Account Access</v>
      </c>
      <c r="D874" s="0" t="str">
        <f aca="false">" "&amp;TRIM(SUBSTITUTE(SUBSTITUTE(SUBSTITUTE(SUBSTITUTE(SUBSTITUTE(SUBSTITUTE(SUBSTITUTE(SUBSTITUTE(SUBSTITUTE(SUBSTITUTE(SUBSTITUTE(SUBSTITUTE(SUBSTITUTE(SUBSTITUTE(SUBSTITUTE(SUBSTITUTE(LOWER(B874),"."," "),","," "),"'"," "),"’"," "),"!"," "),"?"," "),";"," "),":"," "),"-"," "),"("," "),")"," "),"""", " "),"£"," "),"&amp;"," "),"/"," "),"%"," "))&amp;" "</f>
        <v> my card reader stopped working and i cannot approve payments please sort this out </v>
      </c>
      <c r="E874" s="0" t="n">
        <f aca="false">SUMPRODUCT((Rules!$A$2:$A$60=E$1)*Rules!$C$2:$C$60*ISNUMBER(SEARCH(Rules!$D$2:$D$60,$D874)))</f>
        <v>0</v>
      </c>
      <c r="F874" s="0" t="n">
        <f aca="false">SUMPRODUCT((Rules!$A$2:$A$60=F$1)*Rules!$C$2:$C$60*ISNUMBER(SEARCH(Rules!$D$2:$D$60,$D874)))</f>
        <v>0</v>
      </c>
      <c r="G874" s="0" t="n">
        <f aca="false">SUMPRODUCT((Rules!$A$2:$A$60=G$1)*Rules!$C$2:$C$60*ISNUMBER(SEARCH(Rules!$D$2:$D$60,$D874)))</f>
        <v>0</v>
      </c>
      <c r="H874" s="0" t="n">
        <f aca="false">SUMPRODUCT((Rules!$A$2:$A$60=H$1)*Rules!$C$2:$C$60*ISNUMBER(SEARCH(Rules!$D$2:$D$60,$D874)))</f>
        <v>0</v>
      </c>
      <c r="I874" s="0" t="n">
        <f aca="false">SUMPRODUCT((Rules!$A$2:$A$60=I$1)*Rules!$C$2:$C$60*ISNUMBER(SEARCH(Rules!$D$2:$D$60,$D874)))</f>
        <v>0</v>
      </c>
      <c r="J874" s="0" t="n">
        <f aca="false">SUMPRODUCT((Rules!$A$2:$A$60=J$1)*Rules!$C$2:$C$60*ISNUMBER(SEARCH(Rules!$D$2:$D$60,$D874)))</f>
        <v>0</v>
      </c>
      <c r="K874" s="0" t="str">
        <f aca="false">IF(OR(MAX(E874:J874)&lt;Rules!$H$1,MAX(E874:J874)-LARGE(E874:J874,2)&lt;Rules!$H$2),"No label",INDEX($E$1:$J$1,MATCH(MAX(E874:J874),E874:J874,0)))</f>
        <v>No label</v>
      </c>
      <c r="L874" s="0" t="n">
        <f aca="false">SUMPRODUCT((Rules!$A$2:$A$60=L$1)*Rules!$C$2:$C$60*ISNUMBER(SEARCH(Rules!$E$2:$E$60,$D874)))</f>
        <v>0</v>
      </c>
      <c r="M874" s="0" t="n">
        <f aca="false">SUMPRODUCT((Rules!$A$2:$A$60=M$1)*Rules!$C$2:$C$60*ISNUMBER(SEARCH(Rules!$E$2:$E$60,$D874)))</f>
        <v>0</v>
      </c>
      <c r="N874" s="0" t="n">
        <f aca="false">SUMPRODUCT((Rules!$A$2:$A$60=N$1)*Rules!$C$2:$C$60*ISNUMBER(SEARCH(Rules!$E$2:$E$60,$D874)))</f>
        <v>0</v>
      </c>
      <c r="O874" s="0" t="n">
        <f aca="false">SUMPRODUCT((Rules!$A$2:$A$60=O$1)*Rules!$C$2:$C$60*ISNUMBER(SEARCH(Rules!$E$2:$E$60,$D874)))</f>
        <v>0</v>
      </c>
      <c r="P874" s="0" t="n">
        <f aca="false">SUMPRODUCT((Rules!$A$2:$A$60=P$1)*Rules!$C$2:$C$60*ISNUMBER(SEARCH(Rules!$E$2:$E$60,$D874)))</f>
        <v>0</v>
      </c>
      <c r="Q874" s="0" t="n">
        <f aca="false">SUMPRODUCT((Rules!$A$2:$A$60=Q$1)*Rules!$C$2:$C$60*ISNUMBER(SEARCH(Rules!$E$2:$E$60,$D874)))</f>
        <v>0</v>
      </c>
      <c r="R874" s="0" t="str">
        <f aca="false">IF(OR(MAX(L874:Q874)&lt;Rules!$H$1,MAX(L874:Q874)-LARGE(L874:Q874,2)&lt;Rules!$H$2),"No label",INDEX($L$1:$Q$1,MATCH(MAX(L874:Q874),L874:Q874,0)))</f>
        <v>No label</v>
      </c>
      <c r="S874" s="0" t="n">
        <f aca="false">SUMPRODUCT(ISNUMBER(SEARCH(" "&amp;Terms!$A$3:$A$821&amp;" ",$D874))*Terms!B$3:B$821)+Terms!B$2</f>
        <v>13.6998164982691</v>
      </c>
      <c r="T874" s="0" t="n">
        <f aca="false">SUMPRODUCT(ISNUMBER(SEARCH(" "&amp;Terms!$A$3:$A$821&amp;" ",$D874))*Terms!C$3:C$821)+Terms!C$2</f>
        <v>0.795793767133155</v>
      </c>
      <c r="U874" s="0" t="n">
        <f aca="false">SUMPRODUCT(ISNUMBER(SEARCH(" "&amp;Terms!$A$3:$A$821&amp;" ",$D874))*Terms!D$3:D$821)+Terms!D$2</f>
        <v>-2.69090781914822</v>
      </c>
      <c r="V874" s="0" t="n">
        <f aca="false">SUMPRODUCT(ISNUMBER(SEARCH(" "&amp;Terms!$A$3:$A$821&amp;" ",$D874))*Terms!E$3:E$821)+Terms!E$2</f>
        <v>-3.54393901392266</v>
      </c>
      <c r="W874" s="0" t="n">
        <f aca="false">SUMPRODUCT(ISNUMBER(SEARCH(" "&amp;Terms!$A$3:$A$821&amp;" ",$D874))*Terms!F$3:F$821)+Terms!F$2</f>
        <v>0.0822731654491862</v>
      </c>
      <c r="X874" s="0" t="n">
        <f aca="false">SUMPRODUCT(ISNUMBER(SEARCH(" "&amp;Terms!$A$3:$A$821&amp;" ",$D874))*Terms!G$3:G$821)+Terms!G$2</f>
        <v>-8.34303659778046</v>
      </c>
      <c r="Y874" s="0" t="str">
        <f aca="false">INDEX($S$1:$X$1,MATCH(MAX(S874:X874),S874:X874,0))</f>
        <v>Account Access</v>
      </c>
      <c r="Z874" s="0" t="s">
        <v>2607</v>
      </c>
    </row>
    <row r="875" customFormat="false" ht="15" hidden="false" customHeight="false" outlineLevel="0" collapsed="false">
      <c r="A875" s="0" t="str">
        <f aca="false">Complaints!A875</f>
        <v>C0874</v>
      </c>
      <c r="B875" s="0" t="str">
        <f aca="false">Complaints!B875</f>
        <v>I have been  customer for years. My account was frozen and I cannot get in to move money.</v>
      </c>
      <c r="C875" s="0" t="str">
        <f aca="false">Complaints!C875</f>
        <v>Account Access</v>
      </c>
      <c r="D875" s="0" t="str">
        <f aca="false">" "&amp;TRIM(SUBSTITUTE(SUBSTITUTE(SUBSTITUTE(SUBSTITUTE(SUBSTITUTE(SUBSTITUTE(SUBSTITUTE(SUBSTITUTE(SUBSTITUTE(SUBSTITUTE(SUBSTITUTE(SUBSTITUTE(SUBSTITUTE(SUBSTITUTE(SUBSTITUTE(SUBSTITUTE(LOWER(B875),"."," "),","," "),"'"," "),"’"," "),"!"," "),"?"," "),";"," "),":"," "),"-"," "),"("," "),")"," "),"""", " "),"£"," "),"&amp;"," "),"/"," "),"%"," "))&amp;" "</f>
        <v> i have been customer for years my account was frozen and i cannot get in to move money </v>
      </c>
      <c r="E875" s="0" t="n">
        <f aca="false">SUMPRODUCT((Rules!$A$2:$A$60=E$1)*Rules!$C$2:$C$60*ISNUMBER(SEARCH(Rules!$D$2:$D$60,$D875)))</f>
        <v>0</v>
      </c>
      <c r="F875" s="0" t="n">
        <f aca="false">SUMPRODUCT((Rules!$A$2:$A$60=F$1)*Rules!$C$2:$C$60*ISNUMBER(SEARCH(Rules!$D$2:$D$60,$D875)))</f>
        <v>0</v>
      </c>
      <c r="G875" s="0" t="n">
        <f aca="false">SUMPRODUCT((Rules!$A$2:$A$60=G$1)*Rules!$C$2:$C$60*ISNUMBER(SEARCH(Rules!$D$2:$D$60,$D875)))</f>
        <v>0</v>
      </c>
      <c r="H875" s="0" t="n">
        <f aca="false">SUMPRODUCT((Rules!$A$2:$A$60=H$1)*Rules!$C$2:$C$60*ISNUMBER(SEARCH(Rules!$D$2:$D$60,$D875)))</f>
        <v>0</v>
      </c>
      <c r="I875" s="0" t="n">
        <f aca="false">SUMPRODUCT((Rules!$A$2:$A$60=I$1)*Rules!$C$2:$C$60*ISNUMBER(SEARCH(Rules!$D$2:$D$60,$D875)))</f>
        <v>0</v>
      </c>
      <c r="J875" s="0" t="n">
        <f aca="false">SUMPRODUCT((Rules!$A$2:$A$60=J$1)*Rules!$C$2:$C$60*ISNUMBER(SEARCH(Rules!$D$2:$D$60,$D875)))</f>
        <v>0</v>
      </c>
      <c r="K875" s="0" t="str">
        <f aca="false">IF(OR(MAX(E875:J875)&lt;Rules!$H$1,MAX(E875:J875)-LARGE(E875:J875,2)&lt;Rules!$H$2),"No label",INDEX($E$1:$J$1,MATCH(MAX(E875:J875),E875:J875,0)))</f>
        <v>No label</v>
      </c>
      <c r="L875" s="0" t="n">
        <f aca="false">SUMPRODUCT((Rules!$A$2:$A$60=L$1)*Rules!$C$2:$C$60*ISNUMBER(SEARCH(Rules!$E$2:$E$60,$D875)))</f>
        <v>0</v>
      </c>
      <c r="M875" s="0" t="n">
        <f aca="false">SUMPRODUCT((Rules!$A$2:$A$60=M$1)*Rules!$C$2:$C$60*ISNUMBER(SEARCH(Rules!$E$2:$E$60,$D875)))</f>
        <v>0</v>
      </c>
      <c r="N875" s="0" t="n">
        <f aca="false">SUMPRODUCT((Rules!$A$2:$A$60=N$1)*Rules!$C$2:$C$60*ISNUMBER(SEARCH(Rules!$E$2:$E$60,$D875)))</f>
        <v>0</v>
      </c>
      <c r="O875" s="0" t="n">
        <f aca="false">SUMPRODUCT((Rules!$A$2:$A$60=O$1)*Rules!$C$2:$C$60*ISNUMBER(SEARCH(Rules!$E$2:$E$60,$D875)))</f>
        <v>0</v>
      </c>
      <c r="P875" s="0" t="n">
        <f aca="false">SUMPRODUCT((Rules!$A$2:$A$60=P$1)*Rules!$C$2:$C$60*ISNUMBER(SEARCH(Rules!$E$2:$E$60,$D875)))</f>
        <v>0</v>
      </c>
      <c r="Q875" s="0" t="n">
        <f aca="false">SUMPRODUCT((Rules!$A$2:$A$60=Q$1)*Rules!$C$2:$C$60*ISNUMBER(SEARCH(Rules!$E$2:$E$60,$D875)))</f>
        <v>0</v>
      </c>
      <c r="R875" s="0" t="str">
        <f aca="false">IF(OR(MAX(L875:Q875)&lt;Rules!$H$1,MAX(L875:Q875)-LARGE(L875:Q875,2)&lt;Rules!$H$2),"No label",INDEX($L$1:$Q$1,MATCH(MAX(L875:Q875),L875:Q875,0)))</f>
        <v>No label</v>
      </c>
      <c r="S875" s="0" t="n">
        <f aca="false">SUMPRODUCT(ISNUMBER(SEARCH(" "&amp;Terms!$A$3:$A$821&amp;" ",$D875))*Terms!B$3:B$821)+Terms!B$2</f>
        <v>5.58374109173717</v>
      </c>
      <c r="T875" s="0" t="n">
        <f aca="false">SUMPRODUCT(ISNUMBER(SEARCH(" "&amp;Terms!$A$3:$A$821&amp;" ",$D875))*Terms!C$3:C$821)+Terms!C$2</f>
        <v>-2.57902344039745</v>
      </c>
      <c r="U875" s="0" t="n">
        <f aca="false">SUMPRODUCT(ISNUMBER(SEARCH(" "&amp;Terms!$A$3:$A$821&amp;" ",$D875))*Terms!D$3:D$821)+Terms!D$2</f>
        <v>1.33419646814167</v>
      </c>
      <c r="V875" s="0" t="n">
        <f aca="false">SUMPRODUCT(ISNUMBER(SEARCH(" "&amp;Terms!$A$3:$A$821&amp;" ",$D875))*Terms!E$3:E$821)+Terms!E$2</f>
        <v>-2.52686212851944</v>
      </c>
      <c r="W875" s="0" t="n">
        <f aca="false">SUMPRODUCT(ISNUMBER(SEARCH(" "&amp;Terms!$A$3:$A$821&amp;" ",$D875))*Terms!F$3:F$821)+Terms!F$2</f>
        <v>0.0515108998182426</v>
      </c>
      <c r="X875" s="0" t="n">
        <f aca="false">SUMPRODUCT(ISNUMBER(SEARCH(" "&amp;Terms!$A$3:$A$821&amp;" ",$D875))*Terms!G$3:G$821)+Terms!G$2</f>
        <v>-1.86356289078011</v>
      </c>
      <c r="Y875" s="0" t="str">
        <f aca="false">INDEX($S$1:$X$1,MATCH(MAX(S875:X875),S875:X875,0))</f>
        <v>Account Access</v>
      </c>
      <c r="Z875" s="0" t="s">
        <v>2607</v>
      </c>
    </row>
    <row r="876" customFormat="false" ht="15" hidden="false" customHeight="false" outlineLevel="0" collapsed="false">
      <c r="A876" s="0" t="str">
        <f aca="false">Complaints!A876</f>
        <v>C0875</v>
      </c>
      <c r="B876" s="0" t="str">
        <f aca="false">Complaints!B876</f>
        <v>Your advisor gave me different answers on two separate calls. I would like a response in writing.</v>
      </c>
      <c r="C876" s="0" t="str">
        <f aca="false">Complaints!C876</f>
        <v>Customer Service</v>
      </c>
      <c r="D876" s="0" t="str">
        <f aca="false">" "&amp;TRIM(SUBSTITUTE(SUBSTITUTE(SUBSTITUTE(SUBSTITUTE(SUBSTITUTE(SUBSTITUTE(SUBSTITUTE(SUBSTITUTE(SUBSTITUTE(SUBSTITUTE(SUBSTITUTE(SUBSTITUTE(SUBSTITUTE(SUBSTITUTE(SUBSTITUTE(SUBSTITUTE(LOWER(B876),"."," "),","," "),"'"," "),"’"," "),"!"," "),"?"," "),";"," "),":"," "),"-"," "),"("," "),")"," "),"""", " "),"£"," "),"&amp;"," "),"/"," "),"%"," "))&amp;" "</f>
        <v> your advisor gave me different answers on two separate calls i would like a response in writing </v>
      </c>
      <c r="E876" s="0" t="n">
        <f aca="false">SUMPRODUCT((Rules!$A$2:$A$60=E$1)*Rules!$C$2:$C$60*ISNUMBER(SEARCH(Rules!$D$2:$D$60,$D876)))</f>
        <v>0</v>
      </c>
      <c r="F876" s="0" t="n">
        <f aca="false">SUMPRODUCT((Rules!$A$2:$A$60=F$1)*Rules!$C$2:$C$60*ISNUMBER(SEARCH(Rules!$D$2:$D$60,$D876)))</f>
        <v>0</v>
      </c>
      <c r="G876" s="0" t="n">
        <f aca="false">SUMPRODUCT((Rules!$A$2:$A$60=G$1)*Rules!$C$2:$C$60*ISNUMBER(SEARCH(Rules!$D$2:$D$60,$D876)))</f>
        <v>0</v>
      </c>
      <c r="H876" s="0" t="n">
        <f aca="false">SUMPRODUCT((Rules!$A$2:$A$60=H$1)*Rules!$C$2:$C$60*ISNUMBER(SEARCH(Rules!$D$2:$D$60,$D876)))</f>
        <v>0</v>
      </c>
      <c r="I876" s="0" t="n">
        <f aca="false">SUMPRODUCT((Rules!$A$2:$A$60=I$1)*Rules!$C$2:$C$60*ISNUMBER(SEARCH(Rules!$D$2:$D$60,$D876)))</f>
        <v>0</v>
      </c>
      <c r="J876" s="0" t="n">
        <f aca="false">SUMPRODUCT((Rules!$A$2:$A$60=J$1)*Rules!$C$2:$C$60*ISNUMBER(SEARCH(Rules!$D$2:$D$60,$D876)))</f>
        <v>1</v>
      </c>
      <c r="K876" s="0" t="str">
        <f aca="false">IF(OR(MAX(E876:J876)&lt;Rules!$H$1,MAX(E876:J876)-LARGE(E876:J876,2)&lt;Rules!$H$2),"No label",INDEX($E$1:$J$1,MATCH(MAX(E876:J876),E876:J876,0)))</f>
        <v>No label</v>
      </c>
      <c r="L876" s="0" t="n">
        <f aca="false">SUMPRODUCT((Rules!$A$2:$A$60=L$1)*Rules!$C$2:$C$60*ISNUMBER(SEARCH(Rules!$E$2:$E$60,$D876)))</f>
        <v>0</v>
      </c>
      <c r="M876" s="0" t="n">
        <f aca="false">SUMPRODUCT((Rules!$A$2:$A$60=M$1)*Rules!$C$2:$C$60*ISNUMBER(SEARCH(Rules!$E$2:$E$60,$D876)))</f>
        <v>4</v>
      </c>
      <c r="N876" s="0" t="n">
        <f aca="false">SUMPRODUCT((Rules!$A$2:$A$60=N$1)*Rules!$C$2:$C$60*ISNUMBER(SEARCH(Rules!$E$2:$E$60,$D876)))</f>
        <v>0</v>
      </c>
      <c r="O876" s="0" t="n">
        <f aca="false">SUMPRODUCT((Rules!$A$2:$A$60=O$1)*Rules!$C$2:$C$60*ISNUMBER(SEARCH(Rules!$E$2:$E$60,$D876)))</f>
        <v>0</v>
      </c>
      <c r="P876" s="0" t="n">
        <f aca="false">SUMPRODUCT((Rules!$A$2:$A$60=P$1)*Rules!$C$2:$C$60*ISNUMBER(SEARCH(Rules!$E$2:$E$60,$D876)))</f>
        <v>0</v>
      </c>
      <c r="Q876" s="0" t="n">
        <f aca="false">SUMPRODUCT((Rules!$A$2:$A$60=Q$1)*Rules!$C$2:$C$60*ISNUMBER(SEARCH(Rules!$E$2:$E$60,$D876)))</f>
        <v>1</v>
      </c>
      <c r="R876" s="0" t="str">
        <f aca="false">IF(OR(MAX(L876:Q876)&lt;Rules!$H$1,MAX(L876:Q876)-LARGE(L876:Q876,2)&lt;Rules!$H$2),"No label",INDEX($L$1:$Q$1,MATCH(MAX(L876:Q876),L876:Q876,0)))</f>
        <v>Mis-selling</v>
      </c>
      <c r="S876" s="0" t="n">
        <f aca="false">SUMPRODUCT(ISNUMBER(SEARCH(" "&amp;Terms!$A$3:$A$821&amp;" ",$D876))*Terms!B$3:B$821)+Terms!B$2</f>
        <v>0.182290826894504</v>
      </c>
      <c r="T876" s="0" t="n">
        <f aca="false">SUMPRODUCT(ISNUMBER(SEARCH(" "&amp;Terms!$A$3:$A$821&amp;" ",$D876))*Terms!C$3:C$821)+Terms!C$2</f>
        <v>11.8687198268741</v>
      </c>
      <c r="U876" s="0" t="n">
        <f aca="false">SUMPRODUCT(ISNUMBER(SEARCH(" "&amp;Terms!$A$3:$A$821&amp;" ",$D876))*Terms!D$3:D$821)+Terms!D$2</f>
        <v>-3.06600972964914</v>
      </c>
      <c r="V876" s="0" t="n">
        <f aca="false">SUMPRODUCT(ISNUMBER(SEARCH(" "&amp;Terms!$A$3:$A$821&amp;" ",$D876))*Terms!E$3:E$821)+Terms!E$2</f>
        <v>-5.86962132142712</v>
      </c>
      <c r="W876" s="0" t="n">
        <f aca="false">SUMPRODUCT(ISNUMBER(SEARCH(" "&amp;Terms!$A$3:$A$821&amp;" ",$D876))*Terms!F$3:F$821)+Terms!F$2</f>
        <v>-2.99193761220931</v>
      </c>
      <c r="X876" s="0" t="n">
        <f aca="false">SUMPRODUCT(ISNUMBER(SEARCH(" "&amp;Terms!$A$3:$A$821&amp;" ",$D876))*Terms!G$3:G$821)+Terms!G$2</f>
        <v>-0.123441990482957</v>
      </c>
      <c r="Y876" s="0" t="str">
        <f aca="false">INDEX($S$1:$X$1,MATCH(MAX(S876:X876),S876:X876,0))</f>
        <v>Customer Service</v>
      </c>
      <c r="Z876" s="0" t="s">
        <v>2608</v>
      </c>
    </row>
    <row r="877" customFormat="false" ht="15" hidden="false" customHeight="false" outlineLevel="0" collapsed="false">
      <c r="A877" s="0" t="str">
        <f aca="false">Complaints!A877</f>
        <v>C0876</v>
      </c>
      <c r="B877" s="0" t="str">
        <f aca="false">Complaints!B877</f>
        <v>Frankly, The terms were very different from what I was promised at the time of sale. Also, the fraud team closed my case without investigating properly.</v>
      </c>
      <c r="C877" s="0" t="str">
        <f aca="false">Complaints!C877</f>
        <v>Mis-selling</v>
      </c>
      <c r="D877" s="0" t="str">
        <f aca="false">" "&amp;TRIM(SUBSTITUTE(SUBSTITUTE(SUBSTITUTE(SUBSTITUTE(SUBSTITUTE(SUBSTITUTE(SUBSTITUTE(SUBSTITUTE(SUBSTITUTE(SUBSTITUTE(SUBSTITUTE(SUBSTITUTE(SUBSTITUTE(SUBSTITUTE(SUBSTITUTE(SUBSTITUTE(LOWER(B877),"."," "),","," "),"'"," "),"’"," "),"!"," "),"?"," "),";"," "),":"," "),"-"," "),"("," "),")"," "),"""", " "),"£"," "),"&amp;"," "),"/"," "),"%"," "))&amp;" "</f>
        <v> frankly the terms were very different from what i was promised at the time of sale also the fraud team closed my case without investigating properly </v>
      </c>
      <c r="E877" s="0" t="n">
        <f aca="false">SUMPRODUCT((Rules!$A$2:$A$60=E$1)*Rules!$C$2:$C$60*ISNUMBER(SEARCH(Rules!$D$2:$D$60,$D877)))</f>
        <v>3</v>
      </c>
      <c r="F877" s="0" t="n">
        <f aca="false">SUMPRODUCT((Rules!$A$2:$A$60=F$1)*Rules!$C$2:$C$60*ISNUMBER(SEARCH(Rules!$D$2:$D$60,$D877)))</f>
        <v>1</v>
      </c>
      <c r="G877" s="0" t="n">
        <f aca="false">SUMPRODUCT((Rules!$A$2:$A$60=G$1)*Rules!$C$2:$C$60*ISNUMBER(SEARCH(Rules!$D$2:$D$60,$D877)))</f>
        <v>0</v>
      </c>
      <c r="H877" s="0" t="n">
        <f aca="false">SUMPRODUCT((Rules!$A$2:$A$60=H$1)*Rules!$C$2:$C$60*ISNUMBER(SEARCH(Rules!$D$2:$D$60,$D877)))</f>
        <v>0</v>
      </c>
      <c r="I877" s="0" t="n">
        <f aca="false">SUMPRODUCT((Rules!$A$2:$A$60=I$1)*Rules!$C$2:$C$60*ISNUMBER(SEARCH(Rules!$D$2:$D$60,$D877)))</f>
        <v>0</v>
      </c>
      <c r="J877" s="0" t="n">
        <f aca="false">SUMPRODUCT((Rules!$A$2:$A$60=J$1)*Rules!$C$2:$C$60*ISNUMBER(SEARCH(Rules!$D$2:$D$60,$D877)))</f>
        <v>0</v>
      </c>
      <c r="K877" s="0" t="str">
        <f aca="false">IF(OR(MAX(E877:J877)&lt;Rules!$H$1,MAX(E877:J877)-LARGE(E877:J877,2)&lt;Rules!$H$2),"No label",INDEX($E$1:$J$1,MATCH(MAX(E877:J877),E877:J877,0)))</f>
        <v>Fraud &amp; Scams</v>
      </c>
      <c r="L877" s="0" t="n">
        <f aca="false">SUMPRODUCT((Rules!$A$2:$A$60=L$1)*Rules!$C$2:$C$60*ISNUMBER(SEARCH(Rules!$E$2:$E$60,$D877)))</f>
        <v>3</v>
      </c>
      <c r="M877" s="0" t="n">
        <f aca="false">SUMPRODUCT((Rules!$A$2:$A$60=M$1)*Rules!$C$2:$C$60*ISNUMBER(SEARCH(Rules!$E$2:$E$60,$D877)))</f>
        <v>1</v>
      </c>
      <c r="N877" s="0" t="n">
        <f aca="false">SUMPRODUCT((Rules!$A$2:$A$60=N$1)*Rules!$C$2:$C$60*ISNUMBER(SEARCH(Rules!$E$2:$E$60,$D877)))</f>
        <v>0</v>
      </c>
      <c r="O877" s="0" t="n">
        <f aca="false">SUMPRODUCT((Rules!$A$2:$A$60=O$1)*Rules!$C$2:$C$60*ISNUMBER(SEARCH(Rules!$E$2:$E$60,$D877)))</f>
        <v>0</v>
      </c>
      <c r="P877" s="0" t="n">
        <f aca="false">SUMPRODUCT((Rules!$A$2:$A$60=P$1)*Rules!$C$2:$C$60*ISNUMBER(SEARCH(Rules!$E$2:$E$60,$D877)))</f>
        <v>0</v>
      </c>
      <c r="Q877" s="0" t="n">
        <f aca="false">SUMPRODUCT((Rules!$A$2:$A$60=Q$1)*Rules!$C$2:$C$60*ISNUMBER(SEARCH(Rules!$E$2:$E$60,$D877)))</f>
        <v>0</v>
      </c>
      <c r="R877" s="0" t="str">
        <f aca="false">IF(OR(MAX(L877:Q877)&lt;Rules!$H$1,MAX(L877:Q877)-LARGE(L877:Q877,2)&lt;Rules!$H$2),"No label",INDEX($L$1:$Q$1,MATCH(MAX(L877:Q877),L877:Q877,0)))</f>
        <v>Fraud &amp; Scams</v>
      </c>
      <c r="S877" s="0" t="n">
        <f aca="false">SUMPRODUCT(ISNUMBER(SEARCH(" "&amp;Terms!$A$3:$A$821&amp;" ",$D877))*Terms!B$3:B$821)+Terms!B$2</f>
        <v>-5.47258195393063</v>
      </c>
      <c r="T877" s="0" t="n">
        <f aca="false">SUMPRODUCT(ISNUMBER(SEARCH(" "&amp;Terms!$A$3:$A$821&amp;" ",$D877))*Terms!C$3:C$821)+Terms!C$2</f>
        <v>-2.35627756917249</v>
      </c>
      <c r="U877" s="0" t="n">
        <f aca="false">SUMPRODUCT(ISNUMBER(SEARCH(" "&amp;Terms!$A$3:$A$821&amp;" ",$D877))*Terms!D$3:D$821)+Terms!D$2</f>
        <v>-0.693219697272636</v>
      </c>
      <c r="V877" s="0" t="n">
        <f aca="false">SUMPRODUCT(ISNUMBER(SEARCH(" "&amp;Terms!$A$3:$A$821&amp;" ",$D877))*Terms!E$3:E$821)+Terms!E$2</f>
        <v>-4.71710620403202</v>
      </c>
      <c r="W877" s="0" t="n">
        <f aca="false">SUMPRODUCT(ISNUMBER(SEARCH(" "&amp;Terms!$A$3:$A$821&amp;" ",$D877))*Terms!F$3:F$821)+Terms!F$2</f>
        <v>8.14193486562801</v>
      </c>
      <c r="X877" s="0" t="n">
        <f aca="false">SUMPRODUCT(ISNUMBER(SEARCH(" "&amp;Terms!$A$3:$A$821&amp;" ",$D877))*Terms!G$3:G$821)+Terms!G$2</f>
        <v>5.09725055877987</v>
      </c>
      <c r="Y877" s="0" t="str">
        <f aca="false">INDEX($S$1:$X$1,MATCH(MAX(S877:X877),S877:X877,0))</f>
        <v>Fraud &amp; Scams</v>
      </c>
      <c r="Z877" s="0" t="s">
        <v>2607</v>
      </c>
    </row>
    <row r="878" customFormat="false" ht="15" hidden="false" customHeight="false" outlineLevel="0" collapsed="false">
      <c r="A878" s="0" t="str">
        <f aca="false">Complaints!A878</f>
        <v>C0877</v>
      </c>
      <c r="B878" s="0" t="str">
        <f aca="false">Complaints!B878</f>
        <v>Frankly, I spent an hour on hold and then the call was cut off. I want this put right.</v>
      </c>
      <c r="C878" s="0" t="str">
        <f aca="false">Complaints!C878</f>
        <v>Customer Service</v>
      </c>
      <c r="D878" s="0" t="str">
        <f aca="false">" "&amp;TRIM(SUBSTITUTE(SUBSTITUTE(SUBSTITUTE(SUBSTITUTE(SUBSTITUTE(SUBSTITUTE(SUBSTITUTE(SUBSTITUTE(SUBSTITUTE(SUBSTITUTE(SUBSTITUTE(SUBSTITUTE(SUBSTITUTE(SUBSTITUTE(SUBSTITUTE(SUBSTITUTE(LOWER(B878),"."," "),","," "),"'"," "),"’"," "),"!"," "),"?"," "),";"," "),":"," "),"-"," "),"("," "),")"," "),"""", " "),"£"," "),"&amp;"," "),"/"," "),"%"," "))&amp;" "</f>
        <v> frankly i spent an hour on hold and then the call was cut off i want this put right </v>
      </c>
      <c r="E878" s="0" t="n">
        <f aca="false">SUMPRODUCT((Rules!$A$2:$A$60=E$1)*Rules!$C$2:$C$60*ISNUMBER(SEARCH(Rules!$D$2:$D$60,$D878)))</f>
        <v>0</v>
      </c>
      <c r="F878" s="0" t="n">
        <f aca="false">SUMPRODUCT((Rules!$A$2:$A$60=F$1)*Rules!$C$2:$C$60*ISNUMBER(SEARCH(Rules!$D$2:$D$60,$D878)))</f>
        <v>0</v>
      </c>
      <c r="G878" s="0" t="n">
        <f aca="false">SUMPRODUCT((Rules!$A$2:$A$60=G$1)*Rules!$C$2:$C$60*ISNUMBER(SEARCH(Rules!$D$2:$D$60,$D878)))</f>
        <v>0</v>
      </c>
      <c r="H878" s="0" t="n">
        <f aca="false">SUMPRODUCT((Rules!$A$2:$A$60=H$1)*Rules!$C$2:$C$60*ISNUMBER(SEARCH(Rules!$D$2:$D$60,$D878)))</f>
        <v>0</v>
      </c>
      <c r="I878" s="0" t="n">
        <f aca="false">SUMPRODUCT((Rules!$A$2:$A$60=I$1)*Rules!$C$2:$C$60*ISNUMBER(SEARCH(Rules!$D$2:$D$60,$D878)))</f>
        <v>0</v>
      </c>
      <c r="J878" s="0" t="n">
        <f aca="false">SUMPRODUCT((Rules!$A$2:$A$60=J$1)*Rules!$C$2:$C$60*ISNUMBER(SEARCH(Rules!$D$2:$D$60,$D878)))</f>
        <v>3</v>
      </c>
      <c r="K878" s="0" t="str">
        <f aca="false">IF(OR(MAX(E878:J878)&lt;Rules!$H$1,MAX(E878:J878)-LARGE(E878:J878,2)&lt;Rules!$H$2),"No label",INDEX($E$1:$J$1,MATCH(MAX(E878:J878),E878:J878,0)))</f>
        <v>Customer Service</v>
      </c>
      <c r="L878" s="0" t="n">
        <f aca="false">SUMPRODUCT((Rules!$A$2:$A$60=L$1)*Rules!$C$2:$C$60*ISNUMBER(SEARCH(Rules!$E$2:$E$60,$D878)))</f>
        <v>0</v>
      </c>
      <c r="M878" s="0" t="n">
        <f aca="false">SUMPRODUCT((Rules!$A$2:$A$60=M$1)*Rules!$C$2:$C$60*ISNUMBER(SEARCH(Rules!$E$2:$E$60,$D878)))</f>
        <v>0</v>
      </c>
      <c r="N878" s="0" t="n">
        <f aca="false">SUMPRODUCT((Rules!$A$2:$A$60=N$1)*Rules!$C$2:$C$60*ISNUMBER(SEARCH(Rules!$E$2:$E$60,$D878)))</f>
        <v>0</v>
      </c>
      <c r="O878" s="0" t="n">
        <f aca="false">SUMPRODUCT((Rules!$A$2:$A$60=O$1)*Rules!$C$2:$C$60*ISNUMBER(SEARCH(Rules!$E$2:$E$60,$D878)))</f>
        <v>0</v>
      </c>
      <c r="P878" s="0" t="n">
        <f aca="false">SUMPRODUCT((Rules!$A$2:$A$60=P$1)*Rules!$C$2:$C$60*ISNUMBER(SEARCH(Rules!$E$2:$E$60,$D878)))</f>
        <v>0</v>
      </c>
      <c r="Q878" s="0" t="n">
        <f aca="false">SUMPRODUCT((Rules!$A$2:$A$60=Q$1)*Rules!$C$2:$C$60*ISNUMBER(SEARCH(Rules!$E$2:$E$60,$D878)))</f>
        <v>3</v>
      </c>
      <c r="R878" s="0" t="str">
        <f aca="false">IF(OR(MAX(L878:Q878)&lt;Rules!$H$1,MAX(L878:Q878)-LARGE(L878:Q878,2)&lt;Rules!$H$2),"No label",INDEX($L$1:$Q$1,MATCH(MAX(L878:Q878),L878:Q878,0)))</f>
        <v>Customer Service</v>
      </c>
      <c r="S878" s="0" t="n">
        <f aca="false">SUMPRODUCT(ISNUMBER(SEARCH(" "&amp;Terms!$A$3:$A$821&amp;" ",$D878))*Terms!B$3:B$821)+Terms!B$2</f>
        <v>-2.42924941991346</v>
      </c>
      <c r="T878" s="0" t="n">
        <f aca="false">SUMPRODUCT(ISNUMBER(SEARCH(" "&amp;Terms!$A$3:$A$821&amp;" ",$D878))*Terms!C$3:C$821)+Terms!C$2</f>
        <v>5.00673728707182</v>
      </c>
      <c r="U878" s="0" t="n">
        <f aca="false">SUMPRODUCT(ISNUMBER(SEARCH(" "&amp;Terms!$A$3:$A$821&amp;" ",$D878))*Terms!D$3:D$821)+Terms!D$2</f>
        <v>-2.64035038327918</v>
      </c>
      <c r="V878" s="0" t="n">
        <f aca="false">SUMPRODUCT(ISNUMBER(SEARCH(" "&amp;Terms!$A$3:$A$821&amp;" ",$D878))*Terms!E$3:E$821)+Terms!E$2</f>
        <v>-1.46691205803628</v>
      </c>
      <c r="W878" s="0" t="n">
        <f aca="false">SUMPRODUCT(ISNUMBER(SEARCH(" "&amp;Terms!$A$3:$A$821&amp;" ",$D878))*Terms!F$3:F$821)+Terms!F$2</f>
        <v>1.68370653443988</v>
      </c>
      <c r="X878" s="0" t="n">
        <f aca="false">SUMPRODUCT(ISNUMBER(SEARCH(" "&amp;Terms!$A$3:$A$821&amp;" ",$D878))*Terms!G$3:G$821)+Terms!G$2</f>
        <v>-0.153931960282674</v>
      </c>
      <c r="Y878" s="0" t="str">
        <f aca="false">INDEX($S$1:$X$1,MATCH(MAX(S878:X878),S878:X878,0))</f>
        <v>Customer Service</v>
      </c>
      <c r="Z878" s="0" t="s">
        <v>2607</v>
      </c>
    </row>
    <row r="879" customFormat="false" ht="15" hidden="false" customHeight="false" outlineLevel="0" collapsed="false">
      <c r="A879" s="0" t="str">
        <f aca="false">Complaints!A879</f>
        <v>C0878</v>
      </c>
      <c r="B879" s="0" t="str">
        <f aca="false">Complaints!B879</f>
        <v>Frankly, Nobody has responded to my emails despite three reminders. Please escalate this.</v>
      </c>
      <c r="C879" s="0" t="str">
        <f aca="false">Complaints!C879</f>
        <v>Customer Service</v>
      </c>
      <c r="D879" s="0" t="str">
        <f aca="false">" "&amp;TRIM(SUBSTITUTE(SUBSTITUTE(SUBSTITUTE(SUBSTITUTE(SUBSTITUTE(SUBSTITUTE(SUBSTITUTE(SUBSTITUTE(SUBSTITUTE(SUBSTITUTE(SUBSTITUTE(SUBSTITUTE(SUBSTITUTE(SUBSTITUTE(SUBSTITUTE(SUBSTITUTE(LOWER(B879),"."," "),","," "),"'"," "),"’"," "),"!"," "),"?"," "),";"," "),":"," "),"-"," "),"("," "),")"," "),"""", " "),"£"," "),"&amp;"," "),"/"," "),"%"," "))&amp;" "</f>
        <v> frankly nobody has responded to my emails despite three reminders please escalate this </v>
      </c>
      <c r="E879" s="0" t="n">
        <f aca="false">SUMPRODUCT((Rules!$A$2:$A$60=E$1)*Rules!$C$2:$C$60*ISNUMBER(SEARCH(Rules!$D$2:$D$60,$D879)))</f>
        <v>0</v>
      </c>
      <c r="F879" s="0" t="n">
        <f aca="false">SUMPRODUCT((Rules!$A$2:$A$60=F$1)*Rules!$C$2:$C$60*ISNUMBER(SEARCH(Rules!$D$2:$D$60,$D879)))</f>
        <v>0</v>
      </c>
      <c r="G879" s="0" t="n">
        <f aca="false">SUMPRODUCT((Rules!$A$2:$A$60=G$1)*Rules!$C$2:$C$60*ISNUMBER(SEARCH(Rules!$D$2:$D$60,$D879)))</f>
        <v>0</v>
      </c>
      <c r="H879" s="0" t="n">
        <f aca="false">SUMPRODUCT((Rules!$A$2:$A$60=H$1)*Rules!$C$2:$C$60*ISNUMBER(SEARCH(Rules!$D$2:$D$60,$D879)))</f>
        <v>0</v>
      </c>
      <c r="I879" s="0" t="n">
        <f aca="false">SUMPRODUCT((Rules!$A$2:$A$60=I$1)*Rules!$C$2:$C$60*ISNUMBER(SEARCH(Rules!$D$2:$D$60,$D879)))</f>
        <v>0</v>
      </c>
      <c r="J879" s="0" t="n">
        <f aca="false">SUMPRODUCT((Rules!$A$2:$A$60=J$1)*Rules!$C$2:$C$60*ISNUMBER(SEARCH(Rules!$D$2:$D$60,$D879)))</f>
        <v>2</v>
      </c>
      <c r="K879" s="0" t="str">
        <f aca="false">IF(OR(MAX(E879:J879)&lt;Rules!$H$1,MAX(E879:J879)-LARGE(E879:J879,2)&lt;Rules!$H$2),"No label",INDEX($E$1:$J$1,MATCH(MAX(E879:J879),E879:J879,0)))</f>
        <v>No label</v>
      </c>
      <c r="L879" s="0" t="n">
        <f aca="false">SUMPRODUCT((Rules!$A$2:$A$60=L$1)*Rules!$C$2:$C$60*ISNUMBER(SEARCH(Rules!$E$2:$E$60,$D879)))</f>
        <v>0</v>
      </c>
      <c r="M879" s="0" t="n">
        <f aca="false">SUMPRODUCT((Rules!$A$2:$A$60=M$1)*Rules!$C$2:$C$60*ISNUMBER(SEARCH(Rules!$E$2:$E$60,$D879)))</f>
        <v>0</v>
      </c>
      <c r="N879" s="0" t="n">
        <f aca="false">SUMPRODUCT((Rules!$A$2:$A$60=N$1)*Rules!$C$2:$C$60*ISNUMBER(SEARCH(Rules!$E$2:$E$60,$D879)))</f>
        <v>0</v>
      </c>
      <c r="O879" s="0" t="n">
        <f aca="false">SUMPRODUCT((Rules!$A$2:$A$60=O$1)*Rules!$C$2:$C$60*ISNUMBER(SEARCH(Rules!$E$2:$E$60,$D879)))</f>
        <v>0</v>
      </c>
      <c r="P879" s="0" t="n">
        <f aca="false">SUMPRODUCT((Rules!$A$2:$A$60=P$1)*Rules!$C$2:$C$60*ISNUMBER(SEARCH(Rules!$E$2:$E$60,$D879)))</f>
        <v>0</v>
      </c>
      <c r="Q879" s="0" t="n">
        <f aca="false">SUMPRODUCT((Rules!$A$2:$A$60=Q$1)*Rules!$C$2:$C$60*ISNUMBER(SEARCH(Rules!$E$2:$E$60,$D879)))</f>
        <v>2</v>
      </c>
      <c r="R879" s="0" t="str">
        <f aca="false">IF(OR(MAX(L879:Q879)&lt;Rules!$H$1,MAX(L879:Q879)-LARGE(L879:Q879,2)&lt;Rules!$H$2),"No label",INDEX($L$1:$Q$1,MATCH(MAX(L879:Q879),L879:Q879,0)))</f>
        <v>No label</v>
      </c>
      <c r="S879" s="0" t="n">
        <f aca="false">SUMPRODUCT(ISNUMBER(SEARCH(" "&amp;Terms!$A$3:$A$821&amp;" ",$D879))*Terms!B$3:B$821)+Terms!B$2</f>
        <v>-3.65272694763293</v>
      </c>
      <c r="T879" s="0" t="n">
        <f aca="false">SUMPRODUCT(ISNUMBER(SEARCH(" "&amp;Terms!$A$3:$A$821&amp;" ",$D879))*Terms!C$3:C$821)+Terms!C$2</f>
        <v>9.43752840847387</v>
      </c>
      <c r="U879" s="0" t="n">
        <f aca="false">SUMPRODUCT(ISNUMBER(SEARCH(" "&amp;Terms!$A$3:$A$821&amp;" ",$D879))*Terms!D$3:D$821)+Terms!D$2</f>
        <v>-2.30225768365535</v>
      </c>
      <c r="V879" s="0" t="n">
        <f aca="false">SUMPRODUCT(ISNUMBER(SEARCH(" "&amp;Terms!$A$3:$A$821&amp;" ",$D879))*Terms!E$3:E$821)+Terms!E$2</f>
        <v>-0.37682686644598</v>
      </c>
      <c r="W879" s="0" t="n">
        <f aca="false">SUMPRODUCT(ISNUMBER(SEARCH(" "&amp;Terms!$A$3:$A$821&amp;" ",$D879))*Terms!F$3:F$821)+Terms!F$2</f>
        <v>-2.04749959455216</v>
      </c>
      <c r="X879" s="0" t="n">
        <f aca="false">SUMPRODUCT(ISNUMBER(SEARCH(" "&amp;Terms!$A$3:$A$821&amp;" ",$D879))*Terms!G$3:G$821)+Terms!G$2</f>
        <v>-1.05821731618734</v>
      </c>
      <c r="Y879" s="0" t="str">
        <f aca="false">INDEX($S$1:$X$1,MATCH(MAX(S879:X879),S879:X879,0))</f>
        <v>Customer Service</v>
      </c>
      <c r="Z879" s="0" t="s">
        <v>2607</v>
      </c>
    </row>
    <row r="880" customFormat="false" ht="15" hidden="false" customHeight="false" outlineLevel="0" collapsed="false">
      <c r="A880" s="0" t="str">
        <f aca="false">Complaints!A880</f>
        <v>C0879</v>
      </c>
      <c r="B880" s="0" t="str">
        <f aca="false">Complaints!B880</f>
        <v>I am writing to complain. I sent the form twice and it seems to have been lost in the system. Also, the app crashes every time I try to open my statements. I expect compensation.</v>
      </c>
      <c r="C880" s="0" t="str">
        <f aca="false">Complaints!C880</f>
        <v>Delays &amp; Processing</v>
      </c>
      <c r="D880" s="0" t="str">
        <f aca="false">" "&amp;TRIM(SUBSTITUTE(SUBSTITUTE(SUBSTITUTE(SUBSTITUTE(SUBSTITUTE(SUBSTITUTE(SUBSTITUTE(SUBSTITUTE(SUBSTITUTE(SUBSTITUTE(SUBSTITUTE(SUBSTITUTE(SUBSTITUTE(SUBSTITUTE(SUBSTITUTE(SUBSTITUTE(LOWER(B880),"."," "),","," "),"'"," "),"’"," "),"!"," "),"?"," "),";"," "),":"," "),"-"," "),"("," "),")"," "),"""", " "),"£"," "),"&amp;"," "),"/"," "),"%"," "))&amp;" "</f>
        <v> i am writing to complain i sent the form twice and it seems to have been lost in the system also the app crashes every time i try to open my statements i expect compensation </v>
      </c>
      <c r="E880" s="0" t="n">
        <f aca="false">SUMPRODUCT((Rules!$A$2:$A$60=E$1)*Rules!$C$2:$C$60*ISNUMBER(SEARCH(Rules!$D$2:$D$60,$D880)))</f>
        <v>0</v>
      </c>
      <c r="F880" s="0" t="n">
        <f aca="false">SUMPRODUCT((Rules!$A$2:$A$60=F$1)*Rules!$C$2:$C$60*ISNUMBER(SEARCH(Rules!$D$2:$D$60,$D880)))</f>
        <v>0</v>
      </c>
      <c r="G880" s="0" t="n">
        <f aca="false">SUMPRODUCT((Rules!$A$2:$A$60=G$1)*Rules!$C$2:$C$60*ISNUMBER(SEARCH(Rules!$D$2:$D$60,$D880)))</f>
        <v>3</v>
      </c>
      <c r="H880" s="0" t="n">
        <f aca="false">SUMPRODUCT((Rules!$A$2:$A$60=H$1)*Rules!$C$2:$C$60*ISNUMBER(SEARCH(Rules!$D$2:$D$60,$D880)))</f>
        <v>0</v>
      </c>
      <c r="I880" s="0" t="n">
        <f aca="false">SUMPRODUCT((Rules!$A$2:$A$60=I$1)*Rules!$C$2:$C$60*ISNUMBER(SEARCH(Rules!$D$2:$D$60,$D880)))</f>
        <v>0</v>
      </c>
      <c r="J880" s="0" t="n">
        <f aca="false">SUMPRODUCT((Rules!$A$2:$A$60=J$1)*Rules!$C$2:$C$60*ISNUMBER(SEARCH(Rules!$D$2:$D$60,$D880)))</f>
        <v>0</v>
      </c>
      <c r="K880" s="0" t="str">
        <f aca="false">IF(OR(MAX(E880:J880)&lt;Rules!$H$1,MAX(E880:J880)-LARGE(E880:J880,2)&lt;Rules!$H$2),"No label",INDEX($E$1:$J$1,MATCH(MAX(E880:J880),E880:J880,0)))</f>
        <v>Account Access</v>
      </c>
      <c r="L880" s="0" t="n">
        <f aca="false">SUMPRODUCT((Rules!$A$2:$A$60=L$1)*Rules!$C$2:$C$60*ISNUMBER(SEARCH(Rules!$E$2:$E$60,$D880)))</f>
        <v>0</v>
      </c>
      <c r="M880" s="0" t="n">
        <f aca="false">SUMPRODUCT((Rules!$A$2:$A$60=M$1)*Rules!$C$2:$C$60*ISNUMBER(SEARCH(Rules!$E$2:$E$60,$D880)))</f>
        <v>0</v>
      </c>
      <c r="N880" s="0" t="n">
        <f aca="false">SUMPRODUCT((Rules!$A$2:$A$60=N$1)*Rules!$C$2:$C$60*ISNUMBER(SEARCH(Rules!$E$2:$E$60,$D880)))</f>
        <v>3</v>
      </c>
      <c r="O880" s="0" t="n">
        <f aca="false">SUMPRODUCT((Rules!$A$2:$A$60=O$1)*Rules!$C$2:$C$60*ISNUMBER(SEARCH(Rules!$E$2:$E$60,$D880)))</f>
        <v>1</v>
      </c>
      <c r="P880" s="0" t="n">
        <f aca="false">SUMPRODUCT((Rules!$A$2:$A$60=P$1)*Rules!$C$2:$C$60*ISNUMBER(SEARCH(Rules!$E$2:$E$60,$D880)))</f>
        <v>0</v>
      </c>
      <c r="Q880" s="0" t="n">
        <f aca="false">SUMPRODUCT((Rules!$A$2:$A$60=Q$1)*Rules!$C$2:$C$60*ISNUMBER(SEARCH(Rules!$E$2:$E$60,$D880)))</f>
        <v>0</v>
      </c>
      <c r="R880" s="0" t="str">
        <f aca="false">IF(OR(MAX(L880:Q880)&lt;Rules!$H$1,MAX(L880:Q880)-LARGE(L880:Q880,2)&lt;Rules!$H$2),"No label",INDEX($L$1:$Q$1,MATCH(MAX(L880:Q880),L880:Q880,0)))</f>
        <v>Account Access</v>
      </c>
      <c r="S880" s="0" t="n">
        <f aca="false">SUMPRODUCT(ISNUMBER(SEARCH(" "&amp;Terms!$A$3:$A$821&amp;" ",$D880))*Terms!B$3:B$821)+Terms!B$2</f>
        <v>7.78839075099574</v>
      </c>
      <c r="T880" s="0" t="n">
        <f aca="false">SUMPRODUCT(ISNUMBER(SEARCH(" "&amp;Terms!$A$3:$A$821&amp;" ",$D880))*Terms!C$3:C$821)+Terms!C$2</f>
        <v>-1.56126175044834</v>
      </c>
      <c r="U880" s="0" t="n">
        <f aca="false">SUMPRODUCT(ISNUMBER(SEARCH(" "&amp;Terms!$A$3:$A$821&amp;" ",$D880))*Terms!D$3:D$821)+Terms!D$2</f>
        <v>7.20145559852154</v>
      </c>
      <c r="V880" s="0" t="n">
        <f aca="false">SUMPRODUCT(ISNUMBER(SEARCH(" "&amp;Terms!$A$3:$A$821&amp;" ",$D880))*Terms!E$3:E$821)+Terms!E$2</f>
        <v>-2.18070246484009</v>
      </c>
      <c r="W880" s="0" t="n">
        <f aca="false">SUMPRODUCT(ISNUMBER(SEARCH(" "&amp;Terms!$A$3:$A$821&amp;" ",$D880))*Terms!F$3:F$821)+Terms!F$2</f>
        <v>-5.26829170755563</v>
      </c>
      <c r="X880" s="0" t="n">
        <f aca="false">SUMPRODUCT(ISNUMBER(SEARCH(" "&amp;Terms!$A$3:$A$821&amp;" ",$D880))*Terms!G$3:G$821)+Terms!G$2</f>
        <v>-5.97959042667313</v>
      </c>
      <c r="Y880" s="0" t="str">
        <f aca="false">INDEX($S$1:$X$1,MATCH(MAX(S880:X880),S880:X880,0))</f>
        <v>Account Access</v>
      </c>
      <c r="Z880" s="0" t="s">
        <v>2608</v>
      </c>
    </row>
    <row r="881" customFormat="false" ht="15" hidden="false" customHeight="false" outlineLevel="0" collapsed="false">
      <c r="A881" s="0" t="str">
        <f aca="false">Complaints!A881</f>
        <v>C0880</v>
      </c>
      <c r="B881" s="0" t="str">
        <f aca="false">Complaints!B881</f>
        <v>I am writing to complain. A person pretending to be from your bank phoned me and I gave them details. I want this put right.</v>
      </c>
      <c r="C881" s="0" t="str">
        <f aca="false">Complaints!C881</f>
        <v>Fraud &amp; Scams</v>
      </c>
      <c r="D881" s="0" t="str">
        <f aca="false">" "&amp;TRIM(SUBSTITUTE(SUBSTITUTE(SUBSTITUTE(SUBSTITUTE(SUBSTITUTE(SUBSTITUTE(SUBSTITUTE(SUBSTITUTE(SUBSTITUTE(SUBSTITUTE(SUBSTITUTE(SUBSTITUTE(SUBSTITUTE(SUBSTITUTE(SUBSTITUTE(SUBSTITUTE(LOWER(B881),"."," "),","," "),"'"," "),"’"," "),"!"," "),"?"," "),";"," "),":"," "),"-"," "),"("," "),")"," "),"""", " "),"£"," "),"&amp;"," "),"/"," "),"%"," "))&amp;" "</f>
        <v> i am writing to complain a person pretending to be from your bank phoned me and i gave them details i want this put right </v>
      </c>
      <c r="E881" s="0" t="n">
        <f aca="false">SUMPRODUCT((Rules!$A$2:$A$60=E$1)*Rules!$C$2:$C$60*ISNUMBER(SEARCH(Rules!$D$2:$D$60,$D881)))</f>
        <v>0</v>
      </c>
      <c r="F881" s="0" t="n">
        <f aca="false">SUMPRODUCT((Rules!$A$2:$A$60=F$1)*Rules!$C$2:$C$60*ISNUMBER(SEARCH(Rules!$D$2:$D$60,$D881)))</f>
        <v>0</v>
      </c>
      <c r="G881" s="0" t="n">
        <f aca="false">SUMPRODUCT((Rules!$A$2:$A$60=G$1)*Rules!$C$2:$C$60*ISNUMBER(SEARCH(Rules!$D$2:$D$60,$D881)))</f>
        <v>0</v>
      </c>
      <c r="H881" s="0" t="n">
        <f aca="false">SUMPRODUCT((Rules!$A$2:$A$60=H$1)*Rules!$C$2:$C$60*ISNUMBER(SEARCH(Rules!$D$2:$D$60,$D881)))</f>
        <v>0</v>
      </c>
      <c r="I881" s="0" t="n">
        <f aca="false">SUMPRODUCT((Rules!$A$2:$A$60=I$1)*Rules!$C$2:$C$60*ISNUMBER(SEARCH(Rules!$D$2:$D$60,$D881)))</f>
        <v>0</v>
      </c>
      <c r="J881" s="0" t="n">
        <f aca="false">SUMPRODUCT((Rules!$A$2:$A$60=J$1)*Rules!$C$2:$C$60*ISNUMBER(SEARCH(Rules!$D$2:$D$60,$D881)))</f>
        <v>0</v>
      </c>
      <c r="K881" s="0" t="str">
        <f aca="false">IF(OR(MAX(E881:J881)&lt;Rules!$H$1,MAX(E881:J881)-LARGE(E881:J881,2)&lt;Rules!$H$2),"No label",INDEX($E$1:$J$1,MATCH(MAX(E881:J881),E881:J881,0)))</f>
        <v>No label</v>
      </c>
      <c r="L881" s="0" t="n">
        <f aca="false">SUMPRODUCT((Rules!$A$2:$A$60=L$1)*Rules!$C$2:$C$60*ISNUMBER(SEARCH(Rules!$E$2:$E$60,$D881)))</f>
        <v>0</v>
      </c>
      <c r="M881" s="0" t="n">
        <f aca="false">SUMPRODUCT((Rules!$A$2:$A$60=M$1)*Rules!$C$2:$C$60*ISNUMBER(SEARCH(Rules!$E$2:$E$60,$D881)))</f>
        <v>0</v>
      </c>
      <c r="N881" s="0" t="n">
        <f aca="false">SUMPRODUCT((Rules!$A$2:$A$60=N$1)*Rules!$C$2:$C$60*ISNUMBER(SEARCH(Rules!$E$2:$E$60,$D881)))</f>
        <v>0</v>
      </c>
      <c r="O881" s="0" t="n">
        <f aca="false">SUMPRODUCT((Rules!$A$2:$A$60=O$1)*Rules!$C$2:$C$60*ISNUMBER(SEARCH(Rules!$E$2:$E$60,$D881)))</f>
        <v>0</v>
      </c>
      <c r="P881" s="0" t="n">
        <f aca="false">SUMPRODUCT((Rules!$A$2:$A$60=P$1)*Rules!$C$2:$C$60*ISNUMBER(SEARCH(Rules!$E$2:$E$60,$D881)))</f>
        <v>0</v>
      </c>
      <c r="Q881" s="0" t="n">
        <f aca="false">SUMPRODUCT((Rules!$A$2:$A$60=Q$1)*Rules!$C$2:$C$60*ISNUMBER(SEARCH(Rules!$E$2:$E$60,$D881)))</f>
        <v>0</v>
      </c>
      <c r="R881" s="0" t="str">
        <f aca="false">IF(OR(MAX(L881:Q881)&lt;Rules!$H$1,MAX(L881:Q881)-LARGE(L881:Q881,2)&lt;Rules!$H$2),"No label",INDEX($L$1:$Q$1,MATCH(MAX(L881:Q881),L881:Q881,0)))</f>
        <v>No label</v>
      </c>
      <c r="S881" s="0" t="n">
        <f aca="false">SUMPRODUCT(ISNUMBER(SEARCH(" "&amp;Terms!$A$3:$A$821&amp;" ",$D881))*Terms!B$3:B$821)+Terms!B$2</f>
        <v>-1.67778562677538</v>
      </c>
      <c r="T881" s="0" t="n">
        <f aca="false">SUMPRODUCT(ISNUMBER(SEARCH(" "&amp;Terms!$A$3:$A$821&amp;" ",$D881))*Terms!C$3:C$821)+Terms!C$2</f>
        <v>-3.67761026527469</v>
      </c>
      <c r="U881" s="0" t="n">
        <f aca="false">SUMPRODUCT(ISNUMBER(SEARCH(" "&amp;Terms!$A$3:$A$821&amp;" ",$D881))*Terms!D$3:D$821)+Terms!D$2</f>
        <v>-3.8172871268609</v>
      </c>
      <c r="V881" s="0" t="n">
        <f aca="false">SUMPRODUCT(ISNUMBER(SEARCH(" "&amp;Terms!$A$3:$A$821&amp;" ",$D881))*Terms!E$3:E$821)+Terms!E$2</f>
        <v>-2.36780376193095</v>
      </c>
      <c r="W881" s="0" t="n">
        <f aca="false">SUMPRODUCT(ISNUMBER(SEARCH(" "&amp;Terms!$A$3:$A$821&amp;" ",$D881))*Terms!F$3:F$821)+Terms!F$2</f>
        <v>11.7942055537834</v>
      </c>
      <c r="X881" s="0" t="n">
        <f aca="false">SUMPRODUCT(ISNUMBER(SEARCH(" "&amp;Terms!$A$3:$A$821&amp;" ",$D881))*Terms!G$3:G$821)+Terms!G$2</f>
        <v>-0.253718772941367</v>
      </c>
      <c r="Y881" s="0" t="str">
        <f aca="false">INDEX($S$1:$X$1,MATCH(MAX(S881:X881),S881:X881,0))</f>
        <v>Fraud &amp; Scams</v>
      </c>
      <c r="Z881" s="0" t="s">
        <v>2607</v>
      </c>
    </row>
    <row r="882" customFormat="false" ht="15" hidden="false" customHeight="false" outlineLevel="0" collapsed="false">
      <c r="A882" s="0" t="str">
        <f aca="false">Complaints!A882</f>
        <v>C0881</v>
      </c>
      <c r="B882" s="0" t="str">
        <f aca="false">Complaints!B882</f>
        <v>I am writing to complain. I was misled about what the insurance actually included. Also, the password reset keeps failing and I am locked out. This is not acceptable.</v>
      </c>
      <c r="C882" s="0" t="str">
        <f aca="false">Complaints!C882</f>
        <v>Mis-selling</v>
      </c>
      <c r="D882" s="0" t="str">
        <f aca="false">" "&amp;TRIM(SUBSTITUTE(SUBSTITUTE(SUBSTITUTE(SUBSTITUTE(SUBSTITUTE(SUBSTITUTE(SUBSTITUTE(SUBSTITUTE(SUBSTITUTE(SUBSTITUTE(SUBSTITUTE(SUBSTITUTE(SUBSTITUTE(SUBSTITUTE(SUBSTITUTE(SUBSTITUTE(LOWER(B882),"."," "),","," "),"'"," "),"’"," "),"!"," "),"?"," "),";"," "),":"," "),"-"," "),"("," "),")"," "),"""", " "),"£"," "),"&amp;"," "),"/"," "),"%"," "))&amp;" "</f>
        <v> i am writing to complain i was misled about what the insurance actually included also the password reset keeps failing and i am locked out this is not acceptable </v>
      </c>
      <c r="E882" s="0" t="n">
        <f aca="false">SUMPRODUCT((Rules!$A$2:$A$60=E$1)*Rules!$C$2:$C$60*ISNUMBER(SEARCH(Rules!$D$2:$D$60,$D882)))</f>
        <v>0</v>
      </c>
      <c r="F882" s="0" t="n">
        <f aca="false">SUMPRODUCT((Rules!$A$2:$A$60=F$1)*Rules!$C$2:$C$60*ISNUMBER(SEARCH(Rules!$D$2:$D$60,$D882)))</f>
        <v>4</v>
      </c>
      <c r="G882" s="0" t="n">
        <f aca="false">SUMPRODUCT((Rules!$A$2:$A$60=G$1)*Rules!$C$2:$C$60*ISNUMBER(SEARCH(Rules!$D$2:$D$60,$D882)))</f>
        <v>8</v>
      </c>
      <c r="H882" s="0" t="n">
        <f aca="false">SUMPRODUCT((Rules!$A$2:$A$60=H$1)*Rules!$C$2:$C$60*ISNUMBER(SEARCH(Rules!$D$2:$D$60,$D882)))</f>
        <v>0</v>
      </c>
      <c r="I882" s="0" t="n">
        <f aca="false">SUMPRODUCT((Rules!$A$2:$A$60=I$1)*Rules!$C$2:$C$60*ISNUMBER(SEARCH(Rules!$D$2:$D$60,$D882)))</f>
        <v>0</v>
      </c>
      <c r="J882" s="0" t="n">
        <f aca="false">SUMPRODUCT((Rules!$A$2:$A$60=J$1)*Rules!$C$2:$C$60*ISNUMBER(SEARCH(Rules!$D$2:$D$60,$D882)))</f>
        <v>0</v>
      </c>
      <c r="K882" s="0" t="str">
        <f aca="false">IF(OR(MAX(E882:J882)&lt;Rules!$H$1,MAX(E882:J882)-LARGE(E882:J882,2)&lt;Rules!$H$2),"No label",INDEX($E$1:$J$1,MATCH(MAX(E882:J882),E882:J882,0)))</f>
        <v>Account Access</v>
      </c>
      <c r="L882" s="0" t="n">
        <f aca="false">SUMPRODUCT((Rules!$A$2:$A$60=L$1)*Rules!$C$2:$C$60*ISNUMBER(SEARCH(Rules!$E$2:$E$60,$D882)))</f>
        <v>0</v>
      </c>
      <c r="M882" s="0" t="n">
        <f aca="false">SUMPRODUCT((Rules!$A$2:$A$60=M$1)*Rules!$C$2:$C$60*ISNUMBER(SEARCH(Rules!$E$2:$E$60,$D882)))</f>
        <v>4</v>
      </c>
      <c r="N882" s="0" t="n">
        <f aca="false">SUMPRODUCT((Rules!$A$2:$A$60=N$1)*Rules!$C$2:$C$60*ISNUMBER(SEARCH(Rules!$E$2:$E$60,$D882)))</f>
        <v>9</v>
      </c>
      <c r="O882" s="0" t="n">
        <f aca="false">SUMPRODUCT((Rules!$A$2:$A$60=O$1)*Rules!$C$2:$C$60*ISNUMBER(SEARCH(Rules!$E$2:$E$60,$D882)))</f>
        <v>0</v>
      </c>
      <c r="P882" s="0" t="n">
        <f aca="false">SUMPRODUCT((Rules!$A$2:$A$60=P$1)*Rules!$C$2:$C$60*ISNUMBER(SEARCH(Rules!$E$2:$E$60,$D882)))</f>
        <v>0</v>
      </c>
      <c r="Q882" s="0" t="n">
        <f aca="false">SUMPRODUCT((Rules!$A$2:$A$60=Q$1)*Rules!$C$2:$C$60*ISNUMBER(SEARCH(Rules!$E$2:$E$60,$D882)))</f>
        <v>0</v>
      </c>
      <c r="R882" s="0" t="str">
        <f aca="false">IF(OR(MAX(L882:Q882)&lt;Rules!$H$1,MAX(L882:Q882)-LARGE(L882:Q882,2)&lt;Rules!$H$2),"No label",INDEX($L$1:$Q$1,MATCH(MAX(L882:Q882),L882:Q882,0)))</f>
        <v>Account Access</v>
      </c>
      <c r="S882" s="0" t="n">
        <f aca="false">SUMPRODUCT(ISNUMBER(SEARCH(" "&amp;Terms!$A$3:$A$821&amp;" ",$D882))*Terms!B$3:B$821)+Terms!B$2</f>
        <v>9.68988443898218</v>
      </c>
      <c r="T882" s="0" t="n">
        <f aca="false">SUMPRODUCT(ISNUMBER(SEARCH(" "&amp;Terms!$A$3:$A$821&amp;" ",$D882))*Terms!C$3:C$821)+Terms!C$2</f>
        <v>-9.25487506151868</v>
      </c>
      <c r="U882" s="0" t="n">
        <f aca="false">SUMPRODUCT(ISNUMBER(SEARCH(" "&amp;Terms!$A$3:$A$821&amp;" ",$D882))*Terms!D$3:D$821)+Terms!D$2</f>
        <v>-1.11202731709624</v>
      </c>
      <c r="V882" s="0" t="n">
        <f aca="false">SUMPRODUCT(ISNUMBER(SEARCH(" "&amp;Terms!$A$3:$A$821&amp;" ",$D882))*Terms!E$3:E$821)+Terms!E$2</f>
        <v>-4.04402230660367</v>
      </c>
      <c r="W882" s="0" t="n">
        <f aca="false">SUMPRODUCT(ISNUMBER(SEARCH(" "&amp;Terms!$A$3:$A$821&amp;" ",$D882))*Terms!F$3:F$821)+Terms!F$2</f>
        <v>-6.91414666771583</v>
      </c>
      <c r="X882" s="0" t="n">
        <f aca="false">SUMPRODUCT(ISNUMBER(SEARCH(" "&amp;Terms!$A$3:$A$821&amp;" ",$D882))*Terms!G$3:G$821)+Terms!G$2</f>
        <v>11.6351869139524</v>
      </c>
      <c r="Y882" s="0" t="str">
        <f aca="false">INDEX($S$1:$X$1,MATCH(MAX(S882:X882),S882:X882,0))</f>
        <v>Mis-selling</v>
      </c>
      <c r="Z882" s="0" t="s">
        <v>2607</v>
      </c>
    </row>
    <row r="883" customFormat="false" ht="15" hidden="false" customHeight="false" outlineLevel="0" collapsed="false">
      <c r="A883" s="0" t="str">
        <f aca="false">Complaints!A883</f>
        <v>C0882</v>
      </c>
      <c r="B883" s="0" t="str">
        <f aca="false">Complaints!B883</f>
        <v>This is the second time I have raised this. Nobody checked whether I could afford the credit agreement. Also, the staff member was rude and dismissive when I called. Please sort this out.</v>
      </c>
      <c r="C883" s="0" t="str">
        <f aca="false">Complaints!C883</f>
        <v>Mis-selling</v>
      </c>
      <c r="D883" s="0" t="str">
        <f aca="false">" "&amp;TRIM(SUBSTITUTE(SUBSTITUTE(SUBSTITUTE(SUBSTITUTE(SUBSTITUTE(SUBSTITUTE(SUBSTITUTE(SUBSTITUTE(SUBSTITUTE(SUBSTITUTE(SUBSTITUTE(SUBSTITUTE(SUBSTITUTE(SUBSTITUTE(SUBSTITUTE(SUBSTITUTE(LOWER(B883),"."," "),","," "),"'"," "),"’"," "),"!"," "),"?"," "),";"," "),":"," "),"-"," "),"("," "),")"," "),"""", " "),"£"," "),"&amp;"," "),"/"," "),"%"," "))&amp;" "</f>
        <v> this is the second time i have raised this nobody checked whether i could afford the credit agreement also the staff member was rude and dismissive when i called please sort this out </v>
      </c>
      <c r="E883" s="0" t="n">
        <f aca="false">SUMPRODUCT((Rules!$A$2:$A$60=E$1)*Rules!$C$2:$C$60*ISNUMBER(SEARCH(Rules!$D$2:$D$60,$D883)))</f>
        <v>0</v>
      </c>
      <c r="F883" s="0" t="n">
        <f aca="false">SUMPRODUCT((Rules!$A$2:$A$60=F$1)*Rules!$C$2:$C$60*ISNUMBER(SEARCH(Rules!$D$2:$D$60,$D883)))</f>
        <v>0</v>
      </c>
      <c r="G883" s="0" t="n">
        <f aca="false">SUMPRODUCT((Rules!$A$2:$A$60=G$1)*Rules!$C$2:$C$60*ISNUMBER(SEARCH(Rules!$D$2:$D$60,$D883)))</f>
        <v>0</v>
      </c>
      <c r="H883" s="0" t="n">
        <f aca="false">SUMPRODUCT((Rules!$A$2:$A$60=H$1)*Rules!$C$2:$C$60*ISNUMBER(SEARCH(Rules!$D$2:$D$60,$D883)))</f>
        <v>0</v>
      </c>
      <c r="I883" s="0" t="n">
        <f aca="false">SUMPRODUCT((Rules!$A$2:$A$60=I$1)*Rules!$C$2:$C$60*ISNUMBER(SEARCH(Rules!$D$2:$D$60,$D883)))</f>
        <v>0</v>
      </c>
      <c r="J883" s="0" t="n">
        <f aca="false">SUMPRODUCT((Rules!$A$2:$A$60=J$1)*Rules!$C$2:$C$60*ISNUMBER(SEARCH(Rules!$D$2:$D$60,$D883)))</f>
        <v>4</v>
      </c>
      <c r="K883" s="0" t="str">
        <f aca="false">IF(OR(MAX(E883:J883)&lt;Rules!$H$1,MAX(E883:J883)-LARGE(E883:J883,2)&lt;Rules!$H$2),"No label",INDEX($E$1:$J$1,MATCH(MAX(E883:J883),E883:J883,0)))</f>
        <v>Customer Service</v>
      </c>
      <c r="L883" s="0" t="n">
        <f aca="false">SUMPRODUCT((Rules!$A$2:$A$60=L$1)*Rules!$C$2:$C$60*ISNUMBER(SEARCH(Rules!$E$2:$E$60,$D883)))</f>
        <v>0</v>
      </c>
      <c r="M883" s="0" t="n">
        <f aca="false">SUMPRODUCT((Rules!$A$2:$A$60=M$1)*Rules!$C$2:$C$60*ISNUMBER(SEARCH(Rules!$E$2:$E$60,$D883)))</f>
        <v>0</v>
      </c>
      <c r="N883" s="0" t="n">
        <f aca="false">SUMPRODUCT((Rules!$A$2:$A$60=N$1)*Rules!$C$2:$C$60*ISNUMBER(SEARCH(Rules!$E$2:$E$60,$D883)))</f>
        <v>0</v>
      </c>
      <c r="O883" s="0" t="n">
        <f aca="false">SUMPRODUCT((Rules!$A$2:$A$60=O$1)*Rules!$C$2:$C$60*ISNUMBER(SEARCH(Rules!$E$2:$E$60,$D883)))</f>
        <v>0</v>
      </c>
      <c r="P883" s="0" t="n">
        <f aca="false">SUMPRODUCT((Rules!$A$2:$A$60=P$1)*Rules!$C$2:$C$60*ISNUMBER(SEARCH(Rules!$E$2:$E$60,$D883)))</f>
        <v>0</v>
      </c>
      <c r="Q883" s="0" t="n">
        <f aca="false">SUMPRODUCT((Rules!$A$2:$A$60=Q$1)*Rules!$C$2:$C$60*ISNUMBER(SEARCH(Rules!$E$2:$E$60,$D883)))</f>
        <v>4</v>
      </c>
      <c r="R883" s="0" t="str">
        <f aca="false">IF(OR(MAX(L883:Q883)&lt;Rules!$H$1,MAX(L883:Q883)-LARGE(L883:Q883,2)&lt;Rules!$H$2),"No label",INDEX($L$1:$Q$1,MATCH(MAX(L883:Q883),L883:Q883,0)))</f>
        <v>Customer Service</v>
      </c>
      <c r="S883" s="0" t="n">
        <f aca="false">SUMPRODUCT(ISNUMBER(SEARCH(" "&amp;Terms!$A$3:$A$821&amp;" ",$D883))*Terms!B$3:B$821)+Terms!B$2</f>
        <v>-9.8167102944365</v>
      </c>
      <c r="T883" s="0" t="n">
        <f aca="false">SUMPRODUCT(ISNUMBER(SEARCH(" "&amp;Terms!$A$3:$A$821&amp;" ",$D883))*Terms!C$3:C$821)+Terms!C$2</f>
        <v>9.32499143030545</v>
      </c>
      <c r="U883" s="0" t="n">
        <f aca="false">SUMPRODUCT(ISNUMBER(SEARCH(" "&amp;Terms!$A$3:$A$821&amp;" ",$D883))*Terms!D$3:D$821)+Terms!D$2</f>
        <v>-2.37840292570217</v>
      </c>
      <c r="V883" s="0" t="n">
        <f aca="false">SUMPRODUCT(ISNUMBER(SEARCH(" "&amp;Terms!$A$3:$A$821&amp;" ",$D883))*Terms!E$3:E$821)+Terms!E$2</f>
        <v>2.82523651291032</v>
      </c>
      <c r="W883" s="0" t="n">
        <f aca="false">SUMPRODUCT(ISNUMBER(SEARCH(" "&amp;Terms!$A$3:$A$821&amp;" ",$D883))*Terms!F$3:F$821)+Terms!F$2</f>
        <v>-4.38065201671315</v>
      </c>
      <c r="X883" s="0" t="n">
        <f aca="false">SUMPRODUCT(ISNUMBER(SEARCH(" "&amp;Terms!$A$3:$A$821&amp;" ",$D883))*Terms!G$3:G$821)+Terms!G$2</f>
        <v>4.42553729363614</v>
      </c>
      <c r="Y883" s="0" t="str">
        <f aca="false">INDEX($S$1:$X$1,MATCH(MAX(S883:X883),S883:X883,0))</f>
        <v>Customer Service</v>
      </c>
      <c r="Z883" s="0" t="s">
        <v>2608</v>
      </c>
    </row>
    <row r="884" customFormat="false" ht="15" hidden="false" customHeight="false" outlineLevel="0" collapsed="false">
      <c r="A884" s="0" t="str">
        <f aca="false">Complaints!A884</f>
        <v>C0883</v>
      </c>
      <c r="B884" s="0" t="str">
        <f aca="false">Complaints!B884</f>
        <v>Hello, The terms were very different from what I was promised at the time of sale. I want this put right.</v>
      </c>
      <c r="C884" s="0" t="str">
        <f aca="false">Complaints!C884</f>
        <v>Mis-selling</v>
      </c>
      <c r="D884" s="0" t="str">
        <f aca="false">" "&amp;TRIM(SUBSTITUTE(SUBSTITUTE(SUBSTITUTE(SUBSTITUTE(SUBSTITUTE(SUBSTITUTE(SUBSTITUTE(SUBSTITUTE(SUBSTITUTE(SUBSTITUTE(SUBSTITUTE(SUBSTITUTE(SUBSTITUTE(SUBSTITUTE(SUBSTITUTE(SUBSTITUTE(LOWER(B884),"."," "),","," "),"'"," "),"’"," "),"!"," "),"?"," "),";"," "),":"," "),"-"," "),"("," "),")"," "),"""", " "),"£"," "),"&amp;"," "),"/"," "),"%"," "))&amp;" "</f>
        <v> hello the terms were very different from what i was promised at the time of sale i want this put right </v>
      </c>
      <c r="E884" s="0" t="n">
        <f aca="false">SUMPRODUCT((Rules!$A$2:$A$60=E$1)*Rules!$C$2:$C$60*ISNUMBER(SEARCH(Rules!$D$2:$D$60,$D884)))</f>
        <v>0</v>
      </c>
      <c r="F884" s="0" t="n">
        <f aca="false">SUMPRODUCT((Rules!$A$2:$A$60=F$1)*Rules!$C$2:$C$60*ISNUMBER(SEARCH(Rules!$D$2:$D$60,$D884)))</f>
        <v>1</v>
      </c>
      <c r="G884" s="0" t="n">
        <f aca="false">SUMPRODUCT((Rules!$A$2:$A$60=G$1)*Rules!$C$2:$C$60*ISNUMBER(SEARCH(Rules!$D$2:$D$60,$D884)))</f>
        <v>0</v>
      </c>
      <c r="H884" s="0" t="n">
        <f aca="false">SUMPRODUCT((Rules!$A$2:$A$60=H$1)*Rules!$C$2:$C$60*ISNUMBER(SEARCH(Rules!$D$2:$D$60,$D884)))</f>
        <v>0</v>
      </c>
      <c r="I884" s="0" t="n">
        <f aca="false">SUMPRODUCT((Rules!$A$2:$A$60=I$1)*Rules!$C$2:$C$60*ISNUMBER(SEARCH(Rules!$D$2:$D$60,$D884)))</f>
        <v>0</v>
      </c>
      <c r="J884" s="0" t="n">
        <f aca="false">SUMPRODUCT((Rules!$A$2:$A$60=J$1)*Rules!$C$2:$C$60*ISNUMBER(SEARCH(Rules!$D$2:$D$60,$D884)))</f>
        <v>0</v>
      </c>
      <c r="K884" s="0" t="str">
        <f aca="false">IF(OR(MAX(E884:J884)&lt;Rules!$H$1,MAX(E884:J884)-LARGE(E884:J884,2)&lt;Rules!$H$2),"No label",INDEX($E$1:$J$1,MATCH(MAX(E884:J884),E884:J884,0)))</f>
        <v>No label</v>
      </c>
      <c r="L884" s="0" t="n">
        <f aca="false">SUMPRODUCT((Rules!$A$2:$A$60=L$1)*Rules!$C$2:$C$60*ISNUMBER(SEARCH(Rules!$E$2:$E$60,$D884)))</f>
        <v>0</v>
      </c>
      <c r="M884" s="0" t="n">
        <f aca="false">SUMPRODUCT((Rules!$A$2:$A$60=M$1)*Rules!$C$2:$C$60*ISNUMBER(SEARCH(Rules!$E$2:$E$60,$D884)))</f>
        <v>1</v>
      </c>
      <c r="N884" s="0" t="n">
        <f aca="false">SUMPRODUCT((Rules!$A$2:$A$60=N$1)*Rules!$C$2:$C$60*ISNUMBER(SEARCH(Rules!$E$2:$E$60,$D884)))</f>
        <v>0</v>
      </c>
      <c r="O884" s="0" t="n">
        <f aca="false">SUMPRODUCT((Rules!$A$2:$A$60=O$1)*Rules!$C$2:$C$60*ISNUMBER(SEARCH(Rules!$E$2:$E$60,$D884)))</f>
        <v>0</v>
      </c>
      <c r="P884" s="0" t="n">
        <f aca="false">SUMPRODUCT((Rules!$A$2:$A$60=P$1)*Rules!$C$2:$C$60*ISNUMBER(SEARCH(Rules!$E$2:$E$60,$D884)))</f>
        <v>0</v>
      </c>
      <c r="Q884" s="0" t="n">
        <f aca="false">SUMPRODUCT((Rules!$A$2:$A$60=Q$1)*Rules!$C$2:$C$60*ISNUMBER(SEARCH(Rules!$E$2:$E$60,$D884)))</f>
        <v>0</v>
      </c>
      <c r="R884" s="0" t="str">
        <f aca="false">IF(OR(MAX(L884:Q884)&lt;Rules!$H$1,MAX(L884:Q884)-LARGE(L884:Q884,2)&lt;Rules!$H$2),"No label",INDEX($L$1:$Q$1,MATCH(MAX(L884:Q884),L884:Q884,0)))</f>
        <v>No label</v>
      </c>
      <c r="S884" s="0" t="n">
        <f aca="false">SUMPRODUCT(ISNUMBER(SEARCH(" "&amp;Terms!$A$3:$A$821&amp;" ",$D884))*Terms!B$3:B$821)+Terms!B$2</f>
        <v>-1.97641766331463</v>
      </c>
      <c r="T884" s="0" t="n">
        <f aca="false">SUMPRODUCT(ISNUMBER(SEARCH(" "&amp;Terms!$A$3:$A$821&amp;" ",$D884))*Terms!C$3:C$821)+Terms!C$2</f>
        <v>-3.25904471862404</v>
      </c>
      <c r="U884" s="0" t="n">
        <f aca="false">SUMPRODUCT(ISNUMBER(SEARCH(" "&amp;Terms!$A$3:$A$821&amp;" ",$D884))*Terms!D$3:D$821)+Terms!D$2</f>
        <v>0.2169141349827</v>
      </c>
      <c r="V884" s="0" t="n">
        <f aca="false">SUMPRODUCT(ISNUMBER(SEARCH(" "&amp;Terms!$A$3:$A$821&amp;" ",$D884))*Terms!E$3:E$821)+Terms!E$2</f>
        <v>-0.498401935070634</v>
      </c>
      <c r="W884" s="0" t="n">
        <f aca="false">SUMPRODUCT(ISNUMBER(SEARCH(" "&amp;Terms!$A$3:$A$821&amp;" ",$D884))*Terms!F$3:F$821)+Terms!F$2</f>
        <v>-1.63276599622897</v>
      </c>
      <c r="X884" s="0" t="n">
        <f aca="false">SUMPRODUCT(ISNUMBER(SEARCH(" "&amp;Terms!$A$3:$A$821&amp;" ",$D884))*Terms!G$3:G$821)+Terms!G$2</f>
        <v>7.14971617825567</v>
      </c>
      <c r="Y884" s="0" t="str">
        <f aca="false">INDEX($S$1:$X$1,MATCH(MAX(S884:X884),S884:X884,0))</f>
        <v>Mis-selling</v>
      </c>
      <c r="Z884" s="0" t="s">
        <v>2607</v>
      </c>
    </row>
    <row r="885" customFormat="false" ht="15" hidden="false" customHeight="false" outlineLevel="0" collapsed="false">
      <c r="A885" s="0" t="str">
        <f aca="false">Complaints!A885</f>
        <v>C0884</v>
      </c>
      <c r="B885" s="0" t="str">
        <f aca="false">Complaints!B885</f>
        <v>I have been a customer for years. My identity was stolen and a loan was taken out in my name. There was also a fee involved. I would like a response in writing.</v>
      </c>
      <c r="C885" s="0" t="str">
        <f aca="false">Complaints!C885</f>
        <v>Fraud &amp; Scams</v>
      </c>
      <c r="D885" s="0" t="str">
        <f aca="false">" "&amp;TRIM(SUBSTITUTE(SUBSTITUTE(SUBSTITUTE(SUBSTITUTE(SUBSTITUTE(SUBSTITUTE(SUBSTITUTE(SUBSTITUTE(SUBSTITUTE(SUBSTITUTE(SUBSTITUTE(SUBSTITUTE(SUBSTITUTE(SUBSTITUTE(SUBSTITUTE(SUBSTITUTE(LOWER(B885),"."," "),","," "),"'"," "),"’"," "),"!"," "),"?"," "),";"," "),":"," "),"-"," "),"("," "),")"," "),"""", " "),"£"," "),"&amp;"," "),"/"," "),"%"," "))&amp;" "</f>
        <v> i have been a customer for years my identity was stolen and a loan was taken out in my name there was also a fee involved i would like a response in writing </v>
      </c>
      <c r="E885" s="0" t="n">
        <f aca="false">SUMPRODUCT((Rules!$A$2:$A$60=E$1)*Rules!$C$2:$C$60*ISNUMBER(SEARCH(Rules!$D$2:$D$60,$D885)))</f>
        <v>2</v>
      </c>
      <c r="F885" s="0" t="n">
        <f aca="false">SUMPRODUCT((Rules!$A$2:$A$60=F$1)*Rules!$C$2:$C$60*ISNUMBER(SEARCH(Rules!$D$2:$D$60,$D885)))</f>
        <v>0</v>
      </c>
      <c r="G885" s="0" t="n">
        <f aca="false">SUMPRODUCT((Rules!$A$2:$A$60=G$1)*Rules!$C$2:$C$60*ISNUMBER(SEARCH(Rules!$D$2:$D$60,$D885)))</f>
        <v>0</v>
      </c>
      <c r="H885" s="0" t="n">
        <f aca="false">SUMPRODUCT((Rules!$A$2:$A$60=H$1)*Rules!$C$2:$C$60*ISNUMBER(SEARCH(Rules!$D$2:$D$60,$D885)))</f>
        <v>2</v>
      </c>
      <c r="I885" s="0" t="n">
        <f aca="false">SUMPRODUCT((Rules!$A$2:$A$60=I$1)*Rules!$C$2:$C$60*ISNUMBER(SEARCH(Rules!$D$2:$D$60,$D885)))</f>
        <v>0</v>
      </c>
      <c r="J885" s="0" t="n">
        <f aca="false">SUMPRODUCT((Rules!$A$2:$A$60=J$1)*Rules!$C$2:$C$60*ISNUMBER(SEARCH(Rules!$D$2:$D$60,$D885)))</f>
        <v>0</v>
      </c>
      <c r="K885" s="0" t="str">
        <f aca="false">IF(OR(MAX(E885:J885)&lt;Rules!$H$1,MAX(E885:J885)-LARGE(E885:J885,2)&lt;Rules!$H$2),"No label",INDEX($E$1:$J$1,MATCH(MAX(E885:J885),E885:J885,0)))</f>
        <v>No label</v>
      </c>
      <c r="L885" s="0" t="n">
        <f aca="false">SUMPRODUCT((Rules!$A$2:$A$60=L$1)*Rules!$C$2:$C$60*ISNUMBER(SEARCH(Rules!$E$2:$E$60,$D885)))</f>
        <v>2</v>
      </c>
      <c r="M885" s="0" t="n">
        <f aca="false">SUMPRODUCT((Rules!$A$2:$A$60=M$1)*Rules!$C$2:$C$60*ISNUMBER(SEARCH(Rules!$E$2:$E$60,$D885)))</f>
        <v>0</v>
      </c>
      <c r="N885" s="0" t="n">
        <f aca="false">SUMPRODUCT((Rules!$A$2:$A$60=N$1)*Rules!$C$2:$C$60*ISNUMBER(SEARCH(Rules!$E$2:$E$60,$D885)))</f>
        <v>0</v>
      </c>
      <c r="O885" s="0" t="n">
        <f aca="false">SUMPRODUCT((Rules!$A$2:$A$60=O$1)*Rules!$C$2:$C$60*ISNUMBER(SEARCH(Rules!$E$2:$E$60,$D885)))</f>
        <v>2</v>
      </c>
      <c r="P885" s="0" t="n">
        <f aca="false">SUMPRODUCT((Rules!$A$2:$A$60=P$1)*Rules!$C$2:$C$60*ISNUMBER(SEARCH(Rules!$E$2:$E$60,$D885)))</f>
        <v>0</v>
      </c>
      <c r="Q885" s="0" t="n">
        <f aca="false">SUMPRODUCT((Rules!$A$2:$A$60=Q$1)*Rules!$C$2:$C$60*ISNUMBER(SEARCH(Rules!$E$2:$E$60,$D885)))</f>
        <v>0</v>
      </c>
      <c r="R885" s="0" t="str">
        <f aca="false">IF(OR(MAX(L885:Q885)&lt;Rules!$H$1,MAX(L885:Q885)-LARGE(L885:Q885,2)&lt;Rules!$H$2),"No label",INDEX($L$1:$Q$1,MATCH(MAX(L885:Q885),L885:Q885,0)))</f>
        <v>No label</v>
      </c>
      <c r="S885" s="0" t="n">
        <f aca="false">SUMPRODUCT(ISNUMBER(SEARCH(" "&amp;Terms!$A$3:$A$821&amp;" ",$D885))*Terms!B$3:B$821)+Terms!B$2</f>
        <v>0.466477353507379</v>
      </c>
      <c r="T885" s="0" t="n">
        <f aca="false">SUMPRODUCT(ISNUMBER(SEARCH(" "&amp;Terms!$A$3:$A$821&amp;" ",$D885))*Terms!C$3:C$821)+Terms!C$2</f>
        <v>-1.76175672396743</v>
      </c>
      <c r="U885" s="0" t="n">
        <f aca="false">SUMPRODUCT(ISNUMBER(SEARCH(" "&amp;Terms!$A$3:$A$821&amp;" ",$D885))*Terms!D$3:D$821)+Terms!D$2</f>
        <v>-1.8716824587381</v>
      </c>
      <c r="V885" s="0" t="n">
        <f aca="false">SUMPRODUCT(ISNUMBER(SEARCH(" "&amp;Terms!$A$3:$A$821&amp;" ",$D885))*Terms!E$3:E$821)+Terms!E$2</f>
        <v>0.00399896853874804</v>
      </c>
      <c r="W885" s="0" t="n">
        <f aca="false">SUMPRODUCT(ISNUMBER(SEARCH(" "&amp;Terms!$A$3:$A$821&amp;" ",$D885))*Terms!F$3:F$821)+Terms!F$2</f>
        <v>4.09621806941717</v>
      </c>
      <c r="X885" s="0" t="n">
        <f aca="false">SUMPRODUCT(ISNUMBER(SEARCH(" "&amp;Terms!$A$3:$A$821&amp;" ",$D885))*Terms!G$3:G$821)+Terms!G$2</f>
        <v>-0.933255208757676</v>
      </c>
      <c r="Y885" s="0" t="str">
        <f aca="false">INDEX($S$1:$X$1,MATCH(MAX(S885:X885),S885:X885,0))</f>
        <v>Fraud &amp; Scams</v>
      </c>
      <c r="Z885" s="0" t="s">
        <v>2607</v>
      </c>
    </row>
    <row r="886" customFormat="false" ht="15" hidden="false" customHeight="false" outlineLevel="0" collapsed="false">
      <c r="A886" s="0" t="str">
        <f aca="false">Complaints!A886</f>
        <v>C0885</v>
      </c>
      <c r="B886" s="0" t="str">
        <f aca="false">Complaints!B886</f>
        <v>To whom it may concern, I am unable to access my account to see my balance.</v>
      </c>
      <c r="C886" s="0" t="str">
        <f aca="false">Complaints!C886</f>
        <v>Account Access</v>
      </c>
      <c r="D886" s="0" t="str">
        <f aca="false">" "&amp;TRIM(SUBSTITUTE(SUBSTITUTE(SUBSTITUTE(SUBSTITUTE(SUBSTITUTE(SUBSTITUTE(SUBSTITUTE(SUBSTITUTE(SUBSTITUTE(SUBSTITUTE(SUBSTITUTE(SUBSTITUTE(SUBSTITUTE(SUBSTITUTE(SUBSTITUTE(SUBSTITUTE(LOWER(B886),"."," "),","," "),"'"," "),"’"," "),"!"," "),"?"," "),";"," "),":"," "),"-"," "),"("," "),")"," "),"""", " "),"£"," "),"&amp;"," "),"/"," "),"%"," "))&amp;" "</f>
        <v> to whom it may concern i am unable to access my account to see my balance </v>
      </c>
      <c r="E886" s="0" t="n">
        <f aca="false">SUMPRODUCT((Rules!$A$2:$A$60=E$1)*Rules!$C$2:$C$60*ISNUMBER(SEARCH(Rules!$D$2:$D$60,$D886)))</f>
        <v>0</v>
      </c>
      <c r="F886" s="0" t="n">
        <f aca="false">SUMPRODUCT((Rules!$A$2:$A$60=F$1)*Rules!$C$2:$C$60*ISNUMBER(SEARCH(Rules!$D$2:$D$60,$D886)))</f>
        <v>0</v>
      </c>
      <c r="G886" s="0" t="n">
        <f aca="false">SUMPRODUCT((Rules!$A$2:$A$60=G$1)*Rules!$C$2:$C$60*ISNUMBER(SEARCH(Rules!$D$2:$D$60,$D886)))</f>
        <v>1</v>
      </c>
      <c r="H886" s="0" t="n">
        <f aca="false">SUMPRODUCT((Rules!$A$2:$A$60=H$1)*Rules!$C$2:$C$60*ISNUMBER(SEARCH(Rules!$D$2:$D$60,$D886)))</f>
        <v>0</v>
      </c>
      <c r="I886" s="0" t="n">
        <f aca="false">SUMPRODUCT((Rules!$A$2:$A$60=I$1)*Rules!$C$2:$C$60*ISNUMBER(SEARCH(Rules!$D$2:$D$60,$D886)))</f>
        <v>0</v>
      </c>
      <c r="J886" s="0" t="n">
        <f aca="false">SUMPRODUCT((Rules!$A$2:$A$60=J$1)*Rules!$C$2:$C$60*ISNUMBER(SEARCH(Rules!$D$2:$D$60,$D886)))</f>
        <v>0</v>
      </c>
      <c r="K886" s="0" t="str">
        <f aca="false">IF(OR(MAX(E886:J886)&lt;Rules!$H$1,MAX(E886:J886)-LARGE(E886:J886,2)&lt;Rules!$H$2),"No label",INDEX($E$1:$J$1,MATCH(MAX(E886:J886),E886:J886,0)))</f>
        <v>No label</v>
      </c>
      <c r="L886" s="0" t="n">
        <f aca="false">SUMPRODUCT((Rules!$A$2:$A$60=L$1)*Rules!$C$2:$C$60*ISNUMBER(SEARCH(Rules!$E$2:$E$60,$D886)))</f>
        <v>0</v>
      </c>
      <c r="M886" s="0" t="n">
        <f aca="false">SUMPRODUCT((Rules!$A$2:$A$60=M$1)*Rules!$C$2:$C$60*ISNUMBER(SEARCH(Rules!$E$2:$E$60,$D886)))</f>
        <v>0</v>
      </c>
      <c r="N886" s="0" t="n">
        <f aca="false">SUMPRODUCT((Rules!$A$2:$A$60=N$1)*Rules!$C$2:$C$60*ISNUMBER(SEARCH(Rules!$E$2:$E$60,$D886)))</f>
        <v>1</v>
      </c>
      <c r="O886" s="0" t="n">
        <f aca="false">SUMPRODUCT((Rules!$A$2:$A$60=O$1)*Rules!$C$2:$C$60*ISNUMBER(SEARCH(Rules!$E$2:$E$60,$D886)))</f>
        <v>0</v>
      </c>
      <c r="P886" s="0" t="n">
        <f aca="false">SUMPRODUCT((Rules!$A$2:$A$60=P$1)*Rules!$C$2:$C$60*ISNUMBER(SEARCH(Rules!$E$2:$E$60,$D886)))</f>
        <v>0</v>
      </c>
      <c r="Q886" s="0" t="n">
        <f aca="false">SUMPRODUCT((Rules!$A$2:$A$60=Q$1)*Rules!$C$2:$C$60*ISNUMBER(SEARCH(Rules!$E$2:$E$60,$D886)))</f>
        <v>0</v>
      </c>
      <c r="R886" s="0" t="str">
        <f aca="false">IF(OR(MAX(L886:Q886)&lt;Rules!$H$1,MAX(L886:Q886)-LARGE(L886:Q886,2)&lt;Rules!$H$2),"No label",INDEX($L$1:$Q$1,MATCH(MAX(L886:Q886),L886:Q886,0)))</f>
        <v>No label</v>
      </c>
      <c r="S886" s="0" t="n">
        <f aca="false">SUMPRODUCT(ISNUMBER(SEARCH(" "&amp;Terms!$A$3:$A$821&amp;" ",$D886))*Terms!B$3:B$821)+Terms!B$2</f>
        <v>6.96529081439183</v>
      </c>
      <c r="T886" s="0" t="n">
        <f aca="false">SUMPRODUCT(ISNUMBER(SEARCH(" "&amp;Terms!$A$3:$A$821&amp;" ",$D886))*Terms!C$3:C$821)+Terms!C$2</f>
        <v>-3.59299427708968</v>
      </c>
      <c r="U886" s="0" t="n">
        <f aca="false">SUMPRODUCT(ISNUMBER(SEARCH(" "&amp;Terms!$A$3:$A$821&amp;" ",$D886))*Terms!D$3:D$821)+Terms!D$2</f>
        <v>1.27169613617523</v>
      </c>
      <c r="V886" s="0" t="n">
        <f aca="false">SUMPRODUCT(ISNUMBER(SEARCH(" "&amp;Terms!$A$3:$A$821&amp;" ",$D886))*Terms!E$3:E$821)+Terms!E$2</f>
        <v>-0.0362701077992782</v>
      </c>
      <c r="W886" s="0" t="n">
        <f aca="false">SUMPRODUCT(ISNUMBER(SEARCH(" "&amp;Terms!$A$3:$A$821&amp;" ",$D886))*Terms!F$3:F$821)+Terms!F$2</f>
        <v>-1.41226416083172</v>
      </c>
      <c r="X886" s="0" t="n">
        <f aca="false">SUMPRODUCT(ISNUMBER(SEARCH(" "&amp;Terms!$A$3:$A$821&amp;" ",$D886))*Terms!G$3:G$821)+Terms!G$2</f>
        <v>-3.1954584048463</v>
      </c>
      <c r="Y886" s="0" t="str">
        <f aca="false">INDEX($S$1:$X$1,MATCH(MAX(S886:X886),S886:X886,0))</f>
        <v>Account Access</v>
      </c>
      <c r="Z886" s="0" t="s">
        <v>2607</v>
      </c>
    </row>
    <row r="887" customFormat="false" ht="15" hidden="false" customHeight="false" outlineLevel="0" collapsed="false">
      <c r="A887" s="0" t="str">
        <f aca="false">Complaints!A887</f>
        <v>C0886</v>
      </c>
      <c r="B887" s="0" t="str">
        <f aca="false">Complaints!B887</f>
        <v>Nobody has responded to my emails despite three reminders.</v>
      </c>
      <c r="C887" s="0" t="str">
        <f aca="false">Complaints!C887</f>
        <v>Customer Service</v>
      </c>
      <c r="D887" s="0" t="str">
        <f aca="false">" "&amp;TRIM(SUBSTITUTE(SUBSTITUTE(SUBSTITUTE(SUBSTITUTE(SUBSTITUTE(SUBSTITUTE(SUBSTITUTE(SUBSTITUTE(SUBSTITUTE(SUBSTITUTE(SUBSTITUTE(SUBSTITUTE(SUBSTITUTE(SUBSTITUTE(SUBSTITUTE(SUBSTITUTE(LOWER(B887),"."," "),","," "),"'"," "),"’"," "),"!"," "),"?"," "),";"," "),":"," "),"-"," "),"("," "),")"," "),"""", " "),"£"," "),"&amp;"," "),"/"," "),"%"," "))&amp;" "</f>
        <v> nobody has responded to my emails despite three reminders </v>
      </c>
      <c r="E887" s="0" t="n">
        <f aca="false">SUMPRODUCT((Rules!$A$2:$A$60=E$1)*Rules!$C$2:$C$60*ISNUMBER(SEARCH(Rules!$D$2:$D$60,$D887)))</f>
        <v>0</v>
      </c>
      <c r="F887" s="0" t="n">
        <f aca="false">SUMPRODUCT((Rules!$A$2:$A$60=F$1)*Rules!$C$2:$C$60*ISNUMBER(SEARCH(Rules!$D$2:$D$60,$D887)))</f>
        <v>0</v>
      </c>
      <c r="G887" s="0" t="n">
        <f aca="false">SUMPRODUCT((Rules!$A$2:$A$60=G$1)*Rules!$C$2:$C$60*ISNUMBER(SEARCH(Rules!$D$2:$D$60,$D887)))</f>
        <v>0</v>
      </c>
      <c r="H887" s="0" t="n">
        <f aca="false">SUMPRODUCT((Rules!$A$2:$A$60=H$1)*Rules!$C$2:$C$60*ISNUMBER(SEARCH(Rules!$D$2:$D$60,$D887)))</f>
        <v>0</v>
      </c>
      <c r="I887" s="0" t="n">
        <f aca="false">SUMPRODUCT((Rules!$A$2:$A$60=I$1)*Rules!$C$2:$C$60*ISNUMBER(SEARCH(Rules!$D$2:$D$60,$D887)))</f>
        <v>0</v>
      </c>
      <c r="J887" s="0" t="n">
        <f aca="false">SUMPRODUCT((Rules!$A$2:$A$60=J$1)*Rules!$C$2:$C$60*ISNUMBER(SEARCH(Rules!$D$2:$D$60,$D887)))</f>
        <v>2</v>
      </c>
      <c r="K887" s="0" t="str">
        <f aca="false">IF(OR(MAX(E887:J887)&lt;Rules!$H$1,MAX(E887:J887)-LARGE(E887:J887,2)&lt;Rules!$H$2),"No label",INDEX($E$1:$J$1,MATCH(MAX(E887:J887),E887:J887,0)))</f>
        <v>No label</v>
      </c>
      <c r="L887" s="0" t="n">
        <f aca="false">SUMPRODUCT((Rules!$A$2:$A$60=L$1)*Rules!$C$2:$C$60*ISNUMBER(SEARCH(Rules!$E$2:$E$60,$D887)))</f>
        <v>0</v>
      </c>
      <c r="M887" s="0" t="n">
        <f aca="false">SUMPRODUCT((Rules!$A$2:$A$60=M$1)*Rules!$C$2:$C$60*ISNUMBER(SEARCH(Rules!$E$2:$E$60,$D887)))</f>
        <v>0</v>
      </c>
      <c r="N887" s="0" t="n">
        <f aca="false">SUMPRODUCT((Rules!$A$2:$A$60=N$1)*Rules!$C$2:$C$60*ISNUMBER(SEARCH(Rules!$E$2:$E$60,$D887)))</f>
        <v>0</v>
      </c>
      <c r="O887" s="0" t="n">
        <f aca="false">SUMPRODUCT((Rules!$A$2:$A$60=O$1)*Rules!$C$2:$C$60*ISNUMBER(SEARCH(Rules!$E$2:$E$60,$D887)))</f>
        <v>0</v>
      </c>
      <c r="P887" s="0" t="n">
        <f aca="false">SUMPRODUCT((Rules!$A$2:$A$60=P$1)*Rules!$C$2:$C$60*ISNUMBER(SEARCH(Rules!$E$2:$E$60,$D887)))</f>
        <v>0</v>
      </c>
      <c r="Q887" s="0" t="n">
        <f aca="false">SUMPRODUCT((Rules!$A$2:$A$60=Q$1)*Rules!$C$2:$C$60*ISNUMBER(SEARCH(Rules!$E$2:$E$60,$D887)))</f>
        <v>2</v>
      </c>
      <c r="R887" s="0" t="str">
        <f aca="false">IF(OR(MAX(L887:Q887)&lt;Rules!$H$1,MAX(L887:Q887)-LARGE(L887:Q887,2)&lt;Rules!$H$2),"No label",INDEX($L$1:$Q$1,MATCH(MAX(L887:Q887),L887:Q887,0)))</f>
        <v>No label</v>
      </c>
      <c r="S887" s="0" t="n">
        <f aca="false">SUMPRODUCT(ISNUMBER(SEARCH(" "&amp;Terms!$A$3:$A$821&amp;" ",$D887))*Terms!B$3:B$821)+Terms!B$2</f>
        <v>-3.28292324291933</v>
      </c>
      <c r="T887" s="0" t="n">
        <f aca="false">SUMPRODUCT(ISNUMBER(SEARCH(" "&amp;Terms!$A$3:$A$821&amp;" ",$D887))*Terms!C$3:C$821)+Terms!C$2</f>
        <v>9.37656219920127</v>
      </c>
      <c r="U887" s="0" t="n">
        <f aca="false">SUMPRODUCT(ISNUMBER(SEARCH(" "&amp;Terms!$A$3:$A$821&amp;" ",$D887))*Terms!D$3:D$821)+Terms!D$2</f>
        <v>-1.67336020216156</v>
      </c>
      <c r="V887" s="0" t="n">
        <f aca="false">SUMPRODUCT(ISNUMBER(SEARCH(" "&amp;Terms!$A$3:$A$821&amp;" ",$D887))*Terms!E$3:E$821)+Terms!E$2</f>
        <v>-1.3482776396901</v>
      </c>
      <c r="W887" s="0" t="n">
        <f aca="false">SUMPRODUCT(ISNUMBER(SEARCH(" "&amp;Terms!$A$3:$A$821&amp;" ",$D887))*Terms!F$3:F$821)+Terms!F$2</f>
        <v>-1.75692768219433</v>
      </c>
      <c r="X887" s="0" t="n">
        <f aca="false">SUMPRODUCT(ISNUMBER(SEARCH(" "&amp;Terms!$A$3:$A$821&amp;" ",$D887))*Terms!G$3:G$821)+Terms!G$2</f>
        <v>-1.31507343223585</v>
      </c>
      <c r="Y887" s="0" t="str">
        <f aca="false">INDEX($S$1:$X$1,MATCH(MAX(S887:X887),S887:X887,0))</f>
        <v>Customer Service</v>
      </c>
      <c r="Z887" s="0" t="s">
        <v>2607</v>
      </c>
    </row>
    <row r="888" customFormat="false" ht="15" hidden="false" customHeight="false" outlineLevel="0" collapsed="false">
      <c r="A888" s="0" t="str">
        <f aca="false">Complaints!A888</f>
        <v>C0887</v>
      </c>
      <c r="B888" s="0" t="str">
        <f aca="false">Complaints!B888</f>
        <v>Frankly, A late payment fee appeared and I want it refunded.</v>
      </c>
      <c r="C888" s="0" t="str">
        <f aca="false">Complaints!C888</f>
        <v>Fees &amp; Charges</v>
      </c>
      <c r="D888" s="0" t="str">
        <f aca="false">" "&amp;TRIM(SUBSTITUTE(SUBSTITUTE(SUBSTITUTE(SUBSTITUTE(SUBSTITUTE(SUBSTITUTE(SUBSTITUTE(SUBSTITUTE(SUBSTITUTE(SUBSTITUTE(SUBSTITUTE(SUBSTITUTE(SUBSTITUTE(SUBSTITUTE(SUBSTITUTE(SUBSTITUTE(LOWER(B888),"."," "),","," "),"'"," "),"’"," "),"!"," "),"?"," "),";"," "),":"," "),"-"," "),"("," "),")"," "),"""", " "),"£"," "),"&amp;"," "),"/"," "),"%"," "))&amp;" "</f>
        <v> frankly a late payment fee appeared and i want it refunded </v>
      </c>
      <c r="E888" s="0" t="n">
        <f aca="false">SUMPRODUCT((Rules!$A$2:$A$60=E$1)*Rules!$C$2:$C$60*ISNUMBER(SEARCH(Rules!$D$2:$D$60,$D888)))</f>
        <v>0</v>
      </c>
      <c r="F888" s="0" t="n">
        <f aca="false">SUMPRODUCT((Rules!$A$2:$A$60=F$1)*Rules!$C$2:$C$60*ISNUMBER(SEARCH(Rules!$D$2:$D$60,$D888)))</f>
        <v>0</v>
      </c>
      <c r="G888" s="0" t="n">
        <f aca="false">SUMPRODUCT((Rules!$A$2:$A$60=G$1)*Rules!$C$2:$C$60*ISNUMBER(SEARCH(Rules!$D$2:$D$60,$D888)))</f>
        <v>0</v>
      </c>
      <c r="H888" s="0" t="n">
        <f aca="false">SUMPRODUCT((Rules!$A$2:$A$60=H$1)*Rules!$C$2:$C$60*ISNUMBER(SEARCH(Rules!$D$2:$D$60,$D888)))</f>
        <v>2</v>
      </c>
      <c r="I888" s="0" t="n">
        <f aca="false">SUMPRODUCT((Rules!$A$2:$A$60=I$1)*Rules!$C$2:$C$60*ISNUMBER(SEARCH(Rules!$D$2:$D$60,$D888)))</f>
        <v>0</v>
      </c>
      <c r="J888" s="0" t="n">
        <f aca="false">SUMPRODUCT((Rules!$A$2:$A$60=J$1)*Rules!$C$2:$C$60*ISNUMBER(SEARCH(Rules!$D$2:$D$60,$D888)))</f>
        <v>0</v>
      </c>
      <c r="K888" s="0" t="str">
        <f aca="false">IF(OR(MAX(E888:J888)&lt;Rules!$H$1,MAX(E888:J888)-LARGE(E888:J888,2)&lt;Rules!$H$2),"No label",INDEX($E$1:$J$1,MATCH(MAX(E888:J888),E888:J888,0)))</f>
        <v>No label</v>
      </c>
      <c r="L888" s="0" t="n">
        <f aca="false">SUMPRODUCT((Rules!$A$2:$A$60=L$1)*Rules!$C$2:$C$60*ISNUMBER(SEARCH(Rules!$E$2:$E$60,$D888)))</f>
        <v>0</v>
      </c>
      <c r="M888" s="0" t="n">
        <f aca="false">SUMPRODUCT((Rules!$A$2:$A$60=M$1)*Rules!$C$2:$C$60*ISNUMBER(SEARCH(Rules!$E$2:$E$60,$D888)))</f>
        <v>0</v>
      </c>
      <c r="N888" s="0" t="n">
        <f aca="false">SUMPRODUCT((Rules!$A$2:$A$60=N$1)*Rules!$C$2:$C$60*ISNUMBER(SEARCH(Rules!$E$2:$E$60,$D888)))</f>
        <v>0</v>
      </c>
      <c r="O888" s="0" t="n">
        <f aca="false">SUMPRODUCT((Rules!$A$2:$A$60=O$1)*Rules!$C$2:$C$60*ISNUMBER(SEARCH(Rules!$E$2:$E$60,$D888)))</f>
        <v>2</v>
      </c>
      <c r="P888" s="0" t="n">
        <f aca="false">SUMPRODUCT((Rules!$A$2:$A$60=P$1)*Rules!$C$2:$C$60*ISNUMBER(SEARCH(Rules!$E$2:$E$60,$D888)))</f>
        <v>0</v>
      </c>
      <c r="Q888" s="0" t="n">
        <f aca="false">SUMPRODUCT((Rules!$A$2:$A$60=Q$1)*Rules!$C$2:$C$60*ISNUMBER(SEARCH(Rules!$E$2:$E$60,$D888)))</f>
        <v>0</v>
      </c>
      <c r="R888" s="0" t="str">
        <f aca="false">IF(OR(MAX(L888:Q888)&lt;Rules!$H$1,MAX(L888:Q888)-LARGE(L888:Q888,2)&lt;Rules!$H$2),"No label",INDEX($L$1:$Q$1,MATCH(MAX(L888:Q888),L888:Q888,0)))</f>
        <v>No label</v>
      </c>
      <c r="S888" s="0" t="n">
        <f aca="false">SUMPRODUCT(ISNUMBER(SEARCH(" "&amp;Terms!$A$3:$A$821&amp;" ",$D888))*Terms!B$3:B$821)+Terms!B$2</f>
        <v>-4.07377117543492</v>
      </c>
      <c r="T888" s="0" t="n">
        <f aca="false">SUMPRODUCT(ISNUMBER(SEARCH(" "&amp;Terms!$A$3:$A$821&amp;" ",$D888))*Terms!C$3:C$821)+Terms!C$2</f>
        <v>-6.32461628823048</v>
      </c>
      <c r="U888" s="0" t="n">
        <f aca="false">SUMPRODUCT(ISNUMBER(SEARCH(" "&amp;Terms!$A$3:$A$821&amp;" ",$D888))*Terms!D$3:D$821)+Terms!D$2</f>
        <v>-0.354552749227399</v>
      </c>
      <c r="V888" s="0" t="n">
        <f aca="false">SUMPRODUCT(ISNUMBER(SEARCH(" "&amp;Terms!$A$3:$A$821&amp;" ",$D888))*Terms!E$3:E$821)+Terms!E$2</f>
        <v>15.2463088449126</v>
      </c>
      <c r="W888" s="0" t="n">
        <f aca="false">SUMPRODUCT(ISNUMBER(SEARCH(" "&amp;Terms!$A$3:$A$821&amp;" ",$D888))*Terms!F$3:F$821)+Terms!F$2</f>
        <v>0.773051042954515</v>
      </c>
      <c r="X888" s="0" t="n">
        <f aca="false">SUMPRODUCT(ISNUMBER(SEARCH(" "&amp;Terms!$A$3:$A$821&amp;" ",$D888))*Terms!G$3:G$821)+Terms!G$2</f>
        <v>-5.26641967497417</v>
      </c>
      <c r="Y888" s="0" t="str">
        <f aca="false">INDEX($S$1:$X$1,MATCH(MAX(S888:X888),S888:X888,0))</f>
        <v>Fees &amp; Charges</v>
      </c>
      <c r="Z888" s="0" t="s">
        <v>2607</v>
      </c>
    </row>
    <row r="889" customFormat="false" ht="15" hidden="false" customHeight="false" outlineLevel="0" collapsed="false">
      <c r="A889" s="0" t="str">
        <f aca="false">Complaints!A889</f>
        <v>C0888</v>
      </c>
      <c r="B889" s="0" t="str">
        <f aca="false">Complaints!B889</f>
        <v>To whom it may concern, I was told this policy covered me but my claim was rejected. I would like a response in writing.</v>
      </c>
      <c r="C889" s="0" t="str">
        <f aca="false">Complaints!C889</f>
        <v>Mis-selling</v>
      </c>
      <c r="D889" s="0" t="str">
        <f aca="false">" "&amp;TRIM(SUBSTITUTE(SUBSTITUTE(SUBSTITUTE(SUBSTITUTE(SUBSTITUTE(SUBSTITUTE(SUBSTITUTE(SUBSTITUTE(SUBSTITUTE(SUBSTITUTE(SUBSTITUTE(SUBSTITUTE(SUBSTITUTE(SUBSTITUTE(SUBSTITUTE(SUBSTITUTE(LOWER(B889),"."," "),","," "),"'"," "),"’"," "),"!"," "),"?"," "),";"," "),":"," "),"-"," "),"("," "),")"," "),"""", " "),"£"," "),"&amp;"," "),"/"," "),"%"," "))&amp;" "</f>
        <v> to whom it may concern i was told this policy covered me but my claim was rejected i would like a response in writing </v>
      </c>
      <c r="E889" s="0" t="n">
        <f aca="false">SUMPRODUCT((Rules!$A$2:$A$60=E$1)*Rules!$C$2:$C$60*ISNUMBER(SEARCH(Rules!$D$2:$D$60,$D889)))</f>
        <v>0</v>
      </c>
      <c r="F889" s="0" t="n">
        <f aca="false">SUMPRODUCT((Rules!$A$2:$A$60=F$1)*Rules!$C$2:$C$60*ISNUMBER(SEARCH(Rules!$D$2:$D$60,$D889)))</f>
        <v>1</v>
      </c>
      <c r="G889" s="0" t="n">
        <f aca="false">SUMPRODUCT((Rules!$A$2:$A$60=G$1)*Rules!$C$2:$C$60*ISNUMBER(SEARCH(Rules!$D$2:$D$60,$D889)))</f>
        <v>0</v>
      </c>
      <c r="H889" s="0" t="n">
        <f aca="false">SUMPRODUCT((Rules!$A$2:$A$60=H$1)*Rules!$C$2:$C$60*ISNUMBER(SEARCH(Rules!$D$2:$D$60,$D889)))</f>
        <v>0</v>
      </c>
      <c r="I889" s="0" t="n">
        <f aca="false">SUMPRODUCT((Rules!$A$2:$A$60=I$1)*Rules!$C$2:$C$60*ISNUMBER(SEARCH(Rules!$D$2:$D$60,$D889)))</f>
        <v>0</v>
      </c>
      <c r="J889" s="0" t="n">
        <f aca="false">SUMPRODUCT((Rules!$A$2:$A$60=J$1)*Rules!$C$2:$C$60*ISNUMBER(SEARCH(Rules!$D$2:$D$60,$D889)))</f>
        <v>0</v>
      </c>
      <c r="K889" s="0" t="str">
        <f aca="false">IF(OR(MAX(E889:J889)&lt;Rules!$H$1,MAX(E889:J889)-LARGE(E889:J889,2)&lt;Rules!$H$2),"No label",INDEX($E$1:$J$1,MATCH(MAX(E889:J889),E889:J889,0)))</f>
        <v>No label</v>
      </c>
      <c r="L889" s="0" t="n">
        <f aca="false">SUMPRODUCT((Rules!$A$2:$A$60=L$1)*Rules!$C$2:$C$60*ISNUMBER(SEARCH(Rules!$E$2:$E$60,$D889)))</f>
        <v>0</v>
      </c>
      <c r="M889" s="0" t="n">
        <f aca="false">SUMPRODUCT((Rules!$A$2:$A$60=M$1)*Rules!$C$2:$C$60*ISNUMBER(SEARCH(Rules!$E$2:$E$60,$D889)))</f>
        <v>1</v>
      </c>
      <c r="N889" s="0" t="n">
        <f aca="false">SUMPRODUCT((Rules!$A$2:$A$60=N$1)*Rules!$C$2:$C$60*ISNUMBER(SEARCH(Rules!$E$2:$E$60,$D889)))</f>
        <v>0</v>
      </c>
      <c r="O889" s="0" t="n">
        <f aca="false">SUMPRODUCT((Rules!$A$2:$A$60=O$1)*Rules!$C$2:$C$60*ISNUMBER(SEARCH(Rules!$E$2:$E$60,$D889)))</f>
        <v>0</v>
      </c>
      <c r="P889" s="0" t="n">
        <f aca="false">SUMPRODUCT((Rules!$A$2:$A$60=P$1)*Rules!$C$2:$C$60*ISNUMBER(SEARCH(Rules!$E$2:$E$60,$D889)))</f>
        <v>0</v>
      </c>
      <c r="Q889" s="0" t="n">
        <f aca="false">SUMPRODUCT((Rules!$A$2:$A$60=Q$1)*Rules!$C$2:$C$60*ISNUMBER(SEARCH(Rules!$E$2:$E$60,$D889)))</f>
        <v>0</v>
      </c>
      <c r="R889" s="0" t="str">
        <f aca="false">IF(OR(MAX(L889:Q889)&lt;Rules!$H$1,MAX(L889:Q889)-LARGE(L889:Q889,2)&lt;Rules!$H$2),"No label",INDEX($L$1:$Q$1,MATCH(MAX(L889:Q889),L889:Q889,0)))</f>
        <v>No label</v>
      </c>
      <c r="S889" s="0" t="n">
        <f aca="false">SUMPRODUCT(ISNUMBER(SEARCH(" "&amp;Terms!$A$3:$A$821&amp;" ",$D889))*Terms!B$3:B$821)+Terms!B$2</f>
        <v>-2.08332665207157</v>
      </c>
      <c r="T889" s="0" t="n">
        <f aca="false">SUMPRODUCT(ISNUMBER(SEARCH(" "&amp;Terms!$A$3:$A$821&amp;" ",$D889))*Terms!C$3:C$821)+Terms!C$2</f>
        <v>-4.24668420786884</v>
      </c>
      <c r="U889" s="0" t="n">
        <f aca="false">SUMPRODUCT(ISNUMBER(SEARCH(" "&amp;Terms!$A$3:$A$821&amp;" ",$D889))*Terms!D$3:D$821)+Terms!D$2</f>
        <v>0.0362195853338163</v>
      </c>
      <c r="V889" s="0" t="n">
        <f aca="false">SUMPRODUCT(ISNUMBER(SEARCH(" "&amp;Terms!$A$3:$A$821&amp;" ",$D889))*Terms!E$3:E$821)+Terms!E$2</f>
        <v>-0.431583860023593</v>
      </c>
      <c r="W889" s="0" t="n">
        <f aca="false">SUMPRODUCT(ISNUMBER(SEARCH(" "&amp;Terms!$A$3:$A$821&amp;" ",$D889))*Terms!F$3:F$821)+Terms!F$2</f>
        <v>-3.72870192075386</v>
      </c>
      <c r="X889" s="0" t="n">
        <f aca="false">SUMPRODUCT(ISNUMBER(SEARCH(" "&amp;Terms!$A$3:$A$821&amp;" ",$D889))*Terms!G$3:G$821)+Terms!G$2</f>
        <v>10.4540770553841</v>
      </c>
      <c r="Y889" s="0" t="str">
        <f aca="false">INDEX($S$1:$X$1,MATCH(MAX(S889:X889),S889:X889,0))</f>
        <v>Mis-selling</v>
      </c>
      <c r="Z889" s="0" t="s">
        <v>2607</v>
      </c>
    </row>
    <row r="890" customFormat="false" ht="15" hidden="false" customHeight="false" outlineLevel="0" collapsed="false">
      <c r="A890" s="0" t="str">
        <f aca="false">Complaints!A890</f>
        <v>C0889</v>
      </c>
      <c r="B890" s="0" t="str">
        <f aca="false">Complaints!B890</f>
        <v>It has taken six weeks to process my claim and nobody has updated me. I want this put right.</v>
      </c>
      <c r="C890" s="0" t="str">
        <f aca="false">Complaints!C890</f>
        <v>Delays &amp; Processing</v>
      </c>
      <c r="D890" s="0" t="str">
        <f aca="false">" "&amp;TRIM(SUBSTITUTE(SUBSTITUTE(SUBSTITUTE(SUBSTITUTE(SUBSTITUTE(SUBSTITUTE(SUBSTITUTE(SUBSTITUTE(SUBSTITUTE(SUBSTITUTE(SUBSTITUTE(SUBSTITUTE(SUBSTITUTE(SUBSTITUTE(SUBSTITUTE(SUBSTITUTE(LOWER(B890),"."," "),","," "),"'"," "),"’"," "),"!"," "),"?"," "),";"," "),":"," "),"-"," "),"("," "),")"," "),"""", " "),"£"," "),"&amp;"," "),"/"," "),"%"," "))&amp;" "</f>
        <v> it has taken six weeks to process my claim and nobody has updated me i want this put right </v>
      </c>
      <c r="E890" s="0" t="n">
        <f aca="false">SUMPRODUCT((Rules!$A$2:$A$60=E$1)*Rules!$C$2:$C$60*ISNUMBER(SEARCH(Rules!$D$2:$D$60,$D890)))</f>
        <v>0</v>
      </c>
      <c r="F890" s="0" t="n">
        <f aca="false">SUMPRODUCT((Rules!$A$2:$A$60=F$1)*Rules!$C$2:$C$60*ISNUMBER(SEARCH(Rules!$D$2:$D$60,$D890)))</f>
        <v>0</v>
      </c>
      <c r="G890" s="0" t="n">
        <f aca="false">SUMPRODUCT((Rules!$A$2:$A$60=G$1)*Rules!$C$2:$C$60*ISNUMBER(SEARCH(Rules!$D$2:$D$60,$D890)))</f>
        <v>0</v>
      </c>
      <c r="H890" s="0" t="n">
        <f aca="false">SUMPRODUCT((Rules!$A$2:$A$60=H$1)*Rules!$C$2:$C$60*ISNUMBER(SEARCH(Rules!$D$2:$D$60,$D890)))</f>
        <v>0</v>
      </c>
      <c r="I890" s="0" t="n">
        <f aca="false">SUMPRODUCT((Rules!$A$2:$A$60=I$1)*Rules!$C$2:$C$60*ISNUMBER(SEARCH(Rules!$D$2:$D$60,$D890)))</f>
        <v>2</v>
      </c>
      <c r="J890" s="0" t="n">
        <f aca="false">SUMPRODUCT((Rules!$A$2:$A$60=J$1)*Rules!$C$2:$C$60*ISNUMBER(SEARCH(Rules!$D$2:$D$60,$D890)))</f>
        <v>0</v>
      </c>
      <c r="K890" s="0" t="str">
        <f aca="false">IF(OR(MAX(E890:J890)&lt;Rules!$H$1,MAX(E890:J890)-LARGE(E890:J890,2)&lt;Rules!$H$2),"No label",INDEX($E$1:$J$1,MATCH(MAX(E890:J890),E890:J890,0)))</f>
        <v>No label</v>
      </c>
      <c r="L890" s="0" t="n">
        <f aca="false">SUMPRODUCT((Rules!$A$2:$A$60=L$1)*Rules!$C$2:$C$60*ISNUMBER(SEARCH(Rules!$E$2:$E$60,$D890)))</f>
        <v>0</v>
      </c>
      <c r="M890" s="0" t="n">
        <f aca="false">SUMPRODUCT((Rules!$A$2:$A$60=M$1)*Rules!$C$2:$C$60*ISNUMBER(SEARCH(Rules!$E$2:$E$60,$D890)))</f>
        <v>0</v>
      </c>
      <c r="N890" s="0" t="n">
        <f aca="false">SUMPRODUCT((Rules!$A$2:$A$60=N$1)*Rules!$C$2:$C$60*ISNUMBER(SEARCH(Rules!$E$2:$E$60,$D890)))</f>
        <v>0</v>
      </c>
      <c r="O890" s="0" t="n">
        <f aca="false">SUMPRODUCT((Rules!$A$2:$A$60=O$1)*Rules!$C$2:$C$60*ISNUMBER(SEARCH(Rules!$E$2:$E$60,$D890)))</f>
        <v>0</v>
      </c>
      <c r="P890" s="0" t="n">
        <f aca="false">SUMPRODUCT((Rules!$A$2:$A$60=P$1)*Rules!$C$2:$C$60*ISNUMBER(SEARCH(Rules!$E$2:$E$60,$D890)))</f>
        <v>2</v>
      </c>
      <c r="Q890" s="0" t="n">
        <f aca="false">SUMPRODUCT((Rules!$A$2:$A$60=Q$1)*Rules!$C$2:$C$60*ISNUMBER(SEARCH(Rules!$E$2:$E$60,$D890)))</f>
        <v>0</v>
      </c>
      <c r="R890" s="0" t="str">
        <f aca="false">IF(OR(MAX(L890:Q890)&lt;Rules!$H$1,MAX(L890:Q890)-LARGE(L890:Q890,2)&lt;Rules!$H$2),"No label",INDEX($L$1:$Q$1,MATCH(MAX(L890:Q890),L890:Q890,0)))</f>
        <v>No label</v>
      </c>
      <c r="S890" s="0" t="n">
        <f aca="false">SUMPRODUCT(ISNUMBER(SEARCH(" "&amp;Terms!$A$3:$A$821&amp;" ",$D890))*Terms!B$3:B$821)+Terms!B$2</f>
        <v>-3.17517773946291</v>
      </c>
      <c r="T890" s="0" t="n">
        <f aca="false">SUMPRODUCT(ISNUMBER(SEARCH(" "&amp;Terms!$A$3:$A$821&amp;" ",$D890))*Terms!C$3:C$821)+Terms!C$2</f>
        <v>-4.55008073476878</v>
      </c>
      <c r="U890" s="0" t="n">
        <f aca="false">SUMPRODUCT(ISNUMBER(SEARCH(" "&amp;Terms!$A$3:$A$821&amp;" ",$D890))*Terms!D$3:D$821)+Terms!D$2</f>
        <v>6.76938683904579</v>
      </c>
      <c r="V890" s="0" t="n">
        <f aca="false">SUMPRODUCT(ISNUMBER(SEARCH(" "&amp;Terms!$A$3:$A$821&amp;" ",$D890))*Terms!E$3:E$821)+Terms!E$2</f>
        <v>0.216026208899182</v>
      </c>
      <c r="W890" s="0" t="n">
        <f aca="false">SUMPRODUCT(ISNUMBER(SEARCH(" "&amp;Terms!$A$3:$A$821&amp;" ",$D890))*Terms!F$3:F$821)+Terms!F$2</f>
        <v>1.45702582521814</v>
      </c>
      <c r="X890" s="0" t="n">
        <f aca="false">SUMPRODUCT(ISNUMBER(SEARCH(" "&amp;Terms!$A$3:$A$821&amp;" ",$D890))*Terms!G$3:G$821)+Terms!G$2</f>
        <v>-0.71718039893133</v>
      </c>
      <c r="Y890" s="0" t="str">
        <f aca="false">INDEX($S$1:$X$1,MATCH(MAX(S890:X890),S890:X890,0))</f>
        <v>Delays &amp; Processing</v>
      </c>
      <c r="Z890" s="0" t="s">
        <v>2608</v>
      </c>
    </row>
    <row r="891" customFormat="false" ht="15" hidden="false" customHeight="false" outlineLevel="0" collapsed="false">
      <c r="A891" s="0" t="str">
        <f aca="false">Complaints!A891</f>
        <v>C0890</v>
      </c>
      <c r="B891" s="0" t="str">
        <f aca="false">Complaints!B891</f>
        <v>This is the second time I have raised this. I am unable to access my account to see my balance. It has also been taking far too long. I expect compensation.</v>
      </c>
      <c r="C891" s="0" t="str">
        <f aca="false">Complaints!C891</f>
        <v>Account Access</v>
      </c>
      <c r="D891" s="0" t="str">
        <f aca="false">" "&amp;TRIM(SUBSTITUTE(SUBSTITUTE(SUBSTITUTE(SUBSTITUTE(SUBSTITUTE(SUBSTITUTE(SUBSTITUTE(SUBSTITUTE(SUBSTITUTE(SUBSTITUTE(SUBSTITUTE(SUBSTITUTE(SUBSTITUTE(SUBSTITUTE(SUBSTITUTE(SUBSTITUTE(LOWER(B891),"."," "),","," "),"'"," "),"’"," "),"!"," "),"?"," "),";"," "),":"," "),"-"," "),"("," "),")"," "),"""", " "),"£"," "),"&amp;"," "),"/"," "),"%"," "))&amp;" "</f>
        <v> this is the second time i have raised this i am unable to access my account to see my balance it has also been taking far too long i expect compensation </v>
      </c>
      <c r="E891" s="0" t="n">
        <f aca="false">SUMPRODUCT((Rules!$A$2:$A$60=E$1)*Rules!$C$2:$C$60*ISNUMBER(SEARCH(Rules!$D$2:$D$60,$D891)))</f>
        <v>0</v>
      </c>
      <c r="F891" s="0" t="n">
        <f aca="false">SUMPRODUCT((Rules!$A$2:$A$60=F$1)*Rules!$C$2:$C$60*ISNUMBER(SEARCH(Rules!$D$2:$D$60,$D891)))</f>
        <v>0</v>
      </c>
      <c r="G891" s="0" t="n">
        <f aca="false">SUMPRODUCT((Rules!$A$2:$A$60=G$1)*Rules!$C$2:$C$60*ISNUMBER(SEARCH(Rules!$D$2:$D$60,$D891)))</f>
        <v>1</v>
      </c>
      <c r="H891" s="0" t="n">
        <f aca="false">SUMPRODUCT((Rules!$A$2:$A$60=H$1)*Rules!$C$2:$C$60*ISNUMBER(SEARCH(Rules!$D$2:$D$60,$D891)))</f>
        <v>0</v>
      </c>
      <c r="I891" s="0" t="n">
        <f aca="false">SUMPRODUCT((Rules!$A$2:$A$60=I$1)*Rules!$C$2:$C$60*ISNUMBER(SEARCH(Rules!$D$2:$D$60,$D891)))</f>
        <v>0</v>
      </c>
      <c r="J891" s="0" t="n">
        <f aca="false">SUMPRODUCT((Rules!$A$2:$A$60=J$1)*Rules!$C$2:$C$60*ISNUMBER(SEARCH(Rules!$D$2:$D$60,$D891)))</f>
        <v>0</v>
      </c>
      <c r="K891" s="0" t="str">
        <f aca="false">IF(OR(MAX(E891:J891)&lt;Rules!$H$1,MAX(E891:J891)-LARGE(E891:J891,2)&lt;Rules!$H$2),"No label",INDEX($E$1:$J$1,MATCH(MAX(E891:J891),E891:J891,0)))</f>
        <v>No label</v>
      </c>
      <c r="L891" s="0" t="n">
        <f aca="false">SUMPRODUCT((Rules!$A$2:$A$60=L$1)*Rules!$C$2:$C$60*ISNUMBER(SEARCH(Rules!$E$2:$E$60,$D891)))</f>
        <v>0</v>
      </c>
      <c r="M891" s="0" t="n">
        <f aca="false">SUMPRODUCT((Rules!$A$2:$A$60=M$1)*Rules!$C$2:$C$60*ISNUMBER(SEARCH(Rules!$E$2:$E$60,$D891)))</f>
        <v>0</v>
      </c>
      <c r="N891" s="0" t="n">
        <f aca="false">SUMPRODUCT((Rules!$A$2:$A$60=N$1)*Rules!$C$2:$C$60*ISNUMBER(SEARCH(Rules!$E$2:$E$60,$D891)))</f>
        <v>1</v>
      </c>
      <c r="O891" s="0" t="n">
        <f aca="false">SUMPRODUCT((Rules!$A$2:$A$60=O$1)*Rules!$C$2:$C$60*ISNUMBER(SEARCH(Rules!$E$2:$E$60,$D891)))</f>
        <v>0</v>
      </c>
      <c r="P891" s="0" t="n">
        <f aca="false">SUMPRODUCT((Rules!$A$2:$A$60=P$1)*Rules!$C$2:$C$60*ISNUMBER(SEARCH(Rules!$E$2:$E$60,$D891)))</f>
        <v>0</v>
      </c>
      <c r="Q891" s="0" t="n">
        <f aca="false">SUMPRODUCT((Rules!$A$2:$A$60=Q$1)*Rules!$C$2:$C$60*ISNUMBER(SEARCH(Rules!$E$2:$E$60,$D891)))</f>
        <v>0</v>
      </c>
      <c r="R891" s="0" t="str">
        <f aca="false">IF(OR(MAX(L891:Q891)&lt;Rules!$H$1,MAX(L891:Q891)-LARGE(L891:Q891,2)&lt;Rules!$H$2),"No label",INDEX($L$1:$Q$1,MATCH(MAX(L891:Q891),L891:Q891,0)))</f>
        <v>No label</v>
      </c>
      <c r="S891" s="0" t="n">
        <f aca="false">SUMPRODUCT(ISNUMBER(SEARCH(" "&amp;Terms!$A$3:$A$821&amp;" ",$D891))*Terms!B$3:B$821)+Terms!B$2</f>
        <v>6.89481884852041</v>
      </c>
      <c r="T891" s="0" t="n">
        <f aca="false">SUMPRODUCT(ISNUMBER(SEARCH(" "&amp;Terms!$A$3:$A$821&amp;" ",$D891))*Terms!C$3:C$821)+Terms!C$2</f>
        <v>-2.53102451828959</v>
      </c>
      <c r="U891" s="0" t="n">
        <f aca="false">SUMPRODUCT(ISNUMBER(SEARCH(" "&amp;Terms!$A$3:$A$821&amp;" ",$D891))*Terms!D$3:D$821)+Terms!D$2</f>
        <v>0.535902993336903</v>
      </c>
      <c r="V891" s="0" t="n">
        <f aca="false">SUMPRODUCT(ISNUMBER(SEARCH(" "&amp;Terms!$A$3:$A$821&amp;" ",$D891))*Terms!E$3:E$821)+Terms!E$2</f>
        <v>-0.637401446624766</v>
      </c>
      <c r="W891" s="0" t="n">
        <f aca="false">SUMPRODUCT(ISNUMBER(SEARCH(" "&amp;Terms!$A$3:$A$821&amp;" ",$D891))*Terms!F$3:F$821)+Terms!F$2</f>
        <v>1.19465950083193</v>
      </c>
      <c r="X891" s="0" t="n">
        <f aca="false">SUMPRODUCT(ISNUMBER(SEARCH(" "&amp;Terms!$A$3:$A$821&amp;" ",$D891))*Terms!G$3:G$821)+Terms!G$2</f>
        <v>-5.4569553777748</v>
      </c>
      <c r="Y891" s="0" t="str">
        <f aca="false">INDEX($S$1:$X$1,MATCH(MAX(S891:X891),S891:X891,0))</f>
        <v>Account Access</v>
      </c>
      <c r="Z891" s="0" t="s">
        <v>2608</v>
      </c>
    </row>
    <row r="892" customFormat="false" ht="15" hidden="false" customHeight="false" outlineLevel="0" collapsed="false">
      <c r="A892" s="0" t="str">
        <f aca="false">Complaints!A892</f>
        <v>C0891</v>
      </c>
      <c r="B892" s="0" t="str">
        <f aca="false">Complaints!B892</f>
        <v>This is the second time I have raised this. Nobody explained the foreign transaction charges before my holiday. Please sort this out.</v>
      </c>
      <c r="C892" s="0" t="str">
        <f aca="false">Complaints!C892</f>
        <v>Fees &amp; Charges</v>
      </c>
      <c r="D892" s="0" t="str">
        <f aca="false">" "&amp;TRIM(SUBSTITUTE(SUBSTITUTE(SUBSTITUTE(SUBSTITUTE(SUBSTITUTE(SUBSTITUTE(SUBSTITUTE(SUBSTITUTE(SUBSTITUTE(SUBSTITUTE(SUBSTITUTE(SUBSTITUTE(SUBSTITUTE(SUBSTITUTE(SUBSTITUTE(SUBSTITUTE(LOWER(B892),"."," "),","," "),"'"," "),"’"," "),"!"," "),"?"," "),";"," "),":"," "),"-"," "),"("," "),")"," "),"""", " "),"£"," "),"&amp;"," "),"/"," "),"%"," "))&amp;" "</f>
        <v> this is the second time i have raised this nobody explained the foreign transaction charges before my holiday please sort this out </v>
      </c>
      <c r="E892" s="0" t="n">
        <f aca="false">SUMPRODUCT((Rules!$A$2:$A$60=E$1)*Rules!$C$2:$C$60*ISNUMBER(SEARCH(Rules!$D$2:$D$60,$D892)))</f>
        <v>0</v>
      </c>
      <c r="F892" s="0" t="n">
        <f aca="false">SUMPRODUCT((Rules!$A$2:$A$60=F$1)*Rules!$C$2:$C$60*ISNUMBER(SEARCH(Rules!$D$2:$D$60,$D892)))</f>
        <v>0</v>
      </c>
      <c r="G892" s="0" t="n">
        <f aca="false">SUMPRODUCT((Rules!$A$2:$A$60=G$1)*Rules!$C$2:$C$60*ISNUMBER(SEARCH(Rules!$D$2:$D$60,$D892)))</f>
        <v>0</v>
      </c>
      <c r="H892" s="0" t="n">
        <f aca="false">SUMPRODUCT((Rules!$A$2:$A$60=H$1)*Rules!$C$2:$C$60*ISNUMBER(SEARCH(Rules!$D$2:$D$60,$D892)))</f>
        <v>0</v>
      </c>
      <c r="I892" s="0" t="n">
        <f aca="false">SUMPRODUCT((Rules!$A$2:$A$60=I$1)*Rules!$C$2:$C$60*ISNUMBER(SEARCH(Rules!$D$2:$D$60,$D892)))</f>
        <v>0</v>
      </c>
      <c r="J892" s="0" t="n">
        <f aca="false">SUMPRODUCT((Rules!$A$2:$A$60=J$1)*Rules!$C$2:$C$60*ISNUMBER(SEARCH(Rules!$D$2:$D$60,$D892)))</f>
        <v>0</v>
      </c>
      <c r="K892" s="0" t="str">
        <f aca="false">IF(OR(MAX(E892:J892)&lt;Rules!$H$1,MAX(E892:J892)-LARGE(E892:J892,2)&lt;Rules!$H$2),"No label",INDEX($E$1:$J$1,MATCH(MAX(E892:J892),E892:J892,0)))</f>
        <v>No label</v>
      </c>
      <c r="L892" s="0" t="n">
        <f aca="false">SUMPRODUCT((Rules!$A$2:$A$60=L$1)*Rules!$C$2:$C$60*ISNUMBER(SEARCH(Rules!$E$2:$E$60,$D892)))</f>
        <v>0</v>
      </c>
      <c r="M892" s="0" t="n">
        <f aca="false">SUMPRODUCT((Rules!$A$2:$A$60=M$1)*Rules!$C$2:$C$60*ISNUMBER(SEARCH(Rules!$E$2:$E$60,$D892)))</f>
        <v>0</v>
      </c>
      <c r="N892" s="0" t="n">
        <f aca="false">SUMPRODUCT((Rules!$A$2:$A$60=N$1)*Rules!$C$2:$C$60*ISNUMBER(SEARCH(Rules!$E$2:$E$60,$D892)))</f>
        <v>0</v>
      </c>
      <c r="O892" s="0" t="n">
        <f aca="false">SUMPRODUCT((Rules!$A$2:$A$60=O$1)*Rules!$C$2:$C$60*ISNUMBER(SEARCH(Rules!$E$2:$E$60,$D892)))</f>
        <v>4</v>
      </c>
      <c r="P892" s="0" t="n">
        <f aca="false">SUMPRODUCT((Rules!$A$2:$A$60=P$1)*Rules!$C$2:$C$60*ISNUMBER(SEARCH(Rules!$E$2:$E$60,$D892)))</f>
        <v>0</v>
      </c>
      <c r="Q892" s="0" t="n">
        <f aca="false">SUMPRODUCT((Rules!$A$2:$A$60=Q$1)*Rules!$C$2:$C$60*ISNUMBER(SEARCH(Rules!$E$2:$E$60,$D892)))</f>
        <v>0</v>
      </c>
      <c r="R892" s="0" t="str">
        <f aca="false">IF(OR(MAX(L892:Q892)&lt;Rules!$H$1,MAX(L892:Q892)-LARGE(L892:Q892,2)&lt;Rules!$H$2),"No label",INDEX($L$1:$Q$1,MATCH(MAX(L892:Q892),L892:Q892,0)))</f>
        <v>Fees &amp; Charges</v>
      </c>
      <c r="S892" s="0" t="n">
        <f aca="false">SUMPRODUCT(ISNUMBER(SEARCH(" "&amp;Terms!$A$3:$A$821&amp;" ",$D892))*Terms!B$3:B$821)+Terms!B$2</f>
        <v>-5.08277305653341</v>
      </c>
      <c r="T892" s="0" t="n">
        <f aca="false">SUMPRODUCT(ISNUMBER(SEARCH(" "&amp;Terms!$A$3:$A$821&amp;" ",$D892))*Terms!C$3:C$821)+Terms!C$2</f>
        <v>1.47165106265672</v>
      </c>
      <c r="U892" s="0" t="n">
        <f aca="false">SUMPRODUCT(ISNUMBER(SEARCH(" "&amp;Terms!$A$3:$A$821&amp;" ",$D892))*Terms!D$3:D$821)+Terms!D$2</f>
        <v>-3.08946257659818</v>
      </c>
      <c r="V892" s="0" t="n">
        <f aca="false">SUMPRODUCT(ISNUMBER(SEARCH(" "&amp;Terms!$A$3:$A$821&amp;" ",$D892))*Terms!E$3:E$821)+Terms!E$2</f>
        <v>13.3389211171737</v>
      </c>
      <c r="W892" s="0" t="n">
        <f aca="false">SUMPRODUCT(ISNUMBER(SEARCH(" "&amp;Terms!$A$3:$A$821&amp;" ",$D892))*Terms!F$3:F$821)+Terms!F$2</f>
        <v>-2.37451479759432</v>
      </c>
      <c r="X892" s="0" t="n">
        <f aca="false">SUMPRODUCT(ISNUMBER(SEARCH(" "&amp;Terms!$A$3:$A$821&amp;" ",$D892))*Terms!G$3:G$821)+Terms!G$2</f>
        <v>-4.26382174910445</v>
      </c>
      <c r="Y892" s="0" t="str">
        <f aca="false">INDEX($S$1:$X$1,MATCH(MAX(S892:X892),S892:X892,0))</f>
        <v>Fees &amp; Charges</v>
      </c>
      <c r="Z892" s="0" t="s">
        <v>2607</v>
      </c>
    </row>
    <row r="893" customFormat="false" ht="15" hidden="false" customHeight="false" outlineLevel="0" collapsed="false">
      <c r="A893" s="0" t="str">
        <f aca="false">Complaints!A893</f>
        <v>C0892</v>
      </c>
      <c r="B893" s="0" t="str">
        <f aca="false">Complaints!B893</f>
        <v>I was charged a monthly fee that nobody told me about. Also, my account was frozen and I cannot get in to move money.</v>
      </c>
      <c r="C893" s="0" t="str">
        <f aca="false">Complaints!C893</f>
        <v>Fees &amp; Charges</v>
      </c>
      <c r="D893" s="0" t="str">
        <f aca="false">" "&amp;TRIM(SUBSTITUTE(SUBSTITUTE(SUBSTITUTE(SUBSTITUTE(SUBSTITUTE(SUBSTITUTE(SUBSTITUTE(SUBSTITUTE(SUBSTITUTE(SUBSTITUTE(SUBSTITUTE(SUBSTITUTE(SUBSTITUTE(SUBSTITUTE(SUBSTITUTE(SUBSTITUTE(LOWER(B893),"."," "),","," "),"'"," "),"’"," "),"!"," "),"?"," "),";"," "),":"," "),"-"," "),"("," "),")"," "),"""", " "),"£"," "),"&amp;"," "),"/"," "),"%"," "))&amp;" "</f>
        <v> i was charged a monthly fee that nobody told me about also my account was frozen and i cannot get in to move money </v>
      </c>
      <c r="E893" s="0" t="n">
        <f aca="false">SUMPRODUCT((Rules!$A$2:$A$60=E$1)*Rules!$C$2:$C$60*ISNUMBER(SEARCH(Rules!$D$2:$D$60,$D893)))</f>
        <v>0</v>
      </c>
      <c r="F893" s="0" t="n">
        <f aca="false">SUMPRODUCT((Rules!$A$2:$A$60=F$1)*Rules!$C$2:$C$60*ISNUMBER(SEARCH(Rules!$D$2:$D$60,$D893)))</f>
        <v>0</v>
      </c>
      <c r="G893" s="0" t="n">
        <f aca="false">SUMPRODUCT((Rules!$A$2:$A$60=G$1)*Rules!$C$2:$C$60*ISNUMBER(SEARCH(Rules!$D$2:$D$60,$D893)))</f>
        <v>0</v>
      </c>
      <c r="H893" s="0" t="n">
        <f aca="false">SUMPRODUCT((Rules!$A$2:$A$60=H$1)*Rules!$C$2:$C$60*ISNUMBER(SEARCH(Rules!$D$2:$D$60,$D893)))</f>
        <v>4</v>
      </c>
      <c r="I893" s="0" t="n">
        <f aca="false">SUMPRODUCT((Rules!$A$2:$A$60=I$1)*Rules!$C$2:$C$60*ISNUMBER(SEARCH(Rules!$D$2:$D$60,$D893)))</f>
        <v>0</v>
      </c>
      <c r="J893" s="0" t="n">
        <f aca="false">SUMPRODUCT((Rules!$A$2:$A$60=J$1)*Rules!$C$2:$C$60*ISNUMBER(SEARCH(Rules!$D$2:$D$60,$D893)))</f>
        <v>0</v>
      </c>
      <c r="K893" s="0" t="str">
        <f aca="false">IF(OR(MAX(E893:J893)&lt;Rules!$H$1,MAX(E893:J893)-LARGE(E893:J893,2)&lt;Rules!$H$2),"No label",INDEX($E$1:$J$1,MATCH(MAX(E893:J893),E893:J893,0)))</f>
        <v>Fees &amp; Charges</v>
      </c>
      <c r="L893" s="0" t="n">
        <f aca="false">SUMPRODUCT((Rules!$A$2:$A$60=L$1)*Rules!$C$2:$C$60*ISNUMBER(SEARCH(Rules!$E$2:$E$60,$D893)))</f>
        <v>0</v>
      </c>
      <c r="M893" s="0" t="n">
        <f aca="false">SUMPRODUCT((Rules!$A$2:$A$60=M$1)*Rules!$C$2:$C$60*ISNUMBER(SEARCH(Rules!$E$2:$E$60,$D893)))</f>
        <v>0</v>
      </c>
      <c r="N893" s="0" t="n">
        <f aca="false">SUMPRODUCT((Rules!$A$2:$A$60=N$1)*Rules!$C$2:$C$60*ISNUMBER(SEARCH(Rules!$E$2:$E$60,$D893)))</f>
        <v>0</v>
      </c>
      <c r="O893" s="0" t="n">
        <f aca="false">SUMPRODUCT((Rules!$A$2:$A$60=O$1)*Rules!$C$2:$C$60*ISNUMBER(SEARCH(Rules!$E$2:$E$60,$D893)))</f>
        <v>6</v>
      </c>
      <c r="P893" s="0" t="n">
        <f aca="false">SUMPRODUCT((Rules!$A$2:$A$60=P$1)*Rules!$C$2:$C$60*ISNUMBER(SEARCH(Rules!$E$2:$E$60,$D893)))</f>
        <v>0</v>
      </c>
      <c r="Q893" s="0" t="n">
        <f aca="false">SUMPRODUCT((Rules!$A$2:$A$60=Q$1)*Rules!$C$2:$C$60*ISNUMBER(SEARCH(Rules!$E$2:$E$60,$D893)))</f>
        <v>0</v>
      </c>
      <c r="R893" s="0" t="str">
        <f aca="false">IF(OR(MAX(L893:Q893)&lt;Rules!$H$1,MAX(L893:Q893)-LARGE(L893:Q893,2)&lt;Rules!$H$2),"No label",INDEX($L$1:$Q$1,MATCH(MAX(L893:Q893),L893:Q893,0)))</f>
        <v>Fees &amp; Charges</v>
      </c>
      <c r="S893" s="0" t="n">
        <f aca="false">SUMPRODUCT(ISNUMBER(SEARCH(" "&amp;Terms!$A$3:$A$821&amp;" ",$D893))*Terms!B$3:B$821)+Terms!B$2</f>
        <v>2.77817773505415</v>
      </c>
      <c r="T893" s="0" t="n">
        <f aca="false">SUMPRODUCT(ISNUMBER(SEARCH(" "&amp;Terms!$A$3:$A$821&amp;" ",$D893))*Terms!C$3:C$821)+Terms!C$2</f>
        <v>-7.9678530187358</v>
      </c>
      <c r="U893" s="0" t="n">
        <f aca="false">SUMPRODUCT(ISNUMBER(SEARCH(" "&amp;Terms!$A$3:$A$821&amp;" ",$D893))*Terms!D$3:D$821)+Terms!D$2</f>
        <v>-1.55379714716678</v>
      </c>
      <c r="V893" s="0" t="n">
        <f aca="false">SUMPRODUCT(ISNUMBER(SEARCH(" "&amp;Terms!$A$3:$A$821&amp;" ",$D893))*Terms!E$3:E$821)+Terms!E$2</f>
        <v>9.39271761810592</v>
      </c>
      <c r="W893" s="0" t="n">
        <f aca="false">SUMPRODUCT(ISNUMBER(SEARCH(" "&amp;Terms!$A$3:$A$821&amp;" ",$D893))*Terms!F$3:F$821)+Terms!F$2</f>
        <v>-1.2732241494056</v>
      </c>
      <c r="X893" s="0" t="n">
        <f aca="false">SUMPRODUCT(ISNUMBER(SEARCH(" "&amp;Terms!$A$3:$A$821&amp;" ",$D893))*Terms!G$3:G$821)+Terms!G$2</f>
        <v>-1.37602103785179</v>
      </c>
      <c r="Y893" s="0" t="str">
        <f aca="false">INDEX($S$1:$X$1,MATCH(MAX(S893:X893),S893:X893,0))</f>
        <v>Fees &amp; Charges</v>
      </c>
      <c r="Z893" s="0" t="s">
        <v>2608</v>
      </c>
    </row>
    <row r="894" customFormat="false" ht="15" hidden="false" customHeight="false" outlineLevel="0" collapsed="false">
      <c r="A894" s="0" t="str">
        <f aca="false">Complaints!A894</f>
        <v>C0893</v>
      </c>
      <c r="B894" s="0" t="str">
        <f aca="false">Complaints!B894</f>
        <v>I have been a customer for years. You promised the money within three working days and it is still outstanding. There was also a fee involved. I want this put right.</v>
      </c>
      <c r="C894" s="0" t="str">
        <f aca="false">Complaints!C894</f>
        <v>Delays &amp; Processing</v>
      </c>
      <c r="D894" s="0" t="str">
        <f aca="false">" "&amp;TRIM(SUBSTITUTE(SUBSTITUTE(SUBSTITUTE(SUBSTITUTE(SUBSTITUTE(SUBSTITUTE(SUBSTITUTE(SUBSTITUTE(SUBSTITUTE(SUBSTITUTE(SUBSTITUTE(SUBSTITUTE(SUBSTITUTE(SUBSTITUTE(SUBSTITUTE(SUBSTITUTE(LOWER(B894),"."," "),","," "),"'"," "),"’"," "),"!"," "),"?"," "),";"," "),":"," "),"-"," "),"("," "),")"," "),"""", " "),"£"," "),"&amp;"," "),"/"," "),"%"," "))&amp;" "</f>
        <v> i have been a customer for years you promised the money within three working days and it is still outstanding there was also a fee involved i want this put right </v>
      </c>
      <c r="E894" s="0" t="n">
        <f aca="false">SUMPRODUCT((Rules!$A$2:$A$60=E$1)*Rules!$C$2:$C$60*ISNUMBER(SEARCH(Rules!$D$2:$D$60,$D894)))</f>
        <v>0</v>
      </c>
      <c r="F894" s="0" t="n">
        <f aca="false">SUMPRODUCT((Rules!$A$2:$A$60=F$1)*Rules!$C$2:$C$60*ISNUMBER(SEARCH(Rules!$D$2:$D$60,$D894)))</f>
        <v>1</v>
      </c>
      <c r="G894" s="0" t="n">
        <f aca="false">SUMPRODUCT((Rules!$A$2:$A$60=G$1)*Rules!$C$2:$C$60*ISNUMBER(SEARCH(Rules!$D$2:$D$60,$D894)))</f>
        <v>0</v>
      </c>
      <c r="H894" s="0" t="n">
        <f aca="false">SUMPRODUCT((Rules!$A$2:$A$60=H$1)*Rules!$C$2:$C$60*ISNUMBER(SEARCH(Rules!$D$2:$D$60,$D894)))</f>
        <v>2</v>
      </c>
      <c r="I894" s="0" t="n">
        <f aca="false">SUMPRODUCT((Rules!$A$2:$A$60=I$1)*Rules!$C$2:$C$60*ISNUMBER(SEARCH(Rules!$D$2:$D$60,$D894)))</f>
        <v>2</v>
      </c>
      <c r="J894" s="0" t="n">
        <f aca="false">SUMPRODUCT((Rules!$A$2:$A$60=J$1)*Rules!$C$2:$C$60*ISNUMBER(SEARCH(Rules!$D$2:$D$60,$D894)))</f>
        <v>0</v>
      </c>
      <c r="K894" s="0" t="str">
        <f aca="false">IF(OR(MAX(E894:J894)&lt;Rules!$H$1,MAX(E894:J894)-LARGE(E894:J894,2)&lt;Rules!$H$2),"No label",INDEX($E$1:$J$1,MATCH(MAX(E894:J894),E894:J894,0)))</f>
        <v>No label</v>
      </c>
      <c r="L894" s="0" t="n">
        <f aca="false">SUMPRODUCT((Rules!$A$2:$A$60=L$1)*Rules!$C$2:$C$60*ISNUMBER(SEARCH(Rules!$E$2:$E$60,$D894)))</f>
        <v>0</v>
      </c>
      <c r="M894" s="0" t="n">
        <f aca="false">SUMPRODUCT((Rules!$A$2:$A$60=M$1)*Rules!$C$2:$C$60*ISNUMBER(SEARCH(Rules!$E$2:$E$60,$D894)))</f>
        <v>1</v>
      </c>
      <c r="N894" s="0" t="n">
        <f aca="false">SUMPRODUCT((Rules!$A$2:$A$60=N$1)*Rules!$C$2:$C$60*ISNUMBER(SEARCH(Rules!$E$2:$E$60,$D894)))</f>
        <v>0</v>
      </c>
      <c r="O894" s="0" t="n">
        <f aca="false">SUMPRODUCT((Rules!$A$2:$A$60=O$1)*Rules!$C$2:$C$60*ISNUMBER(SEARCH(Rules!$E$2:$E$60,$D894)))</f>
        <v>2</v>
      </c>
      <c r="P894" s="0" t="n">
        <f aca="false">SUMPRODUCT((Rules!$A$2:$A$60=P$1)*Rules!$C$2:$C$60*ISNUMBER(SEARCH(Rules!$E$2:$E$60,$D894)))</f>
        <v>2</v>
      </c>
      <c r="Q894" s="0" t="n">
        <f aca="false">SUMPRODUCT((Rules!$A$2:$A$60=Q$1)*Rules!$C$2:$C$60*ISNUMBER(SEARCH(Rules!$E$2:$E$60,$D894)))</f>
        <v>0</v>
      </c>
      <c r="R894" s="0" t="str">
        <f aca="false">IF(OR(MAX(L894:Q894)&lt;Rules!$H$1,MAX(L894:Q894)-LARGE(L894:Q894,2)&lt;Rules!$H$2),"No label",INDEX($L$1:$Q$1,MATCH(MAX(L894:Q894),L894:Q894,0)))</f>
        <v>No label</v>
      </c>
      <c r="S894" s="0" t="n">
        <f aca="false">SUMPRODUCT(ISNUMBER(SEARCH(" "&amp;Terms!$A$3:$A$821&amp;" ",$D894))*Terms!B$3:B$821)+Terms!B$2</f>
        <v>1.76350769255244</v>
      </c>
      <c r="T894" s="0" t="n">
        <f aca="false">SUMPRODUCT(ISNUMBER(SEARCH(" "&amp;Terms!$A$3:$A$821&amp;" ",$D894))*Terms!C$3:C$821)+Terms!C$2</f>
        <v>-6.25595231106773</v>
      </c>
      <c r="U894" s="0" t="n">
        <f aca="false">SUMPRODUCT(ISNUMBER(SEARCH(" "&amp;Terms!$A$3:$A$821&amp;" ",$D894))*Terms!D$3:D$821)+Terms!D$2</f>
        <v>6.77805194523209</v>
      </c>
      <c r="V894" s="0" t="n">
        <f aca="false">SUMPRODUCT(ISNUMBER(SEARCH(" "&amp;Terms!$A$3:$A$821&amp;" ",$D894))*Terms!E$3:E$821)+Terms!E$2</f>
        <v>0.316921692117822</v>
      </c>
      <c r="W894" s="0" t="n">
        <f aca="false">SUMPRODUCT(ISNUMBER(SEARCH(" "&amp;Terms!$A$3:$A$821&amp;" ",$D894))*Terms!F$3:F$821)+Terms!F$2</f>
        <v>-0.776970219145032</v>
      </c>
      <c r="X894" s="0" t="n">
        <f aca="false">SUMPRODUCT(ISNUMBER(SEARCH(" "&amp;Terms!$A$3:$A$821&amp;" ",$D894))*Terms!G$3:G$821)+Terms!G$2</f>
        <v>-1.82555879968948</v>
      </c>
      <c r="Y894" s="0" t="str">
        <f aca="false">INDEX($S$1:$X$1,MATCH(MAX(S894:X894),S894:X894,0))</f>
        <v>Delays &amp; Processing</v>
      </c>
      <c r="Z894" s="0" t="s">
        <v>2608</v>
      </c>
    </row>
    <row r="895" customFormat="false" ht="15" hidden="false" customHeight="false" outlineLevel="0" collapsed="false">
      <c r="A895" s="0" t="str">
        <f aca="false">Complaints!A895</f>
        <v>C0894</v>
      </c>
      <c r="B895" s="0" t="str">
        <f aca="false">Complaints!B895</f>
        <v>Nobody has responded to my emails despite three reminders. I do not think it was explained properly when I bought it. I expect compensation.</v>
      </c>
      <c r="C895" s="0" t="str">
        <f aca="false">Complaints!C895</f>
        <v>Customer Service</v>
      </c>
      <c r="D895" s="0" t="str">
        <f aca="false">" "&amp;TRIM(SUBSTITUTE(SUBSTITUTE(SUBSTITUTE(SUBSTITUTE(SUBSTITUTE(SUBSTITUTE(SUBSTITUTE(SUBSTITUTE(SUBSTITUTE(SUBSTITUTE(SUBSTITUTE(SUBSTITUTE(SUBSTITUTE(SUBSTITUTE(SUBSTITUTE(SUBSTITUTE(LOWER(B895),"."," "),","," "),"'"," "),"’"," "),"!"," "),"?"," "),";"," "),":"," "),"-"," "),"("," "),")"," "),"""", " "),"£"," "),"&amp;"," "),"/"," "),"%"," "))&amp;" "</f>
        <v> nobody has responded to my emails despite three reminders i do not think it was explained properly when i bought it i expect compensation </v>
      </c>
      <c r="E895" s="0" t="n">
        <f aca="false">SUMPRODUCT((Rules!$A$2:$A$60=E$1)*Rules!$C$2:$C$60*ISNUMBER(SEARCH(Rules!$D$2:$D$60,$D895)))</f>
        <v>0</v>
      </c>
      <c r="F895" s="0" t="n">
        <f aca="false">SUMPRODUCT((Rules!$A$2:$A$60=F$1)*Rules!$C$2:$C$60*ISNUMBER(SEARCH(Rules!$D$2:$D$60,$D895)))</f>
        <v>0</v>
      </c>
      <c r="G895" s="0" t="n">
        <f aca="false">SUMPRODUCT((Rules!$A$2:$A$60=G$1)*Rules!$C$2:$C$60*ISNUMBER(SEARCH(Rules!$D$2:$D$60,$D895)))</f>
        <v>0</v>
      </c>
      <c r="H895" s="0" t="n">
        <f aca="false">SUMPRODUCT((Rules!$A$2:$A$60=H$1)*Rules!$C$2:$C$60*ISNUMBER(SEARCH(Rules!$D$2:$D$60,$D895)))</f>
        <v>0</v>
      </c>
      <c r="I895" s="0" t="n">
        <f aca="false">SUMPRODUCT((Rules!$A$2:$A$60=I$1)*Rules!$C$2:$C$60*ISNUMBER(SEARCH(Rules!$D$2:$D$60,$D895)))</f>
        <v>0</v>
      </c>
      <c r="J895" s="0" t="n">
        <f aca="false">SUMPRODUCT((Rules!$A$2:$A$60=J$1)*Rules!$C$2:$C$60*ISNUMBER(SEARCH(Rules!$D$2:$D$60,$D895)))</f>
        <v>2</v>
      </c>
      <c r="K895" s="0" t="str">
        <f aca="false">IF(OR(MAX(E895:J895)&lt;Rules!$H$1,MAX(E895:J895)-LARGE(E895:J895,2)&lt;Rules!$H$2),"No label",INDEX($E$1:$J$1,MATCH(MAX(E895:J895),E895:J895,0)))</f>
        <v>No label</v>
      </c>
      <c r="L895" s="0" t="n">
        <f aca="false">SUMPRODUCT((Rules!$A$2:$A$60=L$1)*Rules!$C$2:$C$60*ISNUMBER(SEARCH(Rules!$E$2:$E$60,$D895)))</f>
        <v>0</v>
      </c>
      <c r="M895" s="0" t="n">
        <f aca="false">SUMPRODUCT((Rules!$A$2:$A$60=M$1)*Rules!$C$2:$C$60*ISNUMBER(SEARCH(Rules!$E$2:$E$60,$D895)))</f>
        <v>0</v>
      </c>
      <c r="N895" s="0" t="n">
        <f aca="false">SUMPRODUCT((Rules!$A$2:$A$60=N$1)*Rules!$C$2:$C$60*ISNUMBER(SEARCH(Rules!$E$2:$E$60,$D895)))</f>
        <v>0</v>
      </c>
      <c r="O895" s="0" t="n">
        <f aca="false">SUMPRODUCT((Rules!$A$2:$A$60=O$1)*Rules!$C$2:$C$60*ISNUMBER(SEARCH(Rules!$E$2:$E$60,$D895)))</f>
        <v>0</v>
      </c>
      <c r="P895" s="0" t="n">
        <f aca="false">SUMPRODUCT((Rules!$A$2:$A$60=P$1)*Rules!$C$2:$C$60*ISNUMBER(SEARCH(Rules!$E$2:$E$60,$D895)))</f>
        <v>0</v>
      </c>
      <c r="Q895" s="0" t="n">
        <f aca="false">SUMPRODUCT((Rules!$A$2:$A$60=Q$1)*Rules!$C$2:$C$60*ISNUMBER(SEARCH(Rules!$E$2:$E$60,$D895)))</f>
        <v>2</v>
      </c>
      <c r="R895" s="0" t="str">
        <f aca="false">IF(OR(MAX(L895:Q895)&lt;Rules!$H$1,MAX(L895:Q895)-LARGE(L895:Q895,2)&lt;Rules!$H$2),"No label",INDEX($L$1:$Q$1,MATCH(MAX(L895:Q895),L895:Q895,0)))</f>
        <v>No label</v>
      </c>
      <c r="S895" s="0" t="n">
        <f aca="false">SUMPRODUCT(ISNUMBER(SEARCH(" "&amp;Terms!$A$3:$A$821&amp;" ",$D895))*Terms!B$3:B$821)+Terms!B$2</f>
        <v>-1.04516735254107</v>
      </c>
      <c r="T895" s="0" t="n">
        <f aca="false">SUMPRODUCT(ISNUMBER(SEARCH(" "&amp;Terms!$A$3:$A$821&amp;" ",$D895))*Terms!C$3:C$821)+Terms!C$2</f>
        <v>8.37108971138505</v>
      </c>
      <c r="U895" s="0" t="n">
        <f aca="false">SUMPRODUCT(ISNUMBER(SEARCH(" "&amp;Terms!$A$3:$A$821&amp;" ",$D895))*Terms!D$3:D$821)+Terms!D$2</f>
        <v>-3.61236392083097</v>
      </c>
      <c r="V895" s="0" t="n">
        <f aca="false">SUMPRODUCT(ISNUMBER(SEARCH(" "&amp;Terms!$A$3:$A$821&amp;" ",$D895))*Terms!E$3:E$821)+Terms!E$2</f>
        <v>0.19995822011531</v>
      </c>
      <c r="W895" s="0" t="n">
        <f aca="false">SUMPRODUCT(ISNUMBER(SEARCH(" "&amp;Terms!$A$3:$A$821&amp;" ",$D895))*Terms!F$3:F$821)+Terms!F$2</f>
        <v>1.49579805928691</v>
      </c>
      <c r="X895" s="0" t="n">
        <f aca="false">SUMPRODUCT(ISNUMBER(SEARCH(" "&amp;Terms!$A$3:$A$821&amp;" ",$D895))*Terms!G$3:G$821)+Terms!G$2</f>
        <v>-5.40931471741514</v>
      </c>
      <c r="Y895" s="0" t="str">
        <f aca="false">INDEX($S$1:$X$1,MATCH(MAX(S895:X895),S895:X895,0))</f>
        <v>Customer Service</v>
      </c>
      <c r="Z895" s="0" t="s">
        <v>2607</v>
      </c>
    </row>
    <row r="896" customFormat="false" ht="15" hidden="false" customHeight="false" outlineLevel="0" collapsed="false">
      <c r="A896" s="0" t="str">
        <f aca="false">Complaints!A896</f>
        <v>C0895</v>
      </c>
      <c r="B896" s="0" t="str">
        <f aca="false">Complaints!B896</f>
        <v>Nobody has responded to my emails despite three reminders. I expect compensation.</v>
      </c>
      <c r="C896" s="0" t="str">
        <f aca="false">Complaints!C896</f>
        <v>Customer Service</v>
      </c>
      <c r="D896" s="0" t="str">
        <f aca="false">" "&amp;TRIM(SUBSTITUTE(SUBSTITUTE(SUBSTITUTE(SUBSTITUTE(SUBSTITUTE(SUBSTITUTE(SUBSTITUTE(SUBSTITUTE(SUBSTITUTE(SUBSTITUTE(SUBSTITUTE(SUBSTITUTE(SUBSTITUTE(SUBSTITUTE(SUBSTITUTE(SUBSTITUTE(LOWER(B896),"."," "),","," "),"'"," "),"’"," "),"!"," "),"?"," "),";"," "),":"," "),"-"," "),"("," "),")"," "),"""", " "),"£"," "),"&amp;"," "),"/"," "),"%"," "))&amp;" "</f>
        <v> nobody has responded to my emails despite three reminders i expect compensation </v>
      </c>
      <c r="E896" s="0" t="n">
        <f aca="false">SUMPRODUCT((Rules!$A$2:$A$60=E$1)*Rules!$C$2:$C$60*ISNUMBER(SEARCH(Rules!$D$2:$D$60,$D896)))</f>
        <v>0</v>
      </c>
      <c r="F896" s="0" t="n">
        <f aca="false">SUMPRODUCT((Rules!$A$2:$A$60=F$1)*Rules!$C$2:$C$60*ISNUMBER(SEARCH(Rules!$D$2:$D$60,$D896)))</f>
        <v>0</v>
      </c>
      <c r="G896" s="0" t="n">
        <f aca="false">SUMPRODUCT((Rules!$A$2:$A$60=G$1)*Rules!$C$2:$C$60*ISNUMBER(SEARCH(Rules!$D$2:$D$60,$D896)))</f>
        <v>0</v>
      </c>
      <c r="H896" s="0" t="n">
        <f aca="false">SUMPRODUCT((Rules!$A$2:$A$60=H$1)*Rules!$C$2:$C$60*ISNUMBER(SEARCH(Rules!$D$2:$D$60,$D896)))</f>
        <v>0</v>
      </c>
      <c r="I896" s="0" t="n">
        <f aca="false">SUMPRODUCT((Rules!$A$2:$A$60=I$1)*Rules!$C$2:$C$60*ISNUMBER(SEARCH(Rules!$D$2:$D$60,$D896)))</f>
        <v>0</v>
      </c>
      <c r="J896" s="0" t="n">
        <f aca="false">SUMPRODUCT((Rules!$A$2:$A$60=J$1)*Rules!$C$2:$C$60*ISNUMBER(SEARCH(Rules!$D$2:$D$60,$D896)))</f>
        <v>2</v>
      </c>
      <c r="K896" s="0" t="str">
        <f aca="false">IF(OR(MAX(E896:J896)&lt;Rules!$H$1,MAX(E896:J896)-LARGE(E896:J896,2)&lt;Rules!$H$2),"No label",INDEX($E$1:$J$1,MATCH(MAX(E896:J896),E896:J896,0)))</f>
        <v>No label</v>
      </c>
      <c r="L896" s="0" t="n">
        <f aca="false">SUMPRODUCT((Rules!$A$2:$A$60=L$1)*Rules!$C$2:$C$60*ISNUMBER(SEARCH(Rules!$E$2:$E$60,$D896)))</f>
        <v>0</v>
      </c>
      <c r="M896" s="0" t="n">
        <f aca="false">SUMPRODUCT((Rules!$A$2:$A$60=M$1)*Rules!$C$2:$C$60*ISNUMBER(SEARCH(Rules!$E$2:$E$60,$D896)))</f>
        <v>0</v>
      </c>
      <c r="N896" s="0" t="n">
        <f aca="false">SUMPRODUCT((Rules!$A$2:$A$60=N$1)*Rules!$C$2:$C$60*ISNUMBER(SEARCH(Rules!$E$2:$E$60,$D896)))</f>
        <v>0</v>
      </c>
      <c r="O896" s="0" t="n">
        <f aca="false">SUMPRODUCT((Rules!$A$2:$A$60=O$1)*Rules!$C$2:$C$60*ISNUMBER(SEARCH(Rules!$E$2:$E$60,$D896)))</f>
        <v>0</v>
      </c>
      <c r="P896" s="0" t="n">
        <f aca="false">SUMPRODUCT((Rules!$A$2:$A$60=P$1)*Rules!$C$2:$C$60*ISNUMBER(SEARCH(Rules!$E$2:$E$60,$D896)))</f>
        <v>0</v>
      </c>
      <c r="Q896" s="0" t="n">
        <f aca="false">SUMPRODUCT((Rules!$A$2:$A$60=Q$1)*Rules!$C$2:$C$60*ISNUMBER(SEARCH(Rules!$E$2:$E$60,$D896)))</f>
        <v>2</v>
      </c>
      <c r="R896" s="0" t="str">
        <f aca="false">IF(OR(MAX(L896:Q896)&lt;Rules!$H$1,MAX(L896:Q896)-LARGE(L896:Q896,2)&lt;Rules!$H$2),"No label",INDEX($L$1:$Q$1,MATCH(MAX(L896:Q896),L896:Q896,0)))</f>
        <v>No label</v>
      </c>
      <c r="S896" s="0" t="n">
        <f aca="false">SUMPRODUCT(ISNUMBER(SEARCH(" "&amp;Terms!$A$3:$A$821&amp;" ",$D896))*Terms!B$3:B$821)+Terms!B$2</f>
        <v>-0.856478771087816</v>
      </c>
      <c r="T896" s="0" t="n">
        <f aca="false">SUMPRODUCT(ISNUMBER(SEARCH(" "&amp;Terms!$A$3:$A$821&amp;" ",$D896))*Terms!C$3:C$821)+Terms!C$2</f>
        <v>8.58577312126099</v>
      </c>
      <c r="U896" s="0" t="n">
        <f aca="false">SUMPRODUCT(ISNUMBER(SEARCH(" "&amp;Terms!$A$3:$A$821&amp;" ",$D896))*Terms!D$3:D$821)+Terms!D$2</f>
        <v>-2.64880881898854</v>
      </c>
      <c r="V896" s="0" t="n">
        <f aca="false">SUMPRODUCT(ISNUMBER(SEARCH(" "&amp;Terms!$A$3:$A$821&amp;" ",$D896))*Terms!E$3:E$821)+Terms!E$2</f>
        <v>-1.99141597506724</v>
      </c>
      <c r="W896" s="0" t="n">
        <f aca="false">SUMPRODUCT(ISNUMBER(SEARCH(" "&amp;Terms!$A$3:$A$821&amp;" ",$D896))*Terms!F$3:F$821)+Terms!F$2</f>
        <v>-0.327567654964972</v>
      </c>
      <c r="X896" s="0" t="n">
        <f aca="false">SUMPRODUCT(ISNUMBER(SEARCH(" "&amp;Terms!$A$3:$A$821&amp;" ",$D896))*Terms!G$3:G$821)+Terms!G$2</f>
        <v>-2.76150190115233</v>
      </c>
      <c r="Y896" s="0" t="str">
        <f aca="false">INDEX($S$1:$X$1,MATCH(MAX(S896:X896),S896:X896,0))</f>
        <v>Customer Service</v>
      </c>
      <c r="Z896" s="0" t="s">
        <v>2607</v>
      </c>
    </row>
    <row r="897" customFormat="false" ht="15" hidden="false" customHeight="false" outlineLevel="0" collapsed="false">
      <c r="A897" s="0" t="str">
        <f aca="false">Complaints!A897</f>
        <v>C0896</v>
      </c>
      <c r="B897" s="0" t="str">
        <f aca="false">Complaints!B897</f>
        <v>Frankly, The salesperson pushed me into a plan I did not need. Please sort this out.</v>
      </c>
      <c r="C897" s="0" t="str">
        <f aca="false">Complaints!C897</f>
        <v>Mis-selling</v>
      </c>
      <c r="D897" s="0" t="str">
        <f aca="false">" "&amp;TRIM(SUBSTITUTE(SUBSTITUTE(SUBSTITUTE(SUBSTITUTE(SUBSTITUTE(SUBSTITUTE(SUBSTITUTE(SUBSTITUTE(SUBSTITUTE(SUBSTITUTE(SUBSTITUTE(SUBSTITUTE(SUBSTITUTE(SUBSTITUTE(SUBSTITUTE(SUBSTITUTE(LOWER(B897),"."," "),","," "),"'"," "),"’"," "),"!"," "),"?"," "),";"," "),":"," "),"-"," "),"("," "),")"," "),"""", " "),"£"," "),"&amp;"," "),"/"," "),"%"," "))&amp;" "</f>
        <v> frankly the salesperson pushed me into a plan i did not need please sort this out </v>
      </c>
      <c r="E897" s="0" t="n">
        <f aca="false">SUMPRODUCT((Rules!$A$2:$A$60=E$1)*Rules!$C$2:$C$60*ISNUMBER(SEARCH(Rules!$D$2:$D$60,$D897)))</f>
        <v>0</v>
      </c>
      <c r="F897" s="0" t="n">
        <f aca="false">SUMPRODUCT((Rules!$A$2:$A$60=F$1)*Rules!$C$2:$C$60*ISNUMBER(SEARCH(Rules!$D$2:$D$60,$D897)))</f>
        <v>2</v>
      </c>
      <c r="G897" s="0" t="n">
        <f aca="false">SUMPRODUCT((Rules!$A$2:$A$60=G$1)*Rules!$C$2:$C$60*ISNUMBER(SEARCH(Rules!$D$2:$D$60,$D897)))</f>
        <v>0</v>
      </c>
      <c r="H897" s="0" t="n">
        <f aca="false">SUMPRODUCT((Rules!$A$2:$A$60=H$1)*Rules!$C$2:$C$60*ISNUMBER(SEARCH(Rules!$D$2:$D$60,$D897)))</f>
        <v>0</v>
      </c>
      <c r="I897" s="0" t="n">
        <f aca="false">SUMPRODUCT((Rules!$A$2:$A$60=I$1)*Rules!$C$2:$C$60*ISNUMBER(SEARCH(Rules!$D$2:$D$60,$D897)))</f>
        <v>0</v>
      </c>
      <c r="J897" s="0" t="n">
        <f aca="false">SUMPRODUCT((Rules!$A$2:$A$60=J$1)*Rules!$C$2:$C$60*ISNUMBER(SEARCH(Rules!$D$2:$D$60,$D897)))</f>
        <v>0</v>
      </c>
      <c r="K897" s="0" t="str">
        <f aca="false">IF(OR(MAX(E897:J897)&lt;Rules!$H$1,MAX(E897:J897)-LARGE(E897:J897,2)&lt;Rules!$H$2),"No label",INDEX($E$1:$J$1,MATCH(MAX(E897:J897),E897:J897,0)))</f>
        <v>No label</v>
      </c>
      <c r="L897" s="0" t="n">
        <f aca="false">SUMPRODUCT((Rules!$A$2:$A$60=L$1)*Rules!$C$2:$C$60*ISNUMBER(SEARCH(Rules!$E$2:$E$60,$D897)))</f>
        <v>0</v>
      </c>
      <c r="M897" s="0" t="n">
        <f aca="false">SUMPRODUCT((Rules!$A$2:$A$60=M$1)*Rules!$C$2:$C$60*ISNUMBER(SEARCH(Rules!$E$2:$E$60,$D897)))</f>
        <v>2</v>
      </c>
      <c r="N897" s="0" t="n">
        <f aca="false">SUMPRODUCT((Rules!$A$2:$A$60=N$1)*Rules!$C$2:$C$60*ISNUMBER(SEARCH(Rules!$E$2:$E$60,$D897)))</f>
        <v>0</v>
      </c>
      <c r="O897" s="0" t="n">
        <f aca="false">SUMPRODUCT((Rules!$A$2:$A$60=O$1)*Rules!$C$2:$C$60*ISNUMBER(SEARCH(Rules!$E$2:$E$60,$D897)))</f>
        <v>0</v>
      </c>
      <c r="P897" s="0" t="n">
        <f aca="false">SUMPRODUCT((Rules!$A$2:$A$60=P$1)*Rules!$C$2:$C$60*ISNUMBER(SEARCH(Rules!$E$2:$E$60,$D897)))</f>
        <v>0</v>
      </c>
      <c r="Q897" s="0" t="n">
        <f aca="false">SUMPRODUCT((Rules!$A$2:$A$60=Q$1)*Rules!$C$2:$C$60*ISNUMBER(SEARCH(Rules!$E$2:$E$60,$D897)))</f>
        <v>0</v>
      </c>
      <c r="R897" s="0" t="str">
        <f aca="false">IF(OR(MAX(L897:Q897)&lt;Rules!$H$1,MAX(L897:Q897)-LARGE(L897:Q897,2)&lt;Rules!$H$2),"No label",INDEX($L$1:$Q$1,MATCH(MAX(L897:Q897),L897:Q897,0)))</f>
        <v>No label</v>
      </c>
      <c r="S897" s="0" t="n">
        <f aca="false">SUMPRODUCT(ISNUMBER(SEARCH(" "&amp;Terms!$A$3:$A$821&amp;" ",$D897))*Terms!B$3:B$821)+Terms!B$2</f>
        <v>-5.53731788337302</v>
      </c>
      <c r="T897" s="0" t="n">
        <f aca="false">SUMPRODUCT(ISNUMBER(SEARCH(" "&amp;Terms!$A$3:$A$821&amp;" ",$D897))*Terms!C$3:C$821)+Terms!C$2</f>
        <v>1.16181845714455</v>
      </c>
      <c r="U897" s="0" t="n">
        <f aca="false">SUMPRODUCT(ISNUMBER(SEARCH(" "&amp;Terms!$A$3:$A$821&amp;" ",$D897))*Terms!D$3:D$821)+Terms!D$2</f>
        <v>-4.23352521213634</v>
      </c>
      <c r="V897" s="0" t="n">
        <f aca="false">SUMPRODUCT(ISNUMBER(SEARCH(" "&amp;Terms!$A$3:$A$821&amp;" ",$D897))*Terms!E$3:E$821)+Terms!E$2</f>
        <v>-0.285840050774918</v>
      </c>
      <c r="W897" s="0" t="n">
        <f aca="false">SUMPRODUCT(ISNUMBER(SEARCH(" "&amp;Terms!$A$3:$A$821&amp;" ",$D897))*Terms!F$3:F$821)+Terms!F$2</f>
        <v>0.742103068400147</v>
      </c>
      <c r="X897" s="0" t="n">
        <f aca="false">SUMPRODUCT(ISNUMBER(SEARCH(" "&amp;Terms!$A$3:$A$821&amp;" ",$D897))*Terms!G$3:G$821)+Terms!G$2</f>
        <v>8.15276162073968</v>
      </c>
      <c r="Y897" s="0" t="str">
        <f aca="false">INDEX($S$1:$X$1,MATCH(MAX(S897:X897),S897:X897,0))</f>
        <v>Mis-selling</v>
      </c>
      <c r="Z897" s="0" t="s">
        <v>2607</v>
      </c>
    </row>
    <row r="898" customFormat="false" ht="15" hidden="false" customHeight="false" outlineLevel="0" collapsed="false">
      <c r="A898" s="0" t="str">
        <f aca="false">Complaints!A898</f>
        <v>C0897</v>
      </c>
      <c r="B898" s="0" t="str">
        <f aca="false">Complaints!B898</f>
        <v>The payment still has not arrived in my account. I expect compensation.</v>
      </c>
      <c r="C898" s="0" t="str">
        <f aca="false">Complaints!C898</f>
        <v>Delays &amp; Processing</v>
      </c>
      <c r="D898" s="0" t="str">
        <f aca="false">" "&amp;TRIM(SUBSTITUTE(SUBSTITUTE(SUBSTITUTE(SUBSTITUTE(SUBSTITUTE(SUBSTITUTE(SUBSTITUTE(SUBSTITUTE(SUBSTITUTE(SUBSTITUTE(SUBSTITUTE(SUBSTITUTE(SUBSTITUTE(SUBSTITUTE(SUBSTITUTE(SUBSTITUTE(LOWER(B898),"."," "),","," "),"'"," "),"’"," "),"!"," "),"?"," "),";"," "),":"," "),"-"," "),"("," "),")"," "),"""", " "),"£"," "),"&amp;"," "),"/"," "),"%"," "))&amp;" "</f>
        <v> the payment still has not arrived in my account i expect compensation </v>
      </c>
      <c r="E898" s="0" t="n">
        <f aca="false">SUMPRODUCT((Rules!$A$2:$A$60=E$1)*Rules!$C$2:$C$60*ISNUMBER(SEARCH(Rules!$D$2:$D$60,$D898)))</f>
        <v>0</v>
      </c>
      <c r="F898" s="0" t="n">
        <f aca="false">SUMPRODUCT((Rules!$A$2:$A$60=F$1)*Rules!$C$2:$C$60*ISNUMBER(SEARCH(Rules!$D$2:$D$60,$D898)))</f>
        <v>0</v>
      </c>
      <c r="G898" s="0" t="n">
        <f aca="false">SUMPRODUCT((Rules!$A$2:$A$60=G$1)*Rules!$C$2:$C$60*ISNUMBER(SEARCH(Rules!$D$2:$D$60,$D898)))</f>
        <v>0</v>
      </c>
      <c r="H898" s="0" t="n">
        <f aca="false">SUMPRODUCT((Rules!$A$2:$A$60=H$1)*Rules!$C$2:$C$60*ISNUMBER(SEARCH(Rules!$D$2:$D$60,$D898)))</f>
        <v>0</v>
      </c>
      <c r="I898" s="0" t="n">
        <f aca="false">SUMPRODUCT((Rules!$A$2:$A$60=I$1)*Rules!$C$2:$C$60*ISNUMBER(SEARCH(Rules!$D$2:$D$60,$D898)))</f>
        <v>2</v>
      </c>
      <c r="J898" s="0" t="n">
        <f aca="false">SUMPRODUCT((Rules!$A$2:$A$60=J$1)*Rules!$C$2:$C$60*ISNUMBER(SEARCH(Rules!$D$2:$D$60,$D898)))</f>
        <v>0</v>
      </c>
      <c r="K898" s="0" t="str">
        <f aca="false">IF(OR(MAX(E898:J898)&lt;Rules!$H$1,MAX(E898:J898)-LARGE(E898:J898,2)&lt;Rules!$H$2),"No label",INDEX($E$1:$J$1,MATCH(MAX(E898:J898),E898:J898,0)))</f>
        <v>No label</v>
      </c>
      <c r="L898" s="0" t="n">
        <f aca="false">SUMPRODUCT((Rules!$A$2:$A$60=L$1)*Rules!$C$2:$C$60*ISNUMBER(SEARCH(Rules!$E$2:$E$60,$D898)))</f>
        <v>0</v>
      </c>
      <c r="M898" s="0" t="n">
        <f aca="false">SUMPRODUCT((Rules!$A$2:$A$60=M$1)*Rules!$C$2:$C$60*ISNUMBER(SEARCH(Rules!$E$2:$E$60,$D898)))</f>
        <v>0</v>
      </c>
      <c r="N898" s="0" t="n">
        <f aca="false">SUMPRODUCT((Rules!$A$2:$A$60=N$1)*Rules!$C$2:$C$60*ISNUMBER(SEARCH(Rules!$E$2:$E$60,$D898)))</f>
        <v>0</v>
      </c>
      <c r="O898" s="0" t="n">
        <f aca="false">SUMPRODUCT((Rules!$A$2:$A$60=O$1)*Rules!$C$2:$C$60*ISNUMBER(SEARCH(Rules!$E$2:$E$60,$D898)))</f>
        <v>0</v>
      </c>
      <c r="P898" s="0" t="n">
        <f aca="false">SUMPRODUCT((Rules!$A$2:$A$60=P$1)*Rules!$C$2:$C$60*ISNUMBER(SEARCH(Rules!$E$2:$E$60,$D898)))</f>
        <v>2</v>
      </c>
      <c r="Q898" s="0" t="n">
        <f aca="false">SUMPRODUCT((Rules!$A$2:$A$60=Q$1)*Rules!$C$2:$C$60*ISNUMBER(SEARCH(Rules!$E$2:$E$60,$D898)))</f>
        <v>0</v>
      </c>
      <c r="R898" s="0" t="str">
        <f aca="false">IF(OR(MAX(L898:Q898)&lt;Rules!$H$1,MAX(L898:Q898)-LARGE(L898:Q898,2)&lt;Rules!$H$2),"No label",INDEX($L$1:$Q$1,MATCH(MAX(L898:Q898),L898:Q898,0)))</f>
        <v>No label</v>
      </c>
      <c r="S898" s="0" t="n">
        <f aca="false">SUMPRODUCT(ISNUMBER(SEARCH(" "&amp;Terms!$A$3:$A$821&amp;" ",$D898))*Terms!B$3:B$821)+Terms!B$2</f>
        <v>3.00922404306179</v>
      </c>
      <c r="T898" s="0" t="n">
        <f aca="false">SUMPRODUCT(ISNUMBER(SEARCH(" "&amp;Terms!$A$3:$A$821&amp;" ",$D898))*Terms!C$3:C$821)+Terms!C$2</f>
        <v>-3.85882269793347</v>
      </c>
      <c r="U898" s="0" t="n">
        <f aca="false">SUMPRODUCT(ISNUMBER(SEARCH(" "&amp;Terms!$A$3:$A$821&amp;" ",$D898))*Terms!D$3:D$821)+Terms!D$2</f>
        <v>5.42395077816314</v>
      </c>
      <c r="V898" s="0" t="n">
        <f aca="false">SUMPRODUCT(ISNUMBER(SEARCH(" "&amp;Terms!$A$3:$A$821&amp;" ",$D898))*Terms!E$3:E$821)+Terms!E$2</f>
        <v>-1.24429842389895</v>
      </c>
      <c r="W898" s="0" t="n">
        <f aca="false">SUMPRODUCT(ISNUMBER(SEARCH(" "&amp;Terms!$A$3:$A$821&amp;" ",$D898))*Terms!F$3:F$821)+Terms!F$2</f>
        <v>1.52137404940306</v>
      </c>
      <c r="X898" s="0" t="n">
        <f aca="false">SUMPRODUCT(ISNUMBER(SEARCH(" "&amp;Terms!$A$3:$A$821&amp;" ",$D898))*Terms!G$3:G$821)+Terms!G$2</f>
        <v>-4.85142774879549</v>
      </c>
      <c r="Y898" s="0" t="str">
        <f aca="false">INDEX($S$1:$X$1,MATCH(MAX(S898:X898),S898:X898,0))</f>
        <v>Delays &amp; Processing</v>
      </c>
      <c r="Z898" s="0" t="s">
        <v>2607</v>
      </c>
    </row>
    <row r="899" customFormat="false" ht="15" hidden="false" customHeight="false" outlineLevel="0" collapsed="false">
      <c r="A899" s="0" t="str">
        <f aca="false">Complaints!A899</f>
        <v>C0898</v>
      </c>
      <c r="B899" s="0" t="str">
        <f aca="false">Complaints!B899</f>
        <v>This is the second time I have raised this. My identity was stolen and a loan was taken out in my name. Also, the brochure said guaranteed returns and my money has lost value.</v>
      </c>
      <c r="C899" s="0" t="str">
        <f aca="false">Complaints!C899</f>
        <v>Fraud &amp; Scams</v>
      </c>
      <c r="D899" s="0" t="str">
        <f aca="false">" "&amp;TRIM(SUBSTITUTE(SUBSTITUTE(SUBSTITUTE(SUBSTITUTE(SUBSTITUTE(SUBSTITUTE(SUBSTITUTE(SUBSTITUTE(SUBSTITUTE(SUBSTITUTE(SUBSTITUTE(SUBSTITUTE(SUBSTITUTE(SUBSTITUTE(SUBSTITUTE(SUBSTITUTE(LOWER(B899),"."," "),","," "),"'"," "),"’"," "),"!"," "),"?"," "),";"," "),":"," "),"-"," "),"("," "),")"," "),"""", " "),"£"," "),"&amp;"," "),"/"," "),"%"," "))&amp;" "</f>
        <v> this is the second time i have raised this my identity was stolen and a loan was taken out in my name also the brochure said guaranteed returns and my money has lost value </v>
      </c>
      <c r="E899" s="0" t="n">
        <f aca="false">SUMPRODUCT((Rules!$A$2:$A$60=E$1)*Rules!$C$2:$C$60*ISNUMBER(SEARCH(Rules!$D$2:$D$60,$D899)))</f>
        <v>2</v>
      </c>
      <c r="F899" s="0" t="n">
        <f aca="false">SUMPRODUCT((Rules!$A$2:$A$60=F$1)*Rules!$C$2:$C$60*ISNUMBER(SEARCH(Rules!$D$2:$D$60,$D899)))</f>
        <v>2</v>
      </c>
      <c r="G899" s="0" t="n">
        <f aca="false">SUMPRODUCT((Rules!$A$2:$A$60=G$1)*Rules!$C$2:$C$60*ISNUMBER(SEARCH(Rules!$D$2:$D$60,$D899)))</f>
        <v>0</v>
      </c>
      <c r="H899" s="0" t="n">
        <f aca="false">SUMPRODUCT((Rules!$A$2:$A$60=H$1)*Rules!$C$2:$C$60*ISNUMBER(SEARCH(Rules!$D$2:$D$60,$D899)))</f>
        <v>0</v>
      </c>
      <c r="I899" s="0" t="n">
        <f aca="false">SUMPRODUCT((Rules!$A$2:$A$60=I$1)*Rules!$C$2:$C$60*ISNUMBER(SEARCH(Rules!$D$2:$D$60,$D899)))</f>
        <v>0</v>
      </c>
      <c r="J899" s="0" t="n">
        <f aca="false">SUMPRODUCT((Rules!$A$2:$A$60=J$1)*Rules!$C$2:$C$60*ISNUMBER(SEARCH(Rules!$D$2:$D$60,$D899)))</f>
        <v>0</v>
      </c>
      <c r="K899" s="0" t="str">
        <f aca="false">IF(OR(MAX(E899:J899)&lt;Rules!$H$1,MAX(E899:J899)-LARGE(E899:J899,2)&lt;Rules!$H$2),"No label",INDEX($E$1:$J$1,MATCH(MAX(E899:J899),E899:J899,0)))</f>
        <v>No label</v>
      </c>
      <c r="L899" s="0" t="n">
        <f aca="false">SUMPRODUCT((Rules!$A$2:$A$60=L$1)*Rules!$C$2:$C$60*ISNUMBER(SEARCH(Rules!$E$2:$E$60,$D899)))</f>
        <v>2</v>
      </c>
      <c r="M899" s="0" t="n">
        <f aca="false">SUMPRODUCT((Rules!$A$2:$A$60=M$1)*Rules!$C$2:$C$60*ISNUMBER(SEARCH(Rules!$E$2:$E$60,$D899)))</f>
        <v>2</v>
      </c>
      <c r="N899" s="0" t="n">
        <f aca="false">SUMPRODUCT((Rules!$A$2:$A$60=N$1)*Rules!$C$2:$C$60*ISNUMBER(SEARCH(Rules!$E$2:$E$60,$D899)))</f>
        <v>0</v>
      </c>
      <c r="O899" s="0" t="n">
        <f aca="false">SUMPRODUCT((Rules!$A$2:$A$60=O$1)*Rules!$C$2:$C$60*ISNUMBER(SEARCH(Rules!$E$2:$E$60,$D899)))</f>
        <v>0</v>
      </c>
      <c r="P899" s="0" t="n">
        <f aca="false">SUMPRODUCT((Rules!$A$2:$A$60=P$1)*Rules!$C$2:$C$60*ISNUMBER(SEARCH(Rules!$E$2:$E$60,$D899)))</f>
        <v>0</v>
      </c>
      <c r="Q899" s="0" t="n">
        <f aca="false">SUMPRODUCT((Rules!$A$2:$A$60=Q$1)*Rules!$C$2:$C$60*ISNUMBER(SEARCH(Rules!$E$2:$E$60,$D899)))</f>
        <v>0</v>
      </c>
      <c r="R899" s="0" t="str">
        <f aca="false">IF(OR(MAX(L899:Q899)&lt;Rules!$H$1,MAX(L899:Q899)-LARGE(L899:Q899,2)&lt;Rules!$H$2),"No label",INDEX($L$1:$Q$1,MATCH(MAX(L899:Q899),L899:Q899,0)))</f>
        <v>No label</v>
      </c>
      <c r="S899" s="0" t="n">
        <f aca="false">SUMPRODUCT(ISNUMBER(SEARCH(" "&amp;Terms!$A$3:$A$821&amp;" ",$D899))*Terms!B$3:B$821)+Terms!B$2</f>
        <v>-7.34740144057768</v>
      </c>
      <c r="T899" s="0" t="n">
        <f aca="false">SUMPRODUCT(ISNUMBER(SEARCH(" "&amp;Terms!$A$3:$A$821&amp;" ",$D899))*Terms!C$3:C$821)+Terms!C$2</f>
        <v>-3.06605868642785</v>
      </c>
      <c r="U899" s="0" t="n">
        <f aca="false">SUMPRODUCT(ISNUMBER(SEARCH(" "&amp;Terms!$A$3:$A$821&amp;" ",$D899))*Terms!D$3:D$821)+Terms!D$2</f>
        <v>-3.67465575008718</v>
      </c>
      <c r="V899" s="0" t="n">
        <f aca="false">SUMPRODUCT(ISNUMBER(SEARCH(" "&amp;Terms!$A$3:$A$821&amp;" ",$D899))*Terms!E$3:E$821)+Terms!E$2</f>
        <v>-4.12342628193563</v>
      </c>
      <c r="W899" s="0" t="n">
        <f aca="false">SUMPRODUCT(ISNUMBER(SEARCH(" "&amp;Terms!$A$3:$A$821&amp;" ",$D899))*Terms!F$3:F$821)+Terms!F$2</f>
        <v>8.19436068169226</v>
      </c>
      <c r="X899" s="0" t="n">
        <f aca="false">SUMPRODUCT(ISNUMBER(SEARCH(" "&amp;Terms!$A$3:$A$821&amp;" ",$D899))*Terms!G$3:G$821)+Terms!G$2</f>
        <v>10.0171814773362</v>
      </c>
      <c r="Y899" s="0" t="str">
        <f aca="false">INDEX($S$1:$X$1,MATCH(MAX(S899:X899),S899:X899,0))</f>
        <v>Mis-selling</v>
      </c>
      <c r="Z899" s="0" t="s">
        <v>2607</v>
      </c>
    </row>
    <row r="900" customFormat="false" ht="15" hidden="false" customHeight="false" outlineLevel="0" collapsed="false">
      <c r="A900" s="0" t="str">
        <f aca="false">Complaints!A900</f>
        <v>C0899</v>
      </c>
      <c r="B900" s="0" t="str">
        <f aca="false">Complaints!B900</f>
        <v>Frankly, The payment still has not arrived in my account.</v>
      </c>
      <c r="C900" s="0" t="str">
        <f aca="false">Complaints!C900</f>
        <v>Delays &amp; Processing</v>
      </c>
      <c r="D900" s="0" t="str">
        <f aca="false">" "&amp;TRIM(SUBSTITUTE(SUBSTITUTE(SUBSTITUTE(SUBSTITUTE(SUBSTITUTE(SUBSTITUTE(SUBSTITUTE(SUBSTITUTE(SUBSTITUTE(SUBSTITUTE(SUBSTITUTE(SUBSTITUTE(SUBSTITUTE(SUBSTITUTE(SUBSTITUTE(SUBSTITUTE(LOWER(B900),"."," "),","," "),"'"," "),"’"," "),"!"," "),"?"," "),";"," "),":"," "),"-"," "),"("," "),")"," "),"""", " "),"£"," "),"&amp;"," "),"/"," "),"%"," "))&amp;" "</f>
        <v> frankly the payment still has not arrived in my account </v>
      </c>
      <c r="E900" s="0" t="n">
        <f aca="false">SUMPRODUCT((Rules!$A$2:$A$60=E$1)*Rules!$C$2:$C$60*ISNUMBER(SEARCH(Rules!$D$2:$D$60,$D900)))</f>
        <v>0</v>
      </c>
      <c r="F900" s="0" t="n">
        <f aca="false">SUMPRODUCT((Rules!$A$2:$A$60=F$1)*Rules!$C$2:$C$60*ISNUMBER(SEARCH(Rules!$D$2:$D$60,$D900)))</f>
        <v>0</v>
      </c>
      <c r="G900" s="0" t="n">
        <f aca="false">SUMPRODUCT((Rules!$A$2:$A$60=G$1)*Rules!$C$2:$C$60*ISNUMBER(SEARCH(Rules!$D$2:$D$60,$D900)))</f>
        <v>0</v>
      </c>
      <c r="H900" s="0" t="n">
        <f aca="false">SUMPRODUCT((Rules!$A$2:$A$60=H$1)*Rules!$C$2:$C$60*ISNUMBER(SEARCH(Rules!$D$2:$D$60,$D900)))</f>
        <v>0</v>
      </c>
      <c r="I900" s="0" t="n">
        <f aca="false">SUMPRODUCT((Rules!$A$2:$A$60=I$1)*Rules!$C$2:$C$60*ISNUMBER(SEARCH(Rules!$D$2:$D$60,$D900)))</f>
        <v>2</v>
      </c>
      <c r="J900" s="0" t="n">
        <f aca="false">SUMPRODUCT((Rules!$A$2:$A$60=J$1)*Rules!$C$2:$C$60*ISNUMBER(SEARCH(Rules!$D$2:$D$60,$D900)))</f>
        <v>0</v>
      </c>
      <c r="K900" s="0" t="str">
        <f aca="false">IF(OR(MAX(E900:J900)&lt;Rules!$H$1,MAX(E900:J900)-LARGE(E900:J900,2)&lt;Rules!$H$2),"No label",INDEX($E$1:$J$1,MATCH(MAX(E900:J900),E900:J900,0)))</f>
        <v>No label</v>
      </c>
      <c r="L900" s="0" t="n">
        <f aca="false">SUMPRODUCT((Rules!$A$2:$A$60=L$1)*Rules!$C$2:$C$60*ISNUMBER(SEARCH(Rules!$E$2:$E$60,$D900)))</f>
        <v>0</v>
      </c>
      <c r="M900" s="0" t="n">
        <f aca="false">SUMPRODUCT((Rules!$A$2:$A$60=M$1)*Rules!$C$2:$C$60*ISNUMBER(SEARCH(Rules!$E$2:$E$60,$D900)))</f>
        <v>0</v>
      </c>
      <c r="N900" s="0" t="n">
        <f aca="false">SUMPRODUCT((Rules!$A$2:$A$60=N$1)*Rules!$C$2:$C$60*ISNUMBER(SEARCH(Rules!$E$2:$E$60,$D900)))</f>
        <v>0</v>
      </c>
      <c r="O900" s="0" t="n">
        <f aca="false">SUMPRODUCT((Rules!$A$2:$A$60=O$1)*Rules!$C$2:$C$60*ISNUMBER(SEARCH(Rules!$E$2:$E$60,$D900)))</f>
        <v>0</v>
      </c>
      <c r="P900" s="0" t="n">
        <f aca="false">SUMPRODUCT((Rules!$A$2:$A$60=P$1)*Rules!$C$2:$C$60*ISNUMBER(SEARCH(Rules!$E$2:$E$60,$D900)))</f>
        <v>2</v>
      </c>
      <c r="Q900" s="0" t="n">
        <f aca="false">SUMPRODUCT((Rules!$A$2:$A$60=Q$1)*Rules!$C$2:$C$60*ISNUMBER(SEARCH(Rules!$E$2:$E$60,$D900)))</f>
        <v>0</v>
      </c>
      <c r="R900" s="0" t="str">
        <f aca="false">IF(OR(MAX(L900:Q900)&lt;Rules!$H$1,MAX(L900:Q900)-LARGE(L900:Q900,2)&lt;Rules!$H$2),"No label",INDEX($L$1:$Q$1,MATCH(MAX(L900:Q900),L900:Q900,0)))</f>
        <v>No label</v>
      </c>
      <c r="S900" s="0" t="n">
        <f aca="false">SUMPRODUCT(ISNUMBER(SEARCH(" "&amp;Terms!$A$3:$A$821&amp;" ",$D900))*Terms!B$3:B$821)+Terms!B$2</f>
        <v>0.177384543552024</v>
      </c>
      <c r="T900" s="0" t="n">
        <f aca="false">SUMPRODUCT(ISNUMBER(SEARCH(" "&amp;Terms!$A$3:$A$821&amp;" ",$D900))*Terms!C$3:C$821)+Terms!C$2</f>
        <v>-3.11544289158688</v>
      </c>
      <c r="U900" s="0" t="n">
        <f aca="false">SUMPRODUCT(ISNUMBER(SEARCH(" "&amp;Terms!$A$3:$A$821&amp;" ",$D900))*Terms!D$3:D$821)+Terms!D$2</f>
        <v>5.99188447072633</v>
      </c>
      <c r="V900" s="0" t="n">
        <f aca="false">SUMPRODUCT(ISNUMBER(SEARCH(" "&amp;Terms!$A$3:$A$821&amp;" ",$D900))*Terms!E$3:E$821)+Terms!E$2</f>
        <v>0.00291785751516194</v>
      </c>
      <c r="W900" s="0" t="n">
        <f aca="false">SUMPRODUCT(ISNUMBER(SEARCH(" "&amp;Terms!$A$3:$A$821&amp;" ",$D900))*Terms!F$3:F$821)+Terms!F$2</f>
        <v>0.3290811710153</v>
      </c>
      <c r="X900" s="0" t="n">
        <f aca="false">SUMPRODUCT(ISNUMBER(SEARCH(" "&amp;Terms!$A$3:$A$821&amp;" ",$D900))*Terms!G$3:G$821)+Terms!G$2</f>
        <v>-3.38582515122185</v>
      </c>
      <c r="Y900" s="0" t="str">
        <f aca="false">INDEX($S$1:$X$1,MATCH(MAX(S900:X900),S900:X900,0))</f>
        <v>Delays &amp; Processing</v>
      </c>
      <c r="Z900" s="0" t="s">
        <v>2608</v>
      </c>
    </row>
    <row r="901" customFormat="false" ht="15" hidden="false" customHeight="false" outlineLevel="0" collapsed="false">
      <c r="A901" s="0" t="str">
        <f aca="false">Complaints!A901</f>
        <v>C0900</v>
      </c>
      <c r="B901" s="0" t="str">
        <f aca="false">Complaints!B901</f>
        <v>Hello, I spent an hour on hold and then the call was cut off. Also, the account maintenance fee was taken twice this month.</v>
      </c>
      <c r="C901" s="0" t="str">
        <f aca="false">Complaints!C901</f>
        <v>Customer Service</v>
      </c>
      <c r="D901" s="0" t="str">
        <f aca="false">" "&amp;TRIM(SUBSTITUTE(SUBSTITUTE(SUBSTITUTE(SUBSTITUTE(SUBSTITUTE(SUBSTITUTE(SUBSTITUTE(SUBSTITUTE(SUBSTITUTE(SUBSTITUTE(SUBSTITUTE(SUBSTITUTE(SUBSTITUTE(SUBSTITUTE(SUBSTITUTE(SUBSTITUTE(LOWER(B901),"."," "),","," "),"'"," "),"’"," "),"!"," "),"?"," "),";"," "),":"," "),"-"," "),"("," "),")"," "),"""", " "),"£"," "),"&amp;"," "),"/"," "),"%"," "))&amp;" "</f>
        <v> hello i spent an hour on hold and then the call was cut off also the account maintenance fee was taken twice this month </v>
      </c>
      <c r="E901" s="0" t="n">
        <f aca="false">SUMPRODUCT((Rules!$A$2:$A$60=E$1)*Rules!$C$2:$C$60*ISNUMBER(SEARCH(Rules!$D$2:$D$60,$D901)))</f>
        <v>0</v>
      </c>
      <c r="F901" s="0" t="n">
        <f aca="false">SUMPRODUCT((Rules!$A$2:$A$60=F$1)*Rules!$C$2:$C$60*ISNUMBER(SEARCH(Rules!$D$2:$D$60,$D901)))</f>
        <v>0</v>
      </c>
      <c r="G901" s="0" t="n">
        <f aca="false">SUMPRODUCT((Rules!$A$2:$A$60=G$1)*Rules!$C$2:$C$60*ISNUMBER(SEARCH(Rules!$D$2:$D$60,$D901)))</f>
        <v>0</v>
      </c>
      <c r="H901" s="0" t="n">
        <f aca="false">SUMPRODUCT((Rules!$A$2:$A$60=H$1)*Rules!$C$2:$C$60*ISNUMBER(SEARCH(Rules!$D$2:$D$60,$D901)))</f>
        <v>2</v>
      </c>
      <c r="I901" s="0" t="n">
        <f aca="false">SUMPRODUCT((Rules!$A$2:$A$60=I$1)*Rules!$C$2:$C$60*ISNUMBER(SEARCH(Rules!$D$2:$D$60,$D901)))</f>
        <v>0</v>
      </c>
      <c r="J901" s="0" t="n">
        <f aca="false">SUMPRODUCT((Rules!$A$2:$A$60=J$1)*Rules!$C$2:$C$60*ISNUMBER(SEARCH(Rules!$D$2:$D$60,$D901)))</f>
        <v>3</v>
      </c>
      <c r="K901" s="0" t="str">
        <f aca="false">IF(OR(MAX(E901:J901)&lt;Rules!$H$1,MAX(E901:J901)-LARGE(E901:J901,2)&lt;Rules!$H$2),"No label",INDEX($E$1:$J$1,MATCH(MAX(E901:J901),E901:J901,0)))</f>
        <v>No label</v>
      </c>
      <c r="L901" s="0" t="n">
        <f aca="false">SUMPRODUCT((Rules!$A$2:$A$60=L$1)*Rules!$C$2:$C$60*ISNUMBER(SEARCH(Rules!$E$2:$E$60,$D901)))</f>
        <v>0</v>
      </c>
      <c r="M901" s="0" t="n">
        <f aca="false">SUMPRODUCT((Rules!$A$2:$A$60=M$1)*Rules!$C$2:$C$60*ISNUMBER(SEARCH(Rules!$E$2:$E$60,$D901)))</f>
        <v>0</v>
      </c>
      <c r="N901" s="0" t="n">
        <f aca="false">SUMPRODUCT((Rules!$A$2:$A$60=N$1)*Rules!$C$2:$C$60*ISNUMBER(SEARCH(Rules!$E$2:$E$60,$D901)))</f>
        <v>0</v>
      </c>
      <c r="O901" s="0" t="n">
        <f aca="false">SUMPRODUCT((Rules!$A$2:$A$60=O$1)*Rules!$C$2:$C$60*ISNUMBER(SEARCH(Rules!$E$2:$E$60,$D901)))</f>
        <v>2</v>
      </c>
      <c r="P901" s="0" t="n">
        <f aca="false">SUMPRODUCT((Rules!$A$2:$A$60=P$1)*Rules!$C$2:$C$60*ISNUMBER(SEARCH(Rules!$E$2:$E$60,$D901)))</f>
        <v>0</v>
      </c>
      <c r="Q901" s="0" t="n">
        <f aca="false">SUMPRODUCT((Rules!$A$2:$A$60=Q$1)*Rules!$C$2:$C$60*ISNUMBER(SEARCH(Rules!$E$2:$E$60,$D901)))</f>
        <v>3</v>
      </c>
      <c r="R901" s="0" t="str">
        <f aca="false">IF(OR(MAX(L901:Q901)&lt;Rules!$H$1,MAX(L901:Q901)-LARGE(L901:Q901,2)&lt;Rules!$H$2),"No label",INDEX($L$1:$Q$1,MATCH(MAX(L901:Q901),L901:Q901,0)))</f>
        <v>No label</v>
      </c>
      <c r="S901" s="0" t="n">
        <f aca="false">SUMPRODUCT(ISNUMBER(SEARCH(" "&amp;Terms!$A$3:$A$821&amp;" ",$D901))*Terms!B$3:B$821)+Terms!B$2</f>
        <v>-1.8836539955507</v>
      </c>
      <c r="T901" s="0" t="n">
        <f aca="false">SUMPRODUCT(ISNUMBER(SEARCH(" "&amp;Terms!$A$3:$A$821&amp;" ",$D901))*Terms!C$3:C$821)+Terms!C$2</f>
        <v>4.21358128464467</v>
      </c>
      <c r="U901" s="0" t="n">
        <f aca="false">SUMPRODUCT(ISNUMBER(SEARCH(" "&amp;Terms!$A$3:$A$821&amp;" ",$D901))*Terms!D$3:D$821)+Terms!D$2</f>
        <v>-2.55330319448307</v>
      </c>
      <c r="V901" s="0" t="n">
        <f aca="false">SUMPRODUCT(ISNUMBER(SEARCH(" "&amp;Terms!$A$3:$A$821&amp;" ",$D901))*Terms!E$3:E$821)+Terms!E$2</f>
        <v>8.96394873946822</v>
      </c>
      <c r="W901" s="0" t="n">
        <f aca="false">SUMPRODUCT(ISNUMBER(SEARCH(" "&amp;Terms!$A$3:$A$821&amp;" ",$D901))*Terms!F$3:F$821)+Terms!F$2</f>
        <v>-3.05541109745584</v>
      </c>
      <c r="X901" s="0" t="n">
        <f aca="false">SUMPRODUCT(ISNUMBER(SEARCH(" "&amp;Terms!$A$3:$A$821&amp;" ",$D901))*Terms!G$3:G$821)+Terms!G$2</f>
        <v>-5.68516173662318</v>
      </c>
      <c r="Y901" s="0" t="str">
        <f aca="false">INDEX($S$1:$X$1,MATCH(MAX(S901:X901),S901:X901,0))</f>
        <v>Fees &amp; Charges</v>
      </c>
      <c r="Z901" s="0" t="s">
        <v>2607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90"/>
  </cols>
  <sheetData>
    <row r="1" customFormat="false" ht="28.35" hidden="false" customHeight="false" outlineLevel="0" collapsed="false">
      <c r="A1" s="2" t="s">
        <v>16</v>
      </c>
      <c r="B1" s="2" t="s">
        <v>17</v>
      </c>
    </row>
    <row r="2" customFormat="false" ht="15" hidden="false" customHeight="false" outlineLevel="0" collapsed="false">
      <c r="A2" s="0" t="s">
        <v>2609</v>
      </c>
      <c r="B2" s="0" t="s">
        <v>2610</v>
      </c>
    </row>
    <row r="3" customFormat="false" ht="15" hidden="false" customHeight="false" outlineLevel="0" collapsed="false">
      <c r="A3" s="0" t="s">
        <v>2611</v>
      </c>
      <c r="B3" s="0" t="s">
        <v>2612</v>
      </c>
    </row>
    <row r="4" customFormat="false" ht="15" hidden="false" customHeight="false" outlineLevel="0" collapsed="false">
      <c r="A4" s="0" t="s">
        <v>2613</v>
      </c>
      <c r="B4" s="0" t="s">
        <v>2614</v>
      </c>
    </row>
    <row r="5" customFormat="false" ht="15" hidden="false" customHeight="false" outlineLevel="0" collapsed="false">
      <c r="A5" s="0" t="s">
        <v>2615</v>
      </c>
      <c r="B5" s="0" t="s">
        <v>2616</v>
      </c>
    </row>
    <row r="6" customFormat="false" ht="15" hidden="false" customHeight="false" outlineLevel="0" collapsed="false">
      <c r="A6" s="0" t="s">
        <v>2617</v>
      </c>
      <c r="B6" s="0" t="s">
        <v>2618</v>
      </c>
    </row>
    <row r="7" customFormat="false" ht="15" hidden="false" customHeight="false" outlineLevel="0" collapsed="false">
      <c r="A7" s="0" t="s">
        <v>2619</v>
      </c>
      <c r="B7" s="0" t="s">
        <v>2620</v>
      </c>
    </row>
    <row r="8" customFormat="false" ht="15" hidden="false" customHeight="false" outlineLevel="0" collapsed="false">
      <c r="A8" s="0" t="s">
        <v>2621</v>
      </c>
      <c r="B8" s="0" t="s">
        <v>2622</v>
      </c>
    </row>
    <row r="9" customFormat="false" ht="15" hidden="false" customHeight="false" outlineLevel="0" collapsed="false">
      <c r="A9" s="0" t="s">
        <v>2623</v>
      </c>
      <c r="B9" s="0" t="s">
        <v>2624</v>
      </c>
    </row>
    <row r="10" customFormat="false" ht="15" hidden="false" customHeight="false" outlineLevel="0" collapsed="false">
      <c r="A10" s="0" t="s">
        <v>2625</v>
      </c>
      <c r="B10" s="0" t="s">
        <v>2626</v>
      </c>
    </row>
    <row r="11" customFormat="false" ht="15" hidden="false" customHeight="false" outlineLevel="0" collapsed="false">
      <c r="A11" s="0" t="s">
        <v>2627</v>
      </c>
      <c r="B11" s="0" t="s">
        <v>2628</v>
      </c>
    </row>
    <row r="12" customFormat="false" ht="15" hidden="false" customHeight="false" outlineLevel="0" collapsed="false">
      <c r="A12" s="0" t="s">
        <v>2629</v>
      </c>
      <c r="B12" s="0" t="s">
        <v>2630</v>
      </c>
    </row>
    <row r="13" customFormat="false" ht="15" hidden="false" customHeight="false" outlineLevel="0" collapsed="false">
      <c r="A13" s="0" t="s">
        <v>2631</v>
      </c>
      <c r="B13" s="0" t="s">
        <v>2632</v>
      </c>
    </row>
    <row r="14" customFormat="false" ht="15" hidden="false" customHeight="false" outlineLevel="0" collapsed="false">
      <c r="A14" s="0" t="s">
        <v>2633</v>
      </c>
      <c r="B14" s="0" t="s">
        <v>2634</v>
      </c>
    </row>
    <row r="15" customFormat="false" ht="15" hidden="false" customHeight="false" outlineLevel="0" collapsed="false">
      <c r="A15" s="0" t="s">
        <v>2635</v>
      </c>
      <c r="B15" s="0" t="s">
        <v>2636</v>
      </c>
    </row>
    <row r="16" customFormat="false" ht="15" hidden="false" customHeight="false" outlineLevel="0" collapsed="false">
      <c r="A16" s="0" t="s">
        <v>2637</v>
      </c>
      <c r="B16" s="0" t="s">
        <v>2638</v>
      </c>
    </row>
    <row r="17" customFormat="false" ht="15" hidden="false" customHeight="false" outlineLevel="0" collapsed="false">
      <c r="A17" s="0" t="s">
        <v>2639</v>
      </c>
      <c r="B17" s="0" t="s">
        <v>2640</v>
      </c>
    </row>
    <row r="18" customFormat="false" ht="15" hidden="false" customHeight="false" outlineLevel="0" collapsed="false">
      <c r="A18" s="0" t="s">
        <v>2641</v>
      </c>
      <c r="B18" s="0" t="s">
        <v>2642</v>
      </c>
    </row>
    <row r="19" customFormat="false" ht="15" hidden="false" customHeight="false" outlineLevel="0" collapsed="false">
      <c r="A19" s="0" t="s">
        <v>2643</v>
      </c>
      <c r="B19" s="0" t="s">
        <v>2644</v>
      </c>
    </row>
    <row r="20" customFormat="false" ht="15" hidden="false" customHeight="false" outlineLevel="0" collapsed="false">
      <c r="A20" s="0" t="s">
        <v>2645</v>
      </c>
      <c r="B20" s="0" t="s">
        <v>2646</v>
      </c>
    </row>
    <row r="21" customFormat="false" ht="15" hidden="false" customHeight="false" outlineLevel="0" collapsed="false">
      <c r="A21" s="0" t="s">
        <v>2647</v>
      </c>
      <c r="B21" s="0" t="s">
        <v>2648</v>
      </c>
    </row>
    <row r="22" customFormat="false" ht="15" hidden="false" customHeight="false" outlineLevel="0" collapsed="false">
      <c r="A22" s="0" t="s">
        <v>2649</v>
      </c>
      <c r="B22" s="0" t="s">
        <v>2650</v>
      </c>
    </row>
    <row r="23" customFormat="false" ht="15" hidden="false" customHeight="false" outlineLevel="0" collapsed="false">
      <c r="A23" s="0" t="s">
        <v>2651</v>
      </c>
      <c r="B23" s="0" t="s">
        <v>2652</v>
      </c>
    </row>
    <row r="24" customFormat="false" ht="15" hidden="false" customHeight="false" outlineLevel="0" collapsed="false">
      <c r="A24" s="0" t="s">
        <v>2653</v>
      </c>
      <c r="B24" s="0" t="s">
        <v>2654</v>
      </c>
    </row>
    <row r="25" customFormat="false" ht="15" hidden="false" customHeight="false" outlineLevel="0" collapsed="false">
      <c r="A25" s="0" t="s">
        <v>2655</v>
      </c>
      <c r="B25" s="0" t="s">
        <v>2656</v>
      </c>
    </row>
    <row r="26" customFormat="false" ht="15" hidden="false" customHeight="false" outlineLevel="0" collapsed="false">
      <c r="A26" s="0" t="s">
        <v>2657</v>
      </c>
      <c r="B26" s="0" t="s">
        <v>2658</v>
      </c>
    </row>
    <row r="27" customFormat="false" ht="15" hidden="false" customHeight="false" outlineLevel="0" collapsed="false">
      <c r="A27" s="0" t="s">
        <v>2659</v>
      </c>
      <c r="B27" s="0" t="s">
        <v>2660</v>
      </c>
    </row>
    <row r="28" customFormat="false" ht="15" hidden="false" customHeight="false" outlineLevel="0" collapsed="false">
      <c r="A28" s="0" t="s">
        <v>2661</v>
      </c>
      <c r="B28" s="0" t="s">
        <v>2662</v>
      </c>
    </row>
    <row r="29" customFormat="false" ht="15" hidden="false" customHeight="false" outlineLevel="0" collapsed="false">
      <c r="A29" s="0" t="s">
        <v>2663</v>
      </c>
      <c r="B29" s="0" t="s">
        <v>2664</v>
      </c>
    </row>
    <row r="30" customFormat="false" ht="15" hidden="false" customHeight="false" outlineLevel="0" collapsed="false">
      <c r="A30" s="0" t="s">
        <v>2665</v>
      </c>
      <c r="B30" s="0" t="s">
        <v>2666</v>
      </c>
    </row>
    <row r="31" customFormat="false" ht="15" hidden="false" customHeight="false" outlineLevel="0" collapsed="false">
      <c r="A31" s="0" t="s">
        <v>2667</v>
      </c>
      <c r="B31" s="0" t="s">
        <v>2668</v>
      </c>
    </row>
    <row r="32" customFormat="false" ht="15" hidden="false" customHeight="false" outlineLevel="0" collapsed="false">
      <c r="A32" s="0" t="s">
        <v>2669</v>
      </c>
      <c r="B32" s="0" t="s">
        <v>2670</v>
      </c>
    </row>
    <row r="33" customFormat="false" ht="15" hidden="false" customHeight="false" outlineLevel="0" collapsed="false">
      <c r="A33" s="0" t="s">
        <v>2671</v>
      </c>
      <c r="B33" s="0" t="s">
        <v>2672</v>
      </c>
    </row>
    <row r="34" customFormat="false" ht="15" hidden="false" customHeight="false" outlineLevel="0" collapsed="false">
      <c r="A34" s="0" t="s">
        <v>2673</v>
      </c>
      <c r="B34" s="0" t="s">
        <v>2674</v>
      </c>
    </row>
    <row r="35" customFormat="false" ht="15" hidden="false" customHeight="false" outlineLevel="0" collapsed="false">
      <c r="A35" s="0" t="s">
        <v>2675</v>
      </c>
      <c r="B35" s="0" t="s">
        <v>2676</v>
      </c>
    </row>
    <row r="36" customFormat="false" ht="15" hidden="false" customHeight="false" outlineLevel="0" collapsed="false">
      <c r="A36" s="0" t="s">
        <v>2677</v>
      </c>
      <c r="B36" s="0" t="s">
        <v>2678</v>
      </c>
    </row>
    <row r="37" customFormat="false" ht="15" hidden="false" customHeight="false" outlineLevel="0" collapsed="false">
      <c r="A37" s="0" t="s">
        <v>2679</v>
      </c>
      <c r="B37" s="0" t="s">
        <v>2680</v>
      </c>
    </row>
    <row r="38" customFormat="false" ht="15" hidden="false" customHeight="false" outlineLevel="0" collapsed="false">
      <c r="A38" s="0" t="s">
        <v>2681</v>
      </c>
      <c r="B38" s="0" t="s">
        <v>2682</v>
      </c>
    </row>
    <row r="39" customFormat="false" ht="15" hidden="false" customHeight="false" outlineLevel="0" collapsed="false">
      <c r="A39" s="0" t="s">
        <v>2683</v>
      </c>
      <c r="B39" s="0" t="s">
        <v>2684</v>
      </c>
    </row>
    <row r="40" customFormat="false" ht="15" hidden="false" customHeight="false" outlineLevel="0" collapsed="false">
      <c r="A40" s="0" t="s">
        <v>2685</v>
      </c>
      <c r="B40" s="0" t="s">
        <v>2686</v>
      </c>
    </row>
    <row r="41" customFormat="false" ht="15" hidden="false" customHeight="false" outlineLevel="0" collapsed="false">
      <c r="A41" s="0" t="s">
        <v>2687</v>
      </c>
      <c r="B41" s="0" t="s">
        <v>2688</v>
      </c>
    </row>
    <row r="42" customFormat="false" ht="15" hidden="false" customHeight="false" outlineLevel="0" collapsed="false">
      <c r="A42" s="0" t="s">
        <v>2689</v>
      </c>
      <c r="B42" s="0" t="s">
        <v>2690</v>
      </c>
    </row>
    <row r="43" customFormat="false" ht="15" hidden="false" customHeight="false" outlineLevel="0" collapsed="false">
      <c r="A43" s="0" t="s">
        <v>2691</v>
      </c>
      <c r="B43" s="0" t="s">
        <v>2692</v>
      </c>
    </row>
    <row r="44" customFormat="false" ht="15" hidden="false" customHeight="false" outlineLevel="0" collapsed="false">
      <c r="A44" s="0" t="s">
        <v>2693</v>
      </c>
      <c r="B44" s="0" t="s">
        <v>2694</v>
      </c>
    </row>
    <row r="45" customFormat="false" ht="15" hidden="false" customHeight="false" outlineLevel="0" collapsed="false">
      <c r="A45" s="0" t="s">
        <v>2695</v>
      </c>
      <c r="B45" s="0" t="s">
        <v>2696</v>
      </c>
    </row>
    <row r="46" customFormat="false" ht="15" hidden="false" customHeight="false" outlineLevel="0" collapsed="false">
      <c r="A46" s="0" t="s">
        <v>2697</v>
      </c>
      <c r="B46" s="0" t="s">
        <v>2698</v>
      </c>
    </row>
    <row r="47" customFormat="false" ht="15" hidden="false" customHeight="false" outlineLevel="0" collapsed="false">
      <c r="A47" s="0" t="s">
        <v>2699</v>
      </c>
      <c r="B47" s="0" t="s">
        <v>2700</v>
      </c>
    </row>
    <row r="48" customFormat="false" ht="15" hidden="false" customHeight="false" outlineLevel="0" collapsed="false">
      <c r="A48" s="0" t="s">
        <v>2701</v>
      </c>
      <c r="B48" s="0" t="s">
        <v>2702</v>
      </c>
    </row>
    <row r="49" customFormat="false" ht="15" hidden="false" customHeight="false" outlineLevel="0" collapsed="false">
      <c r="A49" s="0" t="s">
        <v>2703</v>
      </c>
      <c r="B49" s="0" t="s">
        <v>2704</v>
      </c>
    </row>
    <row r="50" customFormat="false" ht="15" hidden="false" customHeight="false" outlineLevel="0" collapsed="false">
      <c r="A50" s="0" t="s">
        <v>2705</v>
      </c>
      <c r="B50" s="0" t="s">
        <v>2706</v>
      </c>
    </row>
    <row r="51" customFormat="false" ht="15" hidden="false" customHeight="false" outlineLevel="0" collapsed="false">
      <c r="A51" s="0" t="s">
        <v>2707</v>
      </c>
      <c r="B51" s="0" t="s">
        <v>2708</v>
      </c>
    </row>
    <row r="52" customFormat="false" ht="15" hidden="false" customHeight="false" outlineLevel="0" collapsed="false">
      <c r="A52" s="0" t="s">
        <v>2709</v>
      </c>
      <c r="B52" s="0" t="s">
        <v>2710</v>
      </c>
    </row>
    <row r="53" customFormat="false" ht="15" hidden="false" customHeight="false" outlineLevel="0" collapsed="false">
      <c r="A53" s="0" t="s">
        <v>2711</v>
      </c>
      <c r="B53" s="0" t="s">
        <v>2712</v>
      </c>
    </row>
    <row r="54" customFormat="false" ht="15" hidden="false" customHeight="false" outlineLevel="0" collapsed="false">
      <c r="A54" s="0" t="s">
        <v>2713</v>
      </c>
      <c r="B54" s="0" t="s">
        <v>2714</v>
      </c>
    </row>
    <row r="55" customFormat="false" ht="15" hidden="false" customHeight="false" outlineLevel="0" collapsed="false">
      <c r="A55" s="0" t="s">
        <v>2715</v>
      </c>
      <c r="B55" s="0" t="s">
        <v>2716</v>
      </c>
    </row>
    <row r="56" customFormat="false" ht="15" hidden="false" customHeight="false" outlineLevel="0" collapsed="false">
      <c r="A56" s="0" t="s">
        <v>2717</v>
      </c>
      <c r="B56" s="0" t="s">
        <v>2718</v>
      </c>
    </row>
    <row r="57" customFormat="false" ht="15" hidden="false" customHeight="false" outlineLevel="0" collapsed="false">
      <c r="A57" s="0" t="s">
        <v>2719</v>
      </c>
      <c r="B57" s="0" t="s">
        <v>2720</v>
      </c>
    </row>
    <row r="58" customFormat="false" ht="15" hidden="false" customHeight="false" outlineLevel="0" collapsed="false">
      <c r="A58" s="0" t="s">
        <v>2721</v>
      </c>
      <c r="B58" s="0" t="s">
        <v>2722</v>
      </c>
    </row>
    <row r="59" customFormat="false" ht="15" hidden="false" customHeight="false" outlineLevel="0" collapsed="false">
      <c r="A59" s="0" t="s">
        <v>2723</v>
      </c>
      <c r="B59" s="0" t="s">
        <v>2724</v>
      </c>
    </row>
    <row r="60" customFormat="false" ht="15" hidden="false" customHeight="false" outlineLevel="0" collapsed="false">
      <c r="A60" s="0" t="s">
        <v>2725</v>
      </c>
      <c r="B60" s="0" t="s">
        <v>2726</v>
      </c>
    </row>
    <row r="61" customFormat="false" ht="15" hidden="false" customHeight="false" outlineLevel="0" collapsed="false">
      <c r="A61" s="0" t="s">
        <v>2727</v>
      </c>
      <c r="B61" s="0" t="s">
        <v>2728</v>
      </c>
    </row>
    <row r="62" customFormat="false" ht="15" hidden="false" customHeight="false" outlineLevel="0" collapsed="false">
      <c r="A62" s="0" t="s">
        <v>2729</v>
      </c>
      <c r="B62" s="0" t="s">
        <v>2730</v>
      </c>
    </row>
    <row r="63" customFormat="false" ht="15" hidden="false" customHeight="false" outlineLevel="0" collapsed="false">
      <c r="A63" s="0" t="s">
        <v>2731</v>
      </c>
      <c r="B63" s="0" t="s">
        <v>2732</v>
      </c>
    </row>
    <row r="64" customFormat="false" ht="15" hidden="false" customHeight="false" outlineLevel="0" collapsed="false">
      <c r="A64" s="0" t="s">
        <v>2733</v>
      </c>
      <c r="B64" s="0" t="s">
        <v>2734</v>
      </c>
    </row>
    <row r="65" customFormat="false" ht="15" hidden="false" customHeight="false" outlineLevel="0" collapsed="false">
      <c r="A65" s="0" t="s">
        <v>2735</v>
      </c>
      <c r="B65" s="0" t="s">
        <v>2736</v>
      </c>
    </row>
    <row r="66" customFormat="false" ht="15" hidden="false" customHeight="false" outlineLevel="0" collapsed="false">
      <c r="A66" s="0" t="s">
        <v>2737</v>
      </c>
      <c r="B66" s="0" t="s">
        <v>2738</v>
      </c>
    </row>
    <row r="67" customFormat="false" ht="15" hidden="false" customHeight="false" outlineLevel="0" collapsed="false">
      <c r="A67" s="0" t="s">
        <v>2739</v>
      </c>
      <c r="B67" s="0" t="s">
        <v>2740</v>
      </c>
    </row>
    <row r="68" customFormat="false" ht="15" hidden="false" customHeight="false" outlineLevel="0" collapsed="false">
      <c r="A68" s="0" t="s">
        <v>2741</v>
      </c>
      <c r="B68" s="0" t="s">
        <v>2742</v>
      </c>
    </row>
    <row r="69" customFormat="false" ht="15" hidden="false" customHeight="false" outlineLevel="0" collapsed="false">
      <c r="A69" s="0" t="s">
        <v>2743</v>
      </c>
      <c r="B69" s="0" t="s">
        <v>2744</v>
      </c>
    </row>
    <row r="70" customFormat="false" ht="15" hidden="false" customHeight="false" outlineLevel="0" collapsed="false">
      <c r="A70" s="0" t="s">
        <v>2745</v>
      </c>
      <c r="B70" s="0" t="s">
        <v>2746</v>
      </c>
    </row>
    <row r="71" customFormat="false" ht="15" hidden="false" customHeight="false" outlineLevel="0" collapsed="false">
      <c r="A71" s="0" t="s">
        <v>2747</v>
      </c>
      <c r="B71" s="0" t="s">
        <v>2748</v>
      </c>
    </row>
    <row r="72" customFormat="false" ht="15" hidden="false" customHeight="false" outlineLevel="0" collapsed="false">
      <c r="A72" s="0" t="s">
        <v>2749</v>
      </c>
      <c r="B72" s="0" t="s">
        <v>2750</v>
      </c>
    </row>
    <row r="73" customFormat="false" ht="15" hidden="false" customHeight="false" outlineLevel="0" collapsed="false">
      <c r="A73" s="0" t="s">
        <v>2751</v>
      </c>
      <c r="B73" s="0" t="s">
        <v>2752</v>
      </c>
    </row>
    <row r="74" customFormat="false" ht="15" hidden="false" customHeight="false" outlineLevel="0" collapsed="false">
      <c r="A74" s="0" t="s">
        <v>2753</v>
      </c>
      <c r="B74" s="0" t="s">
        <v>2754</v>
      </c>
    </row>
    <row r="75" customFormat="false" ht="15" hidden="false" customHeight="false" outlineLevel="0" collapsed="false">
      <c r="A75" s="0" t="s">
        <v>2755</v>
      </c>
      <c r="B75" s="0" t="s">
        <v>2756</v>
      </c>
    </row>
    <row r="76" customFormat="false" ht="15" hidden="false" customHeight="false" outlineLevel="0" collapsed="false">
      <c r="A76" s="0" t="s">
        <v>2757</v>
      </c>
      <c r="B76" s="0" t="s">
        <v>2758</v>
      </c>
    </row>
    <row r="77" customFormat="false" ht="15" hidden="false" customHeight="false" outlineLevel="0" collapsed="false">
      <c r="A77" s="0" t="s">
        <v>2759</v>
      </c>
      <c r="B77" s="0" t="s">
        <v>2760</v>
      </c>
    </row>
    <row r="78" customFormat="false" ht="15" hidden="false" customHeight="false" outlineLevel="0" collapsed="false">
      <c r="A78" s="0" t="s">
        <v>2761</v>
      </c>
      <c r="B78" s="0" t="s">
        <v>2762</v>
      </c>
    </row>
    <row r="79" customFormat="false" ht="15" hidden="false" customHeight="false" outlineLevel="0" collapsed="false">
      <c r="A79" s="0" t="s">
        <v>2763</v>
      </c>
      <c r="B79" s="0" t="s">
        <v>2764</v>
      </c>
    </row>
    <row r="80" customFormat="false" ht="15" hidden="false" customHeight="false" outlineLevel="0" collapsed="false">
      <c r="A80" s="0" t="s">
        <v>2765</v>
      </c>
      <c r="B80" s="0" t="s">
        <v>2766</v>
      </c>
    </row>
    <row r="81" customFormat="false" ht="15" hidden="false" customHeight="false" outlineLevel="0" collapsed="false">
      <c r="A81" s="0" t="s">
        <v>2767</v>
      </c>
      <c r="B81" s="0" t="s">
        <v>2768</v>
      </c>
    </row>
    <row r="82" customFormat="false" ht="15" hidden="false" customHeight="false" outlineLevel="0" collapsed="false">
      <c r="A82" s="0" t="s">
        <v>2769</v>
      </c>
      <c r="B82" s="0" t="s">
        <v>2770</v>
      </c>
    </row>
    <row r="83" customFormat="false" ht="15" hidden="false" customHeight="false" outlineLevel="0" collapsed="false">
      <c r="A83" s="0" t="s">
        <v>2771</v>
      </c>
      <c r="B83" s="0" t="s">
        <v>2772</v>
      </c>
    </row>
    <row r="84" customFormat="false" ht="15" hidden="false" customHeight="false" outlineLevel="0" collapsed="false">
      <c r="A84" s="0" t="s">
        <v>2773</v>
      </c>
      <c r="B84" s="0" t="s">
        <v>2774</v>
      </c>
    </row>
    <row r="85" customFormat="false" ht="15" hidden="false" customHeight="false" outlineLevel="0" collapsed="false">
      <c r="A85" s="0" t="s">
        <v>2775</v>
      </c>
      <c r="B85" s="0" t="s">
        <v>2776</v>
      </c>
    </row>
    <row r="86" customFormat="false" ht="15" hidden="false" customHeight="false" outlineLevel="0" collapsed="false">
      <c r="A86" s="0" t="s">
        <v>2777</v>
      </c>
      <c r="B86" s="0" t="s">
        <v>2778</v>
      </c>
    </row>
    <row r="87" customFormat="false" ht="15" hidden="false" customHeight="false" outlineLevel="0" collapsed="false">
      <c r="A87" s="0" t="s">
        <v>2779</v>
      </c>
      <c r="B87" s="0" t="s">
        <v>2780</v>
      </c>
    </row>
    <row r="88" customFormat="false" ht="15" hidden="false" customHeight="false" outlineLevel="0" collapsed="false">
      <c r="A88" s="0" t="s">
        <v>2781</v>
      </c>
      <c r="B88" s="0" t="s">
        <v>2782</v>
      </c>
    </row>
    <row r="89" customFormat="false" ht="15" hidden="false" customHeight="false" outlineLevel="0" collapsed="false">
      <c r="A89" s="0" t="s">
        <v>2783</v>
      </c>
      <c r="B89" s="0" t="s">
        <v>2784</v>
      </c>
    </row>
    <row r="90" customFormat="false" ht="15" hidden="false" customHeight="false" outlineLevel="0" collapsed="false">
      <c r="A90" s="0" t="s">
        <v>2785</v>
      </c>
      <c r="B90" s="0" t="s">
        <v>2786</v>
      </c>
    </row>
    <row r="91" customFormat="false" ht="15" hidden="false" customHeight="false" outlineLevel="0" collapsed="false">
      <c r="A91" s="0" t="s">
        <v>2787</v>
      </c>
      <c r="B91" s="0" t="s">
        <v>2788</v>
      </c>
    </row>
    <row r="92" customFormat="false" ht="15" hidden="false" customHeight="false" outlineLevel="0" collapsed="false">
      <c r="A92" s="0" t="s">
        <v>2789</v>
      </c>
      <c r="B92" s="0" t="s">
        <v>2790</v>
      </c>
    </row>
    <row r="93" customFormat="false" ht="15" hidden="false" customHeight="false" outlineLevel="0" collapsed="false">
      <c r="A93" s="0" t="s">
        <v>2791</v>
      </c>
      <c r="B93" s="0" t="s">
        <v>2792</v>
      </c>
    </row>
    <row r="94" customFormat="false" ht="15" hidden="false" customHeight="false" outlineLevel="0" collapsed="false">
      <c r="A94" s="0" t="s">
        <v>2793</v>
      </c>
      <c r="B94" s="0" t="s">
        <v>2794</v>
      </c>
    </row>
    <row r="95" customFormat="false" ht="15" hidden="false" customHeight="false" outlineLevel="0" collapsed="false">
      <c r="A95" s="0" t="s">
        <v>2795</v>
      </c>
      <c r="B95" s="0" t="s">
        <v>2796</v>
      </c>
    </row>
    <row r="96" customFormat="false" ht="15" hidden="false" customHeight="false" outlineLevel="0" collapsed="false">
      <c r="A96" s="0" t="s">
        <v>2797</v>
      </c>
      <c r="B96" s="0" t="s">
        <v>2798</v>
      </c>
    </row>
    <row r="97" customFormat="false" ht="15" hidden="false" customHeight="false" outlineLevel="0" collapsed="false">
      <c r="A97" s="0" t="s">
        <v>2799</v>
      </c>
      <c r="B97" s="0" t="s">
        <v>2800</v>
      </c>
    </row>
    <row r="98" customFormat="false" ht="15" hidden="false" customHeight="false" outlineLevel="0" collapsed="false">
      <c r="A98" s="0" t="s">
        <v>2801</v>
      </c>
      <c r="B98" s="0" t="s">
        <v>2802</v>
      </c>
    </row>
    <row r="99" customFormat="false" ht="15" hidden="false" customHeight="false" outlineLevel="0" collapsed="false">
      <c r="A99" s="0" t="s">
        <v>2803</v>
      </c>
      <c r="B99" s="0" t="s">
        <v>2804</v>
      </c>
    </row>
    <row r="100" customFormat="false" ht="15" hidden="false" customHeight="false" outlineLevel="0" collapsed="false">
      <c r="A100" s="0" t="s">
        <v>2805</v>
      </c>
      <c r="B100" s="0" t="s">
        <v>2806</v>
      </c>
    </row>
    <row r="101" customFormat="false" ht="15" hidden="false" customHeight="false" outlineLevel="0" collapsed="false">
      <c r="A101" s="0" t="s">
        <v>2807</v>
      </c>
      <c r="B101" s="0" t="s">
        <v>2808</v>
      </c>
    </row>
    <row r="102" customFormat="false" ht="15" hidden="false" customHeight="false" outlineLevel="0" collapsed="false">
      <c r="A102" s="0" t="s">
        <v>2809</v>
      </c>
      <c r="B102" s="0" t="s">
        <v>2810</v>
      </c>
    </row>
    <row r="103" customFormat="false" ht="15" hidden="false" customHeight="false" outlineLevel="0" collapsed="false">
      <c r="A103" s="0" t="s">
        <v>2811</v>
      </c>
      <c r="B103" s="0" t="s">
        <v>2812</v>
      </c>
    </row>
    <row r="104" customFormat="false" ht="15" hidden="false" customHeight="false" outlineLevel="0" collapsed="false">
      <c r="A104" s="0" t="s">
        <v>2813</v>
      </c>
      <c r="B104" s="0" t="s">
        <v>2814</v>
      </c>
    </row>
    <row r="105" customFormat="false" ht="15" hidden="false" customHeight="false" outlineLevel="0" collapsed="false">
      <c r="A105" s="0" t="s">
        <v>2815</v>
      </c>
      <c r="B105" s="0" t="s">
        <v>2816</v>
      </c>
    </row>
    <row r="106" customFormat="false" ht="15" hidden="false" customHeight="false" outlineLevel="0" collapsed="false">
      <c r="A106" s="0" t="s">
        <v>2817</v>
      </c>
      <c r="B106" s="0" t="s">
        <v>2818</v>
      </c>
    </row>
    <row r="107" customFormat="false" ht="15" hidden="false" customHeight="false" outlineLevel="0" collapsed="false">
      <c r="A107" s="0" t="s">
        <v>2819</v>
      </c>
      <c r="B107" s="0" t="s">
        <v>2820</v>
      </c>
    </row>
    <row r="108" customFormat="false" ht="15" hidden="false" customHeight="false" outlineLevel="0" collapsed="false">
      <c r="A108" s="0" t="s">
        <v>2821</v>
      </c>
      <c r="B108" s="0" t="s">
        <v>2822</v>
      </c>
    </row>
    <row r="109" customFormat="false" ht="15" hidden="false" customHeight="false" outlineLevel="0" collapsed="false">
      <c r="A109" s="0" t="s">
        <v>2823</v>
      </c>
      <c r="B109" s="0" t="s">
        <v>2824</v>
      </c>
    </row>
    <row r="110" customFormat="false" ht="15" hidden="false" customHeight="false" outlineLevel="0" collapsed="false">
      <c r="A110" s="0" t="s">
        <v>2825</v>
      </c>
      <c r="B110" s="0" t="s">
        <v>2826</v>
      </c>
    </row>
    <row r="111" customFormat="false" ht="15" hidden="false" customHeight="false" outlineLevel="0" collapsed="false">
      <c r="A111" s="0" t="s">
        <v>2827</v>
      </c>
      <c r="B111" s="0" t="s">
        <v>2828</v>
      </c>
    </row>
    <row r="112" customFormat="false" ht="15" hidden="false" customHeight="false" outlineLevel="0" collapsed="false">
      <c r="A112" s="0" t="s">
        <v>2829</v>
      </c>
      <c r="B112" s="0" t="s">
        <v>2830</v>
      </c>
    </row>
    <row r="113" customFormat="false" ht="15" hidden="false" customHeight="false" outlineLevel="0" collapsed="false">
      <c r="A113" s="0" t="s">
        <v>2831</v>
      </c>
      <c r="B113" s="0" t="s">
        <v>2832</v>
      </c>
    </row>
    <row r="114" customFormat="false" ht="15" hidden="false" customHeight="false" outlineLevel="0" collapsed="false">
      <c r="A114" s="0" t="s">
        <v>2833</v>
      </c>
      <c r="B114" s="0" t="s">
        <v>2834</v>
      </c>
    </row>
    <row r="115" customFormat="false" ht="15" hidden="false" customHeight="false" outlineLevel="0" collapsed="false">
      <c r="A115" s="0" t="s">
        <v>2835</v>
      </c>
      <c r="B115" s="0" t="s">
        <v>2836</v>
      </c>
    </row>
    <row r="116" customFormat="false" ht="15" hidden="false" customHeight="false" outlineLevel="0" collapsed="false">
      <c r="A116" s="0" t="s">
        <v>2837</v>
      </c>
      <c r="B116" s="0" t="s">
        <v>2838</v>
      </c>
    </row>
    <row r="117" customFormat="false" ht="15" hidden="false" customHeight="false" outlineLevel="0" collapsed="false">
      <c r="A117" s="0" t="s">
        <v>2839</v>
      </c>
      <c r="B117" s="0" t="s">
        <v>2840</v>
      </c>
    </row>
    <row r="118" customFormat="false" ht="15" hidden="false" customHeight="false" outlineLevel="0" collapsed="false">
      <c r="A118" s="0" t="s">
        <v>2841</v>
      </c>
      <c r="B118" s="0" t="s">
        <v>2842</v>
      </c>
    </row>
    <row r="119" customFormat="false" ht="15" hidden="false" customHeight="false" outlineLevel="0" collapsed="false">
      <c r="A119" s="0" t="s">
        <v>2843</v>
      </c>
      <c r="B119" s="0" t="s">
        <v>2844</v>
      </c>
    </row>
    <row r="120" customFormat="false" ht="15" hidden="false" customHeight="false" outlineLevel="0" collapsed="false">
      <c r="A120" s="0" t="s">
        <v>2845</v>
      </c>
      <c r="B120" s="0" t="s">
        <v>2846</v>
      </c>
    </row>
    <row r="121" customFormat="false" ht="15" hidden="false" customHeight="false" outlineLevel="0" collapsed="false">
      <c r="A121" s="0" t="s">
        <v>2847</v>
      </c>
      <c r="B121" s="0" t="s">
        <v>2848</v>
      </c>
    </row>
    <row r="122" customFormat="false" ht="15" hidden="false" customHeight="false" outlineLevel="0" collapsed="false">
      <c r="A122" s="0" t="s">
        <v>2849</v>
      </c>
      <c r="B122" s="0" t="s">
        <v>2850</v>
      </c>
    </row>
    <row r="123" customFormat="false" ht="15" hidden="false" customHeight="false" outlineLevel="0" collapsed="false">
      <c r="A123" s="0" t="s">
        <v>2851</v>
      </c>
      <c r="B123" s="0" t="s">
        <v>2852</v>
      </c>
    </row>
    <row r="124" customFormat="false" ht="15" hidden="false" customHeight="false" outlineLevel="0" collapsed="false">
      <c r="A124" s="0" t="s">
        <v>2853</v>
      </c>
      <c r="B124" s="0" t="s">
        <v>2854</v>
      </c>
    </row>
    <row r="125" customFormat="false" ht="15" hidden="false" customHeight="false" outlineLevel="0" collapsed="false">
      <c r="A125" s="0" t="s">
        <v>2855</v>
      </c>
      <c r="B125" s="0" t="s">
        <v>2856</v>
      </c>
    </row>
    <row r="126" customFormat="false" ht="15" hidden="false" customHeight="false" outlineLevel="0" collapsed="false">
      <c r="A126" s="0" t="s">
        <v>2857</v>
      </c>
      <c r="B126" s="0" t="s">
        <v>2858</v>
      </c>
    </row>
    <row r="127" customFormat="false" ht="15" hidden="false" customHeight="false" outlineLevel="0" collapsed="false">
      <c r="A127" s="0" t="s">
        <v>2859</v>
      </c>
      <c r="B127" s="0" t="s">
        <v>2860</v>
      </c>
    </row>
    <row r="128" customFormat="false" ht="15" hidden="false" customHeight="false" outlineLevel="0" collapsed="false">
      <c r="A128" s="0" t="s">
        <v>2861</v>
      </c>
      <c r="B128" s="0" t="s">
        <v>2862</v>
      </c>
    </row>
    <row r="129" customFormat="false" ht="15" hidden="false" customHeight="false" outlineLevel="0" collapsed="false">
      <c r="A129" s="0" t="s">
        <v>2863</v>
      </c>
      <c r="B129" s="0" t="s">
        <v>2864</v>
      </c>
    </row>
    <row r="130" customFormat="false" ht="15" hidden="false" customHeight="false" outlineLevel="0" collapsed="false">
      <c r="A130" s="0" t="s">
        <v>2865</v>
      </c>
      <c r="B130" s="0" t="s">
        <v>2866</v>
      </c>
    </row>
    <row r="131" customFormat="false" ht="15" hidden="false" customHeight="false" outlineLevel="0" collapsed="false">
      <c r="A131" s="0" t="s">
        <v>2867</v>
      </c>
      <c r="B131" s="0" t="s">
        <v>2868</v>
      </c>
    </row>
    <row r="132" customFormat="false" ht="15" hidden="false" customHeight="false" outlineLevel="0" collapsed="false">
      <c r="A132" s="0" t="s">
        <v>2869</v>
      </c>
      <c r="B132" s="0" t="s">
        <v>2870</v>
      </c>
    </row>
    <row r="133" customFormat="false" ht="15" hidden="false" customHeight="false" outlineLevel="0" collapsed="false">
      <c r="A133" s="0" t="s">
        <v>2871</v>
      </c>
      <c r="B133" s="0" t="s">
        <v>2872</v>
      </c>
    </row>
    <row r="134" customFormat="false" ht="15" hidden="false" customHeight="false" outlineLevel="0" collapsed="false">
      <c r="A134" s="0" t="s">
        <v>2873</v>
      </c>
      <c r="B134" s="0" t="s">
        <v>2874</v>
      </c>
    </row>
    <row r="135" customFormat="false" ht="15" hidden="false" customHeight="false" outlineLevel="0" collapsed="false">
      <c r="A135" s="0" t="s">
        <v>2875</v>
      </c>
      <c r="B135" s="0" t="s">
        <v>2876</v>
      </c>
    </row>
    <row r="136" customFormat="false" ht="15" hidden="false" customHeight="false" outlineLevel="0" collapsed="false">
      <c r="A136" s="0" t="s">
        <v>2877</v>
      </c>
      <c r="B136" s="0" t="s">
        <v>2878</v>
      </c>
    </row>
    <row r="137" customFormat="false" ht="15" hidden="false" customHeight="false" outlineLevel="0" collapsed="false">
      <c r="A137" s="0" t="s">
        <v>2879</v>
      </c>
      <c r="B137" s="0" t="s">
        <v>2880</v>
      </c>
    </row>
    <row r="138" customFormat="false" ht="15" hidden="false" customHeight="false" outlineLevel="0" collapsed="false">
      <c r="A138" s="0" t="s">
        <v>2881</v>
      </c>
      <c r="B138" s="0" t="s">
        <v>2882</v>
      </c>
    </row>
    <row r="139" customFormat="false" ht="15" hidden="false" customHeight="false" outlineLevel="0" collapsed="false">
      <c r="A139" s="0" t="s">
        <v>2883</v>
      </c>
      <c r="B139" s="0" t="s">
        <v>2884</v>
      </c>
    </row>
    <row r="140" customFormat="false" ht="15" hidden="false" customHeight="false" outlineLevel="0" collapsed="false">
      <c r="A140" s="0" t="s">
        <v>2885</v>
      </c>
      <c r="B140" s="0" t="s">
        <v>2886</v>
      </c>
    </row>
    <row r="141" customFormat="false" ht="15" hidden="false" customHeight="false" outlineLevel="0" collapsed="false">
      <c r="A141" s="0" t="s">
        <v>2887</v>
      </c>
      <c r="B141" s="0" t="s">
        <v>2888</v>
      </c>
    </row>
    <row r="142" customFormat="false" ht="15" hidden="false" customHeight="false" outlineLevel="0" collapsed="false">
      <c r="A142" s="0" t="s">
        <v>2889</v>
      </c>
      <c r="B142" s="0" t="s">
        <v>2890</v>
      </c>
    </row>
    <row r="143" customFormat="false" ht="15" hidden="false" customHeight="false" outlineLevel="0" collapsed="false">
      <c r="A143" s="0" t="s">
        <v>2891</v>
      </c>
      <c r="B143" s="0" t="s">
        <v>2892</v>
      </c>
    </row>
    <row r="144" customFormat="false" ht="15" hidden="false" customHeight="false" outlineLevel="0" collapsed="false">
      <c r="A144" s="0" t="s">
        <v>2893</v>
      </c>
      <c r="B144" s="0" t="s">
        <v>2894</v>
      </c>
    </row>
    <row r="145" customFormat="false" ht="15" hidden="false" customHeight="false" outlineLevel="0" collapsed="false">
      <c r="A145" s="0" t="s">
        <v>2895</v>
      </c>
      <c r="B145" s="0" t="s">
        <v>2896</v>
      </c>
    </row>
    <row r="146" customFormat="false" ht="15" hidden="false" customHeight="false" outlineLevel="0" collapsed="false">
      <c r="A146" s="0" t="s">
        <v>2897</v>
      </c>
      <c r="B146" s="0" t="s">
        <v>2898</v>
      </c>
    </row>
    <row r="147" customFormat="false" ht="15" hidden="false" customHeight="false" outlineLevel="0" collapsed="false">
      <c r="A147" s="0" t="s">
        <v>2899</v>
      </c>
      <c r="B147" s="0" t="s">
        <v>2900</v>
      </c>
    </row>
    <row r="148" customFormat="false" ht="15" hidden="false" customHeight="false" outlineLevel="0" collapsed="false">
      <c r="A148" s="0" t="s">
        <v>2901</v>
      </c>
      <c r="B148" s="0" t="s">
        <v>2902</v>
      </c>
    </row>
    <row r="149" customFormat="false" ht="15" hidden="false" customHeight="false" outlineLevel="0" collapsed="false">
      <c r="A149" s="0" t="s">
        <v>2903</v>
      </c>
      <c r="B149" s="0" t="s">
        <v>2904</v>
      </c>
    </row>
    <row r="150" customFormat="false" ht="15" hidden="false" customHeight="false" outlineLevel="0" collapsed="false">
      <c r="A150" s="0" t="s">
        <v>2905</v>
      </c>
      <c r="B150" s="0" t="s">
        <v>2906</v>
      </c>
    </row>
    <row r="151" customFormat="false" ht="15" hidden="false" customHeight="false" outlineLevel="0" collapsed="false">
      <c r="A151" s="0" t="s">
        <v>2907</v>
      </c>
      <c r="B151" s="0" t="s">
        <v>2908</v>
      </c>
    </row>
    <row r="152" customFormat="false" ht="15" hidden="false" customHeight="false" outlineLevel="0" collapsed="false">
      <c r="A152" s="0" t="s">
        <v>2909</v>
      </c>
      <c r="B152" s="0" t="s">
        <v>2910</v>
      </c>
    </row>
    <row r="153" customFormat="false" ht="15" hidden="false" customHeight="false" outlineLevel="0" collapsed="false">
      <c r="A153" s="0" t="s">
        <v>2911</v>
      </c>
      <c r="B153" s="0" t="s">
        <v>2912</v>
      </c>
    </row>
    <row r="154" customFormat="false" ht="15" hidden="false" customHeight="false" outlineLevel="0" collapsed="false">
      <c r="A154" s="0" t="s">
        <v>2913</v>
      </c>
      <c r="B154" s="0" t="s">
        <v>2914</v>
      </c>
    </row>
    <row r="155" customFormat="false" ht="15" hidden="false" customHeight="false" outlineLevel="0" collapsed="false">
      <c r="A155" s="0" t="s">
        <v>2915</v>
      </c>
      <c r="B155" s="0" t="s">
        <v>2916</v>
      </c>
    </row>
    <row r="156" customFormat="false" ht="15" hidden="false" customHeight="false" outlineLevel="0" collapsed="false">
      <c r="A156" s="0" t="s">
        <v>2917</v>
      </c>
      <c r="B156" s="0" t="s">
        <v>2918</v>
      </c>
    </row>
    <row r="157" customFormat="false" ht="15" hidden="false" customHeight="false" outlineLevel="0" collapsed="false">
      <c r="A157" s="0" t="s">
        <v>2919</v>
      </c>
      <c r="B157" s="0" t="s">
        <v>2920</v>
      </c>
    </row>
    <row r="158" customFormat="false" ht="15" hidden="false" customHeight="false" outlineLevel="0" collapsed="false">
      <c r="A158" s="0" t="s">
        <v>2921</v>
      </c>
      <c r="B158" s="0" t="s">
        <v>2922</v>
      </c>
    </row>
    <row r="159" customFormat="false" ht="15" hidden="false" customHeight="false" outlineLevel="0" collapsed="false">
      <c r="A159" s="0" t="s">
        <v>2923</v>
      </c>
      <c r="B159" s="0" t="s">
        <v>2924</v>
      </c>
    </row>
    <row r="160" customFormat="false" ht="15" hidden="false" customHeight="false" outlineLevel="0" collapsed="false">
      <c r="A160" s="0" t="s">
        <v>2925</v>
      </c>
      <c r="B160" s="0" t="s">
        <v>2926</v>
      </c>
    </row>
    <row r="161" customFormat="false" ht="15" hidden="false" customHeight="false" outlineLevel="0" collapsed="false">
      <c r="A161" s="0" t="s">
        <v>2927</v>
      </c>
      <c r="B161" s="0" t="s">
        <v>2928</v>
      </c>
    </row>
    <row r="162" customFormat="false" ht="15" hidden="false" customHeight="false" outlineLevel="0" collapsed="false">
      <c r="A162" s="0" t="s">
        <v>2929</v>
      </c>
      <c r="B162" s="0" t="s">
        <v>2930</v>
      </c>
    </row>
    <row r="163" customFormat="false" ht="15" hidden="false" customHeight="false" outlineLevel="0" collapsed="false">
      <c r="A163" s="0" t="s">
        <v>2931</v>
      </c>
      <c r="B163" s="0" t="s">
        <v>2932</v>
      </c>
    </row>
    <row r="164" customFormat="false" ht="15" hidden="false" customHeight="false" outlineLevel="0" collapsed="false">
      <c r="A164" s="0" t="s">
        <v>2933</v>
      </c>
      <c r="B164" s="0" t="s">
        <v>2934</v>
      </c>
    </row>
    <row r="165" customFormat="false" ht="15" hidden="false" customHeight="false" outlineLevel="0" collapsed="false">
      <c r="A165" s="0" t="s">
        <v>2935</v>
      </c>
      <c r="B165" s="0" t="s">
        <v>2936</v>
      </c>
    </row>
    <row r="166" customFormat="false" ht="15" hidden="false" customHeight="false" outlineLevel="0" collapsed="false">
      <c r="A166" s="0" t="s">
        <v>2937</v>
      </c>
      <c r="B166" s="0" t="s">
        <v>2938</v>
      </c>
    </row>
    <row r="167" customFormat="false" ht="15" hidden="false" customHeight="false" outlineLevel="0" collapsed="false">
      <c r="A167" s="0" t="s">
        <v>2939</v>
      </c>
      <c r="B167" s="0" t="s">
        <v>2940</v>
      </c>
    </row>
    <row r="168" customFormat="false" ht="15" hidden="false" customHeight="false" outlineLevel="0" collapsed="false">
      <c r="A168" s="0" t="s">
        <v>2941</v>
      </c>
      <c r="B168" s="0" t="s">
        <v>2942</v>
      </c>
    </row>
    <row r="169" customFormat="false" ht="15" hidden="false" customHeight="false" outlineLevel="0" collapsed="false">
      <c r="A169" s="0" t="s">
        <v>2943</v>
      </c>
      <c r="B169" s="0" t="s">
        <v>2944</v>
      </c>
    </row>
    <row r="170" customFormat="false" ht="15" hidden="false" customHeight="false" outlineLevel="0" collapsed="false">
      <c r="A170" s="0" t="s">
        <v>2945</v>
      </c>
      <c r="B170" s="0" t="s">
        <v>2946</v>
      </c>
    </row>
    <row r="171" customFormat="false" ht="15" hidden="false" customHeight="false" outlineLevel="0" collapsed="false">
      <c r="A171" s="0" t="s">
        <v>2947</v>
      </c>
      <c r="B171" s="0" t="s">
        <v>2948</v>
      </c>
    </row>
    <row r="172" customFormat="false" ht="15" hidden="false" customHeight="false" outlineLevel="0" collapsed="false">
      <c r="A172" s="0" t="s">
        <v>2949</v>
      </c>
      <c r="B172" s="0" t="s">
        <v>2950</v>
      </c>
    </row>
    <row r="173" customFormat="false" ht="15" hidden="false" customHeight="false" outlineLevel="0" collapsed="false">
      <c r="A173" s="0" t="s">
        <v>2951</v>
      </c>
      <c r="B173" s="0" t="s">
        <v>2952</v>
      </c>
    </row>
    <row r="174" customFormat="false" ht="15" hidden="false" customHeight="false" outlineLevel="0" collapsed="false">
      <c r="A174" s="0" t="s">
        <v>2953</v>
      </c>
      <c r="B174" s="0" t="s">
        <v>2954</v>
      </c>
    </row>
    <row r="175" customFormat="false" ht="15" hidden="false" customHeight="false" outlineLevel="0" collapsed="false">
      <c r="A175" s="0" t="s">
        <v>2955</v>
      </c>
      <c r="B175" s="0" t="s">
        <v>2956</v>
      </c>
    </row>
    <row r="176" customFormat="false" ht="15" hidden="false" customHeight="false" outlineLevel="0" collapsed="false">
      <c r="A176" s="0" t="s">
        <v>2957</v>
      </c>
      <c r="B176" s="0" t="s">
        <v>2958</v>
      </c>
    </row>
    <row r="177" customFormat="false" ht="15" hidden="false" customHeight="false" outlineLevel="0" collapsed="false">
      <c r="A177" s="0" t="s">
        <v>2959</v>
      </c>
      <c r="B177" s="0" t="s">
        <v>2960</v>
      </c>
    </row>
    <row r="178" customFormat="false" ht="15" hidden="false" customHeight="false" outlineLevel="0" collapsed="false">
      <c r="A178" s="0" t="s">
        <v>2961</v>
      </c>
      <c r="B178" s="0" t="s">
        <v>2962</v>
      </c>
    </row>
    <row r="179" customFormat="false" ht="15" hidden="false" customHeight="false" outlineLevel="0" collapsed="false">
      <c r="A179" s="0" t="s">
        <v>2963</v>
      </c>
      <c r="B179" s="0" t="s">
        <v>2964</v>
      </c>
    </row>
    <row r="180" customFormat="false" ht="15" hidden="false" customHeight="false" outlineLevel="0" collapsed="false">
      <c r="A180" s="0" t="s">
        <v>2965</v>
      </c>
      <c r="B180" s="0" t="s">
        <v>2966</v>
      </c>
    </row>
    <row r="181" customFormat="false" ht="15" hidden="false" customHeight="false" outlineLevel="0" collapsed="false">
      <c r="A181" s="0" t="s">
        <v>2967</v>
      </c>
      <c r="B181" s="0" t="s">
        <v>2968</v>
      </c>
    </row>
    <row r="182" customFormat="false" ht="15" hidden="false" customHeight="false" outlineLevel="0" collapsed="false">
      <c r="A182" s="0" t="s">
        <v>2969</v>
      </c>
      <c r="B182" s="0" t="s">
        <v>2970</v>
      </c>
    </row>
    <row r="183" customFormat="false" ht="15" hidden="false" customHeight="false" outlineLevel="0" collapsed="false">
      <c r="A183" s="0" t="s">
        <v>2971</v>
      </c>
      <c r="B183" s="0" t="s">
        <v>2972</v>
      </c>
    </row>
    <row r="184" customFormat="false" ht="15" hidden="false" customHeight="false" outlineLevel="0" collapsed="false">
      <c r="A184" s="0" t="s">
        <v>2973</v>
      </c>
      <c r="B184" s="0" t="s">
        <v>2974</v>
      </c>
    </row>
    <row r="185" customFormat="false" ht="15" hidden="false" customHeight="false" outlineLevel="0" collapsed="false">
      <c r="A185" s="0" t="s">
        <v>2975</v>
      </c>
      <c r="B185" s="0" t="s">
        <v>2976</v>
      </c>
    </row>
    <row r="186" customFormat="false" ht="15" hidden="false" customHeight="false" outlineLevel="0" collapsed="false">
      <c r="A186" s="0" t="s">
        <v>2977</v>
      </c>
      <c r="B186" s="0" t="s">
        <v>2978</v>
      </c>
    </row>
    <row r="187" customFormat="false" ht="15" hidden="false" customHeight="false" outlineLevel="0" collapsed="false">
      <c r="A187" s="0" t="s">
        <v>2979</v>
      </c>
      <c r="B187" s="0" t="s">
        <v>2980</v>
      </c>
    </row>
    <row r="188" customFormat="false" ht="15" hidden="false" customHeight="false" outlineLevel="0" collapsed="false">
      <c r="A188" s="0" t="s">
        <v>2981</v>
      </c>
      <c r="B188" s="0" t="s">
        <v>2982</v>
      </c>
    </row>
    <row r="189" customFormat="false" ht="15" hidden="false" customHeight="false" outlineLevel="0" collapsed="false">
      <c r="A189" s="0" t="s">
        <v>2983</v>
      </c>
      <c r="B189" s="0" t="s">
        <v>2984</v>
      </c>
    </row>
    <row r="190" customFormat="false" ht="15" hidden="false" customHeight="false" outlineLevel="0" collapsed="false">
      <c r="A190" s="0" t="s">
        <v>2985</v>
      </c>
      <c r="B190" s="0" t="s">
        <v>2986</v>
      </c>
    </row>
    <row r="191" customFormat="false" ht="15" hidden="false" customHeight="false" outlineLevel="0" collapsed="false">
      <c r="A191" s="0" t="s">
        <v>2987</v>
      </c>
      <c r="B191" s="0" t="s">
        <v>2988</v>
      </c>
    </row>
    <row r="192" customFormat="false" ht="15" hidden="false" customHeight="false" outlineLevel="0" collapsed="false">
      <c r="A192" s="0" t="s">
        <v>2989</v>
      </c>
      <c r="B192" s="0" t="s">
        <v>2990</v>
      </c>
    </row>
    <row r="193" customFormat="false" ht="15" hidden="false" customHeight="false" outlineLevel="0" collapsed="false">
      <c r="A193" s="0" t="s">
        <v>2991</v>
      </c>
      <c r="B193" s="0" t="s">
        <v>2992</v>
      </c>
    </row>
    <row r="194" customFormat="false" ht="15" hidden="false" customHeight="false" outlineLevel="0" collapsed="false">
      <c r="A194" s="0" t="s">
        <v>2993</v>
      </c>
      <c r="B194" s="0" t="s">
        <v>2994</v>
      </c>
    </row>
    <row r="195" customFormat="false" ht="15" hidden="false" customHeight="false" outlineLevel="0" collapsed="false">
      <c r="A195" s="0" t="s">
        <v>2995</v>
      </c>
      <c r="B195" s="0" t="s">
        <v>2996</v>
      </c>
    </row>
    <row r="196" customFormat="false" ht="15" hidden="false" customHeight="false" outlineLevel="0" collapsed="false">
      <c r="A196" s="0" t="s">
        <v>2997</v>
      </c>
      <c r="B196" s="0" t="s">
        <v>2998</v>
      </c>
    </row>
    <row r="197" customFormat="false" ht="15" hidden="false" customHeight="false" outlineLevel="0" collapsed="false">
      <c r="A197" s="0" t="s">
        <v>2999</v>
      </c>
      <c r="B197" s="0" t="s">
        <v>3000</v>
      </c>
    </row>
    <row r="198" customFormat="false" ht="15" hidden="false" customHeight="false" outlineLevel="0" collapsed="false">
      <c r="A198" s="0" t="s">
        <v>3001</v>
      </c>
      <c r="B198" s="0" t="s">
        <v>3002</v>
      </c>
    </row>
    <row r="199" customFormat="false" ht="15" hidden="false" customHeight="false" outlineLevel="0" collapsed="false">
      <c r="A199" s="0" t="s">
        <v>3003</v>
      </c>
      <c r="B199" s="0" t="s">
        <v>3004</v>
      </c>
    </row>
    <row r="200" customFormat="false" ht="15" hidden="false" customHeight="false" outlineLevel="0" collapsed="false">
      <c r="A200" s="0" t="s">
        <v>3005</v>
      </c>
      <c r="B200" s="0" t="s">
        <v>3006</v>
      </c>
    </row>
    <row r="201" customFormat="false" ht="15" hidden="false" customHeight="false" outlineLevel="0" collapsed="false">
      <c r="A201" s="0" t="s">
        <v>3007</v>
      </c>
      <c r="B201" s="0" t="s">
        <v>3008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4"/>
  </cols>
  <sheetData>
    <row r="1" customFormat="false" ht="28.35" hidden="false" customHeight="false" outlineLevel="0" collapsed="false">
      <c r="A1" s="2" t="s">
        <v>16</v>
      </c>
      <c r="B1" s="2" t="s">
        <v>18</v>
      </c>
    </row>
    <row r="2" customFormat="false" ht="15" hidden="false" customHeight="false" outlineLevel="0" collapsed="false">
      <c r="A2" s="0" t="s">
        <v>2609</v>
      </c>
      <c r="B2" s="0" t="s">
        <v>21</v>
      </c>
    </row>
    <row r="3" customFormat="false" ht="15" hidden="false" customHeight="false" outlineLevel="0" collapsed="false">
      <c r="A3" s="0" t="s">
        <v>2611</v>
      </c>
      <c r="B3" s="0" t="s">
        <v>21</v>
      </c>
    </row>
    <row r="4" customFormat="false" ht="15" hidden="false" customHeight="false" outlineLevel="0" collapsed="false">
      <c r="A4" s="0" t="s">
        <v>2613</v>
      </c>
      <c r="B4" s="0" t="s">
        <v>44</v>
      </c>
    </row>
    <row r="5" customFormat="false" ht="15" hidden="false" customHeight="false" outlineLevel="0" collapsed="false">
      <c r="A5" s="0" t="s">
        <v>2615</v>
      </c>
      <c r="B5" s="0" t="s">
        <v>33</v>
      </c>
    </row>
    <row r="6" customFormat="false" ht="15" hidden="false" customHeight="false" outlineLevel="0" collapsed="false">
      <c r="A6" s="0" t="s">
        <v>2617</v>
      </c>
      <c r="B6" s="0" t="s">
        <v>41</v>
      </c>
    </row>
    <row r="7" customFormat="false" ht="15" hidden="false" customHeight="false" outlineLevel="0" collapsed="false">
      <c r="A7" s="0" t="s">
        <v>2619</v>
      </c>
      <c r="B7" s="0" t="s">
        <v>38</v>
      </c>
    </row>
    <row r="8" customFormat="false" ht="15" hidden="false" customHeight="false" outlineLevel="0" collapsed="false">
      <c r="A8" s="0" t="s">
        <v>2621</v>
      </c>
      <c r="B8" s="0" t="s">
        <v>44</v>
      </c>
    </row>
    <row r="9" customFormat="false" ht="15" hidden="false" customHeight="false" outlineLevel="0" collapsed="false">
      <c r="A9" s="0" t="s">
        <v>2623</v>
      </c>
      <c r="B9" s="0" t="s">
        <v>21</v>
      </c>
    </row>
    <row r="10" customFormat="false" ht="15" hidden="false" customHeight="false" outlineLevel="0" collapsed="false">
      <c r="A10" s="0" t="s">
        <v>2625</v>
      </c>
      <c r="B10" s="0" t="s">
        <v>28</v>
      </c>
    </row>
    <row r="11" customFormat="false" ht="15" hidden="false" customHeight="false" outlineLevel="0" collapsed="false">
      <c r="A11" s="0" t="s">
        <v>2627</v>
      </c>
      <c r="B11" s="0" t="s">
        <v>33</v>
      </c>
    </row>
    <row r="12" customFormat="false" ht="15" hidden="false" customHeight="false" outlineLevel="0" collapsed="false">
      <c r="A12" s="0" t="s">
        <v>2629</v>
      </c>
      <c r="B12" s="0" t="s">
        <v>44</v>
      </c>
    </row>
    <row r="13" customFormat="false" ht="15" hidden="false" customHeight="false" outlineLevel="0" collapsed="false">
      <c r="A13" s="0" t="s">
        <v>2631</v>
      </c>
      <c r="B13" s="0" t="s">
        <v>44</v>
      </c>
    </row>
    <row r="14" customFormat="false" ht="15" hidden="false" customHeight="false" outlineLevel="0" collapsed="false">
      <c r="A14" s="0" t="s">
        <v>2633</v>
      </c>
      <c r="B14" s="0" t="s">
        <v>38</v>
      </c>
    </row>
    <row r="15" customFormat="false" ht="15" hidden="false" customHeight="false" outlineLevel="0" collapsed="false">
      <c r="A15" s="0" t="s">
        <v>2635</v>
      </c>
      <c r="B15" s="0" t="s">
        <v>28</v>
      </c>
    </row>
    <row r="16" customFormat="false" ht="15" hidden="false" customHeight="false" outlineLevel="0" collapsed="false">
      <c r="A16" s="0" t="s">
        <v>2637</v>
      </c>
      <c r="B16" s="0" t="s">
        <v>33</v>
      </c>
    </row>
    <row r="17" customFormat="false" ht="15" hidden="false" customHeight="false" outlineLevel="0" collapsed="false">
      <c r="A17" s="0" t="s">
        <v>2639</v>
      </c>
      <c r="B17" s="0" t="s">
        <v>28</v>
      </c>
    </row>
    <row r="18" customFormat="false" ht="15" hidden="false" customHeight="false" outlineLevel="0" collapsed="false">
      <c r="A18" s="0" t="s">
        <v>2641</v>
      </c>
      <c r="B18" s="0" t="s">
        <v>41</v>
      </c>
    </row>
    <row r="19" customFormat="false" ht="15" hidden="false" customHeight="false" outlineLevel="0" collapsed="false">
      <c r="A19" s="0" t="s">
        <v>2643</v>
      </c>
      <c r="B19" s="0" t="s">
        <v>41</v>
      </c>
    </row>
    <row r="20" customFormat="false" ht="15" hidden="false" customHeight="false" outlineLevel="0" collapsed="false">
      <c r="A20" s="0" t="s">
        <v>2645</v>
      </c>
      <c r="B20" s="0" t="s">
        <v>41</v>
      </c>
    </row>
    <row r="21" customFormat="false" ht="15" hidden="false" customHeight="false" outlineLevel="0" collapsed="false">
      <c r="A21" s="0" t="s">
        <v>2647</v>
      </c>
      <c r="B21" s="0" t="s">
        <v>28</v>
      </c>
    </row>
    <row r="22" customFormat="false" ht="15" hidden="false" customHeight="false" outlineLevel="0" collapsed="false">
      <c r="A22" s="0" t="s">
        <v>2649</v>
      </c>
      <c r="B22" s="0" t="s">
        <v>41</v>
      </c>
    </row>
    <row r="23" customFormat="false" ht="15" hidden="false" customHeight="false" outlineLevel="0" collapsed="false">
      <c r="A23" s="0" t="s">
        <v>2651</v>
      </c>
      <c r="B23" s="0" t="s">
        <v>44</v>
      </c>
    </row>
    <row r="24" customFormat="false" ht="15" hidden="false" customHeight="false" outlineLevel="0" collapsed="false">
      <c r="A24" s="0" t="s">
        <v>2653</v>
      </c>
      <c r="B24" s="0" t="s">
        <v>33</v>
      </c>
    </row>
    <row r="25" customFormat="false" ht="15" hidden="false" customHeight="false" outlineLevel="0" collapsed="false">
      <c r="A25" s="0" t="s">
        <v>2655</v>
      </c>
      <c r="B25" s="0" t="s">
        <v>44</v>
      </c>
    </row>
    <row r="26" customFormat="false" ht="15" hidden="false" customHeight="false" outlineLevel="0" collapsed="false">
      <c r="A26" s="0" t="s">
        <v>2657</v>
      </c>
      <c r="B26" s="0" t="s">
        <v>33</v>
      </c>
    </row>
    <row r="27" customFormat="false" ht="15" hidden="false" customHeight="false" outlineLevel="0" collapsed="false">
      <c r="A27" s="0" t="s">
        <v>2659</v>
      </c>
      <c r="B27" s="0" t="s">
        <v>41</v>
      </c>
    </row>
    <row r="28" customFormat="false" ht="15" hidden="false" customHeight="false" outlineLevel="0" collapsed="false">
      <c r="A28" s="0" t="s">
        <v>2661</v>
      </c>
      <c r="B28" s="0" t="s">
        <v>33</v>
      </c>
    </row>
    <row r="29" customFormat="false" ht="15" hidden="false" customHeight="false" outlineLevel="0" collapsed="false">
      <c r="A29" s="0" t="s">
        <v>2663</v>
      </c>
      <c r="B29" s="0" t="s">
        <v>44</v>
      </c>
    </row>
    <row r="30" customFormat="false" ht="15" hidden="false" customHeight="false" outlineLevel="0" collapsed="false">
      <c r="A30" s="0" t="s">
        <v>2665</v>
      </c>
      <c r="B30" s="0" t="s">
        <v>44</v>
      </c>
    </row>
    <row r="31" customFormat="false" ht="15" hidden="false" customHeight="false" outlineLevel="0" collapsed="false">
      <c r="A31" s="0" t="s">
        <v>2667</v>
      </c>
      <c r="B31" s="0" t="s">
        <v>44</v>
      </c>
    </row>
    <row r="32" customFormat="false" ht="15" hidden="false" customHeight="false" outlineLevel="0" collapsed="false">
      <c r="A32" s="0" t="s">
        <v>2669</v>
      </c>
      <c r="B32" s="0" t="s">
        <v>44</v>
      </c>
    </row>
    <row r="33" customFormat="false" ht="15" hidden="false" customHeight="false" outlineLevel="0" collapsed="false">
      <c r="A33" s="0" t="s">
        <v>2671</v>
      </c>
      <c r="B33" s="0" t="s">
        <v>21</v>
      </c>
    </row>
    <row r="34" customFormat="false" ht="15" hidden="false" customHeight="false" outlineLevel="0" collapsed="false">
      <c r="A34" s="0" t="s">
        <v>2673</v>
      </c>
      <c r="B34" s="0" t="s">
        <v>33</v>
      </c>
    </row>
    <row r="35" customFormat="false" ht="15" hidden="false" customHeight="false" outlineLevel="0" collapsed="false">
      <c r="A35" s="0" t="s">
        <v>2675</v>
      </c>
      <c r="B35" s="0" t="s">
        <v>38</v>
      </c>
    </row>
    <row r="36" customFormat="false" ht="15" hidden="false" customHeight="false" outlineLevel="0" collapsed="false">
      <c r="A36" s="0" t="s">
        <v>2677</v>
      </c>
      <c r="B36" s="0" t="s">
        <v>33</v>
      </c>
    </row>
    <row r="37" customFormat="false" ht="15" hidden="false" customHeight="false" outlineLevel="0" collapsed="false">
      <c r="A37" s="0" t="s">
        <v>2679</v>
      </c>
      <c r="B37" s="0" t="s">
        <v>33</v>
      </c>
    </row>
    <row r="38" customFormat="false" ht="15" hidden="false" customHeight="false" outlineLevel="0" collapsed="false">
      <c r="A38" s="0" t="s">
        <v>2681</v>
      </c>
      <c r="B38" s="0" t="s">
        <v>38</v>
      </c>
    </row>
    <row r="39" customFormat="false" ht="15" hidden="false" customHeight="false" outlineLevel="0" collapsed="false">
      <c r="A39" s="0" t="s">
        <v>2683</v>
      </c>
      <c r="B39" s="0" t="s">
        <v>44</v>
      </c>
    </row>
    <row r="40" customFormat="false" ht="15" hidden="false" customHeight="false" outlineLevel="0" collapsed="false">
      <c r="A40" s="0" t="s">
        <v>2685</v>
      </c>
      <c r="B40" s="0" t="s">
        <v>28</v>
      </c>
    </row>
    <row r="41" customFormat="false" ht="15" hidden="false" customHeight="false" outlineLevel="0" collapsed="false">
      <c r="A41" s="0" t="s">
        <v>2687</v>
      </c>
      <c r="B41" s="0" t="s">
        <v>33</v>
      </c>
    </row>
    <row r="42" customFormat="false" ht="15" hidden="false" customHeight="false" outlineLevel="0" collapsed="false">
      <c r="A42" s="0" t="s">
        <v>2689</v>
      </c>
      <c r="B42" s="0" t="s">
        <v>44</v>
      </c>
    </row>
    <row r="43" customFormat="false" ht="15" hidden="false" customHeight="false" outlineLevel="0" collapsed="false">
      <c r="A43" s="0" t="s">
        <v>2691</v>
      </c>
      <c r="B43" s="0" t="s">
        <v>28</v>
      </c>
    </row>
    <row r="44" customFormat="false" ht="15" hidden="false" customHeight="false" outlineLevel="0" collapsed="false">
      <c r="A44" s="0" t="s">
        <v>2693</v>
      </c>
      <c r="B44" s="0" t="s">
        <v>28</v>
      </c>
    </row>
    <row r="45" customFormat="false" ht="15" hidden="false" customHeight="false" outlineLevel="0" collapsed="false">
      <c r="A45" s="0" t="s">
        <v>2695</v>
      </c>
      <c r="B45" s="0" t="s">
        <v>33</v>
      </c>
    </row>
    <row r="46" customFormat="false" ht="15" hidden="false" customHeight="false" outlineLevel="0" collapsed="false">
      <c r="A46" s="0" t="s">
        <v>2697</v>
      </c>
      <c r="B46" s="0" t="s">
        <v>21</v>
      </c>
    </row>
    <row r="47" customFormat="false" ht="15" hidden="false" customHeight="false" outlineLevel="0" collapsed="false">
      <c r="A47" s="0" t="s">
        <v>2699</v>
      </c>
      <c r="B47" s="0" t="s">
        <v>44</v>
      </c>
    </row>
    <row r="48" customFormat="false" ht="15" hidden="false" customHeight="false" outlineLevel="0" collapsed="false">
      <c r="A48" s="0" t="s">
        <v>2701</v>
      </c>
      <c r="B48" s="0" t="s">
        <v>21</v>
      </c>
    </row>
    <row r="49" customFormat="false" ht="15" hidden="false" customHeight="false" outlineLevel="0" collapsed="false">
      <c r="A49" s="0" t="s">
        <v>2703</v>
      </c>
      <c r="B49" s="0" t="s">
        <v>41</v>
      </c>
    </row>
    <row r="50" customFormat="false" ht="15" hidden="false" customHeight="false" outlineLevel="0" collapsed="false">
      <c r="A50" s="0" t="s">
        <v>2705</v>
      </c>
      <c r="B50" s="0" t="s">
        <v>38</v>
      </c>
    </row>
    <row r="51" customFormat="false" ht="15" hidden="false" customHeight="false" outlineLevel="0" collapsed="false">
      <c r="A51" s="0" t="s">
        <v>2707</v>
      </c>
      <c r="B51" s="0" t="s">
        <v>44</v>
      </c>
    </row>
    <row r="52" customFormat="false" ht="15" hidden="false" customHeight="false" outlineLevel="0" collapsed="false">
      <c r="A52" s="0" t="s">
        <v>2709</v>
      </c>
      <c r="B52" s="0" t="s">
        <v>38</v>
      </c>
    </row>
    <row r="53" customFormat="false" ht="15" hidden="false" customHeight="false" outlineLevel="0" collapsed="false">
      <c r="A53" s="0" t="s">
        <v>2711</v>
      </c>
      <c r="B53" s="0" t="s">
        <v>21</v>
      </c>
    </row>
    <row r="54" customFormat="false" ht="15" hidden="false" customHeight="false" outlineLevel="0" collapsed="false">
      <c r="A54" s="0" t="s">
        <v>2713</v>
      </c>
      <c r="B54" s="0" t="s">
        <v>41</v>
      </c>
    </row>
    <row r="55" customFormat="false" ht="15" hidden="false" customHeight="false" outlineLevel="0" collapsed="false">
      <c r="A55" s="0" t="s">
        <v>2715</v>
      </c>
      <c r="B55" s="0" t="s">
        <v>44</v>
      </c>
    </row>
    <row r="56" customFormat="false" ht="15" hidden="false" customHeight="false" outlineLevel="0" collapsed="false">
      <c r="A56" s="0" t="s">
        <v>2717</v>
      </c>
      <c r="B56" s="0" t="s">
        <v>33</v>
      </c>
    </row>
    <row r="57" customFormat="false" ht="15" hidden="false" customHeight="false" outlineLevel="0" collapsed="false">
      <c r="A57" s="0" t="s">
        <v>2719</v>
      </c>
      <c r="B57" s="0" t="s">
        <v>21</v>
      </c>
    </row>
    <row r="58" customFormat="false" ht="15" hidden="false" customHeight="false" outlineLevel="0" collapsed="false">
      <c r="A58" s="0" t="s">
        <v>2721</v>
      </c>
      <c r="B58" s="0" t="s">
        <v>38</v>
      </c>
    </row>
    <row r="59" customFormat="false" ht="15" hidden="false" customHeight="false" outlineLevel="0" collapsed="false">
      <c r="A59" s="0" t="s">
        <v>2723</v>
      </c>
      <c r="B59" s="0" t="s">
        <v>21</v>
      </c>
    </row>
    <row r="60" customFormat="false" ht="15" hidden="false" customHeight="false" outlineLevel="0" collapsed="false">
      <c r="A60" s="0" t="s">
        <v>2725</v>
      </c>
      <c r="B60" s="0" t="s">
        <v>38</v>
      </c>
    </row>
    <row r="61" customFormat="false" ht="15" hidden="false" customHeight="false" outlineLevel="0" collapsed="false">
      <c r="A61" s="0" t="s">
        <v>2727</v>
      </c>
      <c r="B61" s="0" t="s">
        <v>41</v>
      </c>
    </row>
    <row r="62" customFormat="false" ht="15" hidden="false" customHeight="false" outlineLevel="0" collapsed="false">
      <c r="A62" s="0" t="s">
        <v>2729</v>
      </c>
      <c r="B62" s="0" t="s">
        <v>21</v>
      </c>
    </row>
    <row r="63" customFormat="false" ht="15" hidden="false" customHeight="false" outlineLevel="0" collapsed="false">
      <c r="A63" s="0" t="s">
        <v>2731</v>
      </c>
      <c r="B63" s="0" t="s">
        <v>21</v>
      </c>
    </row>
    <row r="64" customFormat="false" ht="15" hidden="false" customHeight="false" outlineLevel="0" collapsed="false">
      <c r="A64" s="0" t="s">
        <v>2733</v>
      </c>
      <c r="B64" s="0" t="s">
        <v>28</v>
      </c>
    </row>
    <row r="65" customFormat="false" ht="15" hidden="false" customHeight="false" outlineLevel="0" collapsed="false">
      <c r="A65" s="0" t="s">
        <v>2735</v>
      </c>
      <c r="B65" s="0" t="s">
        <v>41</v>
      </c>
    </row>
    <row r="66" customFormat="false" ht="15" hidden="false" customHeight="false" outlineLevel="0" collapsed="false">
      <c r="A66" s="0" t="s">
        <v>2737</v>
      </c>
      <c r="B66" s="0" t="s">
        <v>33</v>
      </c>
    </row>
    <row r="67" customFormat="false" ht="15" hidden="false" customHeight="false" outlineLevel="0" collapsed="false">
      <c r="A67" s="0" t="s">
        <v>2739</v>
      </c>
      <c r="B67" s="0" t="s">
        <v>38</v>
      </c>
    </row>
    <row r="68" customFormat="false" ht="15" hidden="false" customHeight="false" outlineLevel="0" collapsed="false">
      <c r="A68" s="0" t="s">
        <v>2741</v>
      </c>
      <c r="B68" s="0" t="s">
        <v>21</v>
      </c>
    </row>
    <row r="69" customFormat="false" ht="15" hidden="false" customHeight="false" outlineLevel="0" collapsed="false">
      <c r="A69" s="0" t="s">
        <v>2743</v>
      </c>
      <c r="B69" s="0" t="s">
        <v>21</v>
      </c>
    </row>
    <row r="70" customFormat="false" ht="15" hidden="false" customHeight="false" outlineLevel="0" collapsed="false">
      <c r="A70" s="0" t="s">
        <v>2745</v>
      </c>
      <c r="B70" s="0" t="s">
        <v>38</v>
      </c>
    </row>
    <row r="71" customFormat="false" ht="15" hidden="false" customHeight="false" outlineLevel="0" collapsed="false">
      <c r="A71" s="0" t="s">
        <v>2747</v>
      </c>
      <c r="B71" s="0" t="s">
        <v>21</v>
      </c>
    </row>
    <row r="72" customFormat="false" ht="15" hidden="false" customHeight="false" outlineLevel="0" collapsed="false">
      <c r="A72" s="0" t="s">
        <v>2749</v>
      </c>
      <c r="B72" s="0" t="s">
        <v>21</v>
      </c>
    </row>
    <row r="73" customFormat="false" ht="15" hidden="false" customHeight="false" outlineLevel="0" collapsed="false">
      <c r="A73" s="0" t="s">
        <v>2751</v>
      </c>
      <c r="B73" s="0" t="s">
        <v>38</v>
      </c>
    </row>
    <row r="74" customFormat="false" ht="15" hidden="false" customHeight="false" outlineLevel="0" collapsed="false">
      <c r="A74" s="0" t="s">
        <v>2753</v>
      </c>
      <c r="B74" s="0" t="s">
        <v>38</v>
      </c>
    </row>
    <row r="75" customFormat="false" ht="15" hidden="false" customHeight="false" outlineLevel="0" collapsed="false">
      <c r="A75" s="0" t="s">
        <v>2755</v>
      </c>
      <c r="B75" s="0" t="s">
        <v>38</v>
      </c>
    </row>
    <row r="76" customFormat="false" ht="15" hidden="false" customHeight="false" outlineLevel="0" collapsed="false">
      <c r="A76" s="0" t="s">
        <v>2757</v>
      </c>
      <c r="B76" s="0" t="s">
        <v>44</v>
      </c>
    </row>
    <row r="77" customFormat="false" ht="15" hidden="false" customHeight="false" outlineLevel="0" collapsed="false">
      <c r="A77" s="0" t="s">
        <v>2759</v>
      </c>
      <c r="B77" s="0" t="s">
        <v>28</v>
      </c>
    </row>
    <row r="78" customFormat="false" ht="15" hidden="false" customHeight="false" outlineLevel="0" collapsed="false">
      <c r="A78" s="0" t="s">
        <v>2761</v>
      </c>
      <c r="B78" s="0" t="s">
        <v>33</v>
      </c>
    </row>
    <row r="79" customFormat="false" ht="15" hidden="false" customHeight="false" outlineLevel="0" collapsed="false">
      <c r="A79" s="0" t="s">
        <v>2763</v>
      </c>
      <c r="B79" s="0" t="s">
        <v>44</v>
      </c>
    </row>
    <row r="80" customFormat="false" ht="15" hidden="false" customHeight="false" outlineLevel="0" collapsed="false">
      <c r="A80" s="0" t="s">
        <v>2765</v>
      </c>
      <c r="B80" s="0" t="s">
        <v>28</v>
      </c>
    </row>
    <row r="81" customFormat="false" ht="15" hidden="false" customHeight="false" outlineLevel="0" collapsed="false">
      <c r="A81" s="0" t="s">
        <v>2767</v>
      </c>
      <c r="B81" s="0" t="s">
        <v>33</v>
      </c>
    </row>
    <row r="82" customFormat="false" ht="15" hidden="false" customHeight="false" outlineLevel="0" collapsed="false">
      <c r="A82" s="0" t="s">
        <v>2769</v>
      </c>
      <c r="B82" s="0" t="s">
        <v>28</v>
      </c>
    </row>
    <row r="83" customFormat="false" ht="15" hidden="false" customHeight="false" outlineLevel="0" collapsed="false">
      <c r="A83" s="0" t="s">
        <v>2771</v>
      </c>
      <c r="B83" s="0" t="s">
        <v>44</v>
      </c>
    </row>
    <row r="84" customFormat="false" ht="15" hidden="false" customHeight="false" outlineLevel="0" collapsed="false">
      <c r="A84" s="0" t="s">
        <v>2773</v>
      </c>
      <c r="B84" s="0" t="s">
        <v>41</v>
      </c>
    </row>
    <row r="85" customFormat="false" ht="15" hidden="false" customHeight="false" outlineLevel="0" collapsed="false">
      <c r="A85" s="0" t="s">
        <v>2775</v>
      </c>
      <c r="B85" s="0" t="s">
        <v>33</v>
      </c>
    </row>
    <row r="86" customFormat="false" ht="15" hidden="false" customHeight="false" outlineLevel="0" collapsed="false">
      <c r="A86" s="0" t="s">
        <v>2777</v>
      </c>
      <c r="B86" s="0" t="s">
        <v>28</v>
      </c>
    </row>
    <row r="87" customFormat="false" ht="15" hidden="false" customHeight="false" outlineLevel="0" collapsed="false">
      <c r="A87" s="0" t="s">
        <v>2779</v>
      </c>
      <c r="B87" s="0" t="s">
        <v>33</v>
      </c>
    </row>
    <row r="88" customFormat="false" ht="15" hidden="false" customHeight="false" outlineLevel="0" collapsed="false">
      <c r="A88" s="0" t="s">
        <v>2781</v>
      </c>
      <c r="B88" s="0" t="s">
        <v>41</v>
      </c>
    </row>
    <row r="89" customFormat="false" ht="15" hidden="false" customHeight="false" outlineLevel="0" collapsed="false">
      <c r="A89" s="0" t="s">
        <v>2783</v>
      </c>
      <c r="B89" s="0" t="s">
        <v>21</v>
      </c>
    </row>
    <row r="90" customFormat="false" ht="15" hidden="false" customHeight="false" outlineLevel="0" collapsed="false">
      <c r="A90" s="0" t="s">
        <v>2785</v>
      </c>
      <c r="B90" s="0" t="s">
        <v>41</v>
      </c>
    </row>
    <row r="91" customFormat="false" ht="15" hidden="false" customHeight="false" outlineLevel="0" collapsed="false">
      <c r="A91" s="0" t="s">
        <v>2787</v>
      </c>
      <c r="B91" s="0" t="s">
        <v>41</v>
      </c>
    </row>
    <row r="92" customFormat="false" ht="15" hidden="false" customHeight="false" outlineLevel="0" collapsed="false">
      <c r="A92" s="0" t="s">
        <v>2789</v>
      </c>
      <c r="B92" s="0" t="s">
        <v>21</v>
      </c>
    </row>
    <row r="93" customFormat="false" ht="15" hidden="false" customHeight="false" outlineLevel="0" collapsed="false">
      <c r="A93" s="0" t="s">
        <v>2791</v>
      </c>
      <c r="B93" s="0" t="s">
        <v>28</v>
      </c>
    </row>
    <row r="94" customFormat="false" ht="15" hidden="false" customHeight="false" outlineLevel="0" collapsed="false">
      <c r="A94" s="0" t="s">
        <v>2793</v>
      </c>
      <c r="B94" s="0" t="s">
        <v>38</v>
      </c>
    </row>
    <row r="95" customFormat="false" ht="15" hidden="false" customHeight="false" outlineLevel="0" collapsed="false">
      <c r="A95" s="0" t="s">
        <v>2795</v>
      </c>
      <c r="B95" s="0" t="s">
        <v>44</v>
      </c>
    </row>
    <row r="96" customFormat="false" ht="15" hidden="false" customHeight="false" outlineLevel="0" collapsed="false">
      <c r="A96" s="0" t="s">
        <v>2797</v>
      </c>
      <c r="B96" s="0" t="s">
        <v>44</v>
      </c>
    </row>
    <row r="97" customFormat="false" ht="15" hidden="false" customHeight="false" outlineLevel="0" collapsed="false">
      <c r="A97" s="0" t="s">
        <v>2799</v>
      </c>
      <c r="B97" s="0" t="s">
        <v>38</v>
      </c>
    </row>
    <row r="98" customFormat="false" ht="15" hidden="false" customHeight="false" outlineLevel="0" collapsed="false">
      <c r="A98" s="0" t="s">
        <v>2801</v>
      </c>
      <c r="B98" s="0" t="s">
        <v>44</v>
      </c>
    </row>
    <row r="99" customFormat="false" ht="15" hidden="false" customHeight="false" outlineLevel="0" collapsed="false">
      <c r="A99" s="0" t="s">
        <v>2803</v>
      </c>
      <c r="B99" s="0" t="s">
        <v>41</v>
      </c>
    </row>
    <row r="100" customFormat="false" ht="15" hidden="false" customHeight="false" outlineLevel="0" collapsed="false">
      <c r="A100" s="0" t="s">
        <v>2805</v>
      </c>
      <c r="B100" s="0" t="s">
        <v>21</v>
      </c>
    </row>
    <row r="101" customFormat="false" ht="15" hidden="false" customHeight="false" outlineLevel="0" collapsed="false">
      <c r="A101" s="0" t="s">
        <v>2807</v>
      </c>
      <c r="B101" s="0" t="s">
        <v>21</v>
      </c>
    </row>
    <row r="102" customFormat="false" ht="15" hidden="false" customHeight="false" outlineLevel="0" collapsed="false">
      <c r="A102" s="0" t="s">
        <v>2809</v>
      </c>
      <c r="B102" s="0" t="s">
        <v>21</v>
      </c>
    </row>
    <row r="103" customFormat="false" ht="15" hidden="false" customHeight="false" outlineLevel="0" collapsed="false">
      <c r="A103" s="0" t="s">
        <v>2811</v>
      </c>
      <c r="B103" s="0" t="s">
        <v>33</v>
      </c>
    </row>
    <row r="104" customFormat="false" ht="15" hidden="false" customHeight="false" outlineLevel="0" collapsed="false">
      <c r="A104" s="0" t="s">
        <v>2813</v>
      </c>
      <c r="B104" s="0" t="s">
        <v>33</v>
      </c>
    </row>
    <row r="105" customFormat="false" ht="15" hidden="false" customHeight="false" outlineLevel="0" collapsed="false">
      <c r="A105" s="0" t="s">
        <v>2815</v>
      </c>
      <c r="B105" s="0" t="s">
        <v>33</v>
      </c>
    </row>
    <row r="106" customFormat="false" ht="15" hidden="false" customHeight="false" outlineLevel="0" collapsed="false">
      <c r="A106" s="0" t="s">
        <v>2817</v>
      </c>
      <c r="B106" s="0" t="s">
        <v>38</v>
      </c>
    </row>
    <row r="107" customFormat="false" ht="15" hidden="false" customHeight="false" outlineLevel="0" collapsed="false">
      <c r="A107" s="0" t="s">
        <v>2819</v>
      </c>
      <c r="B107" s="0" t="s">
        <v>33</v>
      </c>
    </row>
    <row r="108" customFormat="false" ht="15" hidden="false" customHeight="false" outlineLevel="0" collapsed="false">
      <c r="A108" s="0" t="s">
        <v>2821</v>
      </c>
      <c r="B108" s="0" t="s">
        <v>41</v>
      </c>
    </row>
    <row r="109" customFormat="false" ht="15" hidden="false" customHeight="false" outlineLevel="0" collapsed="false">
      <c r="A109" s="0" t="s">
        <v>2823</v>
      </c>
      <c r="B109" s="0" t="s">
        <v>21</v>
      </c>
    </row>
    <row r="110" customFormat="false" ht="15" hidden="false" customHeight="false" outlineLevel="0" collapsed="false">
      <c r="A110" s="0" t="s">
        <v>2825</v>
      </c>
      <c r="B110" s="0" t="s">
        <v>33</v>
      </c>
    </row>
    <row r="111" customFormat="false" ht="15" hidden="false" customHeight="false" outlineLevel="0" collapsed="false">
      <c r="A111" s="0" t="s">
        <v>2827</v>
      </c>
      <c r="B111" s="0" t="s">
        <v>38</v>
      </c>
    </row>
    <row r="112" customFormat="false" ht="15" hidden="false" customHeight="false" outlineLevel="0" collapsed="false">
      <c r="A112" s="0" t="s">
        <v>2829</v>
      </c>
      <c r="B112" s="0" t="s">
        <v>28</v>
      </c>
    </row>
    <row r="113" customFormat="false" ht="15" hidden="false" customHeight="false" outlineLevel="0" collapsed="false">
      <c r="A113" s="0" t="s">
        <v>2831</v>
      </c>
      <c r="B113" s="0" t="s">
        <v>38</v>
      </c>
    </row>
    <row r="114" customFormat="false" ht="15" hidden="false" customHeight="false" outlineLevel="0" collapsed="false">
      <c r="A114" s="0" t="s">
        <v>2833</v>
      </c>
      <c r="B114" s="0" t="s">
        <v>38</v>
      </c>
    </row>
    <row r="115" customFormat="false" ht="15" hidden="false" customHeight="false" outlineLevel="0" collapsed="false">
      <c r="A115" s="0" t="s">
        <v>2835</v>
      </c>
      <c r="B115" s="0" t="s">
        <v>21</v>
      </c>
    </row>
    <row r="116" customFormat="false" ht="15" hidden="false" customHeight="false" outlineLevel="0" collapsed="false">
      <c r="A116" s="0" t="s">
        <v>2837</v>
      </c>
      <c r="B116" s="0" t="s">
        <v>44</v>
      </c>
    </row>
    <row r="117" customFormat="false" ht="15" hidden="false" customHeight="false" outlineLevel="0" collapsed="false">
      <c r="A117" s="0" t="s">
        <v>2839</v>
      </c>
      <c r="B117" s="0" t="s">
        <v>38</v>
      </c>
    </row>
    <row r="118" customFormat="false" ht="15" hidden="false" customHeight="false" outlineLevel="0" collapsed="false">
      <c r="A118" s="0" t="s">
        <v>2841</v>
      </c>
      <c r="B118" s="0" t="s">
        <v>21</v>
      </c>
    </row>
    <row r="119" customFormat="false" ht="15" hidden="false" customHeight="false" outlineLevel="0" collapsed="false">
      <c r="A119" s="0" t="s">
        <v>2843</v>
      </c>
      <c r="B119" s="0" t="s">
        <v>28</v>
      </c>
    </row>
    <row r="120" customFormat="false" ht="15" hidden="false" customHeight="false" outlineLevel="0" collapsed="false">
      <c r="A120" s="0" t="s">
        <v>2845</v>
      </c>
      <c r="B120" s="0" t="s">
        <v>28</v>
      </c>
    </row>
    <row r="121" customFormat="false" ht="15" hidden="false" customHeight="false" outlineLevel="0" collapsed="false">
      <c r="A121" s="0" t="s">
        <v>2847</v>
      </c>
      <c r="B121" s="0" t="s">
        <v>28</v>
      </c>
    </row>
    <row r="122" customFormat="false" ht="15" hidden="false" customHeight="false" outlineLevel="0" collapsed="false">
      <c r="A122" s="0" t="s">
        <v>2849</v>
      </c>
      <c r="B122" s="0" t="s">
        <v>41</v>
      </c>
    </row>
    <row r="123" customFormat="false" ht="15" hidden="false" customHeight="false" outlineLevel="0" collapsed="false">
      <c r="A123" s="0" t="s">
        <v>2851</v>
      </c>
      <c r="B123" s="0" t="s">
        <v>41</v>
      </c>
    </row>
    <row r="124" customFormat="false" ht="15" hidden="false" customHeight="false" outlineLevel="0" collapsed="false">
      <c r="A124" s="0" t="s">
        <v>2853</v>
      </c>
      <c r="B124" s="0" t="s">
        <v>28</v>
      </c>
    </row>
    <row r="125" customFormat="false" ht="15" hidden="false" customHeight="false" outlineLevel="0" collapsed="false">
      <c r="A125" s="0" t="s">
        <v>2855</v>
      </c>
      <c r="B125" s="0" t="s">
        <v>44</v>
      </c>
    </row>
    <row r="126" customFormat="false" ht="15" hidden="false" customHeight="false" outlineLevel="0" collapsed="false">
      <c r="A126" s="0" t="s">
        <v>2857</v>
      </c>
      <c r="B126" s="0" t="s">
        <v>33</v>
      </c>
    </row>
    <row r="127" customFormat="false" ht="15" hidden="false" customHeight="false" outlineLevel="0" collapsed="false">
      <c r="A127" s="0" t="s">
        <v>2859</v>
      </c>
      <c r="B127" s="0" t="s">
        <v>41</v>
      </c>
    </row>
    <row r="128" customFormat="false" ht="15" hidden="false" customHeight="false" outlineLevel="0" collapsed="false">
      <c r="A128" s="0" t="s">
        <v>2861</v>
      </c>
      <c r="B128" s="0" t="s">
        <v>28</v>
      </c>
    </row>
    <row r="129" customFormat="false" ht="15" hidden="false" customHeight="false" outlineLevel="0" collapsed="false">
      <c r="A129" s="0" t="s">
        <v>2863</v>
      </c>
      <c r="B129" s="0" t="s">
        <v>44</v>
      </c>
    </row>
    <row r="130" customFormat="false" ht="15" hidden="false" customHeight="false" outlineLevel="0" collapsed="false">
      <c r="A130" s="0" t="s">
        <v>2865</v>
      </c>
      <c r="B130" s="0" t="s">
        <v>41</v>
      </c>
    </row>
    <row r="131" customFormat="false" ht="15" hidden="false" customHeight="false" outlineLevel="0" collapsed="false">
      <c r="A131" s="0" t="s">
        <v>2867</v>
      </c>
      <c r="B131" s="0" t="s">
        <v>28</v>
      </c>
    </row>
    <row r="132" customFormat="false" ht="15" hidden="false" customHeight="false" outlineLevel="0" collapsed="false">
      <c r="A132" s="0" t="s">
        <v>2869</v>
      </c>
      <c r="B132" s="0" t="s">
        <v>28</v>
      </c>
    </row>
    <row r="133" customFormat="false" ht="15" hidden="false" customHeight="false" outlineLevel="0" collapsed="false">
      <c r="A133" s="0" t="s">
        <v>2871</v>
      </c>
      <c r="B133" s="0" t="s">
        <v>38</v>
      </c>
    </row>
    <row r="134" customFormat="false" ht="15" hidden="false" customHeight="false" outlineLevel="0" collapsed="false">
      <c r="A134" s="0" t="s">
        <v>2873</v>
      </c>
      <c r="B134" s="0" t="s">
        <v>44</v>
      </c>
    </row>
    <row r="135" customFormat="false" ht="15" hidden="false" customHeight="false" outlineLevel="0" collapsed="false">
      <c r="A135" s="0" t="s">
        <v>2875</v>
      </c>
      <c r="B135" s="0" t="s">
        <v>44</v>
      </c>
    </row>
    <row r="136" customFormat="false" ht="15" hidden="false" customHeight="false" outlineLevel="0" collapsed="false">
      <c r="A136" s="0" t="s">
        <v>2877</v>
      </c>
      <c r="B136" s="0" t="s">
        <v>38</v>
      </c>
    </row>
    <row r="137" customFormat="false" ht="15" hidden="false" customHeight="false" outlineLevel="0" collapsed="false">
      <c r="A137" s="0" t="s">
        <v>2879</v>
      </c>
      <c r="B137" s="0" t="s">
        <v>41</v>
      </c>
    </row>
    <row r="138" customFormat="false" ht="15" hidden="false" customHeight="false" outlineLevel="0" collapsed="false">
      <c r="A138" s="0" t="s">
        <v>2881</v>
      </c>
      <c r="B138" s="0" t="s">
        <v>28</v>
      </c>
    </row>
    <row r="139" customFormat="false" ht="15" hidden="false" customHeight="false" outlineLevel="0" collapsed="false">
      <c r="A139" s="0" t="s">
        <v>2883</v>
      </c>
      <c r="B139" s="0" t="s">
        <v>28</v>
      </c>
    </row>
    <row r="140" customFormat="false" ht="15" hidden="false" customHeight="false" outlineLevel="0" collapsed="false">
      <c r="A140" s="0" t="s">
        <v>2885</v>
      </c>
      <c r="B140" s="0" t="s">
        <v>41</v>
      </c>
    </row>
    <row r="141" customFormat="false" ht="15" hidden="false" customHeight="false" outlineLevel="0" collapsed="false">
      <c r="A141" s="0" t="s">
        <v>2887</v>
      </c>
      <c r="B141" s="0" t="s">
        <v>41</v>
      </c>
    </row>
    <row r="142" customFormat="false" ht="15" hidden="false" customHeight="false" outlineLevel="0" collapsed="false">
      <c r="A142" s="0" t="s">
        <v>2889</v>
      </c>
      <c r="B142" s="0" t="s">
        <v>38</v>
      </c>
    </row>
    <row r="143" customFormat="false" ht="15" hidden="false" customHeight="false" outlineLevel="0" collapsed="false">
      <c r="A143" s="0" t="s">
        <v>2891</v>
      </c>
      <c r="B143" s="0" t="s">
        <v>28</v>
      </c>
    </row>
    <row r="144" customFormat="false" ht="15" hidden="false" customHeight="false" outlineLevel="0" collapsed="false">
      <c r="A144" s="0" t="s">
        <v>2893</v>
      </c>
      <c r="B144" s="0" t="s">
        <v>28</v>
      </c>
    </row>
    <row r="145" customFormat="false" ht="15" hidden="false" customHeight="false" outlineLevel="0" collapsed="false">
      <c r="A145" s="0" t="s">
        <v>2895</v>
      </c>
      <c r="B145" s="0" t="s">
        <v>28</v>
      </c>
    </row>
    <row r="146" customFormat="false" ht="15" hidden="false" customHeight="false" outlineLevel="0" collapsed="false">
      <c r="A146" s="0" t="s">
        <v>2897</v>
      </c>
      <c r="B146" s="0" t="s">
        <v>38</v>
      </c>
    </row>
    <row r="147" customFormat="false" ht="15" hidden="false" customHeight="false" outlineLevel="0" collapsed="false">
      <c r="A147" s="0" t="s">
        <v>2899</v>
      </c>
      <c r="B147" s="0" t="s">
        <v>33</v>
      </c>
    </row>
    <row r="148" customFormat="false" ht="15" hidden="false" customHeight="false" outlineLevel="0" collapsed="false">
      <c r="A148" s="0" t="s">
        <v>2901</v>
      </c>
      <c r="B148" s="0" t="s">
        <v>28</v>
      </c>
    </row>
    <row r="149" customFormat="false" ht="15" hidden="false" customHeight="false" outlineLevel="0" collapsed="false">
      <c r="A149" s="0" t="s">
        <v>2903</v>
      </c>
      <c r="B149" s="0" t="s">
        <v>44</v>
      </c>
    </row>
    <row r="150" customFormat="false" ht="15" hidden="false" customHeight="false" outlineLevel="0" collapsed="false">
      <c r="A150" s="0" t="s">
        <v>2905</v>
      </c>
      <c r="B150" s="0" t="s">
        <v>41</v>
      </c>
    </row>
    <row r="151" customFormat="false" ht="15" hidden="false" customHeight="false" outlineLevel="0" collapsed="false">
      <c r="A151" s="0" t="s">
        <v>2907</v>
      </c>
      <c r="B151" s="0" t="s">
        <v>21</v>
      </c>
    </row>
    <row r="152" customFormat="false" ht="15" hidden="false" customHeight="false" outlineLevel="0" collapsed="false">
      <c r="A152" s="0" t="s">
        <v>2909</v>
      </c>
      <c r="B152" s="0" t="s">
        <v>21</v>
      </c>
    </row>
    <row r="153" customFormat="false" ht="15" hidden="false" customHeight="false" outlineLevel="0" collapsed="false">
      <c r="A153" s="0" t="s">
        <v>2911</v>
      </c>
      <c r="B153" s="0" t="s">
        <v>44</v>
      </c>
    </row>
    <row r="154" customFormat="false" ht="15" hidden="false" customHeight="false" outlineLevel="0" collapsed="false">
      <c r="A154" s="0" t="s">
        <v>2913</v>
      </c>
      <c r="B154" s="0" t="s">
        <v>21</v>
      </c>
    </row>
    <row r="155" customFormat="false" ht="15" hidden="false" customHeight="false" outlineLevel="0" collapsed="false">
      <c r="A155" s="0" t="s">
        <v>2915</v>
      </c>
      <c r="B155" s="0" t="s">
        <v>38</v>
      </c>
    </row>
    <row r="156" customFormat="false" ht="15" hidden="false" customHeight="false" outlineLevel="0" collapsed="false">
      <c r="A156" s="0" t="s">
        <v>2917</v>
      </c>
      <c r="B156" s="0" t="s">
        <v>21</v>
      </c>
    </row>
    <row r="157" customFormat="false" ht="15" hidden="false" customHeight="false" outlineLevel="0" collapsed="false">
      <c r="A157" s="0" t="s">
        <v>2919</v>
      </c>
      <c r="B157" s="0" t="s">
        <v>38</v>
      </c>
    </row>
    <row r="158" customFormat="false" ht="15" hidden="false" customHeight="false" outlineLevel="0" collapsed="false">
      <c r="A158" s="0" t="s">
        <v>2921</v>
      </c>
      <c r="B158" s="0" t="s">
        <v>28</v>
      </c>
    </row>
    <row r="159" customFormat="false" ht="15" hidden="false" customHeight="false" outlineLevel="0" collapsed="false">
      <c r="A159" s="0" t="s">
        <v>2923</v>
      </c>
      <c r="B159" s="0" t="s">
        <v>44</v>
      </c>
    </row>
    <row r="160" customFormat="false" ht="15" hidden="false" customHeight="false" outlineLevel="0" collapsed="false">
      <c r="A160" s="0" t="s">
        <v>2925</v>
      </c>
      <c r="B160" s="0" t="s">
        <v>41</v>
      </c>
    </row>
    <row r="161" customFormat="false" ht="15" hidden="false" customHeight="false" outlineLevel="0" collapsed="false">
      <c r="A161" s="0" t="s">
        <v>2927</v>
      </c>
      <c r="B161" s="0" t="s">
        <v>33</v>
      </c>
    </row>
    <row r="162" customFormat="false" ht="15" hidden="false" customHeight="false" outlineLevel="0" collapsed="false">
      <c r="A162" s="0" t="s">
        <v>2929</v>
      </c>
      <c r="B162" s="0" t="s">
        <v>21</v>
      </c>
    </row>
    <row r="163" customFormat="false" ht="15" hidden="false" customHeight="false" outlineLevel="0" collapsed="false">
      <c r="A163" s="0" t="s">
        <v>2931</v>
      </c>
      <c r="B163" s="0" t="s">
        <v>44</v>
      </c>
    </row>
    <row r="164" customFormat="false" ht="15" hidden="false" customHeight="false" outlineLevel="0" collapsed="false">
      <c r="A164" s="0" t="s">
        <v>2933</v>
      </c>
      <c r="B164" s="0" t="s">
        <v>21</v>
      </c>
    </row>
    <row r="165" customFormat="false" ht="15" hidden="false" customHeight="false" outlineLevel="0" collapsed="false">
      <c r="A165" s="0" t="s">
        <v>2935</v>
      </c>
      <c r="B165" s="0" t="s">
        <v>21</v>
      </c>
    </row>
    <row r="166" customFormat="false" ht="15" hidden="false" customHeight="false" outlineLevel="0" collapsed="false">
      <c r="A166" s="0" t="s">
        <v>2937</v>
      </c>
      <c r="B166" s="0" t="s">
        <v>44</v>
      </c>
    </row>
    <row r="167" customFormat="false" ht="15" hidden="false" customHeight="false" outlineLevel="0" collapsed="false">
      <c r="A167" s="0" t="s">
        <v>2939</v>
      </c>
      <c r="B167" s="0" t="s">
        <v>21</v>
      </c>
    </row>
    <row r="168" customFormat="false" ht="15" hidden="false" customHeight="false" outlineLevel="0" collapsed="false">
      <c r="A168" s="0" t="s">
        <v>2941</v>
      </c>
      <c r="B168" s="0" t="s">
        <v>28</v>
      </c>
    </row>
    <row r="169" customFormat="false" ht="15" hidden="false" customHeight="false" outlineLevel="0" collapsed="false">
      <c r="A169" s="0" t="s">
        <v>2943</v>
      </c>
      <c r="B169" s="0" t="s">
        <v>41</v>
      </c>
    </row>
    <row r="170" customFormat="false" ht="15" hidden="false" customHeight="false" outlineLevel="0" collapsed="false">
      <c r="A170" s="0" t="s">
        <v>2945</v>
      </c>
      <c r="B170" s="0" t="s">
        <v>41</v>
      </c>
    </row>
    <row r="171" customFormat="false" ht="15" hidden="false" customHeight="false" outlineLevel="0" collapsed="false">
      <c r="A171" s="0" t="s">
        <v>2947</v>
      </c>
      <c r="B171" s="0" t="s">
        <v>44</v>
      </c>
    </row>
    <row r="172" customFormat="false" ht="15" hidden="false" customHeight="false" outlineLevel="0" collapsed="false">
      <c r="A172" s="0" t="s">
        <v>2949</v>
      </c>
      <c r="B172" s="0" t="s">
        <v>21</v>
      </c>
    </row>
    <row r="173" customFormat="false" ht="15" hidden="false" customHeight="false" outlineLevel="0" collapsed="false">
      <c r="A173" s="0" t="s">
        <v>2951</v>
      </c>
      <c r="B173" s="0" t="s">
        <v>41</v>
      </c>
    </row>
    <row r="174" customFormat="false" ht="15" hidden="false" customHeight="false" outlineLevel="0" collapsed="false">
      <c r="A174" s="0" t="s">
        <v>2953</v>
      </c>
      <c r="B174" s="0" t="s">
        <v>33</v>
      </c>
    </row>
    <row r="175" customFormat="false" ht="15" hidden="false" customHeight="false" outlineLevel="0" collapsed="false">
      <c r="A175" s="0" t="s">
        <v>2955</v>
      </c>
      <c r="B175" s="0" t="s">
        <v>21</v>
      </c>
    </row>
    <row r="176" customFormat="false" ht="15" hidden="false" customHeight="false" outlineLevel="0" collapsed="false">
      <c r="A176" s="0" t="s">
        <v>2957</v>
      </c>
      <c r="B176" s="0" t="s">
        <v>21</v>
      </c>
    </row>
    <row r="177" customFormat="false" ht="15" hidden="false" customHeight="false" outlineLevel="0" collapsed="false">
      <c r="A177" s="0" t="s">
        <v>2959</v>
      </c>
      <c r="B177" s="0" t="s">
        <v>38</v>
      </c>
    </row>
    <row r="178" customFormat="false" ht="15" hidden="false" customHeight="false" outlineLevel="0" collapsed="false">
      <c r="A178" s="0" t="s">
        <v>2961</v>
      </c>
      <c r="B178" s="0" t="s">
        <v>33</v>
      </c>
    </row>
    <row r="179" customFormat="false" ht="15" hidden="false" customHeight="false" outlineLevel="0" collapsed="false">
      <c r="A179" s="0" t="s">
        <v>2963</v>
      </c>
      <c r="B179" s="0" t="s">
        <v>44</v>
      </c>
    </row>
    <row r="180" customFormat="false" ht="15" hidden="false" customHeight="false" outlineLevel="0" collapsed="false">
      <c r="A180" s="0" t="s">
        <v>2965</v>
      </c>
      <c r="B180" s="0" t="s">
        <v>41</v>
      </c>
    </row>
    <row r="181" customFormat="false" ht="15" hidden="false" customHeight="false" outlineLevel="0" collapsed="false">
      <c r="A181" s="0" t="s">
        <v>2967</v>
      </c>
      <c r="B181" s="0" t="s">
        <v>28</v>
      </c>
    </row>
    <row r="182" customFormat="false" ht="15" hidden="false" customHeight="false" outlineLevel="0" collapsed="false">
      <c r="A182" s="0" t="s">
        <v>2969</v>
      </c>
      <c r="B182" s="0" t="s">
        <v>41</v>
      </c>
    </row>
    <row r="183" customFormat="false" ht="15" hidden="false" customHeight="false" outlineLevel="0" collapsed="false">
      <c r="A183" s="0" t="s">
        <v>2971</v>
      </c>
      <c r="B183" s="0" t="s">
        <v>28</v>
      </c>
    </row>
    <row r="184" customFormat="false" ht="15" hidden="false" customHeight="false" outlineLevel="0" collapsed="false">
      <c r="A184" s="0" t="s">
        <v>2973</v>
      </c>
      <c r="B184" s="0" t="s">
        <v>41</v>
      </c>
    </row>
    <row r="185" customFormat="false" ht="15" hidden="false" customHeight="false" outlineLevel="0" collapsed="false">
      <c r="A185" s="0" t="s">
        <v>2975</v>
      </c>
      <c r="B185" s="0" t="s">
        <v>28</v>
      </c>
    </row>
    <row r="186" customFormat="false" ht="15" hidden="false" customHeight="false" outlineLevel="0" collapsed="false">
      <c r="A186" s="0" t="s">
        <v>2977</v>
      </c>
      <c r="B186" s="0" t="s">
        <v>44</v>
      </c>
    </row>
    <row r="187" customFormat="false" ht="15" hidden="false" customHeight="false" outlineLevel="0" collapsed="false">
      <c r="A187" s="0" t="s">
        <v>2979</v>
      </c>
      <c r="B187" s="0" t="s">
        <v>33</v>
      </c>
    </row>
    <row r="188" customFormat="false" ht="15" hidden="false" customHeight="false" outlineLevel="0" collapsed="false">
      <c r="A188" s="0" t="s">
        <v>2981</v>
      </c>
      <c r="B188" s="0" t="s">
        <v>28</v>
      </c>
    </row>
    <row r="189" customFormat="false" ht="15" hidden="false" customHeight="false" outlineLevel="0" collapsed="false">
      <c r="A189" s="0" t="s">
        <v>2983</v>
      </c>
      <c r="B189" s="0" t="s">
        <v>41</v>
      </c>
    </row>
    <row r="190" customFormat="false" ht="15" hidden="false" customHeight="false" outlineLevel="0" collapsed="false">
      <c r="A190" s="0" t="s">
        <v>2985</v>
      </c>
      <c r="B190" s="0" t="s">
        <v>38</v>
      </c>
    </row>
    <row r="191" customFormat="false" ht="15" hidden="false" customHeight="false" outlineLevel="0" collapsed="false">
      <c r="A191" s="0" t="s">
        <v>2987</v>
      </c>
      <c r="B191" s="0" t="s">
        <v>38</v>
      </c>
    </row>
    <row r="192" customFormat="false" ht="15" hidden="false" customHeight="false" outlineLevel="0" collapsed="false">
      <c r="A192" s="0" t="s">
        <v>2989</v>
      </c>
      <c r="B192" s="0" t="s">
        <v>38</v>
      </c>
    </row>
    <row r="193" customFormat="false" ht="15" hidden="false" customHeight="false" outlineLevel="0" collapsed="false">
      <c r="A193" s="0" t="s">
        <v>2991</v>
      </c>
      <c r="B193" s="0" t="s">
        <v>38</v>
      </c>
    </row>
    <row r="194" customFormat="false" ht="15" hidden="false" customHeight="false" outlineLevel="0" collapsed="false">
      <c r="A194" s="0" t="s">
        <v>2993</v>
      </c>
      <c r="B194" s="0" t="s">
        <v>33</v>
      </c>
    </row>
    <row r="195" customFormat="false" ht="15" hidden="false" customHeight="false" outlineLevel="0" collapsed="false">
      <c r="A195" s="0" t="s">
        <v>2995</v>
      </c>
      <c r="B195" s="0" t="s">
        <v>38</v>
      </c>
    </row>
    <row r="196" customFormat="false" ht="15" hidden="false" customHeight="false" outlineLevel="0" collapsed="false">
      <c r="A196" s="0" t="s">
        <v>2997</v>
      </c>
      <c r="B196" s="0" t="s">
        <v>33</v>
      </c>
    </row>
    <row r="197" customFormat="false" ht="15" hidden="false" customHeight="false" outlineLevel="0" collapsed="false">
      <c r="A197" s="0" t="s">
        <v>2999</v>
      </c>
      <c r="B197" s="0" t="s">
        <v>33</v>
      </c>
    </row>
    <row r="198" customFormat="false" ht="15" hidden="false" customHeight="false" outlineLevel="0" collapsed="false">
      <c r="A198" s="0" t="s">
        <v>3001</v>
      </c>
      <c r="B198" s="0" t="s">
        <v>28</v>
      </c>
    </row>
    <row r="199" customFormat="false" ht="15" hidden="false" customHeight="false" outlineLevel="0" collapsed="false">
      <c r="A199" s="0" t="s">
        <v>3003</v>
      </c>
      <c r="B199" s="0" t="s">
        <v>38</v>
      </c>
    </row>
    <row r="200" customFormat="false" ht="15" hidden="false" customHeight="false" outlineLevel="0" collapsed="false">
      <c r="A200" s="0" t="s">
        <v>3005</v>
      </c>
      <c r="B200" s="0" t="s">
        <v>41</v>
      </c>
    </row>
    <row r="201" customFormat="false" ht="15" hidden="false" customHeight="false" outlineLevel="0" collapsed="false">
      <c r="A201" s="0" t="s">
        <v>3007</v>
      </c>
      <c r="B201" s="0"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2" style="0" width="60"/>
    <col collapsed="false" customWidth="true" hidden="false" outlineLevel="0" max="3" min="3" style="0" width="30"/>
  </cols>
  <sheetData>
    <row r="1" customFormat="false" ht="55.2" hidden="false" customHeight="false" outlineLevel="0" collapsed="false">
      <c r="A1" s="2" t="s">
        <v>16</v>
      </c>
      <c r="B1" s="2" t="s">
        <v>17</v>
      </c>
      <c r="C1" s="2" t="s">
        <v>2602</v>
      </c>
      <c r="D1" s="2" t="s">
        <v>44</v>
      </c>
      <c r="E1" s="2" t="s">
        <v>21</v>
      </c>
      <c r="F1" s="2" t="s">
        <v>33</v>
      </c>
      <c r="G1" s="2" t="s">
        <v>41</v>
      </c>
      <c r="H1" s="2" t="s">
        <v>28</v>
      </c>
      <c r="I1" s="2" t="s">
        <v>38</v>
      </c>
      <c r="J1" s="2" t="s">
        <v>2603</v>
      </c>
      <c r="K1" s="2" t="s">
        <v>33</v>
      </c>
      <c r="L1" s="2" t="s">
        <v>38</v>
      </c>
      <c r="M1" s="2" t="s">
        <v>28</v>
      </c>
      <c r="N1" s="2" t="s">
        <v>41</v>
      </c>
      <c r="O1" s="2" t="s">
        <v>44</v>
      </c>
      <c r="P1" s="2" t="s">
        <v>21</v>
      </c>
      <c r="Q1" s="2" t="s">
        <v>2605</v>
      </c>
      <c r="R1" s="2" t="s">
        <v>3009</v>
      </c>
      <c r="S1" s="2" t="s">
        <v>18</v>
      </c>
      <c r="T1" s="2" t="s">
        <v>3010</v>
      </c>
    </row>
    <row r="2" customFormat="false" ht="15" hidden="false" customHeight="false" outlineLevel="0" collapsed="false">
      <c r="A2" s="0" t="str">
        <f aca="false">NewComplaints!A2</f>
        <v>N0001</v>
      </c>
      <c r="B2" s="0" t="str">
        <f aca="false">NewComplaints!B2</f>
        <v>To whom it may concern, The pension transfer advice I received was poor and I have lost out. Also, my card reader stopped working and I cannot approve payments.</v>
      </c>
      <c r="C2" s="0" t="str">
        <f aca="false">" "&amp;TRIM(SUBSTITUTE(SUBSTITUTE(SUBSTITUTE(SUBSTITUTE(SUBSTITUTE(SUBSTITUTE(SUBSTITUTE(SUBSTITUTE(SUBSTITUTE(SUBSTITUTE(SUBSTITUTE(SUBSTITUTE(SUBSTITUTE(SUBSTITUTE(SUBSTITUTE(SUBSTITUTE(LOWER(B2),"."," "),","," "),"'"," "),"’"," "),"!"," "),"?"," "),";"," "),":"," "),"-"," "),"("," "),")"," "),"""", " "),"£"," "),"&amp;"," "),"/"," "),"%"," "))&amp;" "</f>
        <v> to whom it may concern the pension transfer advice i received was poor and i have lost out also my card reader stopped working and i cannot approve payments </v>
      </c>
      <c r="D2" s="0" t="n">
        <f aca="false">SUMPRODUCT((Rules!$A$2:$A$60=D$1)*Rules!$C$2:$C$60*ISNUMBER(SEARCH(Rules!$D$2:$D$60,$C2)))</f>
        <v>0</v>
      </c>
      <c r="E2" s="0" t="n">
        <f aca="false">SUMPRODUCT((Rules!$A$2:$A$60=E$1)*Rules!$C$2:$C$60*ISNUMBER(SEARCH(Rules!$D$2:$D$60,$C2)))</f>
        <v>2</v>
      </c>
      <c r="F2" s="0" t="n">
        <f aca="false">SUMPRODUCT((Rules!$A$2:$A$60=F$1)*Rules!$C$2:$C$60*ISNUMBER(SEARCH(Rules!$D$2:$D$60,$C2)))</f>
        <v>0</v>
      </c>
      <c r="G2" s="0" t="n">
        <f aca="false">SUMPRODUCT((Rules!$A$2:$A$60=G$1)*Rules!$C$2:$C$60*ISNUMBER(SEARCH(Rules!$D$2:$D$60,$C2)))</f>
        <v>0</v>
      </c>
      <c r="H2" s="0" t="n">
        <f aca="false">SUMPRODUCT((Rules!$A$2:$A$60=H$1)*Rules!$C$2:$C$60*ISNUMBER(SEARCH(Rules!$D$2:$D$60,$C2)))</f>
        <v>0</v>
      </c>
      <c r="I2" s="0" t="n">
        <f aca="false">SUMPRODUCT((Rules!$A$2:$A$60=I$1)*Rules!$C$2:$C$60*ISNUMBER(SEARCH(Rules!$D$2:$D$60,$C2)))</f>
        <v>0</v>
      </c>
      <c r="J2" s="0" t="str">
        <f aca="false">IF(OR(MAX(D2:I2)&lt;Rules!$H$1,MAX(D2:I2)-LARGE(D2:I2,2)&lt;Rules!$H$2),"No label",INDEX($D$1:$I$1,MATCH(MAX(D2:I2),D2:I2,0)))</f>
        <v>No label</v>
      </c>
      <c r="K2" s="0" t="n">
        <f aca="false">SUMPRODUCT(ISNUMBER(SEARCH(" "&amp;Terms!$A$3:$A$821&amp;" ",$C2))*Terms!B$3:B$821)+Terms!B$2</f>
        <v>12.3947612505052</v>
      </c>
      <c r="L2" s="0" t="n">
        <f aca="false">SUMPRODUCT(ISNUMBER(SEARCH(" "&amp;Terms!$A$3:$A$821&amp;" ",$C2))*Terms!C$3:C$821)+Terms!C$2</f>
        <v>-2.80228064889283</v>
      </c>
      <c r="M2" s="0" t="n">
        <f aca="false">SUMPRODUCT(ISNUMBER(SEARCH(" "&amp;Terms!$A$3:$A$821&amp;" ",$C2))*Terms!D$3:D$821)+Terms!D$2</f>
        <v>-1.23500585627146</v>
      </c>
      <c r="N2" s="0" t="n">
        <f aca="false">SUMPRODUCT(ISNUMBER(SEARCH(" "&amp;Terms!$A$3:$A$821&amp;" ",$C2))*Terms!E$3:E$821)+Terms!E$2</f>
        <v>-6.31587297289823</v>
      </c>
      <c r="O2" s="0" t="n">
        <f aca="false">SUMPRODUCT(ISNUMBER(SEARCH(" "&amp;Terms!$A$3:$A$821&amp;" ",$C2))*Terms!F$3:F$821)+Terms!F$2</f>
        <v>-3.13721438018603</v>
      </c>
      <c r="P2" s="0" t="n">
        <f aca="false">SUMPRODUCT(ISNUMBER(SEARCH(" "&amp;Terms!$A$3:$A$821&amp;" ",$C2))*Terms!G$3:G$821)+Terms!G$2</f>
        <v>1.09561260774345</v>
      </c>
      <c r="Q2" s="0" t="str">
        <f aca="false">INDEX($K$1:$P$1,MATCH(MAX(K2:P2),K2:P2,0))</f>
        <v>Account Access</v>
      </c>
      <c r="R2" s="0" t="str">
        <f aca="false">IF(J2&lt;&gt;"No label",J2,Q2)</f>
        <v>Account Access</v>
      </c>
      <c r="S2" s="0" t="str">
        <f aca="false">INDEX(Answers!$B$2:$B$201,MATCH(A2,Answers!$A$2:$A$201,0))</f>
        <v>Mis-selling</v>
      </c>
      <c r="T2" s="4" t="b">
        <f aca="false">R2=S2</f>
        <v>0</v>
      </c>
    </row>
    <row r="3" customFormat="false" ht="15" hidden="false" customHeight="false" outlineLevel="0" collapsed="false">
      <c r="A3" s="0" t="str">
        <f aca="false">NewComplaints!A3</f>
        <v>N0002</v>
      </c>
      <c r="B3" s="0" t="str">
        <f aca="false">NewComplaints!B3</f>
        <v>Hello, I was told this policy covered me but my claim was rejected. Also, i have been billed an annual fee I never agreed to. Please sort this out.</v>
      </c>
      <c r="C3" s="0" t="str">
        <f aca="false">" "&amp;TRIM(SUBSTITUTE(SUBSTITUTE(SUBSTITUTE(SUBSTITUTE(SUBSTITUTE(SUBSTITUTE(SUBSTITUTE(SUBSTITUTE(SUBSTITUTE(SUBSTITUTE(SUBSTITUTE(SUBSTITUTE(SUBSTITUTE(SUBSTITUTE(SUBSTITUTE(SUBSTITUTE(LOWER(B3),"."," "),","," "),"'"," "),"’"," "),"!"," "),"?"," "),";"," "),":"," "),"-"," "),"("," "),")"," "),"""", " "),"£"," "),"&amp;"," "),"/"," "),"%"," "))&amp;" "</f>
        <v> hello i was told this policy covered me but my claim was rejected also i have been billed an annual fee i never agreed to please sort this out </v>
      </c>
      <c r="D3" s="0" t="n">
        <f aca="false">SUMPRODUCT((Rules!$A$2:$A$60=D$1)*Rules!$C$2:$C$60*ISNUMBER(SEARCH(Rules!$D$2:$D$60,$C3)))</f>
        <v>0</v>
      </c>
      <c r="E3" s="0" t="n">
        <f aca="false">SUMPRODUCT((Rules!$A$2:$A$60=E$1)*Rules!$C$2:$C$60*ISNUMBER(SEARCH(Rules!$D$2:$D$60,$C3)))</f>
        <v>1</v>
      </c>
      <c r="F3" s="0" t="n">
        <f aca="false">SUMPRODUCT((Rules!$A$2:$A$60=F$1)*Rules!$C$2:$C$60*ISNUMBER(SEARCH(Rules!$D$2:$D$60,$C3)))</f>
        <v>0</v>
      </c>
      <c r="G3" s="0" t="n">
        <f aca="false">SUMPRODUCT((Rules!$A$2:$A$60=G$1)*Rules!$C$2:$C$60*ISNUMBER(SEARCH(Rules!$D$2:$D$60,$C3)))</f>
        <v>4</v>
      </c>
      <c r="H3" s="0" t="n">
        <f aca="false">SUMPRODUCT((Rules!$A$2:$A$60=H$1)*Rules!$C$2:$C$60*ISNUMBER(SEARCH(Rules!$D$2:$D$60,$C3)))</f>
        <v>0</v>
      </c>
      <c r="I3" s="0" t="n">
        <f aca="false">SUMPRODUCT((Rules!$A$2:$A$60=I$1)*Rules!$C$2:$C$60*ISNUMBER(SEARCH(Rules!$D$2:$D$60,$C3)))</f>
        <v>0</v>
      </c>
      <c r="J3" s="0" t="str">
        <f aca="false">IF(OR(MAX(D3:I3)&lt;Rules!$H$1,MAX(D3:I3)-LARGE(D3:I3,2)&lt;Rules!$H$2),"No label",INDEX($D$1:$I$1,MATCH(MAX(D3:I3),D3:I3,0)))</f>
        <v>Fees &amp; Charges</v>
      </c>
      <c r="K3" s="0" t="n">
        <f aca="false">SUMPRODUCT(ISNUMBER(SEARCH(" "&amp;Terms!$A$3:$A$821&amp;" ",$C3))*Terms!B$3:B$821)+Terms!B$2</f>
        <v>-4.48506032854956</v>
      </c>
      <c r="L3" s="0" t="n">
        <f aca="false">SUMPRODUCT(ISNUMBER(SEARCH(" "&amp;Terms!$A$3:$A$821&amp;" ",$C3))*Terms!C$3:C$821)+Terms!C$2</f>
        <v>-4.6103165244306</v>
      </c>
      <c r="M3" s="0" t="n">
        <f aca="false">SUMPRODUCT(ISNUMBER(SEARCH(" "&amp;Terms!$A$3:$A$821&amp;" ",$C3))*Terms!D$3:D$821)+Terms!D$2</f>
        <v>-2.59719275877205</v>
      </c>
      <c r="N3" s="0" t="n">
        <f aca="false">SUMPRODUCT(ISNUMBER(SEARCH(" "&amp;Terms!$A$3:$A$821&amp;" ",$C3))*Terms!E$3:E$821)+Terms!E$2</f>
        <v>12.2556691041236</v>
      </c>
      <c r="O3" s="0" t="n">
        <f aca="false">SUMPRODUCT(ISNUMBER(SEARCH(" "&amp;Terms!$A$3:$A$821&amp;" ",$C3))*Terms!F$3:F$821)+Terms!F$2</f>
        <v>-7.07001113432348</v>
      </c>
      <c r="P3" s="0" t="n">
        <f aca="false">SUMPRODUCT(ISNUMBER(SEARCH(" "&amp;Terms!$A$3:$A$821&amp;" ",$C3))*Terms!G$3:G$821)+Terms!G$2</f>
        <v>6.5069116419522</v>
      </c>
      <c r="Q3" s="0" t="str">
        <f aca="false">INDEX($K$1:$P$1,MATCH(MAX(K3:P3),K3:P3,0))</f>
        <v>Fees &amp; Charges</v>
      </c>
      <c r="R3" s="0" t="str">
        <f aca="false">IF(J3&lt;&gt;"No label",J3,Q3)</f>
        <v>Fees &amp; Charges</v>
      </c>
      <c r="S3" s="0" t="str">
        <f aca="false">INDEX(Answers!$B$2:$B$201,MATCH(A3,Answers!$A$2:$A$201,0))</f>
        <v>Mis-selling</v>
      </c>
      <c r="T3" s="4" t="b">
        <f aca="false">R3=S3</f>
        <v>0</v>
      </c>
    </row>
    <row r="4" customFormat="false" ht="15" hidden="false" customHeight="false" outlineLevel="0" collapsed="false">
      <c r="A4" s="0" t="str">
        <f aca="false">NewComplaints!A4</f>
        <v>N0003</v>
      </c>
      <c r="B4" s="0" t="str">
        <f aca="false">NewComplaints!B4</f>
        <v>I think I was the victim of a scam and sent money to a fraudster. Also, why has my interest rate gone up without notice, it is costing me more every month. I would like a response in writing.</v>
      </c>
      <c r="C4" s="0" t="str">
        <f aca="false">" "&amp;TRIM(SUBSTITUTE(SUBSTITUTE(SUBSTITUTE(SUBSTITUTE(SUBSTITUTE(SUBSTITUTE(SUBSTITUTE(SUBSTITUTE(SUBSTITUTE(SUBSTITUTE(SUBSTITUTE(SUBSTITUTE(SUBSTITUTE(SUBSTITUTE(SUBSTITUTE(SUBSTITUTE(LOWER(B4),"."," "),","," "),"'"," "),"’"," "),"!"," "),"?"," "),";"," "),":"," "),"-"," "),"("," "),")"," "),"""", " "),"£"," "),"&amp;"," "),"/"," "),"%"," "))&amp;" "</f>
        <v> i think i was the victim of a scam and sent money to a fraudster also why has my interest rate gone up without notice it is costing me more every month i would like a response in writing </v>
      </c>
      <c r="D4" s="0" t="n">
        <f aca="false">SUMPRODUCT((Rules!$A$2:$A$60=D$1)*Rules!$C$2:$C$60*ISNUMBER(SEARCH(Rules!$D$2:$D$60,$C4)))</f>
        <v>6</v>
      </c>
      <c r="E4" s="0" t="n">
        <f aca="false">SUMPRODUCT((Rules!$A$2:$A$60=E$1)*Rules!$C$2:$C$60*ISNUMBER(SEARCH(Rules!$D$2:$D$60,$C4)))</f>
        <v>0</v>
      </c>
      <c r="F4" s="0" t="n">
        <f aca="false">SUMPRODUCT((Rules!$A$2:$A$60=F$1)*Rules!$C$2:$C$60*ISNUMBER(SEARCH(Rules!$D$2:$D$60,$C4)))</f>
        <v>0</v>
      </c>
      <c r="G4" s="0" t="n">
        <f aca="false">SUMPRODUCT((Rules!$A$2:$A$60=G$1)*Rules!$C$2:$C$60*ISNUMBER(SEARCH(Rules!$D$2:$D$60,$C4)))</f>
        <v>2</v>
      </c>
      <c r="H4" s="0" t="n">
        <f aca="false">SUMPRODUCT((Rules!$A$2:$A$60=H$1)*Rules!$C$2:$C$60*ISNUMBER(SEARCH(Rules!$D$2:$D$60,$C4)))</f>
        <v>0</v>
      </c>
      <c r="I4" s="0" t="n">
        <f aca="false">SUMPRODUCT((Rules!$A$2:$A$60=I$1)*Rules!$C$2:$C$60*ISNUMBER(SEARCH(Rules!$D$2:$D$60,$C4)))</f>
        <v>0</v>
      </c>
      <c r="J4" s="0" t="str">
        <f aca="false">IF(OR(MAX(D4:I4)&lt;Rules!$H$1,MAX(D4:I4)-LARGE(D4:I4,2)&lt;Rules!$H$2),"No label",INDEX($D$1:$I$1,MATCH(MAX(D4:I4),D4:I4,0)))</f>
        <v>Fraud &amp; Scams</v>
      </c>
      <c r="K4" s="0" t="n">
        <f aca="false">SUMPRODUCT(ISNUMBER(SEARCH(" "&amp;Terms!$A$3:$A$821&amp;" ",$C4))*Terms!B$3:B$821)+Terms!B$2</f>
        <v>-0.996158953321639</v>
      </c>
      <c r="L4" s="0" t="n">
        <f aca="false">SUMPRODUCT(ISNUMBER(SEARCH(" "&amp;Terms!$A$3:$A$821&amp;" ",$C4))*Terms!C$3:C$821)+Terms!C$2</f>
        <v>-6.53479737013676</v>
      </c>
      <c r="M4" s="0" t="n">
        <f aca="false">SUMPRODUCT(ISNUMBER(SEARCH(" "&amp;Terms!$A$3:$A$821&amp;" ",$C4))*Terms!D$3:D$821)+Terms!D$2</f>
        <v>-0.646822437826655</v>
      </c>
      <c r="N4" s="0" t="n">
        <f aca="false">SUMPRODUCT(ISNUMBER(SEARCH(" "&amp;Terms!$A$3:$A$821&amp;" ",$C4))*Terms!E$3:E$821)+Terms!E$2</f>
        <v>3.65091752322212</v>
      </c>
      <c r="O4" s="0" t="n">
        <f aca="false">SUMPRODUCT(ISNUMBER(SEARCH(" "&amp;Terms!$A$3:$A$821&amp;" ",$C4))*Terms!F$3:F$821)+Terms!F$2</f>
        <v>6.81640570015716</v>
      </c>
      <c r="P4" s="0" t="n">
        <f aca="false">SUMPRODUCT(ISNUMBER(SEARCH(" "&amp;Terms!$A$3:$A$821&amp;" ",$C4))*Terms!G$3:G$821)+Terms!G$2</f>
        <v>-2.28954446209412</v>
      </c>
      <c r="Q4" s="0" t="str">
        <f aca="false">INDEX($K$1:$P$1,MATCH(MAX(K4:P4),K4:P4,0))</f>
        <v>Fraud &amp; Scams</v>
      </c>
      <c r="R4" s="0" t="str">
        <f aca="false">IF(J4&lt;&gt;"No label",J4,Q4)</f>
        <v>Fraud &amp; Scams</v>
      </c>
      <c r="S4" s="0" t="str">
        <f aca="false">INDEX(Answers!$B$2:$B$201,MATCH(A4,Answers!$A$2:$A$201,0))</f>
        <v>Fraud &amp; Scams</v>
      </c>
      <c r="T4" s="4" t="b">
        <f aca="false">R4=S4</f>
        <v>1</v>
      </c>
    </row>
    <row r="5" customFormat="false" ht="15" hidden="false" customHeight="false" outlineLevel="0" collapsed="false">
      <c r="A5" s="0" t="str">
        <f aca="false">NewComplaints!A5</f>
        <v>N0004</v>
      </c>
      <c r="B5" s="0" t="str">
        <f aca="false">NewComplaints!B5</f>
        <v>This is the second time I have raised this. I am unable to access my account to see my balance. I expect compensation.</v>
      </c>
      <c r="C5" s="0" t="str">
        <f aca="false">" "&amp;TRIM(SUBSTITUTE(SUBSTITUTE(SUBSTITUTE(SUBSTITUTE(SUBSTITUTE(SUBSTITUTE(SUBSTITUTE(SUBSTITUTE(SUBSTITUTE(SUBSTITUTE(SUBSTITUTE(SUBSTITUTE(SUBSTITUTE(SUBSTITUTE(SUBSTITUTE(SUBSTITUTE(LOWER(B5),"."," "),","," "),"'"," "),"’"," "),"!"," "),"?"," "),";"," "),":"," "),"-"," "),"("," "),")"," "),"""", " "),"£"," "),"&amp;"," "),"/"," "),"%"," "))&amp;" "</f>
        <v> this is the second time i have raised this i am unable to access my account to see my balance i expect compensation </v>
      </c>
      <c r="D5" s="0" t="n">
        <f aca="false">SUMPRODUCT((Rules!$A$2:$A$60=D$1)*Rules!$C$2:$C$60*ISNUMBER(SEARCH(Rules!$D$2:$D$60,$C5)))</f>
        <v>0</v>
      </c>
      <c r="E5" s="0" t="n">
        <f aca="false">SUMPRODUCT((Rules!$A$2:$A$60=E$1)*Rules!$C$2:$C$60*ISNUMBER(SEARCH(Rules!$D$2:$D$60,$C5)))</f>
        <v>0</v>
      </c>
      <c r="F5" s="0" t="n">
        <f aca="false">SUMPRODUCT((Rules!$A$2:$A$60=F$1)*Rules!$C$2:$C$60*ISNUMBER(SEARCH(Rules!$D$2:$D$60,$C5)))</f>
        <v>1</v>
      </c>
      <c r="G5" s="0" t="n">
        <f aca="false">SUMPRODUCT((Rules!$A$2:$A$60=G$1)*Rules!$C$2:$C$60*ISNUMBER(SEARCH(Rules!$D$2:$D$60,$C5)))</f>
        <v>0</v>
      </c>
      <c r="H5" s="0" t="n">
        <f aca="false">SUMPRODUCT((Rules!$A$2:$A$60=H$1)*Rules!$C$2:$C$60*ISNUMBER(SEARCH(Rules!$D$2:$D$60,$C5)))</f>
        <v>0</v>
      </c>
      <c r="I5" s="0" t="n">
        <f aca="false">SUMPRODUCT((Rules!$A$2:$A$60=I$1)*Rules!$C$2:$C$60*ISNUMBER(SEARCH(Rules!$D$2:$D$60,$C5)))</f>
        <v>0</v>
      </c>
      <c r="J5" s="0" t="str">
        <f aca="false">IF(OR(MAX(D5:I5)&lt;Rules!$H$1,MAX(D5:I5)-LARGE(D5:I5,2)&lt;Rules!$H$2),"No label",INDEX($D$1:$I$1,MATCH(MAX(D5:I5),D5:I5,0)))</f>
        <v>No label</v>
      </c>
      <c r="K5" s="0" t="n">
        <f aca="false">SUMPRODUCT(ISNUMBER(SEARCH(" "&amp;Terms!$A$3:$A$821&amp;" ",$C5))*Terms!B$3:B$821)+Terms!B$2</f>
        <v>7.64892095660322</v>
      </c>
      <c r="L5" s="0" t="n">
        <f aca="false">SUMPRODUCT(ISNUMBER(SEARCH(" "&amp;Terms!$A$3:$A$821&amp;" ",$C5))*Terms!C$3:C$821)+Terms!C$2</f>
        <v>-2.68991597234382</v>
      </c>
      <c r="M5" s="0" t="n">
        <f aca="false">SUMPRODUCT(ISNUMBER(SEARCH(" "&amp;Terms!$A$3:$A$821&amp;" ",$C5))*Terms!D$3:D$821)+Terms!D$2</f>
        <v>-0.00897765858334294</v>
      </c>
      <c r="N5" s="0" t="n">
        <f aca="false">SUMPRODUCT(ISNUMBER(SEARCH(" "&amp;Terms!$A$3:$A$821&amp;" ",$C5))*Terms!E$3:E$821)+Terms!E$2</f>
        <v>-1.33102822340744</v>
      </c>
      <c r="O5" s="0" t="n">
        <f aca="false">SUMPRODUCT(ISNUMBER(SEARCH(" "&amp;Terms!$A$3:$A$821&amp;" ",$C5))*Terms!F$3:F$821)+Terms!F$2</f>
        <v>1.28333348264494</v>
      </c>
      <c r="P5" s="0" t="n">
        <f aca="false">SUMPRODUCT(ISNUMBER(SEARCH(" "&amp;Terms!$A$3:$A$821&amp;" ",$C5))*Terms!G$3:G$821)+Terms!G$2</f>
        <v>-4.90233258491347</v>
      </c>
      <c r="Q5" s="0" t="str">
        <f aca="false">INDEX($K$1:$P$1,MATCH(MAX(K5:P5),K5:P5,0))</f>
        <v>Account Access</v>
      </c>
      <c r="R5" s="0" t="str">
        <f aca="false">IF(J5&lt;&gt;"No label",J5,Q5)</f>
        <v>Account Access</v>
      </c>
      <c r="S5" s="0" t="str">
        <f aca="false">INDEX(Answers!$B$2:$B$201,MATCH(A5,Answers!$A$2:$A$201,0))</f>
        <v>Account Access</v>
      </c>
      <c r="T5" s="4" t="b">
        <f aca="false">R5=S5</f>
        <v>1</v>
      </c>
    </row>
    <row r="6" customFormat="false" ht="15" hidden="false" customHeight="false" outlineLevel="0" collapsed="false">
      <c r="A6" s="0" t="str">
        <f aca="false">NewComplaints!A6</f>
        <v>N0005</v>
      </c>
      <c r="B6" s="0" t="str">
        <f aca="false">NewComplaints!B6</f>
        <v>I have been a customer for years. A late payment fee appeared and I want it refunded. I do not think it was explained proprly when I bought it.</v>
      </c>
      <c r="C6" s="0" t="str">
        <f aca="false">" "&amp;TRIM(SUBSTITUTE(SUBSTITUTE(SUBSTITUTE(SUBSTITUTE(SUBSTITUTE(SUBSTITUTE(SUBSTITUTE(SUBSTITUTE(SUBSTITUTE(SUBSTITUTE(SUBSTITUTE(SUBSTITUTE(SUBSTITUTE(SUBSTITUTE(SUBSTITUTE(SUBSTITUTE(LOWER(B6),"."," "),","," "),"'"," "),"’"," "),"!"," "),"?"," "),";"," "),":"," "),"-"," "),"("," "),")"," "),"""", " "),"£"," "),"&amp;"," "),"/"," "),"%"," "))&amp;" "</f>
        <v> i have been a customer for years a late payment fee appeared and i want it refunded i do not think it was explained proprly when i bought it </v>
      </c>
      <c r="D6" s="0" t="n">
        <f aca="false">SUMPRODUCT((Rules!$A$2:$A$60=D$1)*Rules!$C$2:$C$60*ISNUMBER(SEARCH(Rules!$D$2:$D$60,$C6)))</f>
        <v>0</v>
      </c>
      <c r="E6" s="0" t="n">
        <f aca="false">SUMPRODUCT((Rules!$A$2:$A$60=E$1)*Rules!$C$2:$C$60*ISNUMBER(SEARCH(Rules!$D$2:$D$60,$C6)))</f>
        <v>0</v>
      </c>
      <c r="F6" s="0" t="n">
        <f aca="false">SUMPRODUCT((Rules!$A$2:$A$60=F$1)*Rules!$C$2:$C$60*ISNUMBER(SEARCH(Rules!$D$2:$D$60,$C6)))</f>
        <v>0</v>
      </c>
      <c r="G6" s="0" t="n">
        <f aca="false">SUMPRODUCT((Rules!$A$2:$A$60=G$1)*Rules!$C$2:$C$60*ISNUMBER(SEARCH(Rules!$D$2:$D$60,$C6)))</f>
        <v>2</v>
      </c>
      <c r="H6" s="0" t="n">
        <f aca="false">SUMPRODUCT((Rules!$A$2:$A$60=H$1)*Rules!$C$2:$C$60*ISNUMBER(SEARCH(Rules!$D$2:$D$60,$C6)))</f>
        <v>0</v>
      </c>
      <c r="I6" s="0" t="n">
        <f aca="false">SUMPRODUCT((Rules!$A$2:$A$60=I$1)*Rules!$C$2:$C$60*ISNUMBER(SEARCH(Rules!$D$2:$D$60,$C6)))</f>
        <v>0</v>
      </c>
      <c r="J6" s="0" t="str">
        <f aca="false">IF(OR(MAX(D6:I6)&lt;Rules!$H$1,MAX(D6:I6)-LARGE(D6:I6,2)&lt;Rules!$H$2),"No label",INDEX($D$1:$I$1,MATCH(MAX(D6:I6),D6:I6,0)))</f>
        <v>No label</v>
      </c>
      <c r="K6" s="0" t="n">
        <f aca="false">SUMPRODUCT(ISNUMBER(SEARCH(" "&amp;Terms!$A$3:$A$821&amp;" ",$C6))*Terms!B$3:B$821)+Terms!B$2</f>
        <v>-2.98830917450055</v>
      </c>
      <c r="L6" s="0" t="n">
        <f aca="false">SUMPRODUCT(ISNUMBER(SEARCH(" "&amp;Terms!$A$3:$A$821&amp;" ",$C6))*Terms!C$3:C$821)+Terms!C$2</f>
        <v>-5.7695815978378</v>
      </c>
      <c r="M6" s="0" t="n">
        <f aca="false">SUMPRODUCT(ISNUMBER(SEARCH(" "&amp;Terms!$A$3:$A$821&amp;" ",$C6))*Terms!D$3:D$821)+Terms!D$2</f>
        <v>0.186086660055365</v>
      </c>
      <c r="N6" s="0" t="n">
        <f aca="false">SUMPRODUCT(ISNUMBER(SEARCH(" "&amp;Terms!$A$3:$A$821&amp;" ",$C6))*Terms!E$3:E$821)+Terms!E$2</f>
        <v>15.8680155505202</v>
      </c>
      <c r="O6" s="0" t="n">
        <f aca="false">SUMPRODUCT(ISNUMBER(SEARCH(" "&amp;Terms!$A$3:$A$821&amp;" ",$C6))*Terms!F$3:F$821)+Terms!F$2</f>
        <v>0.504315658970362</v>
      </c>
      <c r="P6" s="0" t="n">
        <f aca="false">SUMPRODUCT(ISNUMBER(SEARCH(" "&amp;Terms!$A$3:$A$821&amp;" ",$C6))*Terms!G$3:G$821)+Terms!G$2</f>
        <v>-7.80052709720749</v>
      </c>
      <c r="Q6" s="0" t="str">
        <f aca="false">INDEX($K$1:$P$1,MATCH(MAX(K6:P6),K6:P6,0))</f>
        <v>Fees &amp; Charges</v>
      </c>
      <c r="R6" s="0" t="str">
        <f aca="false">IF(J6&lt;&gt;"No label",J6,Q6)</f>
        <v>Fees &amp; Charges</v>
      </c>
      <c r="S6" s="0" t="str">
        <f aca="false">INDEX(Answers!$B$2:$B$201,MATCH(A6,Answers!$A$2:$A$201,0))</f>
        <v>Fees &amp; Charges</v>
      </c>
      <c r="T6" s="4" t="b">
        <f aca="false">R6=S6</f>
        <v>1</v>
      </c>
    </row>
    <row r="7" customFormat="false" ht="15" hidden="false" customHeight="false" outlineLevel="0" collapsed="false">
      <c r="A7" s="0" t="str">
        <f aca="false">NewComplaints!A7</f>
        <v>N0006</v>
      </c>
      <c r="B7" s="0" t="str">
        <f aca="false">NewComplaints!B7</f>
        <v>I spent an hour on hold and then the call was cut off. There was also a fee involved. This is not acceptable.</v>
      </c>
      <c r="C7" s="0" t="str">
        <f aca="false">" "&amp;TRIM(SUBSTITUTE(SUBSTITUTE(SUBSTITUTE(SUBSTITUTE(SUBSTITUTE(SUBSTITUTE(SUBSTITUTE(SUBSTITUTE(SUBSTITUTE(SUBSTITUTE(SUBSTITUTE(SUBSTITUTE(SUBSTITUTE(SUBSTITUTE(SUBSTITUTE(SUBSTITUTE(LOWER(B7),"."," "),","," "),"'"," "),"’"," "),"!"," "),"?"," "),";"," "),":"," "),"-"," "),"("," "),")"," "),"""", " "),"£"," "),"&amp;"," "),"/"," "),"%"," "))&amp;" "</f>
        <v> i spent an hour on hold and then the call was cut off there was also a fee involved this is not acceptable </v>
      </c>
      <c r="D7" s="0" t="n">
        <f aca="false">SUMPRODUCT((Rules!$A$2:$A$60=D$1)*Rules!$C$2:$C$60*ISNUMBER(SEARCH(Rules!$D$2:$D$60,$C7)))</f>
        <v>0</v>
      </c>
      <c r="E7" s="0" t="n">
        <f aca="false">SUMPRODUCT((Rules!$A$2:$A$60=E$1)*Rules!$C$2:$C$60*ISNUMBER(SEARCH(Rules!$D$2:$D$60,$C7)))</f>
        <v>0</v>
      </c>
      <c r="F7" s="0" t="n">
        <f aca="false">SUMPRODUCT((Rules!$A$2:$A$60=F$1)*Rules!$C$2:$C$60*ISNUMBER(SEARCH(Rules!$D$2:$D$60,$C7)))</f>
        <v>0</v>
      </c>
      <c r="G7" s="0" t="n">
        <f aca="false">SUMPRODUCT((Rules!$A$2:$A$60=G$1)*Rules!$C$2:$C$60*ISNUMBER(SEARCH(Rules!$D$2:$D$60,$C7)))</f>
        <v>2</v>
      </c>
      <c r="H7" s="0" t="n">
        <f aca="false">SUMPRODUCT((Rules!$A$2:$A$60=H$1)*Rules!$C$2:$C$60*ISNUMBER(SEARCH(Rules!$D$2:$D$60,$C7)))</f>
        <v>0</v>
      </c>
      <c r="I7" s="0" t="n">
        <f aca="false">SUMPRODUCT((Rules!$A$2:$A$60=I$1)*Rules!$C$2:$C$60*ISNUMBER(SEARCH(Rules!$D$2:$D$60,$C7)))</f>
        <v>3</v>
      </c>
      <c r="J7" s="0" t="str">
        <f aca="false">IF(OR(MAX(D7:I7)&lt;Rules!$H$1,MAX(D7:I7)-LARGE(D7:I7,2)&lt;Rules!$H$2),"No label",INDEX($D$1:$I$1,MATCH(MAX(D7:I7),D7:I7,0)))</f>
        <v>No label</v>
      </c>
      <c r="K7" s="0" t="n">
        <f aca="false">SUMPRODUCT(ISNUMBER(SEARCH(" "&amp;Terms!$A$3:$A$821&amp;" ",$C7))*Terms!B$3:B$821)+Terms!B$2</f>
        <v>0.492961554632931</v>
      </c>
      <c r="L7" s="0" t="n">
        <f aca="false">SUMPRODUCT(ISNUMBER(SEARCH(" "&amp;Terms!$A$3:$A$821&amp;" ",$C7))*Terms!C$3:C$821)+Terms!C$2</f>
        <v>4.1337034104504</v>
      </c>
      <c r="M7" s="0" t="n">
        <f aca="false">SUMPRODUCT(ISNUMBER(SEARCH(" "&amp;Terms!$A$3:$A$821&amp;" ",$C7))*Terms!D$3:D$821)+Terms!D$2</f>
        <v>-1.14476204077447</v>
      </c>
      <c r="N7" s="0" t="n">
        <f aca="false">SUMPRODUCT(ISNUMBER(SEARCH(" "&amp;Terms!$A$3:$A$821&amp;" ",$C7))*Terms!E$3:E$821)+Terms!E$2</f>
        <v>-2.24977104417707</v>
      </c>
      <c r="O7" s="0" t="n">
        <f aca="false">SUMPRODUCT(ISNUMBER(SEARCH(" "&amp;Terms!$A$3:$A$821&amp;" ",$C7))*Terms!F$3:F$821)+Terms!F$2</f>
        <v>-1.01780705098923</v>
      </c>
      <c r="P7" s="0" t="n">
        <f aca="false">SUMPRODUCT(ISNUMBER(SEARCH(" "&amp;Terms!$A$3:$A$821&amp;" ",$C7))*Terms!G$3:G$821)+Terms!G$2</f>
        <v>-0.214324829142449</v>
      </c>
      <c r="Q7" s="0" t="str">
        <f aca="false">INDEX($K$1:$P$1,MATCH(MAX(K7:P7),K7:P7,0))</f>
        <v>Customer Service</v>
      </c>
      <c r="R7" s="0" t="str">
        <f aca="false">IF(J7&lt;&gt;"No label",J7,Q7)</f>
        <v>Customer Service</v>
      </c>
      <c r="S7" s="0" t="str">
        <f aca="false">INDEX(Answers!$B$2:$B$201,MATCH(A7,Answers!$A$2:$A$201,0))</f>
        <v>Customer Service</v>
      </c>
      <c r="T7" s="4" t="b">
        <f aca="false">R7=S7</f>
        <v>1</v>
      </c>
    </row>
    <row r="8" customFormat="false" ht="15" hidden="false" customHeight="false" outlineLevel="0" collapsed="false">
      <c r="A8" s="0" t="str">
        <f aca="false">NewComplaints!A8</f>
        <v>N0007</v>
      </c>
      <c r="B8" s="0" t="str">
        <f aca="false">NewComplaints!B8</f>
        <v>I was tricked into moving savings to a safe account that was not safe. Also, i cannot log in to the mobile app since the update.</v>
      </c>
      <c r="C8" s="0" t="str">
        <f aca="false">" "&amp;TRIM(SUBSTITUTE(SUBSTITUTE(SUBSTITUTE(SUBSTITUTE(SUBSTITUTE(SUBSTITUTE(SUBSTITUTE(SUBSTITUTE(SUBSTITUTE(SUBSTITUTE(SUBSTITUTE(SUBSTITUTE(SUBSTITUTE(SUBSTITUTE(SUBSTITUTE(SUBSTITUTE(LOWER(B8),"."," "),","," "),"'"," "),"’"," "),"!"," "),"?"," "),";"," "),":"," "),"-"," "),"("," "),")"," "),"""", " "),"£"," "),"&amp;"," "),"/"," "),"%"," "))&amp;" "</f>
        <v> i was tricked into moving savings to a safe account that was not safe also i cannot log in to the mobile app since the update </v>
      </c>
      <c r="D8" s="0" t="n">
        <f aca="false">SUMPRODUCT((Rules!$A$2:$A$60=D$1)*Rules!$C$2:$C$60*ISNUMBER(SEARCH(Rules!$D$2:$D$60,$C8)))</f>
        <v>2</v>
      </c>
      <c r="E8" s="0" t="n">
        <f aca="false">SUMPRODUCT((Rules!$A$2:$A$60=E$1)*Rules!$C$2:$C$60*ISNUMBER(SEARCH(Rules!$D$2:$D$60,$C8)))</f>
        <v>0</v>
      </c>
      <c r="F8" s="0" t="n">
        <f aca="false">SUMPRODUCT((Rules!$A$2:$A$60=F$1)*Rules!$C$2:$C$60*ISNUMBER(SEARCH(Rules!$D$2:$D$60,$C8)))</f>
        <v>4</v>
      </c>
      <c r="G8" s="0" t="n">
        <f aca="false">SUMPRODUCT((Rules!$A$2:$A$60=G$1)*Rules!$C$2:$C$60*ISNUMBER(SEARCH(Rules!$D$2:$D$60,$C8)))</f>
        <v>0</v>
      </c>
      <c r="H8" s="0" t="n">
        <f aca="false">SUMPRODUCT((Rules!$A$2:$A$60=H$1)*Rules!$C$2:$C$60*ISNUMBER(SEARCH(Rules!$D$2:$D$60,$C8)))</f>
        <v>0</v>
      </c>
      <c r="I8" s="0" t="n">
        <f aca="false">SUMPRODUCT((Rules!$A$2:$A$60=I$1)*Rules!$C$2:$C$60*ISNUMBER(SEARCH(Rules!$D$2:$D$60,$C8)))</f>
        <v>0</v>
      </c>
      <c r="J8" s="0" t="str">
        <f aca="false">IF(OR(MAX(D8:I8)&lt;Rules!$H$1,MAX(D8:I8)-LARGE(D8:I8,2)&lt;Rules!$H$2),"No label",INDEX($D$1:$I$1,MATCH(MAX(D8:I8),D8:I8,0)))</f>
        <v>Account Access</v>
      </c>
      <c r="K8" s="0" t="n">
        <f aca="false">SUMPRODUCT(ISNUMBER(SEARCH(" "&amp;Terms!$A$3:$A$821&amp;" ",$C8))*Terms!B$3:B$821)+Terms!B$2</f>
        <v>7.10811827341255</v>
      </c>
      <c r="L8" s="0" t="n">
        <f aca="false">SUMPRODUCT(ISNUMBER(SEARCH(" "&amp;Terms!$A$3:$A$821&amp;" ",$C8))*Terms!C$3:C$821)+Terms!C$2</f>
        <v>-7.03882806655706</v>
      </c>
      <c r="M8" s="0" t="n">
        <f aca="false">SUMPRODUCT(ISNUMBER(SEARCH(" "&amp;Terms!$A$3:$A$821&amp;" ",$C8))*Terms!D$3:D$821)+Terms!D$2</f>
        <v>0.776113757913566</v>
      </c>
      <c r="N8" s="0" t="n">
        <f aca="false">SUMPRODUCT(ISNUMBER(SEARCH(" "&amp;Terms!$A$3:$A$821&amp;" ",$C8))*Terms!E$3:E$821)+Terms!E$2</f>
        <v>-2.92263387609594</v>
      </c>
      <c r="O8" s="0" t="n">
        <f aca="false">SUMPRODUCT(ISNUMBER(SEARCH(" "&amp;Terms!$A$3:$A$821&amp;" ",$C8))*Terms!F$3:F$821)+Terms!F$2</f>
        <v>5.77198052980257</v>
      </c>
      <c r="P8" s="0" t="n">
        <f aca="false">SUMPRODUCT(ISNUMBER(SEARCH(" "&amp;Terms!$A$3:$A$821&amp;" ",$C8))*Terms!G$3:G$821)+Terms!G$2</f>
        <v>-3.6947506184756</v>
      </c>
      <c r="Q8" s="0" t="str">
        <f aca="false">INDEX($K$1:$P$1,MATCH(MAX(K8:P8),K8:P8,0))</f>
        <v>Account Access</v>
      </c>
      <c r="R8" s="0" t="str">
        <f aca="false">IF(J8&lt;&gt;"No label",J8,Q8)</f>
        <v>Account Access</v>
      </c>
      <c r="S8" s="0" t="str">
        <f aca="false">INDEX(Answers!$B$2:$B$201,MATCH(A8,Answers!$A$2:$A$201,0))</f>
        <v>Fraud &amp; Scams</v>
      </c>
      <c r="T8" s="4" t="b">
        <f aca="false">R8=S8</f>
        <v>0</v>
      </c>
    </row>
    <row r="9" customFormat="false" ht="15" hidden="false" customHeight="false" outlineLevel="0" collapsed="false">
      <c r="A9" s="0" t="str">
        <f aca="false">NewComplaints!A9</f>
        <v>N0008</v>
      </c>
      <c r="B9" s="0" t="str">
        <f aca="false">NewComplaints!B9</f>
        <v>This is the second time I have raised this. I was advised to take out cover that duplicates what I already had. I want this put right.</v>
      </c>
      <c r="C9" s="0" t="str">
        <f aca="false">" "&amp;TRIM(SUBSTITUTE(SUBSTITUTE(SUBSTITUTE(SUBSTITUTE(SUBSTITUTE(SUBSTITUTE(SUBSTITUTE(SUBSTITUTE(SUBSTITUTE(SUBSTITUTE(SUBSTITUTE(SUBSTITUTE(SUBSTITUTE(SUBSTITUTE(SUBSTITUTE(SUBSTITUTE(LOWER(B9),"."," "),","," "),"'"," "),"’"," "),"!"," "),"?"," "),";"," "),":"," "),"-"," "),"("," "),")"," "),"""", " "),"£"," "),"&amp;"," "),"/"," "),"%"," "))&amp;" "</f>
        <v> this is the second time i have raised this i was advised to take out cover that duplicates what i already had i want this put right </v>
      </c>
      <c r="D9" s="0" t="n">
        <f aca="false">SUMPRODUCT((Rules!$A$2:$A$60=D$1)*Rules!$C$2:$C$60*ISNUMBER(SEARCH(Rules!$D$2:$D$60,$C9)))</f>
        <v>0</v>
      </c>
      <c r="E9" s="0" t="n">
        <f aca="false">SUMPRODUCT((Rules!$A$2:$A$60=E$1)*Rules!$C$2:$C$60*ISNUMBER(SEARCH(Rules!$D$2:$D$60,$C9)))</f>
        <v>0</v>
      </c>
      <c r="F9" s="0" t="n">
        <f aca="false">SUMPRODUCT((Rules!$A$2:$A$60=F$1)*Rules!$C$2:$C$60*ISNUMBER(SEARCH(Rules!$D$2:$D$60,$C9)))</f>
        <v>0</v>
      </c>
      <c r="G9" s="0" t="n">
        <f aca="false">SUMPRODUCT((Rules!$A$2:$A$60=G$1)*Rules!$C$2:$C$60*ISNUMBER(SEARCH(Rules!$D$2:$D$60,$C9)))</f>
        <v>0</v>
      </c>
      <c r="H9" s="0" t="n">
        <f aca="false">SUMPRODUCT((Rules!$A$2:$A$60=H$1)*Rules!$C$2:$C$60*ISNUMBER(SEARCH(Rules!$D$2:$D$60,$C9)))</f>
        <v>0</v>
      </c>
      <c r="I9" s="0" t="n">
        <f aca="false">SUMPRODUCT((Rules!$A$2:$A$60=I$1)*Rules!$C$2:$C$60*ISNUMBER(SEARCH(Rules!$D$2:$D$60,$C9)))</f>
        <v>0</v>
      </c>
      <c r="J9" s="0" t="str">
        <f aca="false">IF(OR(MAX(D9:I9)&lt;Rules!$H$1,MAX(D9:I9)-LARGE(D9:I9,2)&lt;Rules!$H$2),"No label",INDEX($D$1:$I$1,MATCH(MAX(D9:I9),D9:I9,0)))</f>
        <v>No label</v>
      </c>
      <c r="K9" s="0" t="n">
        <f aca="false">SUMPRODUCT(ISNUMBER(SEARCH(" "&amp;Terms!$A$3:$A$821&amp;" ",$C9))*Terms!B$3:B$821)+Terms!B$2</f>
        <v>-3.72949985928078</v>
      </c>
      <c r="L9" s="0" t="n">
        <f aca="false">SUMPRODUCT(ISNUMBER(SEARCH(" "&amp;Terms!$A$3:$A$821&amp;" ",$C9))*Terms!C$3:C$821)+Terms!C$2</f>
        <v>-0.452753396720285</v>
      </c>
      <c r="M9" s="0" t="n">
        <f aca="false">SUMPRODUCT(ISNUMBER(SEARCH(" "&amp;Terms!$A$3:$A$821&amp;" ",$C9))*Terms!D$3:D$821)+Terms!D$2</f>
        <v>-2.93844455534463</v>
      </c>
      <c r="N9" s="0" t="n">
        <f aca="false">SUMPRODUCT(ISNUMBER(SEARCH(" "&amp;Terms!$A$3:$A$821&amp;" ",$C9))*Terms!E$3:E$821)+Terms!E$2</f>
        <v>0.410492147511352</v>
      </c>
      <c r="O9" s="0" t="n">
        <f aca="false">SUMPRODUCT(ISNUMBER(SEARCH(" "&amp;Terms!$A$3:$A$821&amp;" ",$C9))*Terms!F$3:F$821)+Terms!F$2</f>
        <v>1.62353934551588</v>
      </c>
      <c r="P9" s="0" t="n">
        <f aca="false">SUMPRODUCT(ISNUMBER(SEARCH(" "&amp;Terms!$A$3:$A$821&amp;" ",$C9))*Terms!G$3:G$821)+Terms!G$2</f>
        <v>5.08666631831854</v>
      </c>
      <c r="Q9" s="0" t="str">
        <f aca="false">INDEX($K$1:$P$1,MATCH(MAX(K9:P9),K9:P9,0))</f>
        <v>Mis-selling</v>
      </c>
      <c r="R9" s="0" t="str">
        <f aca="false">IF(J9&lt;&gt;"No label",J9,Q9)</f>
        <v>Mis-selling</v>
      </c>
      <c r="S9" s="0" t="str">
        <f aca="false">INDEX(Answers!$B$2:$B$201,MATCH(A9,Answers!$A$2:$A$201,0))</f>
        <v>Mis-selling</v>
      </c>
      <c r="T9" s="4" t="b">
        <f aca="false">R9=S9</f>
        <v>1</v>
      </c>
    </row>
    <row r="10" customFormat="false" ht="15" hidden="false" customHeight="false" outlineLevel="0" collapsed="false">
      <c r="A10" s="0" t="str">
        <f aca="false">NewComplaints!A10</f>
        <v>N0009</v>
      </c>
      <c r="B10" s="0" t="str">
        <f aca="false">NewComplaints!B10</f>
        <v>The paprwork was submitted a month ago and I am still waiting. There was also a fee involved. I expect compensation.</v>
      </c>
      <c r="C10" s="0" t="str">
        <f aca="false">" "&amp;TRIM(SUBSTITUTE(SUBSTITUTE(SUBSTITUTE(SUBSTITUTE(SUBSTITUTE(SUBSTITUTE(SUBSTITUTE(SUBSTITUTE(SUBSTITUTE(SUBSTITUTE(SUBSTITUTE(SUBSTITUTE(SUBSTITUTE(SUBSTITUTE(SUBSTITUTE(SUBSTITUTE(LOWER(B10),"."," "),","," "),"'"," "),"’"," "),"!"," "),"?"," "),";"," "),":"," "),"-"," "),"("," "),")"," "),"""", " "),"£"," "),"&amp;"," "),"/"," "),"%"," "))&amp;" "</f>
        <v> the paprwork was submitted a month ago and i am still waiting there was also a fee involved i expect compensation </v>
      </c>
      <c r="D10" s="0" t="n">
        <f aca="false">SUMPRODUCT((Rules!$A$2:$A$60=D$1)*Rules!$C$2:$C$60*ISNUMBER(SEARCH(Rules!$D$2:$D$60,$C10)))</f>
        <v>0</v>
      </c>
      <c r="E10" s="0" t="n">
        <f aca="false">SUMPRODUCT((Rules!$A$2:$A$60=E$1)*Rules!$C$2:$C$60*ISNUMBER(SEARCH(Rules!$D$2:$D$60,$C10)))</f>
        <v>0</v>
      </c>
      <c r="F10" s="0" t="n">
        <f aca="false">SUMPRODUCT((Rules!$A$2:$A$60=F$1)*Rules!$C$2:$C$60*ISNUMBER(SEARCH(Rules!$D$2:$D$60,$C10)))</f>
        <v>0</v>
      </c>
      <c r="G10" s="0" t="n">
        <f aca="false">SUMPRODUCT((Rules!$A$2:$A$60=G$1)*Rules!$C$2:$C$60*ISNUMBER(SEARCH(Rules!$D$2:$D$60,$C10)))</f>
        <v>2</v>
      </c>
      <c r="H10" s="0" t="n">
        <f aca="false">SUMPRODUCT((Rules!$A$2:$A$60=H$1)*Rules!$C$2:$C$60*ISNUMBER(SEARCH(Rules!$D$2:$D$60,$C10)))</f>
        <v>2</v>
      </c>
      <c r="I10" s="0" t="n">
        <f aca="false">SUMPRODUCT((Rules!$A$2:$A$60=I$1)*Rules!$C$2:$C$60*ISNUMBER(SEARCH(Rules!$D$2:$D$60,$C10)))</f>
        <v>0</v>
      </c>
      <c r="J10" s="0" t="str">
        <f aca="false">IF(OR(MAX(D10:I10)&lt;Rules!$H$1,MAX(D10:I10)-LARGE(D10:I10,2)&lt;Rules!$H$2),"No label",INDEX($D$1:$I$1,MATCH(MAX(D10:I10),D10:I10,0)))</f>
        <v>No label</v>
      </c>
      <c r="K10" s="0" t="n">
        <f aca="false">SUMPRODUCT(ISNUMBER(SEARCH(" "&amp;Terms!$A$3:$A$821&amp;" ",$C10))*Terms!B$3:B$821)+Terms!B$2</f>
        <v>2.65397240679456</v>
      </c>
      <c r="L10" s="0" t="n">
        <f aca="false">SUMPRODUCT(ISNUMBER(SEARCH(" "&amp;Terms!$A$3:$A$821&amp;" ",$C10))*Terms!C$3:C$821)+Terms!C$2</f>
        <v>-3.10694475806229</v>
      </c>
      <c r="M10" s="0" t="n">
        <f aca="false">SUMPRODUCT(ISNUMBER(SEARCH(" "&amp;Terms!$A$3:$A$821&amp;" ",$C10))*Terms!D$3:D$821)+Terms!D$2</f>
        <v>4.2596808397049</v>
      </c>
      <c r="N10" s="0" t="n">
        <f aca="false">SUMPRODUCT(ISNUMBER(SEARCH(" "&amp;Terms!$A$3:$A$821&amp;" ",$C10))*Terms!E$3:E$821)+Terms!E$2</f>
        <v>1.06315189182619</v>
      </c>
      <c r="O10" s="0" t="n">
        <f aca="false">SUMPRODUCT(ISNUMBER(SEARCH(" "&amp;Terms!$A$3:$A$821&amp;" ",$C10))*Terms!F$3:F$821)+Terms!F$2</f>
        <v>-1.90313114219183</v>
      </c>
      <c r="P10" s="0" t="n">
        <f aca="false">SUMPRODUCT(ISNUMBER(SEARCH(" "&amp;Terms!$A$3:$A$821&amp;" ",$C10))*Terms!G$3:G$821)+Terms!G$2</f>
        <v>-2.96672923807144</v>
      </c>
      <c r="Q10" s="0" t="str">
        <f aca="false">INDEX($K$1:$P$1,MATCH(MAX(K10:P10),K10:P10,0))</f>
        <v>Delays &amp; Processing</v>
      </c>
      <c r="R10" s="0" t="str">
        <f aca="false">IF(J10&lt;&gt;"No label",J10,Q10)</f>
        <v>Delays &amp; Processing</v>
      </c>
      <c r="S10" s="0" t="str">
        <f aca="false">INDEX(Answers!$B$2:$B$201,MATCH(A10,Answers!$A$2:$A$201,0))</f>
        <v>Delays &amp; Processing</v>
      </c>
      <c r="T10" s="4" t="b">
        <f aca="false">R10=S10</f>
        <v>1</v>
      </c>
    </row>
    <row r="11" customFormat="false" ht="15" hidden="false" customHeight="false" outlineLevel="0" collapsed="false">
      <c r="A11" s="0" t="str">
        <f aca="false">NewComplaints!A11</f>
        <v>N0010</v>
      </c>
      <c r="B11" s="0" t="str">
        <f aca="false">NewComplaints!B11</f>
        <v>To whom it may concern, I cannot log in to the mobile app since the update. I would like a response in writing.</v>
      </c>
      <c r="C11" s="0" t="str">
        <f aca="false">" "&amp;TRIM(SUBSTITUTE(SUBSTITUTE(SUBSTITUTE(SUBSTITUTE(SUBSTITUTE(SUBSTITUTE(SUBSTITUTE(SUBSTITUTE(SUBSTITUTE(SUBSTITUTE(SUBSTITUTE(SUBSTITUTE(SUBSTITUTE(SUBSTITUTE(SUBSTITUTE(SUBSTITUTE(LOWER(B11),"."," "),","," "),"'"," "),"’"," "),"!"," "),"?"," "),";"," "),":"," "),"-"," "),"("," "),")"," "),"""", " "),"£"," "),"&amp;"," "),"/"," "),"%"," "))&amp;" "</f>
        <v> to whom it may concern i cannot log in to the mobile app since the update i would like a response in writing </v>
      </c>
      <c r="D11" s="0" t="n">
        <f aca="false">SUMPRODUCT((Rules!$A$2:$A$60=D$1)*Rules!$C$2:$C$60*ISNUMBER(SEARCH(Rules!$D$2:$D$60,$C11)))</f>
        <v>0</v>
      </c>
      <c r="E11" s="0" t="n">
        <f aca="false">SUMPRODUCT((Rules!$A$2:$A$60=E$1)*Rules!$C$2:$C$60*ISNUMBER(SEARCH(Rules!$D$2:$D$60,$C11)))</f>
        <v>0</v>
      </c>
      <c r="F11" s="0" t="n">
        <f aca="false">SUMPRODUCT((Rules!$A$2:$A$60=F$1)*Rules!$C$2:$C$60*ISNUMBER(SEARCH(Rules!$D$2:$D$60,$C11)))</f>
        <v>4</v>
      </c>
      <c r="G11" s="0" t="n">
        <f aca="false">SUMPRODUCT((Rules!$A$2:$A$60=G$1)*Rules!$C$2:$C$60*ISNUMBER(SEARCH(Rules!$D$2:$D$60,$C11)))</f>
        <v>0</v>
      </c>
      <c r="H11" s="0" t="n">
        <f aca="false">SUMPRODUCT((Rules!$A$2:$A$60=H$1)*Rules!$C$2:$C$60*ISNUMBER(SEARCH(Rules!$D$2:$D$60,$C11)))</f>
        <v>0</v>
      </c>
      <c r="I11" s="0" t="n">
        <f aca="false">SUMPRODUCT((Rules!$A$2:$A$60=I$1)*Rules!$C$2:$C$60*ISNUMBER(SEARCH(Rules!$D$2:$D$60,$C11)))</f>
        <v>0</v>
      </c>
      <c r="J11" s="0" t="str">
        <f aca="false">IF(OR(MAX(D11:I11)&lt;Rules!$H$1,MAX(D11:I11)-LARGE(D11:I11,2)&lt;Rules!$H$2),"No label",INDEX($D$1:$I$1,MATCH(MAX(D11:I11),D11:I11,0)))</f>
        <v>Account Access</v>
      </c>
      <c r="K11" s="0" t="n">
        <f aca="false">SUMPRODUCT(ISNUMBER(SEARCH(" "&amp;Terms!$A$3:$A$821&amp;" ",$C11))*Terms!B$3:B$821)+Terms!B$2</f>
        <v>8.72591263777487</v>
      </c>
      <c r="L11" s="0" t="n">
        <f aca="false">SUMPRODUCT(ISNUMBER(SEARCH(" "&amp;Terms!$A$3:$A$821&amp;" ",$C11))*Terms!C$3:C$821)+Terms!C$2</f>
        <v>-1.45644503458575</v>
      </c>
      <c r="M11" s="0" t="n">
        <f aca="false">SUMPRODUCT(ISNUMBER(SEARCH(" "&amp;Terms!$A$3:$A$821&amp;" ",$C11))*Terms!D$3:D$821)+Terms!D$2</f>
        <v>-1.94817722359569</v>
      </c>
      <c r="N11" s="0" t="n">
        <f aca="false">SUMPRODUCT(ISNUMBER(SEARCH(" "&amp;Terms!$A$3:$A$821&amp;" ",$C11))*Terms!E$3:E$821)+Terms!E$2</f>
        <v>-1.56868822348076</v>
      </c>
      <c r="O11" s="0" t="n">
        <f aca="false">SUMPRODUCT(ISNUMBER(SEARCH(" "&amp;Terms!$A$3:$A$821&amp;" ",$C11))*Terms!F$3:F$821)+Terms!F$2</f>
        <v>-5.75304142275846</v>
      </c>
      <c r="P11" s="0" t="n">
        <f aca="false">SUMPRODUCT(ISNUMBER(SEARCH(" "&amp;Terms!$A$3:$A$821&amp;" ",$C11))*Terms!G$3:G$821)+Terms!G$2</f>
        <v>2.00043926664587</v>
      </c>
      <c r="Q11" s="0" t="str">
        <f aca="false">INDEX($K$1:$P$1,MATCH(MAX(K11:P11),K11:P11,0))</f>
        <v>Account Access</v>
      </c>
      <c r="R11" s="0" t="str">
        <f aca="false">IF(J11&lt;&gt;"No label",J11,Q11)</f>
        <v>Account Access</v>
      </c>
      <c r="S11" s="0" t="str">
        <f aca="false">INDEX(Answers!$B$2:$B$201,MATCH(A11,Answers!$A$2:$A$201,0))</f>
        <v>Account Access</v>
      </c>
      <c r="T11" s="4" t="b">
        <f aca="false">R11=S11</f>
        <v>1</v>
      </c>
    </row>
    <row r="12" customFormat="false" ht="15" hidden="false" customHeight="false" outlineLevel="0" collapsed="false">
      <c r="A12" s="0" t="str">
        <f aca="false">NewComplaints!A12</f>
        <v>N0011</v>
      </c>
      <c r="B12" s="0" t="str">
        <f aca="false">NewComplaints!B12</f>
        <v>There are transactions on my card I do not recognise. Please sort this out.</v>
      </c>
      <c r="C12" s="0" t="str">
        <f aca="false">" "&amp;TRIM(SUBSTITUTE(SUBSTITUTE(SUBSTITUTE(SUBSTITUTE(SUBSTITUTE(SUBSTITUTE(SUBSTITUTE(SUBSTITUTE(SUBSTITUTE(SUBSTITUTE(SUBSTITUTE(SUBSTITUTE(SUBSTITUTE(SUBSTITUTE(SUBSTITUTE(SUBSTITUTE(LOWER(B12),"."," "),","," "),"'"," "),"’"," "),"!"," "),"?"," "),";"," "),":"," "),"-"," "),"("," "),")"," "),"""", " "),"£"," "),"&amp;"," "),"/"," "),"%"," "))&amp;" "</f>
        <v> there are transactions on my card i do not recognise please sort this out </v>
      </c>
      <c r="D12" s="0" t="n">
        <f aca="false">SUMPRODUCT((Rules!$A$2:$A$60=D$1)*Rules!$C$2:$C$60*ISNUMBER(SEARCH(Rules!$D$2:$D$60,$C12)))</f>
        <v>2</v>
      </c>
      <c r="E12" s="0" t="n">
        <f aca="false">SUMPRODUCT((Rules!$A$2:$A$60=E$1)*Rules!$C$2:$C$60*ISNUMBER(SEARCH(Rules!$D$2:$D$60,$C12)))</f>
        <v>0</v>
      </c>
      <c r="F12" s="0" t="n">
        <f aca="false">SUMPRODUCT((Rules!$A$2:$A$60=F$1)*Rules!$C$2:$C$60*ISNUMBER(SEARCH(Rules!$D$2:$D$60,$C12)))</f>
        <v>0</v>
      </c>
      <c r="G12" s="0" t="n">
        <f aca="false">SUMPRODUCT((Rules!$A$2:$A$60=G$1)*Rules!$C$2:$C$60*ISNUMBER(SEARCH(Rules!$D$2:$D$60,$C12)))</f>
        <v>0</v>
      </c>
      <c r="H12" s="0" t="n">
        <f aca="false">SUMPRODUCT((Rules!$A$2:$A$60=H$1)*Rules!$C$2:$C$60*ISNUMBER(SEARCH(Rules!$D$2:$D$60,$C12)))</f>
        <v>0</v>
      </c>
      <c r="I12" s="0" t="n">
        <f aca="false">SUMPRODUCT((Rules!$A$2:$A$60=I$1)*Rules!$C$2:$C$60*ISNUMBER(SEARCH(Rules!$D$2:$D$60,$C12)))</f>
        <v>0</v>
      </c>
      <c r="J12" s="0" t="str">
        <f aca="false">IF(OR(MAX(D12:I12)&lt;Rules!$H$1,MAX(D12:I12)-LARGE(D12:I12,2)&lt;Rules!$H$2),"No label",INDEX($D$1:$I$1,MATCH(MAX(D12:I12),D12:I12,0)))</f>
        <v>No label</v>
      </c>
      <c r="K12" s="0" t="n">
        <f aca="false">SUMPRODUCT(ISNUMBER(SEARCH(" "&amp;Terms!$A$3:$A$821&amp;" ",$C12))*Terms!B$3:B$821)+Terms!B$2</f>
        <v>-1.6431013230411</v>
      </c>
      <c r="L12" s="0" t="n">
        <f aca="false">SUMPRODUCT(ISNUMBER(SEARCH(" "&amp;Terms!$A$3:$A$821&amp;" ",$C12))*Terms!C$3:C$821)+Terms!C$2</f>
        <v>0.368221241731042</v>
      </c>
      <c r="M12" s="0" t="n">
        <f aca="false">SUMPRODUCT(ISNUMBER(SEARCH(" "&amp;Terms!$A$3:$A$821&amp;" ",$C12))*Terms!D$3:D$821)+Terms!D$2</f>
        <v>-1.51546790103898</v>
      </c>
      <c r="N12" s="0" t="n">
        <f aca="false">SUMPRODUCT(ISNUMBER(SEARCH(" "&amp;Terms!$A$3:$A$821&amp;" ",$C12))*Terms!E$3:E$821)+Terms!E$2</f>
        <v>-0.893417541001106</v>
      </c>
      <c r="O12" s="0" t="n">
        <f aca="false">SUMPRODUCT(ISNUMBER(SEARCH(" "&amp;Terms!$A$3:$A$821&amp;" ",$C12))*Terms!F$3:F$821)+Terms!F$2</f>
        <v>5.92494808137603</v>
      </c>
      <c r="P12" s="0" t="n">
        <f aca="false">SUMPRODUCT(ISNUMBER(SEARCH(" "&amp;Terms!$A$3:$A$821&amp;" ",$C12))*Terms!G$3:G$821)+Terms!G$2</f>
        <v>-2.2411825580258</v>
      </c>
      <c r="Q12" s="0" t="str">
        <f aca="false">INDEX($K$1:$P$1,MATCH(MAX(K12:P12),K12:P12,0))</f>
        <v>Fraud &amp; Scams</v>
      </c>
      <c r="R12" s="0" t="str">
        <f aca="false">IF(J12&lt;&gt;"No label",J12,Q12)</f>
        <v>Fraud &amp; Scams</v>
      </c>
      <c r="S12" s="0" t="str">
        <f aca="false">INDEX(Answers!$B$2:$B$201,MATCH(A12,Answers!$A$2:$A$201,0))</f>
        <v>Fraud &amp; Scams</v>
      </c>
      <c r="T12" s="4" t="b">
        <f aca="false">R12=S12</f>
        <v>1</v>
      </c>
    </row>
    <row r="13" customFormat="false" ht="15" hidden="false" customHeight="false" outlineLevel="0" collapsed="false">
      <c r="A13" s="0" t="str">
        <f aca="false">NewComplaints!A13</f>
        <v>N0012</v>
      </c>
      <c r="B13" s="0" t="str">
        <f aca="false">NewComplaints!B13</f>
        <v>Frankly, The fraud team closed my case without investigating properly. Also, i spent an hour on hold and then the call was cut off. I expect compensation.</v>
      </c>
      <c r="C13" s="0" t="str">
        <f aca="false">" "&amp;TRIM(SUBSTITUTE(SUBSTITUTE(SUBSTITUTE(SUBSTITUTE(SUBSTITUTE(SUBSTITUTE(SUBSTITUTE(SUBSTITUTE(SUBSTITUTE(SUBSTITUTE(SUBSTITUTE(SUBSTITUTE(SUBSTITUTE(SUBSTITUTE(SUBSTITUTE(SUBSTITUTE(LOWER(B13),"."," "),","," "),"'"," "),"’"," "),"!"," "),"?"," "),";"," "),":"," "),"-"," "),"("," "),")"," "),"""", " "),"£"," "),"&amp;"," "),"/"," "),"%"," "))&amp;" "</f>
        <v> frankly the fraud team closed my case without investigating properly also i spent an hour on hold and then the call was cut off i expect compensation </v>
      </c>
      <c r="D13" s="0" t="n">
        <f aca="false">SUMPRODUCT((Rules!$A$2:$A$60=D$1)*Rules!$C$2:$C$60*ISNUMBER(SEARCH(Rules!$D$2:$D$60,$C13)))</f>
        <v>3</v>
      </c>
      <c r="E13" s="0" t="n">
        <f aca="false">SUMPRODUCT((Rules!$A$2:$A$60=E$1)*Rules!$C$2:$C$60*ISNUMBER(SEARCH(Rules!$D$2:$D$60,$C13)))</f>
        <v>0</v>
      </c>
      <c r="F13" s="0" t="n">
        <f aca="false">SUMPRODUCT((Rules!$A$2:$A$60=F$1)*Rules!$C$2:$C$60*ISNUMBER(SEARCH(Rules!$D$2:$D$60,$C13)))</f>
        <v>0</v>
      </c>
      <c r="G13" s="0" t="n">
        <f aca="false">SUMPRODUCT((Rules!$A$2:$A$60=G$1)*Rules!$C$2:$C$60*ISNUMBER(SEARCH(Rules!$D$2:$D$60,$C13)))</f>
        <v>0</v>
      </c>
      <c r="H13" s="0" t="n">
        <f aca="false">SUMPRODUCT((Rules!$A$2:$A$60=H$1)*Rules!$C$2:$C$60*ISNUMBER(SEARCH(Rules!$D$2:$D$60,$C13)))</f>
        <v>0</v>
      </c>
      <c r="I13" s="0" t="n">
        <f aca="false">SUMPRODUCT((Rules!$A$2:$A$60=I$1)*Rules!$C$2:$C$60*ISNUMBER(SEARCH(Rules!$D$2:$D$60,$C13)))</f>
        <v>3</v>
      </c>
      <c r="J13" s="0" t="str">
        <f aca="false">IF(OR(MAX(D13:I13)&lt;Rules!$H$1,MAX(D13:I13)-LARGE(D13:I13,2)&lt;Rules!$H$2),"No label",INDEX($D$1:$I$1,MATCH(MAX(D13:I13),D13:I13,0)))</f>
        <v>No label</v>
      </c>
      <c r="K13" s="0" t="n">
        <f aca="false">SUMPRODUCT(ISNUMBER(SEARCH(" "&amp;Terms!$A$3:$A$821&amp;" ",$C13))*Terms!B$3:B$821)+Terms!B$2</f>
        <v>-2.64673888384311</v>
      </c>
      <c r="L13" s="0" t="n">
        <f aca="false">SUMPRODUCT(ISNUMBER(SEARCH(" "&amp;Terms!$A$3:$A$821&amp;" ",$C13))*Terms!C$3:C$821)+Terms!C$2</f>
        <v>5.61394969477689</v>
      </c>
      <c r="M13" s="0" t="n">
        <f aca="false">SUMPRODUCT(ISNUMBER(SEARCH(" "&amp;Terms!$A$3:$A$821&amp;" ",$C13))*Terms!D$3:D$821)+Terms!D$2</f>
        <v>-5.36904161309813</v>
      </c>
      <c r="N13" s="0" t="n">
        <f aca="false">SUMPRODUCT(ISNUMBER(SEARCH(" "&amp;Terms!$A$3:$A$821&amp;" ",$C13))*Terms!E$3:E$821)+Terms!E$2</f>
        <v>-6.47049090743379</v>
      </c>
      <c r="O13" s="0" t="n">
        <f aca="false">SUMPRODUCT(ISNUMBER(SEARCH(" "&amp;Terms!$A$3:$A$821&amp;" ",$C13))*Terms!F$3:F$821)+Terms!F$2</f>
        <v>12.4543042196546</v>
      </c>
      <c r="P13" s="0" t="n">
        <f aca="false">SUMPRODUCT(ISNUMBER(SEARCH(" "&amp;Terms!$A$3:$A$821&amp;" ",$C13))*Terms!G$3:G$821)+Terms!G$2</f>
        <v>-3.58198251005637</v>
      </c>
      <c r="Q13" s="0" t="str">
        <f aca="false">INDEX($K$1:$P$1,MATCH(MAX(K13:P13),K13:P13,0))</f>
        <v>Fraud &amp; Scams</v>
      </c>
      <c r="R13" s="0" t="str">
        <f aca="false">IF(J13&lt;&gt;"No label",J13,Q13)</f>
        <v>Fraud &amp; Scams</v>
      </c>
      <c r="S13" s="0" t="str">
        <f aca="false">INDEX(Answers!$B$2:$B$201,MATCH(A13,Answers!$A$2:$A$201,0))</f>
        <v>Fraud &amp; Scams</v>
      </c>
      <c r="T13" s="4" t="b">
        <f aca="false">R13=S13</f>
        <v>1</v>
      </c>
    </row>
    <row r="14" customFormat="false" ht="15" hidden="false" customHeight="false" outlineLevel="0" collapsed="false">
      <c r="A14" s="0" t="str">
        <f aca="false">NewComplaints!A14</f>
        <v>N0013</v>
      </c>
      <c r="B14" s="0" t="str">
        <f aca="false">NewComplaints!B14</f>
        <v>Hello, I was passed between four departments and no one took ownership. I could not log in to check either.</v>
      </c>
      <c r="C14" s="0" t="str">
        <f aca="false">" "&amp;TRIM(SUBSTITUTE(SUBSTITUTE(SUBSTITUTE(SUBSTITUTE(SUBSTITUTE(SUBSTITUTE(SUBSTITUTE(SUBSTITUTE(SUBSTITUTE(SUBSTITUTE(SUBSTITUTE(SUBSTITUTE(SUBSTITUTE(SUBSTITUTE(SUBSTITUTE(SUBSTITUTE(LOWER(B14),"."," "),","," "),"'"," "),"’"," "),"!"," "),"?"," "),";"," "),":"," "),"-"," "),"("," "),")"," "),"""", " "),"£"," "),"&amp;"," "),"/"," "),"%"," "))&amp;" "</f>
        <v> hello i was passed between four departments and no one took ownership i could not log in to check either </v>
      </c>
      <c r="D14" s="0" t="n">
        <f aca="false">SUMPRODUCT((Rules!$A$2:$A$60=D$1)*Rules!$C$2:$C$60*ISNUMBER(SEARCH(Rules!$D$2:$D$60,$C14)))</f>
        <v>0</v>
      </c>
      <c r="E14" s="0" t="n">
        <f aca="false">SUMPRODUCT((Rules!$A$2:$A$60=E$1)*Rules!$C$2:$C$60*ISNUMBER(SEARCH(Rules!$D$2:$D$60,$C14)))</f>
        <v>0</v>
      </c>
      <c r="F14" s="0" t="n">
        <f aca="false">SUMPRODUCT((Rules!$A$2:$A$60=F$1)*Rules!$C$2:$C$60*ISNUMBER(SEARCH(Rules!$D$2:$D$60,$C14)))</f>
        <v>3</v>
      </c>
      <c r="G14" s="0" t="n">
        <f aca="false">SUMPRODUCT((Rules!$A$2:$A$60=G$1)*Rules!$C$2:$C$60*ISNUMBER(SEARCH(Rules!$D$2:$D$60,$C14)))</f>
        <v>0</v>
      </c>
      <c r="H14" s="0" t="n">
        <f aca="false">SUMPRODUCT((Rules!$A$2:$A$60=H$1)*Rules!$C$2:$C$60*ISNUMBER(SEARCH(Rules!$D$2:$D$60,$C14)))</f>
        <v>0</v>
      </c>
      <c r="I14" s="0" t="n">
        <f aca="false">SUMPRODUCT((Rules!$A$2:$A$60=I$1)*Rules!$C$2:$C$60*ISNUMBER(SEARCH(Rules!$D$2:$D$60,$C14)))</f>
        <v>2</v>
      </c>
      <c r="J14" s="0" t="str">
        <f aca="false">IF(OR(MAX(D14:I14)&lt;Rules!$H$1,MAX(D14:I14)-LARGE(D14:I14,2)&lt;Rules!$H$2),"No label",INDEX($D$1:$I$1,MATCH(MAX(D14:I14),D14:I14,0)))</f>
        <v>No label</v>
      </c>
      <c r="K14" s="0" t="n">
        <f aca="false">SUMPRODUCT(ISNUMBER(SEARCH(" "&amp;Terms!$A$3:$A$821&amp;" ",$C14))*Terms!B$3:B$821)+Terms!B$2</f>
        <v>-1.44112654934653</v>
      </c>
      <c r="L14" s="0" t="n">
        <f aca="false">SUMPRODUCT(ISNUMBER(SEARCH(" "&amp;Terms!$A$3:$A$821&amp;" ",$C14))*Terms!C$3:C$821)+Terms!C$2</f>
        <v>8.67387941148761</v>
      </c>
      <c r="M14" s="0" t="n">
        <f aca="false">SUMPRODUCT(ISNUMBER(SEARCH(" "&amp;Terms!$A$3:$A$821&amp;" ",$C14))*Terms!D$3:D$821)+Terms!D$2</f>
        <v>-2.44405527871541</v>
      </c>
      <c r="N14" s="0" t="n">
        <f aca="false">SUMPRODUCT(ISNUMBER(SEARCH(" "&amp;Terms!$A$3:$A$821&amp;" ",$C14))*Terms!E$3:E$821)+Terms!E$2</f>
        <v>0.46092900689998</v>
      </c>
      <c r="O14" s="0" t="n">
        <f aca="false">SUMPRODUCT(ISNUMBER(SEARCH(" "&amp;Terms!$A$3:$A$821&amp;" ",$C14))*Terms!F$3:F$821)+Terms!F$2</f>
        <v>-3.02275789328568</v>
      </c>
      <c r="P14" s="0" t="n">
        <f aca="false">SUMPRODUCT(ISNUMBER(SEARCH(" "&amp;Terms!$A$3:$A$821&amp;" ",$C14))*Terms!G$3:G$821)+Terms!G$2</f>
        <v>-2.22686869703989</v>
      </c>
      <c r="Q14" s="0" t="str">
        <f aca="false">INDEX($K$1:$P$1,MATCH(MAX(K14:P14),K14:P14,0))</f>
        <v>Customer Service</v>
      </c>
      <c r="R14" s="0" t="str">
        <f aca="false">IF(J14&lt;&gt;"No label",J14,Q14)</f>
        <v>Customer Service</v>
      </c>
      <c r="S14" s="0" t="str">
        <f aca="false">INDEX(Answers!$B$2:$B$201,MATCH(A14,Answers!$A$2:$A$201,0))</f>
        <v>Customer Service</v>
      </c>
      <c r="T14" s="4" t="b">
        <f aca="false">R14=S14</f>
        <v>1</v>
      </c>
    </row>
    <row r="15" customFormat="false" ht="15" hidden="false" customHeight="false" outlineLevel="0" collapsed="false">
      <c r="A15" s="0" t="str">
        <f aca="false">NewComplaints!A15</f>
        <v>N0014</v>
      </c>
      <c r="B15" s="0" t="str">
        <f aca="false">NewComplaints!B15</f>
        <v>The paperwork was submitted a month ago and I am still waiting. I expect compensation.</v>
      </c>
      <c r="C15" s="0" t="str">
        <f aca="false">" "&amp;TRIM(SUBSTITUTE(SUBSTITUTE(SUBSTITUTE(SUBSTITUTE(SUBSTITUTE(SUBSTITUTE(SUBSTITUTE(SUBSTITUTE(SUBSTITUTE(SUBSTITUTE(SUBSTITUTE(SUBSTITUTE(SUBSTITUTE(SUBSTITUTE(SUBSTITUTE(SUBSTITUTE(LOWER(B15),"."," "),","," "),"'"," "),"’"," "),"!"," "),"?"," "),";"," "),":"," "),"-"," "),"("," "),")"," "),"""", " "),"£"," "),"&amp;"," "),"/"," "),"%"," "))&amp;" "</f>
        <v> the paperwork was submitted a month ago and i am still waiting i expect compensation </v>
      </c>
      <c r="D15" s="0" t="n">
        <f aca="false">SUMPRODUCT((Rules!$A$2:$A$60=D$1)*Rules!$C$2:$C$60*ISNUMBER(SEARCH(Rules!$D$2:$D$60,$C15)))</f>
        <v>0</v>
      </c>
      <c r="E15" s="0" t="n">
        <f aca="false">SUMPRODUCT((Rules!$A$2:$A$60=E$1)*Rules!$C$2:$C$60*ISNUMBER(SEARCH(Rules!$D$2:$D$60,$C15)))</f>
        <v>0</v>
      </c>
      <c r="F15" s="0" t="n">
        <f aca="false">SUMPRODUCT((Rules!$A$2:$A$60=F$1)*Rules!$C$2:$C$60*ISNUMBER(SEARCH(Rules!$D$2:$D$60,$C15)))</f>
        <v>0</v>
      </c>
      <c r="G15" s="0" t="n">
        <f aca="false">SUMPRODUCT((Rules!$A$2:$A$60=G$1)*Rules!$C$2:$C$60*ISNUMBER(SEARCH(Rules!$D$2:$D$60,$C15)))</f>
        <v>0</v>
      </c>
      <c r="H15" s="0" t="n">
        <f aca="false">SUMPRODUCT((Rules!$A$2:$A$60=H$1)*Rules!$C$2:$C$60*ISNUMBER(SEARCH(Rules!$D$2:$D$60,$C15)))</f>
        <v>2</v>
      </c>
      <c r="I15" s="0" t="n">
        <f aca="false">SUMPRODUCT((Rules!$A$2:$A$60=I$1)*Rules!$C$2:$C$60*ISNUMBER(SEARCH(Rules!$D$2:$D$60,$C15)))</f>
        <v>0</v>
      </c>
      <c r="J15" s="0" t="str">
        <f aca="false">IF(OR(MAX(D15:I15)&lt;Rules!$H$1,MAX(D15:I15)-LARGE(D15:I15,2)&lt;Rules!$H$2),"No label",INDEX($D$1:$I$1,MATCH(MAX(D15:I15),D15:I15,0)))</f>
        <v>No label</v>
      </c>
      <c r="K15" s="0" t="n">
        <f aca="false">SUMPRODUCT(ISNUMBER(SEARCH(" "&amp;Terms!$A$3:$A$821&amp;" ",$C15))*Terms!B$3:B$821)+Terms!B$2</f>
        <v>2.03619014940338</v>
      </c>
      <c r="L15" s="0" t="n">
        <f aca="false">SUMPRODUCT(ISNUMBER(SEARCH(" "&amp;Terms!$A$3:$A$821&amp;" ",$C15))*Terms!C$3:C$821)+Terms!C$2</f>
        <v>-1.75630936568256</v>
      </c>
      <c r="M15" s="0" t="n">
        <f aca="false">SUMPRODUCT(ISNUMBER(SEARCH(" "&amp;Terms!$A$3:$A$821&amp;" ",$C15))*Terms!D$3:D$821)+Terms!D$2</f>
        <v>5.70389146637682</v>
      </c>
      <c r="N15" s="0" t="n">
        <f aca="false">SUMPRODUCT(ISNUMBER(SEARCH(" "&amp;Terms!$A$3:$A$821&amp;" ",$C15))*Terms!E$3:E$821)+Terms!E$2</f>
        <v>-1.2052381434742</v>
      </c>
      <c r="O15" s="0" t="n">
        <f aca="false">SUMPRODUCT(ISNUMBER(SEARCH(" "&amp;Terms!$A$3:$A$821&amp;" ",$C15))*Terms!F$3:F$821)+Terms!F$2</f>
        <v>-1.94371612544968</v>
      </c>
      <c r="P15" s="0" t="n">
        <f aca="false">SUMPRODUCT(ISNUMBER(SEARCH(" "&amp;Terms!$A$3:$A$821&amp;" ",$C15))*Terms!G$3:G$821)+Terms!G$2</f>
        <v>-2.83481798117368</v>
      </c>
      <c r="Q15" s="0" t="str">
        <f aca="false">INDEX($K$1:$P$1,MATCH(MAX(K15:P15),K15:P15,0))</f>
        <v>Delays &amp; Processing</v>
      </c>
      <c r="R15" s="0" t="str">
        <f aca="false">IF(J15&lt;&gt;"No label",J15,Q15)</f>
        <v>Delays &amp; Processing</v>
      </c>
      <c r="S15" s="0" t="str">
        <f aca="false">INDEX(Answers!$B$2:$B$201,MATCH(A15,Answers!$A$2:$A$201,0))</f>
        <v>Delays &amp; Processing</v>
      </c>
      <c r="T15" s="4" t="b">
        <f aca="false">R15=S15</f>
        <v>1</v>
      </c>
    </row>
    <row r="16" customFormat="false" ht="15" hidden="false" customHeight="false" outlineLevel="0" collapsed="false">
      <c r="A16" s="0" t="str">
        <f aca="false">NewComplaints!A16</f>
        <v>N0015</v>
      </c>
      <c r="B16" s="0" t="str">
        <f aca="false">NewComplaints!B16</f>
        <v>This is the second time I have raised this. My online banking is locked and the reset link never arrives. Please escalate this.</v>
      </c>
      <c r="C16" s="0" t="str">
        <f aca="false">" "&amp;TRIM(SUBSTITUTE(SUBSTITUTE(SUBSTITUTE(SUBSTITUTE(SUBSTITUTE(SUBSTITUTE(SUBSTITUTE(SUBSTITUTE(SUBSTITUTE(SUBSTITUTE(SUBSTITUTE(SUBSTITUTE(SUBSTITUTE(SUBSTITUTE(SUBSTITUTE(SUBSTITUTE(LOWER(B16),"."," "),","," "),"'"," "),"’"," "),"!"," "),"?"," "),";"," "),":"," "),"-"," "),"("," "),")"," "),"""", " "),"£"," "),"&amp;"," "),"/"," "),"%"," "))&amp;" "</f>
        <v> this is the second time i have raised this my online banking is locked and the reset link never arrives please escalate this </v>
      </c>
      <c r="D16" s="0" t="n">
        <f aca="false">SUMPRODUCT((Rules!$A$2:$A$60=D$1)*Rules!$C$2:$C$60*ISNUMBER(SEARCH(Rules!$D$2:$D$60,$C16)))</f>
        <v>0</v>
      </c>
      <c r="E16" s="0" t="n">
        <f aca="false">SUMPRODUCT((Rules!$A$2:$A$60=E$1)*Rules!$C$2:$C$60*ISNUMBER(SEARCH(Rules!$D$2:$D$60,$C16)))</f>
        <v>0</v>
      </c>
      <c r="F16" s="0" t="n">
        <f aca="false">SUMPRODUCT((Rules!$A$2:$A$60=F$1)*Rules!$C$2:$C$60*ISNUMBER(SEARCH(Rules!$D$2:$D$60,$C16)))</f>
        <v>5</v>
      </c>
      <c r="G16" s="0" t="n">
        <f aca="false">SUMPRODUCT((Rules!$A$2:$A$60=G$1)*Rules!$C$2:$C$60*ISNUMBER(SEARCH(Rules!$D$2:$D$60,$C16)))</f>
        <v>0</v>
      </c>
      <c r="H16" s="0" t="n">
        <f aca="false">SUMPRODUCT((Rules!$A$2:$A$60=H$1)*Rules!$C$2:$C$60*ISNUMBER(SEARCH(Rules!$D$2:$D$60,$C16)))</f>
        <v>0</v>
      </c>
      <c r="I16" s="0" t="n">
        <f aca="false">SUMPRODUCT((Rules!$A$2:$A$60=I$1)*Rules!$C$2:$C$60*ISNUMBER(SEARCH(Rules!$D$2:$D$60,$C16)))</f>
        <v>0</v>
      </c>
      <c r="J16" s="0" t="str">
        <f aca="false">IF(OR(MAX(D16:I16)&lt;Rules!$H$1,MAX(D16:I16)-LARGE(D16:I16,2)&lt;Rules!$H$2),"No label",INDEX($D$1:$I$1,MATCH(MAX(D16:I16),D16:I16,0)))</f>
        <v>Account Access</v>
      </c>
      <c r="K16" s="0" t="n">
        <f aca="false">SUMPRODUCT(ISNUMBER(SEARCH(" "&amp;Terms!$A$3:$A$821&amp;" ",$C16))*Terms!B$3:B$821)+Terms!B$2</f>
        <v>8.35519906948025</v>
      </c>
      <c r="L16" s="0" t="n">
        <f aca="false">SUMPRODUCT(ISNUMBER(SEARCH(" "&amp;Terms!$A$3:$A$821&amp;" ",$C16))*Terms!C$3:C$821)+Terms!C$2</f>
        <v>-3.23232615412993</v>
      </c>
      <c r="M16" s="0" t="n">
        <f aca="false">SUMPRODUCT(ISNUMBER(SEARCH(" "&amp;Terms!$A$3:$A$821&amp;" ",$C16))*Terms!D$3:D$821)+Terms!D$2</f>
        <v>-3.45423276580592</v>
      </c>
      <c r="N16" s="0" t="n">
        <f aca="false">SUMPRODUCT(ISNUMBER(SEARCH(" "&amp;Terms!$A$3:$A$821&amp;" ",$C16))*Terms!E$3:E$821)+Terms!E$2</f>
        <v>0.895629111139651</v>
      </c>
      <c r="O16" s="0" t="n">
        <f aca="false">SUMPRODUCT(ISNUMBER(SEARCH(" "&amp;Terms!$A$3:$A$821&amp;" ",$C16))*Terms!F$3:F$821)+Terms!F$2</f>
        <v>-2.35442591528779</v>
      </c>
      <c r="P16" s="0" t="n">
        <f aca="false">SUMPRODUCT(ISNUMBER(SEARCH(" "&amp;Terms!$A$3:$A$821&amp;" ",$C16))*Terms!G$3:G$821)+Terms!G$2</f>
        <v>-0.209843345396169</v>
      </c>
      <c r="Q16" s="0" t="str">
        <f aca="false">INDEX($K$1:$P$1,MATCH(MAX(K16:P16),K16:P16,0))</f>
        <v>Account Access</v>
      </c>
      <c r="R16" s="0" t="str">
        <f aca="false">IF(J16&lt;&gt;"No label",J16,Q16)</f>
        <v>Account Access</v>
      </c>
      <c r="S16" s="0" t="str">
        <f aca="false">INDEX(Answers!$B$2:$B$201,MATCH(A16,Answers!$A$2:$A$201,0))</f>
        <v>Account Access</v>
      </c>
      <c r="T16" s="4" t="b">
        <f aca="false">R16=S16</f>
        <v>1</v>
      </c>
    </row>
    <row r="17" customFormat="false" ht="15" hidden="false" customHeight="false" outlineLevel="0" collapsed="false">
      <c r="A17" s="0" t="str">
        <f aca="false">NewComplaints!A17</f>
        <v>N0016</v>
      </c>
      <c r="B17" s="0" t="str">
        <f aca="false">NewComplaints!B17</f>
        <v>Frankly, The payment still has not arrived in my account. Also, i asked for a callback and it never happened.</v>
      </c>
      <c r="C17" s="0" t="str">
        <f aca="false">" "&amp;TRIM(SUBSTITUTE(SUBSTITUTE(SUBSTITUTE(SUBSTITUTE(SUBSTITUTE(SUBSTITUTE(SUBSTITUTE(SUBSTITUTE(SUBSTITUTE(SUBSTITUTE(SUBSTITUTE(SUBSTITUTE(SUBSTITUTE(SUBSTITUTE(SUBSTITUTE(SUBSTITUTE(LOWER(B17),"."," "),","," "),"'"," "),"’"," "),"!"," "),"?"," "),";"," "),":"," "),"-"," "),"("," "),")"," "),"""", " "),"£"," "),"&amp;"," "),"/"," "),"%"," "))&amp;" "</f>
        <v> frankly the payment still has not arrived in my account also i asked for a callback and it never happened </v>
      </c>
      <c r="D17" s="0" t="n">
        <f aca="false">SUMPRODUCT((Rules!$A$2:$A$60=D$1)*Rules!$C$2:$C$60*ISNUMBER(SEARCH(Rules!$D$2:$D$60,$C17)))</f>
        <v>0</v>
      </c>
      <c r="E17" s="0" t="n">
        <f aca="false">SUMPRODUCT((Rules!$A$2:$A$60=E$1)*Rules!$C$2:$C$60*ISNUMBER(SEARCH(Rules!$D$2:$D$60,$C17)))</f>
        <v>0</v>
      </c>
      <c r="F17" s="0" t="n">
        <f aca="false">SUMPRODUCT((Rules!$A$2:$A$60=F$1)*Rules!$C$2:$C$60*ISNUMBER(SEARCH(Rules!$D$2:$D$60,$C17)))</f>
        <v>0</v>
      </c>
      <c r="G17" s="0" t="n">
        <f aca="false">SUMPRODUCT((Rules!$A$2:$A$60=G$1)*Rules!$C$2:$C$60*ISNUMBER(SEARCH(Rules!$D$2:$D$60,$C17)))</f>
        <v>0</v>
      </c>
      <c r="H17" s="0" t="n">
        <f aca="false">SUMPRODUCT((Rules!$A$2:$A$60=H$1)*Rules!$C$2:$C$60*ISNUMBER(SEARCH(Rules!$D$2:$D$60,$C17)))</f>
        <v>2</v>
      </c>
      <c r="I17" s="0" t="n">
        <f aca="false">SUMPRODUCT((Rules!$A$2:$A$60=I$1)*Rules!$C$2:$C$60*ISNUMBER(SEARCH(Rules!$D$2:$D$60,$C17)))</f>
        <v>2</v>
      </c>
      <c r="J17" s="0" t="str">
        <f aca="false">IF(OR(MAX(D17:I17)&lt;Rules!$H$1,MAX(D17:I17)-LARGE(D17:I17,2)&lt;Rules!$H$2),"No label",INDEX($D$1:$I$1,MATCH(MAX(D17:I17),D17:I17,0)))</f>
        <v>No label</v>
      </c>
      <c r="K17" s="0" t="n">
        <f aca="false">SUMPRODUCT(ISNUMBER(SEARCH(" "&amp;Terms!$A$3:$A$821&amp;" ",$C17))*Terms!B$3:B$821)+Terms!B$2</f>
        <v>-1.28692072521975</v>
      </c>
      <c r="L17" s="0" t="n">
        <f aca="false">SUMPRODUCT(ISNUMBER(SEARCH(" "&amp;Terms!$A$3:$A$821&amp;" ",$C17))*Terms!C$3:C$821)+Terms!C$2</f>
        <v>2.01929343250797</v>
      </c>
      <c r="M17" s="0" t="n">
        <f aca="false">SUMPRODUCT(ISNUMBER(SEARCH(" "&amp;Terms!$A$3:$A$821&amp;" ",$C17))*Terms!D$3:D$821)+Terms!D$2</f>
        <v>3.59510217500168</v>
      </c>
      <c r="N17" s="0" t="n">
        <f aca="false">SUMPRODUCT(ISNUMBER(SEARCH(" "&amp;Terms!$A$3:$A$821&amp;" ",$C17))*Terms!E$3:E$821)+Terms!E$2</f>
        <v>-0.505778666900401</v>
      </c>
      <c r="O17" s="0" t="n">
        <f aca="false">SUMPRODUCT(ISNUMBER(SEARCH(" "&amp;Terms!$A$3:$A$821&amp;" ",$C17))*Terms!F$3:F$821)+Terms!F$2</f>
        <v>-0.205347261567956</v>
      </c>
      <c r="P17" s="0" t="n">
        <f aca="false">SUMPRODUCT(ISNUMBER(SEARCH(" "&amp;Terms!$A$3:$A$821&amp;" ",$C17))*Terms!G$3:G$821)+Terms!G$2</f>
        <v>-3.61634895382145</v>
      </c>
      <c r="Q17" s="0" t="str">
        <f aca="false">INDEX($K$1:$P$1,MATCH(MAX(K17:P17),K17:P17,0))</f>
        <v>Delays &amp; Processing</v>
      </c>
      <c r="R17" s="0" t="str">
        <f aca="false">IF(J17&lt;&gt;"No label",J17,Q17)</f>
        <v>Delays &amp; Processing</v>
      </c>
      <c r="S17" s="0" t="str">
        <f aca="false">INDEX(Answers!$B$2:$B$201,MATCH(A17,Answers!$A$2:$A$201,0))</f>
        <v>Delays &amp; Processing</v>
      </c>
      <c r="T17" s="4" t="b">
        <f aca="false">R17=S17</f>
        <v>1</v>
      </c>
    </row>
    <row r="18" customFormat="false" ht="15" hidden="false" customHeight="false" outlineLevel="0" collapsed="false">
      <c r="A18" s="0" t="str">
        <f aca="false">NewComplaints!A18</f>
        <v>N0017</v>
      </c>
      <c r="B18" s="0" t="str">
        <f aca="false">NewComplaints!B18</f>
        <v>Frankly, I have been billed an annual fee I never agreed to.</v>
      </c>
      <c r="C18" s="0" t="str">
        <f aca="false">" "&amp;TRIM(SUBSTITUTE(SUBSTITUTE(SUBSTITUTE(SUBSTITUTE(SUBSTITUTE(SUBSTITUTE(SUBSTITUTE(SUBSTITUTE(SUBSTITUTE(SUBSTITUTE(SUBSTITUTE(SUBSTITUTE(SUBSTITUTE(SUBSTITUTE(SUBSTITUTE(SUBSTITUTE(LOWER(B18),"."," "),","," "),"'"," "),"’"," "),"!"," "),"?"," "),";"," "),":"," "),"-"," "),"("," "),")"," "),"""", " "),"£"," "),"&amp;"," "),"/"," "),"%"," "))&amp;" "</f>
        <v> frankly i have been billed an annual fee i never agreed to </v>
      </c>
      <c r="D18" s="0" t="n">
        <f aca="false">SUMPRODUCT((Rules!$A$2:$A$60=D$1)*Rules!$C$2:$C$60*ISNUMBER(SEARCH(Rules!$D$2:$D$60,$C18)))</f>
        <v>0</v>
      </c>
      <c r="E18" s="0" t="n">
        <f aca="false">SUMPRODUCT((Rules!$A$2:$A$60=E$1)*Rules!$C$2:$C$60*ISNUMBER(SEARCH(Rules!$D$2:$D$60,$C18)))</f>
        <v>0</v>
      </c>
      <c r="F18" s="0" t="n">
        <f aca="false">SUMPRODUCT((Rules!$A$2:$A$60=F$1)*Rules!$C$2:$C$60*ISNUMBER(SEARCH(Rules!$D$2:$D$60,$C18)))</f>
        <v>0</v>
      </c>
      <c r="G18" s="0" t="n">
        <f aca="false">SUMPRODUCT((Rules!$A$2:$A$60=G$1)*Rules!$C$2:$C$60*ISNUMBER(SEARCH(Rules!$D$2:$D$60,$C18)))</f>
        <v>4</v>
      </c>
      <c r="H18" s="0" t="n">
        <f aca="false">SUMPRODUCT((Rules!$A$2:$A$60=H$1)*Rules!$C$2:$C$60*ISNUMBER(SEARCH(Rules!$D$2:$D$60,$C18)))</f>
        <v>0</v>
      </c>
      <c r="I18" s="0" t="n">
        <f aca="false">SUMPRODUCT((Rules!$A$2:$A$60=I$1)*Rules!$C$2:$C$60*ISNUMBER(SEARCH(Rules!$D$2:$D$60,$C18)))</f>
        <v>0</v>
      </c>
      <c r="J18" s="0" t="str">
        <f aca="false">IF(OR(MAX(D18:I18)&lt;Rules!$H$1,MAX(D18:I18)-LARGE(D18:I18,2)&lt;Rules!$H$2),"No label",INDEX($D$1:$I$1,MATCH(MAX(D18:I18),D18:I18,0)))</f>
        <v>Fees &amp; Charges</v>
      </c>
      <c r="K18" s="0" t="n">
        <f aca="false">SUMPRODUCT(ISNUMBER(SEARCH(" "&amp;Terms!$A$3:$A$821&amp;" ",$C18))*Terms!B$3:B$821)+Terms!B$2</f>
        <v>-0.973195074706249</v>
      </c>
      <c r="L18" s="0" t="n">
        <f aca="false">SUMPRODUCT(ISNUMBER(SEARCH(" "&amp;Terms!$A$3:$A$821&amp;" ",$C18))*Terms!C$3:C$821)+Terms!C$2</f>
        <v>-1.62842128303365</v>
      </c>
      <c r="M18" s="0" t="n">
        <f aca="false">SUMPRODUCT(ISNUMBER(SEARCH(" "&amp;Terms!$A$3:$A$821&amp;" ",$C18))*Terms!D$3:D$821)+Terms!D$2</f>
        <v>-2.42559341365301</v>
      </c>
      <c r="N18" s="0" t="n">
        <f aca="false">SUMPRODUCT(ISNUMBER(SEARCH(" "&amp;Terms!$A$3:$A$821&amp;" ",$C18))*Terms!E$3:E$821)+Terms!E$2</f>
        <v>11.7741727492737</v>
      </c>
      <c r="O18" s="0" t="n">
        <f aca="false">SUMPRODUCT(ISNUMBER(SEARCH(" "&amp;Terms!$A$3:$A$821&amp;" ",$C18))*Terms!F$3:F$821)+Terms!F$2</f>
        <v>-4.8921866254308</v>
      </c>
      <c r="P18" s="0" t="n">
        <f aca="false">SUMPRODUCT(ISNUMBER(SEARCH(" "&amp;Terms!$A$3:$A$821&amp;" ",$C18))*Terms!G$3:G$821)+Terms!G$2</f>
        <v>-1.85477635244991</v>
      </c>
      <c r="Q18" s="0" t="str">
        <f aca="false">INDEX($K$1:$P$1,MATCH(MAX(K18:P18),K18:P18,0))</f>
        <v>Fees &amp; Charges</v>
      </c>
      <c r="R18" s="0" t="str">
        <f aca="false">IF(J18&lt;&gt;"No label",J18,Q18)</f>
        <v>Fees &amp; Charges</v>
      </c>
      <c r="S18" s="0" t="str">
        <f aca="false">INDEX(Answers!$B$2:$B$201,MATCH(A18,Answers!$A$2:$A$201,0))</f>
        <v>Fees &amp; Charges</v>
      </c>
      <c r="T18" s="4" t="b">
        <f aca="false">R18=S18</f>
        <v>1</v>
      </c>
    </row>
    <row r="19" customFormat="false" ht="15" hidden="false" customHeight="false" outlineLevel="0" collapsed="false">
      <c r="A19" s="0" t="str">
        <f aca="false">NewComplaints!A19</f>
        <v>N0018</v>
      </c>
      <c r="B19" s="0" t="str">
        <f aca="false">NewComplaints!B19</f>
        <v>Frankly, Why has my interest rate gone up without notice, it is costing me more every month. Also, the closure of my old account has dragged on for months. I would like a response in writing.</v>
      </c>
      <c r="C19" s="0" t="str">
        <f aca="false">" "&amp;TRIM(SUBSTITUTE(SUBSTITUTE(SUBSTITUTE(SUBSTITUTE(SUBSTITUTE(SUBSTITUTE(SUBSTITUTE(SUBSTITUTE(SUBSTITUTE(SUBSTITUTE(SUBSTITUTE(SUBSTITUTE(SUBSTITUTE(SUBSTITUTE(SUBSTITUTE(SUBSTITUTE(LOWER(B19),"."," "),","," "),"'"," "),"’"," "),"!"," "),"?"," "),";"," "),":"," "),"-"," "),"("," "),")"," "),"""", " "),"£"," "),"&amp;"," "),"/"," "),"%"," "))&amp;" "</f>
        <v> frankly why has my interest rate gone up without notice it is costing me more every month also the closure of my old account has dragged on for months i would like a response in writing </v>
      </c>
      <c r="D19" s="0" t="n">
        <f aca="false">SUMPRODUCT((Rules!$A$2:$A$60=D$1)*Rules!$C$2:$C$60*ISNUMBER(SEARCH(Rules!$D$2:$D$60,$C19)))</f>
        <v>0</v>
      </c>
      <c r="E19" s="0" t="n">
        <f aca="false">SUMPRODUCT((Rules!$A$2:$A$60=E$1)*Rules!$C$2:$C$60*ISNUMBER(SEARCH(Rules!$D$2:$D$60,$C19)))</f>
        <v>0</v>
      </c>
      <c r="F19" s="0" t="n">
        <f aca="false">SUMPRODUCT((Rules!$A$2:$A$60=F$1)*Rules!$C$2:$C$60*ISNUMBER(SEARCH(Rules!$D$2:$D$60,$C19)))</f>
        <v>0</v>
      </c>
      <c r="G19" s="0" t="n">
        <f aca="false">SUMPRODUCT((Rules!$A$2:$A$60=G$1)*Rules!$C$2:$C$60*ISNUMBER(SEARCH(Rules!$D$2:$D$60,$C19)))</f>
        <v>2</v>
      </c>
      <c r="H19" s="0" t="n">
        <f aca="false">SUMPRODUCT((Rules!$A$2:$A$60=H$1)*Rules!$C$2:$C$60*ISNUMBER(SEARCH(Rules!$D$2:$D$60,$C19)))</f>
        <v>2</v>
      </c>
      <c r="I19" s="0" t="n">
        <f aca="false">SUMPRODUCT((Rules!$A$2:$A$60=I$1)*Rules!$C$2:$C$60*ISNUMBER(SEARCH(Rules!$D$2:$D$60,$C19)))</f>
        <v>0</v>
      </c>
      <c r="J19" s="0" t="str">
        <f aca="false">IF(OR(MAX(D19:I19)&lt;Rules!$H$1,MAX(D19:I19)-LARGE(D19:I19,2)&lt;Rules!$H$2),"No label",INDEX($D$1:$I$1,MATCH(MAX(D19:I19),D19:I19,0)))</f>
        <v>No label</v>
      </c>
      <c r="K19" s="0" t="n">
        <f aca="false">SUMPRODUCT(ISNUMBER(SEARCH(" "&amp;Terms!$A$3:$A$821&amp;" ",$C19))*Terms!B$3:B$821)+Terms!B$2</f>
        <v>-2.07867631683579</v>
      </c>
      <c r="L19" s="0" t="n">
        <f aca="false">SUMPRODUCT(ISNUMBER(SEARCH(" "&amp;Terms!$A$3:$A$821&amp;" ",$C19))*Terms!C$3:C$821)+Terms!C$2</f>
        <v>-4.52859408936781</v>
      </c>
      <c r="M19" s="0" t="n">
        <f aca="false">SUMPRODUCT(ISNUMBER(SEARCH(" "&amp;Terms!$A$3:$A$821&amp;" ",$C19))*Terms!D$3:D$821)+Terms!D$2</f>
        <v>8.78913801367424</v>
      </c>
      <c r="N19" s="0" t="n">
        <f aca="false">SUMPRODUCT(ISNUMBER(SEARCH(" "&amp;Terms!$A$3:$A$821&amp;" ",$C19))*Terms!E$3:E$821)+Terms!E$2</f>
        <v>3.95314853365902</v>
      </c>
      <c r="O19" s="0" t="n">
        <f aca="false">SUMPRODUCT(ISNUMBER(SEARCH(" "&amp;Terms!$A$3:$A$821&amp;" ",$C19))*Terms!F$3:F$821)+Terms!F$2</f>
        <v>-2.69758633341916</v>
      </c>
      <c r="P19" s="0" t="n">
        <f aca="false">SUMPRODUCT(ISNUMBER(SEARCH(" "&amp;Terms!$A$3:$A$821&amp;" ",$C19))*Terms!G$3:G$821)+Terms!G$2</f>
        <v>-3.43742980771039</v>
      </c>
      <c r="Q19" s="0" t="str">
        <f aca="false">INDEX($K$1:$P$1,MATCH(MAX(K19:P19),K19:P19,0))</f>
        <v>Delays &amp; Processing</v>
      </c>
      <c r="R19" s="0" t="str">
        <f aca="false">IF(J19&lt;&gt;"No label",J19,Q19)</f>
        <v>Delays &amp; Processing</v>
      </c>
      <c r="S19" s="0" t="str">
        <f aca="false">INDEX(Answers!$B$2:$B$201,MATCH(A19,Answers!$A$2:$A$201,0))</f>
        <v>Fees &amp; Charges</v>
      </c>
      <c r="T19" s="4" t="b">
        <f aca="false">R19=S19</f>
        <v>0</v>
      </c>
    </row>
    <row r="20" customFormat="false" ht="15" hidden="false" customHeight="false" outlineLevel="0" collapsed="false">
      <c r="A20" s="0" t="str">
        <f aca="false">NewComplaints!A20</f>
        <v>N0019</v>
      </c>
      <c r="B20" s="0" t="str">
        <f aca="false">NewComplaints!B20</f>
        <v>I have been a customer for years. I was charged a monthly fee that nobody told me about. This is not acceptable.</v>
      </c>
      <c r="C20" s="0" t="str">
        <f aca="false">" "&amp;TRIM(SUBSTITUTE(SUBSTITUTE(SUBSTITUTE(SUBSTITUTE(SUBSTITUTE(SUBSTITUTE(SUBSTITUTE(SUBSTITUTE(SUBSTITUTE(SUBSTITUTE(SUBSTITUTE(SUBSTITUTE(SUBSTITUTE(SUBSTITUTE(SUBSTITUTE(SUBSTITUTE(LOWER(B20),"."," "),","," "),"'"," "),"’"," "),"!"," "),"?"," "),";"," "),":"," "),"-"," "),"("," "),")"," "),"""", " "),"£"," "),"&amp;"," "),"/"," "),"%"," "))&amp;" "</f>
        <v> i have been a customer for years i was charged a monthly fee that nobody told me about this is not acceptable </v>
      </c>
      <c r="D20" s="0" t="n">
        <f aca="false">SUMPRODUCT((Rules!$A$2:$A$60=D$1)*Rules!$C$2:$C$60*ISNUMBER(SEARCH(Rules!$D$2:$D$60,$C20)))</f>
        <v>0</v>
      </c>
      <c r="E20" s="0" t="n">
        <f aca="false">SUMPRODUCT((Rules!$A$2:$A$60=E$1)*Rules!$C$2:$C$60*ISNUMBER(SEARCH(Rules!$D$2:$D$60,$C20)))</f>
        <v>0</v>
      </c>
      <c r="F20" s="0" t="n">
        <f aca="false">SUMPRODUCT((Rules!$A$2:$A$60=F$1)*Rules!$C$2:$C$60*ISNUMBER(SEARCH(Rules!$D$2:$D$60,$C20)))</f>
        <v>0</v>
      </c>
      <c r="G20" s="0" t="n">
        <f aca="false">SUMPRODUCT((Rules!$A$2:$A$60=G$1)*Rules!$C$2:$C$60*ISNUMBER(SEARCH(Rules!$D$2:$D$60,$C20)))</f>
        <v>4</v>
      </c>
      <c r="H20" s="0" t="n">
        <f aca="false">SUMPRODUCT((Rules!$A$2:$A$60=H$1)*Rules!$C$2:$C$60*ISNUMBER(SEARCH(Rules!$D$2:$D$60,$C20)))</f>
        <v>0</v>
      </c>
      <c r="I20" s="0" t="n">
        <f aca="false">SUMPRODUCT((Rules!$A$2:$A$60=I$1)*Rules!$C$2:$C$60*ISNUMBER(SEARCH(Rules!$D$2:$D$60,$C20)))</f>
        <v>0</v>
      </c>
      <c r="J20" s="0" t="str">
        <f aca="false">IF(OR(MAX(D20:I20)&lt;Rules!$H$1,MAX(D20:I20)-LARGE(D20:I20,2)&lt;Rules!$H$2),"No label",INDEX($D$1:$I$1,MATCH(MAX(D20:I20),D20:I20,0)))</f>
        <v>Fees &amp; Charges</v>
      </c>
      <c r="K20" s="0" t="n">
        <f aca="false">SUMPRODUCT(ISNUMBER(SEARCH(" "&amp;Terms!$A$3:$A$821&amp;" ",$C20))*Terms!B$3:B$821)+Terms!B$2</f>
        <v>-0.22673033221017</v>
      </c>
      <c r="L20" s="0" t="n">
        <f aca="false">SUMPRODUCT(ISNUMBER(SEARCH(" "&amp;Terms!$A$3:$A$821&amp;" ",$C20))*Terms!C$3:C$821)+Terms!C$2</f>
        <v>-4.73166012858265</v>
      </c>
      <c r="M20" s="0" t="n">
        <f aca="false">SUMPRODUCT(ISNUMBER(SEARCH(" "&amp;Terms!$A$3:$A$821&amp;" ",$C20))*Terms!D$3:D$821)+Terms!D$2</f>
        <v>-0.634897862991039</v>
      </c>
      <c r="N20" s="0" t="n">
        <f aca="false">SUMPRODUCT(ISNUMBER(SEARCH(" "&amp;Terms!$A$3:$A$821&amp;" ",$C20))*Terms!E$3:E$821)+Terms!E$2</f>
        <v>9.4607251434012</v>
      </c>
      <c r="O20" s="0" t="n">
        <f aca="false">SUMPRODUCT(ISNUMBER(SEARCH(" "&amp;Terms!$A$3:$A$821&amp;" ",$C20))*Terms!F$3:F$821)+Terms!F$2</f>
        <v>-3.0595497879435</v>
      </c>
      <c r="P20" s="0" t="n">
        <f aca="false">SUMPRODUCT(ISNUMBER(SEARCH(" "&amp;Terms!$A$3:$A$821&amp;" ",$C20))*Terms!G$3:G$821)+Terms!G$2</f>
        <v>-0.807887031673745</v>
      </c>
      <c r="Q20" s="0" t="str">
        <f aca="false">INDEX($K$1:$P$1,MATCH(MAX(K20:P20),K20:P20,0))</f>
        <v>Fees &amp; Charges</v>
      </c>
      <c r="R20" s="0" t="str">
        <f aca="false">IF(J20&lt;&gt;"No label",J20,Q20)</f>
        <v>Fees &amp; Charges</v>
      </c>
      <c r="S20" s="0" t="str">
        <f aca="false">INDEX(Answers!$B$2:$B$201,MATCH(A20,Answers!$A$2:$A$201,0))</f>
        <v>Fees &amp; Charges</v>
      </c>
      <c r="T20" s="4" t="b">
        <f aca="false">R20=S20</f>
        <v>1</v>
      </c>
    </row>
    <row r="21" customFormat="false" ht="15" hidden="false" customHeight="false" outlineLevel="0" collapsed="false">
      <c r="A21" s="0" t="str">
        <f aca="false">NewComplaints!A21</f>
        <v>N0020</v>
      </c>
      <c r="B21" s="0" t="str">
        <f aca="false">NewComplaints!B21</f>
        <v>To whom it may concern, You promised the money within three working days and it is still outstanding. Please sort this out.</v>
      </c>
      <c r="C21" s="0" t="str">
        <f aca="false">" "&amp;TRIM(SUBSTITUTE(SUBSTITUTE(SUBSTITUTE(SUBSTITUTE(SUBSTITUTE(SUBSTITUTE(SUBSTITUTE(SUBSTITUTE(SUBSTITUTE(SUBSTITUTE(SUBSTITUTE(SUBSTITUTE(SUBSTITUTE(SUBSTITUTE(SUBSTITUTE(SUBSTITUTE(LOWER(B21),"."," "),","," "),"'"," "),"’"," "),"!"," "),"?"," "),";"," "),":"," "),"-"," "),"("," "),")"," "),"""", " "),"£"," "),"&amp;"," "),"/"," "),"%"," "))&amp;" "</f>
        <v> to whom it may concern you promised the money within three working days and it is still outstanding please sort this out </v>
      </c>
      <c r="D21" s="0" t="n">
        <f aca="false">SUMPRODUCT((Rules!$A$2:$A$60=D$1)*Rules!$C$2:$C$60*ISNUMBER(SEARCH(Rules!$D$2:$D$60,$C21)))</f>
        <v>0</v>
      </c>
      <c r="E21" s="0" t="n">
        <f aca="false">SUMPRODUCT((Rules!$A$2:$A$60=E$1)*Rules!$C$2:$C$60*ISNUMBER(SEARCH(Rules!$D$2:$D$60,$C21)))</f>
        <v>1</v>
      </c>
      <c r="F21" s="0" t="n">
        <f aca="false">SUMPRODUCT((Rules!$A$2:$A$60=F$1)*Rules!$C$2:$C$60*ISNUMBER(SEARCH(Rules!$D$2:$D$60,$C21)))</f>
        <v>0</v>
      </c>
      <c r="G21" s="0" t="n">
        <f aca="false">SUMPRODUCT((Rules!$A$2:$A$60=G$1)*Rules!$C$2:$C$60*ISNUMBER(SEARCH(Rules!$D$2:$D$60,$C21)))</f>
        <v>0</v>
      </c>
      <c r="H21" s="0" t="n">
        <f aca="false">SUMPRODUCT((Rules!$A$2:$A$60=H$1)*Rules!$C$2:$C$60*ISNUMBER(SEARCH(Rules!$D$2:$D$60,$C21)))</f>
        <v>2</v>
      </c>
      <c r="I21" s="0" t="n">
        <f aca="false">SUMPRODUCT((Rules!$A$2:$A$60=I$1)*Rules!$C$2:$C$60*ISNUMBER(SEARCH(Rules!$D$2:$D$60,$C21)))</f>
        <v>0</v>
      </c>
      <c r="J21" s="0" t="str">
        <f aca="false">IF(OR(MAX(D21:I21)&lt;Rules!$H$1,MAX(D21:I21)-LARGE(D21:I21,2)&lt;Rules!$H$2),"No label",INDEX($D$1:$I$1,MATCH(MAX(D21:I21),D21:I21,0)))</f>
        <v>No label</v>
      </c>
      <c r="K21" s="0" t="n">
        <f aca="false">SUMPRODUCT(ISNUMBER(SEARCH(" "&amp;Terms!$A$3:$A$821&amp;" ",$C21))*Terms!B$3:B$821)+Terms!B$2</f>
        <v>-0.721885177143833</v>
      </c>
      <c r="L21" s="0" t="n">
        <f aca="false">SUMPRODUCT(ISNUMBER(SEARCH(" "&amp;Terms!$A$3:$A$821&amp;" ",$C21))*Terms!C$3:C$821)+Terms!C$2</f>
        <v>-2.91939401733471</v>
      </c>
      <c r="M21" s="0" t="n">
        <f aca="false">SUMPRODUCT(ISNUMBER(SEARCH(" "&amp;Terms!$A$3:$A$821&amp;" ",$C21))*Terms!D$3:D$821)+Terms!D$2</f>
        <v>6.81590475637684</v>
      </c>
      <c r="N21" s="0" t="n">
        <f aca="false">SUMPRODUCT(ISNUMBER(SEARCH(" "&amp;Terms!$A$3:$A$821&amp;" ",$C21))*Terms!E$3:E$821)+Terms!E$2</f>
        <v>0.476767413070422</v>
      </c>
      <c r="O21" s="0" t="n">
        <f aca="false">SUMPRODUCT(ISNUMBER(SEARCH(" "&amp;Terms!$A$3:$A$821&amp;" ",$C21))*Terms!F$3:F$821)+Terms!F$2</f>
        <v>-1.96939906322853</v>
      </c>
      <c r="P21" s="0" t="n">
        <f aca="false">SUMPRODUCT(ISNUMBER(SEARCH(" "&amp;Terms!$A$3:$A$821&amp;" ",$C21))*Terms!G$3:G$821)+Terms!G$2</f>
        <v>-1.68199391174011</v>
      </c>
      <c r="Q21" s="0" t="str">
        <f aca="false">INDEX($K$1:$P$1,MATCH(MAX(K21:P21),K21:P21,0))</f>
        <v>Delays &amp; Processing</v>
      </c>
      <c r="R21" s="0" t="str">
        <f aca="false">IF(J21&lt;&gt;"No label",J21,Q21)</f>
        <v>Delays &amp; Processing</v>
      </c>
      <c r="S21" s="0" t="str">
        <f aca="false">INDEX(Answers!$B$2:$B$201,MATCH(A21,Answers!$A$2:$A$201,0))</f>
        <v>Delays &amp; Processing</v>
      </c>
      <c r="T21" s="4" t="b">
        <f aca="false">R21=S21</f>
        <v>1</v>
      </c>
    </row>
    <row r="22" customFormat="false" ht="15" hidden="false" customHeight="false" outlineLevel="0" collapsed="false">
      <c r="A22" s="0" t="str">
        <f aca="false">NewComplaints!A22</f>
        <v>N0021</v>
      </c>
      <c r="B22" s="0" t="str">
        <f aca="false">NewComplaints!B22</f>
        <v>Frankly, You took an overdraft fee even though I was within my limit.</v>
      </c>
      <c r="C22" s="0" t="str">
        <f aca="false">" "&amp;TRIM(SUBSTITUTE(SUBSTITUTE(SUBSTITUTE(SUBSTITUTE(SUBSTITUTE(SUBSTITUTE(SUBSTITUTE(SUBSTITUTE(SUBSTITUTE(SUBSTITUTE(SUBSTITUTE(SUBSTITUTE(SUBSTITUTE(SUBSTITUTE(SUBSTITUTE(SUBSTITUTE(LOWER(B22),"."," "),","," "),"'"," "),"’"," "),"!"," "),"?"," "),";"," "),":"," "),"-"," "),"("," "),")"," "),"""", " "),"£"," "),"&amp;"," "),"/"," "),"%"," "))&amp;" "</f>
        <v> frankly you took an overdraft fee even though i was within my limit </v>
      </c>
      <c r="D22" s="0" t="n">
        <f aca="false">SUMPRODUCT((Rules!$A$2:$A$60=D$1)*Rules!$C$2:$C$60*ISNUMBER(SEARCH(Rules!$D$2:$D$60,$C22)))</f>
        <v>0</v>
      </c>
      <c r="E22" s="0" t="n">
        <f aca="false">SUMPRODUCT((Rules!$A$2:$A$60=E$1)*Rules!$C$2:$C$60*ISNUMBER(SEARCH(Rules!$D$2:$D$60,$C22)))</f>
        <v>0</v>
      </c>
      <c r="F22" s="0" t="n">
        <f aca="false">SUMPRODUCT((Rules!$A$2:$A$60=F$1)*Rules!$C$2:$C$60*ISNUMBER(SEARCH(Rules!$D$2:$D$60,$C22)))</f>
        <v>0</v>
      </c>
      <c r="G22" s="0" t="n">
        <f aca="false">SUMPRODUCT((Rules!$A$2:$A$60=G$1)*Rules!$C$2:$C$60*ISNUMBER(SEARCH(Rules!$D$2:$D$60,$C22)))</f>
        <v>2</v>
      </c>
      <c r="H22" s="0" t="n">
        <f aca="false">SUMPRODUCT((Rules!$A$2:$A$60=H$1)*Rules!$C$2:$C$60*ISNUMBER(SEARCH(Rules!$D$2:$D$60,$C22)))</f>
        <v>0</v>
      </c>
      <c r="I22" s="0" t="n">
        <f aca="false">SUMPRODUCT((Rules!$A$2:$A$60=I$1)*Rules!$C$2:$C$60*ISNUMBER(SEARCH(Rules!$D$2:$D$60,$C22)))</f>
        <v>0</v>
      </c>
      <c r="J22" s="0" t="str">
        <f aca="false">IF(OR(MAX(D22:I22)&lt;Rules!$H$1,MAX(D22:I22)-LARGE(D22:I22,2)&lt;Rules!$H$2),"No label",INDEX($D$1:$I$1,MATCH(MAX(D22:I22),D22:I22,0)))</f>
        <v>No label</v>
      </c>
      <c r="K22" s="0" t="n">
        <f aca="false">SUMPRODUCT(ISNUMBER(SEARCH(" "&amp;Terms!$A$3:$A$821&amp;" ",$C22))*Terms!B$3:B$821)+Terms!B$2</f>
        <v>-2.9299603688279</v>
      </c>
      <c r="L22" s="0" t="n">
        <f aca="false">SUMPRODUCT(ISNUMBER(SEARCH(" "&amp;Terms!$A$3:$A$821&amp;" ",$C22))*Terms!C$3:C$821)+Terms!C$2</f>
        <v>-0.885373235204741</v>
      </c>
      <c r="M22" s="0" t="n">
        <f aca="false">SUMPRODUCT(ISNUMBER(SEARCH(" "&amp;Terms!$A$3:$A$821&amp;" ",$C22))*Terms!D$3:D$821)+Terms!D$2</f>
        <v>-3.95002635774792</v>
      </c>
      <c r="N22" s="0" t="n">
        <f aca="false">SUMPRODUCT(ISNUMBER(SEARCH(" "&amp;Terms!$A$3:$A$821&amp;" ",$C22))*Terms!E$3:E$821)+Terms!E$2</f>
        <v>11.2247225543611</v>
      </c>
      <c r="O22" s="0" t="n">
        <f aca="false">SUMPRODUCT(ISNUMBER(SEARCH(" "&amp;Terms!$A$3:$A$821&amp;" ",$C22))*Terms!F$3:F$821)+Terms!F$2</f>
        <v>-1.46972747096828</v>
      </c>
      <c r="P22" s="0" t="n">
        <f aca="false">SUMPRODUCT(ISNUMBER(SEARCH(" "&amp;Terms!$A$3:$A$821&amp;" ",$C22))*Terms!G$3:G$821)+Terms!G$2</f>
        <v>-1.98963512161219</v>
      </c>
      <c r="Q22" s="0" t="str">
        <f aca="false">INDEX($K$1:$P$1,MATCH(MAX(K22:P22),K22:P22,0))</f>
        <v>Fees &amp; Charges</v>
      </c>
      <c r="R22" s="0" t="str">
        <f aca="false">IF(J22&lt;&gt;"No label",J22,Q22)</f>
        <v>Fees &amp; Charges</v>
      </c>
      <c r="S22" s="0" t="str">
        <f aca="false">INDEX(Answers!$B$2:$B$201,MATCH(A22,Answers!$A$2:$A$201,0))</f>
        <v>Fees &amp; Charges</v>
      </c>
      <c r="T22" s="4" t="b">
        <f aca="false">R22=S22</f>
        <v>1</v>
      </c>
    </row>
    <row r="23" customFormat="false" ht="15" hidden="false" customHeight="false" outlineLevel="0" collapsed="false">
      <c r="A23" s="0" t="str">
        <f aca="false">NewComplaints!A23</f>
        <v>N0022</v>
      </c>
      <c r="B23" s="0" t="str">
        <f aca="false">NewComplaints!B23</f>
        <v>Frankly, My identity was stolen and a loan was taken out in my name.</v>
      </c>
      <c r="C23" s="0" t="str">
        <f aca="false">" "&amp;TRIM(SUBSTITUTE(SUBSTITUTE(SUBSTITUTE(SUBSTITUTE(SUBSTITUTE(SUBSTITUTE(SUBSTITUTE(SUBSTITUTE(SUBSTITUTE(SUBSTITUTE(SUBSTITUTE(SUBSTITUTE(SUBSTITUTE(SUBSTITUTE(SUBSTITUTE(SUBSTITUTE(LOWER(B23),"."," "),","," "),"'"," "),"’"," "),"!"," "),"?"," "),";"," "),":"," "),"-"," "),"("," "),")"," "),"""", " "),"£"," "),"&amp;"," "),"/"," "),"%"," "))&amp;" "</f>
        <v> frankly my identity was stolen and a loan was taken out in my name </v>
      </c>
      <c r="D23" s="0" t="n">
        <f aca="false">SUMPRODUCT((Rules!$A$2:$A$60=D$1)*Rules!$C$2:$C$60*ISNUMBER(SEARCH(Rules!$D$2:$D$60,$C23)))</f>
        <v>2</v>
      </c>
      <c r="E23" s="0" t="n">
        <f aca="false">SUMPRODUCT((Rules!$A$2:$A$60=E$1)*Rules!$C$2:$C$60*ISNUMBER(SEARCH(Rules!$D$2:$D$60,$C23)))</f>
        <v>0</v>
      </c>
      <c r="F23" s="0" t="n">
        <f aca="false">SUMPRODUCT((Rules!$A$2:$A$60=F$1)*Rules!$C$2:$C$60*ISNUMBER(SEARCH(Rules!$D$2:$D$60,$C23)))</f>
        <v>0</v>
      </c>
      <c r="G23" s="0" t="n">
        <f aca="false">SUMPRODUCT((Rules!$A$2:$A$60=G$1)*Rules!$C$2:$C$60*ISNUMBER(SEARCH(Rules!$D$2:$D$60,$C23)))</f>
        <v>0</v>
      </c>
      <c r="H23" s="0" t="n">
        <f aca="false">SUMPRODUCT((Rules!$A$2:$A$60=H$1)*Rules!$C$2:$C$60*ISNUMBER(SEARCH(Rules!$D$2:$D$60,$C23)))</f>
        <v>0</v>
      </c>
      <c r="I23" s="0" t="n">
        <f aca="false">SUMPRODUCT((Rules!$A$2:$A$60=I$1)*Rules!$C$2:$C$60*ISNUMBER(SEARCH(Rules!$D$2:$D$60,$C23)))</f>
        <v>0</v>
      </c>
      <c r="J23" s="0" t="str">
        <f aca="false">IF(OR(MAX(D23:I23)&lt;Rules!$H$1,MAX(D23:I23)-LARGE(D23:I23,2)&lt;Rules!$H$2),"No label",INDEX($D$1:$I$1,MATCH(MAX(D23:I23),D23:I23,0)))</f>
        <v>No label</v>
      </c>
      <c r="K23" s="0" t="n">
        <f aca="false">SUMPRODUCT(ISNUMBER(SEARCH(" "&amp;Terms!$A$3:$A$821&amp;" ",$C23))*Terms!B$3:B$821)+Terms!B$2</f>
        <v>-1.4568235709287</v>
      </c>
      <c r="L23" s="0" t="n">
        <f aca="false">SUMPRODUCT(ISNUMBER(SEARCH(" "&amp;Terms!$A$3:$A$821&amp;" ",$C23))*Terms!C$3:C$821)+Terms!C$2</f>
        <v>-0.829863187817181</v>
      </c>
      <c r="M23" s="0" t="n">
        <f aca="false">SUMPRODUCT(ISNUMBER(SEARCH(" "&amp;Terms!$A$3:$A$821&amp;" ",$C23))*Terms!D$3:D$821)+Terms!D$2</f>
        <v>-2.74249735798544</v>
      </c>
      <c r="N23" s="0" t="n">
        <f aca="false">SUMPRODUCT(ISNUMBER(SEARCH(" "&amp;Terms!$A$3:$A$821&amp;" ",$C23))*Terms!E$3:E$821)+Terms!E$2</f>
        <v>0.192893718946567</v>
      </c>
      <c r="O23" s="0" t="n">
        <f aca="false">SUMPRODUCT(ISNUMBER(SEARCH(" "&amp;Terms!$A$3:$A$821&amp;" ",$C23))*Terms!F$3:F$821)+Terms!F$2</f>
        <v>6.78200730334996</v>
      </c>
      <c r="P23" s="0" t="n">
        <f aca="false">SUMPRODUCT(ISNUMBER(SEARCH(" "&amp;Terms!$A$3:$A$821&amp;" ",$C23))*Terms!G$3:G$821)+Terms!G$2</f>
        <v>-1.9457169055651</v>
      </c>
      <c r="Q23" s="0" t="str">
        <f aca="false">INDEX($K$1:$P$1,MATCH(MAX(K23:P23),K23:P23,0))</f>
        <v>Fraud &amp; Scams</v>
      </c>
      <c r="R23" s="0" t="str">
        <f aca="false">IF(J23&lt;&gt;"No label",J23,Q23)</f>
        <v>Fraud &amp; Scams</v>
      </c>
      <c r="S23" s="0" t="str">
        <f aca="false">INDEX(Answers!$B$2:$B$201,MATCH(A23,Answers!$A$2:$A$201,0))</f>
        <v>Fraud &amp; Scams</v>
      </c>
      <c r="T23" s="4" t="b">
        <f aca="false">R23=S23</f>
        <v>1</v>
      </c>
    </row>
    <row r="24" customFormat="false" ht="15" hidden="false" customHeight="false" outlineLevel="0" collapsed="false">
      <c r="A24" s="0" t="str">
        <f aca="false">NewComplaints!A24</f>
        <v>N0023</v>
      </c>
      <c r="B24" s="0" t="str">
        <f aca="false">NewComplaints!B24</f>
        <v>This is the second time I have raised this. I cannot log in to the mobile app since the update. I expect compensation.</v>
      </c>
      <c r="C24" s="0" t="str">
        <f aca="false">" "&amp;TRIM(SUBSTITUTE(SUBSTITUTE(SUBSTITUTE(SUBSTITUTE(SUBSTITUTE(SUBSTITUTE(SUBSTITUTE(SUBSTITUTE(SUBSTITUTE(SUBSTITUTE(SUBSTITUTE(SUBSTITUTE(SUBSTITUTE(SUBSTITUTE(SUBSTITUTE(SUBSTITUTE(LOWER(B24),"."," "),","," "),"'"," "),"’"," "),"!"," "),"?"," "),";"," "),":"," "),"-"," "),"("," "),")"," "),"""", " "),"£"," "),"&amp;"," "),"/"," "),"%"," "))&amp;" "</f>
        <v> this is the second time i have raised this i cannot log in to the mobile app since the update i expect compensation </v>
      </c>
      <c r="D24" s="0" t="n">
        <f aca="false">SUMPRODUCT((Rules!$A$2:$A$60=D$1)*Rules!$C$2:$C$60*ISNUMBER(SEARCH(Rules!$D$2:$D$60,$C24)))</f>
        <v>0</v>
      </c>
      <c r="E24" s="0" t="n">
        <f aca="false">SUMPRODUCT((Rules!$A$2:$A$60=E$1)*Rules!$C$2:$C$60*ISNUMBER(SEARCH(Rules!$D$2:$D$60,$C24)))</f>
        <v>0</v>
      </c>
      <c r="F24" s="0" t="n">
        <f aca="false">SUMPRODUCT((Rules!$A$2:$A$60=F$1)*Rules!$C$2:$C$60*ISNUMBER(SEARCH(Rules!$D$2:$D$60,$C24)))</f>
        <v>4</v>
      </c>
      <c r="G24" s="0" t="n">
        <f aca="false">SUMPRODUCT((Rules!$A$2:$A$60=G$1)*Rules!$C$2:$C$60*ISNUMBER(SEARCH(Rules!$D$2:$D$60,$C24)))</f>
        <v>0</v>
      </c>
      <c r="H24" s="0" t="n">
        <f aca="false">SUMPRODUCT((Rules!$A$2:$A$60=H$1)*Rules!$C$2:$C$60*ISNUMBER(SEARCH(Rules!$D$2:$D$60,$C24)))</f>
        <v>0</v>
      </c>
      <c r="I24" s="0" t="n">
        <f aca="false">SUMPRODUCT((Rules!$A$2:$A$60=I$1)*Rules!$C$2:$C$60*ISNUMBER(SEARCH(Rules!$D$2:$D$60,$C24)))</f>
        <v>0</v>
      </c>
      <c r="J24" s="0" t="str">
        <f aca="false">IF(OR(MAX(D24:I24)&lt;Rules!$H$1,MAX(D24:I24)-LARGE(D24:I24,2)&lt;Rules!$H$2),"No label",INDEX($D$1:$I$1,MATCH(MAX(D24:I24),D24:I24,0)))</f>
        <v>Account Access</v>
      </c>
      <c r="K24" s="0" t="n">
        <f aca="false">SUMPRODUCT(ISNUMBER(SEARCH(" "&amp;Terms!$A$3:$A$821&amp;" ",$C24))*Terms!B$3:B$821)+Terms!B$2</f>
        <v>9.24023625189973</v>
      </c>
      <c r="L24" s="0" t="n">
        <f aca="false">SUMPRODUCT(ISNUMBER(SEARCH(" "&amp;Terms!$A$3:$A$821&amp;" ",$C24))*Terms!C$3:C$821)+Terms!C$2</f>
        <v>-0.234491385555175</v>
      </c>
      <c r="M24" s="0" t="n">
        <f aca="false">SUMPRODUCT(ISNUMBER(SEARCH(" "&amp;Terms!$A$3:$A$821&amp;" ",$C24))*Terms!D$3:D$821)+Terms!D$2</f>
        <v>-3.0787885075971</v>
      </c>
      <c r="N24" s="0" t="n">
        <f aca="false">SUMPRODUCT(ISNUMBER(SEARCH(" "&amp;Terms!$A$3:$A$821&amp;" ",$C24))*Terms!E$3:E$821)+Terms!E$2</f>
        <v>-2.16973983056146</v>
      </c>
      <c r="O24" s="0" t="n">
        <f aca="false">SUMPRODUCT(ISNUMBER(SEARCH(" "&amp;Terms!$A$3:$A$821&amp;" ",$C24))*Terms!F$3:F$821)+Terms!F$2</f>
        <v>-1.91235388875555</v>
      </c>
      <c r="P24" s="0" t="n">
        <f aca="false">SUMPRODUCT(ISNUMBER(SEARCH(" "&amp;Terms!$A$3:$A$821&amp;" ",$C24))*Terms!G$3:G$821)+Terms!G$2</f>
        <v>-1.84486263943035</v>
      </c>
      <c r="Q24" s="0" t="str">
        <f aca="false">INDEX($K$1:$P$1,MATCH(MAX(K24:P24),K24:P24,0))</f>
        <v>Account Access</v>
      </c>
      <c r="R24" s="0" t="str">
        <f aca="false">IF(J24&lt;&gt;"No label",J24,Q24)</f>
        <v>Account Access</v>
      </c>
      <c r="S24" s="0" t="str">
        <f aca="false">INDEX(Answers!$B$2:$B$201,MATCH(A24,Answers!$A$2:$A$201,0))</f>
        <v>Account Access</v>
      </c>
      <c r="T24" s="4" t="b">
        <f aca="false">R24=S24</f>
        <v>1</v>
      </c>
    </row>
    <row r="25" customFormat="false" ht="15" hidden="false" customHeight="false" outlineLevel="0" collapsed="false">
      <c r="A25" s="0" t="str">
        <f aca="false">NewComplaints!A25</f>
        <v>N0024</v>
      </c>
      <c r="B25" s="0" t="str">
        <f aca="false">NewComplaints!B25</f>
        <v>This is the second time I have raised this. I reported the unauthorised payment but you refused to reimburse me. I also spent ages on hold when I called about it.</v>
      </c>
      <c r="C25" s="0" t="str">
        <f aca="false">" "&amp;TRIM(SUBSTITUTE(SUBSTITUTE(SUBSTITUTE(SUBSTITUTE(SUBSTITUTE(SUBSTITUTE(SUBSTITUTE(SUBSTITUTE(SUBSTITUTE(SUBSTITUTE(SUBSTITUTE(SUBSTITUTE(SUBSTITUTE(SUBSTITUTE(SUBSTITUTE(SUBSTITUTE(LOWER(B25),"."," "),","," "),"'"," "),"’"," "),"!"," "),"?"," "),";"," "),":"," "),"-"," "),"("," "),")"," "),"""", " "),"£"," "),"&amp;"," "),"/"," "),"%"," "))&amp;" "</f>
        <v> this is the second time i have raised this i reported the unauthorised payment but you refused to reimburse me i also spent ages on hold when i called about it </v>
      </c>
      <c r="D25" s="0" t="n">
        <f aca="false">SUMPRODUCT((Rules!$A$2:$A$60=D$1)*Rules!$C$2:$C$60*ISNUMBER(SEARCH(Rules!$D$2:$D$60,$C25)))</f>
        <v>3</v>
      </c>
      <c r="E25" s="0" t="n">
        <f aca="false">SUMPRODUCT((Rules!$A$2:$A$60=E$1)*Rules!$C$2:$C$60*ISNUMBER(SEARCH(Rules!$D$2:$D$60,$C25)))</f>
        <v>0</v>
      </c>
      <c r="F25" s="0" t="n">
        <f aca="false">SUMPRODUCT((Rules!$A$2:$A$60=F$1)*Rules!$C$2:$C$60*ISNUMBER(SEARCH(Rules!$D$2:$D$60,$C25)))</f>
        <v>0</v>
      </c>
      <c r="G25" s="0" t="n">
        <f aca="false">SUMPRODUCT((Rules!$A$2:$A$60=G$1)*Rules!$C$2:$C$60*ISNUMBER(SEARCH(Rules!$D$2:$D$60,$C25)))</f>
        <v>0</v>
      </c>
      <c r="H25" s="0" t="n">
        <f aca="false">SUMPRODUCT((Rules!$A$2:$A$60=H$1)*Rules!$C$2:$C$60*ISNUMBER(SEARCH(Rules!$D$2:$D$60,$C25)))</f>
        <v>0</v>
      </c>
      <c r="I25" s="0" t="n">
        <f aca="false">SUMPRODUCT((Rules!$A$2:$A$60=I$1)*Rules!$C$2:$C$60*ISNUMBER(SEARCH(Rules!$D$2:$D$60,$C25)))</f>
        <v>3</v>
      </c>
      <c r="J25" s="0" t="str">
        <f aca="false">IF(OR(MAX(D25:I25)&lt;Rules!$H$1,MAX(D25:I25)-LARGE(D25:I25,2)&lt;Rules!$H$2),"No label",INDEX($D$1:$I$1,MATCH(MAX(D25:I25),D25:I25,0)))</f>
        <v>No label</v>
      </c>
      <c r="K25" s="0" t="n">
        <f aca="false">SUMPRODUCT(ISNUMBER(SEARCH(" "&amp;Terms!$A$3:$A$821&amp;" ",$C25))*Terms!B$3:B$821)+Terms!B$2</f>
        <v>-2.32350961718637</v>
      </c>
      <c r="L25" s="0" t="n">
        <f aca="false">SUMPRODUCT(ISNUMBER(SEARCH(" "&amp;Terms!$A$3:$A$821&amp;" ",$C25))*Terms!C$3:C$821)+Terms!C$2</f>
        <v>-0.689289976453794</v>
      </c>
      <c r="M25" s="0" t="n">
        <f aca="false">SUMPRODUCT(ISNUMBER(SEARCH(" "&amp;Terms!$A$3:$A$821&amp;" ",$C25))*Terms!D$3:D$821)+Terms!D$2</f>
        <v>-1.71486216484051</v>
      </c>
      <c r="N25" s="0" t="n">
        <f aca="false">SUMPRODUCT(ISNUMBER(SEARCH(" "&amp;Terms!$A$3:$A$821&amp;" ",$C25))*Terms!E$3:E$821)+Terms!E$2</f>
        <v>-1.93177783098219</v>
      </c>
      <c r="O25" s="0" t="n">
        <f aca="false">SUMPRODUCT(ISNUMBER(SEARCH(" "&amp;Terms!$A$3:$A$821&amp;" ",$C25))*Terms!F$3:F$821)+Terms!F$2</f>
        <v>9.28533354810223</v>
      </c>
      <c r="P25" s="0" t="n">
        <f aca="false">SUMPRODUCT(ISNUMBER(SEARCH(" "&amp;Terms!$A$3:$A$821&amp;" ",$C25))*Terms!G$3:G$821)+Terms!G$2</f>
        <v>-2.62589395863929</v>
      </c>
      <c r="Q25" s="0" t="str">
        <f aca="false">INDEX($K$1:$P$1,MATCH(MAX(K25:P25),K25:P25,0))</f>
        <v>Fraud &amp; Scams</v>
      </c>
      <c r="R25" s="0" t="str">
        <f aca="false">IF(J25&lt;&gt;"No label",J25,Q25)</f>
        <v>Fraud &amp; Scams</v>
      </c>
      <c r="S25" s="0" t="str">
        <f aca="false">INDEX(Answers!$B$2:$B$201,MATCH(A25,Answers!$A$2:$A$201,0))</f>
        <v>Fraud &amp; Scams</v>
      </c>
      <c r="T25" s="4" t="b">
        <f aca="false">R25=S25</f>
        <v>1</v>
      </c>
    </row>
    <row r="26" customFormat="false" ht="15" hidden="false" customHeight="false" outlineLevel="0" collapsed="false">
      <c r="A26" s="0" t="str">
        <f aca="false">NewComplaints!A26</f>
        <v>N0025</v>
      </c>
      <c r="B26" s="0" t="str">
        <f aca="false">NewComplaints!B26</f>
        <v>I have been a customer for years. The password reset keeps failing and I am locked out. I would like a response in writing.</v>
      </c>
      <c r="C26" s="0" t="str">
        <f aca="false">" "&amp;TRIM(SUBSTITUTE(SUBSTITUTE(SUBSTITUTE(SUBSTITUTE(SUBSTITUTE(SUBSTITUTE(SUBSTITUTE(SUBSTITUTE(SUBSTITUTE(SUBSTITUTE(SUBSTITUTE(SUBSTITUTE(SUBSTITUTE(SUBSTITUTE(SUBSTITUTE(SUBSTITUTE(LOWER(B26),"."," "),","," "),"'"," "),"’"," "),"!"," "),"?"," "),";"," "),":"," "),"-"," "),"("," "),")"," "),"""", " "),"£"," "),"&amp;"," "),"/"," "),"%"," "))&amp;" "</f>
        <v> i have been a customer for years the password reset keeps failing and i am locked out i would like a response in writing </v>
      </c>
      <c r="D26" s="0" t="n">
        <f aca="false">SUMPRODUCT((Rules!$A$2:$A$60=D$1)*Rules!$C$2:$C$60*ISNUMBER(SEARCH(Rules!$D$2:$D$60,$C26)))</f>
        <v>0</v>
      </c>
      <c r="E26" s="0" t="n">
        <f aca="false">SUMPRODUCT((Rules!$A$2:$A$60=E$1)*Rules!$C$2:$C$60*ISNUMBER(SEARCH(Rules!$D$2:$D$60,$C26)))</f>
        <v>0</v>
      </c>
      <c r="F26" s="0" t="n">
        <f aca="false">SUMPRODUCT((Rules!$A$2:$A$60=F$1)*Rules!$C$2:$C$60*ISNUMBER(SEARCH(Rules!$D$2:$D$60,$C26)))</f>
        <v>8</v>
      </c>
      <c r="G26" s="0" t="n">
        <f aca="false">SUMPRODUCT((Rules!$A$2:$A$60=G$1)*Rules!$C$2:$C$60*ISNUMBER(SEARCH(Rules!$D$2:$D$60,$C26)))</f>
        <v>0</v>
      </c>
      <c r="H26" s="0" t="n">
        <f aca="false">SUMPRODUCT((Rules!$A$2:$A$60=H$1)*Rules!$C$2:$C$60*ISNUMBER(SEARCH(Rules!$D$2:$D$60,$C26)))</f>
        <v>0</v>
      </c>
      <c r="I26" s="0" t="n">
        <f aca="false">SUMPRODUCT((Rules!$A$2:$A$60=I$1)*Rules!$C$2:$C$60*ISNUMBER(SEARCH(Rules!$D$2:$D$60,$C26)))</f>
        <v>0</v>
      </c>
      <c r="J26" s="0" t="str">
        <f aca="false">IF(OR(MAX(D26:I26)&lt;Rules!$H$1,MAX(D26:I26)-LARGE(D26:I26,2)&lt;Rules!$H$2),"No label",INDEX($D$1:$I$1,MATCH(MAX(D26:I26),D26:I26,0)))</f>
        <v>Account Access</v>
      </c>
      <c r="K26" s="0" t="n">
        <f aca="false">SUMPRODUCT(ISNUMBER(SEARCH(" "&amp;Terms!$A$3:$A$821&amp;" ",$C26))*Terms!B$3:B$821)+Terms!B$2</f>
        <v>12.1363912530178</v>
      </c>
      <c r="L26" s="0" t="n">
        <f aca="false">SUMPRODUCT(ISNUMBER(SEARCH(" "&amp;Terms!$A$3:$A$821&amp;" ",$C26))*Terms!C$3:C$821)+Terms!C$2</f>
        <v>-4.413401322937</v>
      </c>
      <c r="M26" s="0" t="n">
        <f aca="false">SUMPRODUCT(ISNUMBER(SEARCH(" "&amp;Terms!$A$3:$A$821&amp;" ",$C26))*Terms!D$3:D$821)+Terms!D$2</f>
        <v>-1.52066057025728</v>
      </c>
      <c r="N26" s="0" t="n">
        <f aca="false">SUMPRODUCT(ISNUMBER(SEARCH(" "&amp;Terms!$A$3:$A$821&amp;" ",$C26))*Terms!E$3:E$821)+Terms!E$2</f>
        <v>-3.19134130076002</v>
      </c>
      <c r="O26" s="0" t="n">
        <f aca="false">SUMPRODUCT(ISNUMBER(SEARCH(" "&amp;Terms!$A$3:$A$821&amp;" ",$C26))*Terms!F$3:F$821)+Terms!F$2</f>
        <v>-4.14772607014633</v>
      </c>
      <c r="P26" s="0" t="n">
        <f aca="false">SUMPRODUCT(ISNUMBER(SEARCH(" "&amp;Terms!$A$3:$A$821&amp;" ",$C26))*Terms!G$3:G$821)+Terms!G$2</f>
        <v>1.13673801108288</v>
      </c>
      <c r="Q26" s="0" t="str">
        <f aca="false">INDEX($K$1:$P$1,MATCH(MAX(K26:P26),K26:P26,0))</f>
        <v>Account Access</v>
      </c>
      <c r="R26" s="0" t="str">
        <f aca="false">IF(J26&lt;&gt;"No label",J26,Q26)</f>
        <v>Account Access</v>
      </c>
      <c r="S26" s="0" t="str">
        <f aca="false">INDEX(Answers!$B$2:$B$201,MATCH(A26,Answers!$A$2:$A$201,0))</f>
        <v>Account Access</v>
      </c>
      <c r="T26" s="4" t="b">
        <f aca="false">R26=S26</f>
        <v>1</v>
      </c>
    </row>
    <row r="27" customFormat="false" ht="15" hidden="false" customHeight="false" outlineLevel="0" collapsed="false">
      <c r="A27" s="0" t="str">
        <f aca="false">NewComplaints!A27</f>
        <v>N0026</v>
      </c>
      <c r="B27" s="0" t="str">
        <f aca="false">NewComplaints!B27</f>
        <v>This is the second time I have raised this. A late payment fee appeared and I want it refunded. Please sort this out.</v>
      </c>
      <c r="C27" s="0" t="str">
        <f aca="false">" "&amp;TRIM(SUBSTITUTE(SUBSTITUTE(SUBSTITUTE(SUBSTITUTE(SUBSTITUTE(SUBSTITUTE(SUBSTITUTE(SUBSTITUTE(SUBSTITUTE(SUBSTITUTE(SUBSTITUTE(SUBSTITUTE(SUBSTITUTE(SUBSTITUTE(SUBSTITUTE(SUBSTITUTE(LOWER(B27),"."," "),","," "),"'"," "),"’"," "),"!"," "),"?"," "),";"," "),":"," "),"-"," "),"("," "),")"," "),"""", " "),"£"," "),"&amp;"," "),"/"," "),"%"," "))&amp;" "</f>
        <v> this is the second time i have raised this a late payment fee appeared and i want it refunded please sort this out </v>
      </c>
      <c r="D27" s="0" t="n">
        <f aca="false">SUMPRODUCT((Rules!$A$2:$A$60=D$1)*Rules!$C$2:$C$60*ISNUMBER(SEARCH(Rules!$D$2:$D$60,$C27)))</f>
        <v>0</v>
      </c>
      <c r="E27" s="0" t="n">
        <f aca="false">SUMPRODUCT((Rules!$A$2:$A$60=E$1)*Rules!$C$2:$C$60*ISNUMBER(SEARCH(Rules!$D$2:$D$60,$C27)))</f>
        <v>0</v>
      </c>
      <c r="F27" s="0" t="n">
        <f aca="false">SUMPRODUCT((Rules!$A$2:$A$60=F$1)*Rules!$C$2:$C$60*ISNUMBER(SEARCH(Rules!$D$2:$D$60,$C27)))</f>
        <v>0</v>
      </c>
      <c r="G27" s="0" t="n">
        <f aca="false">SUMPRODUCT((Rules!$A$2:$A$60=G$1)*Rules!$C$2:$C$60*ISNUMBER(SEARCH(Rules!$D$2:$D$60,$C27)))</f>
        <v>2</v>
      </c>
      <c r="H27" s="0" t="n">
        <f aca="false">SUMPRODUCT((Rules!$A$2:$A$60=H$1)*Rules!$C$2:$C$60*ISNUMBER(SEARCH(Rules!$D$2:$D$60,$C27)))</f>
        <v>0</v>
      </c>
      <c r="I27" s="0" t="n">
        <f aca="false">SUMPRODUCT((Rules!$A$2:$A$60=I$1)*Rules!$C$2:$C$60*ISNUMBER(SEARCH(Rules!$D$2:$D$60,$C27)))</f>
        <v>0</v>
      </c>
      <c r="J27" s="0" t="str">
        <f aca="false">IF(OR(MAX(D27:I27)&lt;Rules!$H$1,MAX(D27:I27)-LARGE(D27:I27,2)&lt;Rules!$H$2),"No label",INDEX($D$1:$I$1,MATCH(MAX(D27:I27),D27:I27,0)))</f>
        <v>No label</v>
      </c>
      <c r="K27" s="0" t="n">
        <f aca="false">SUMPRODUCT(ISNUMBER(SEARCH(" "&amp;Terms!$A$3:$A$821&amp;" ",$C27))*Terms!B$3:B$821)+Terms!B$2</f>
        <v>-7.54820905978419</v>
      </c>
      <c r="L27" s="0" t="n">
        <f aca="false">SUMPRODUCT(ISNUMBER(SEARCH(" "&amp;Terms!$A$3:$A$821&amp;" ",$C27))*Terms!C$3:C$821)+Terms!C$2</f>
        <v>-3.63627627648173</v>
      </c>
      <c r="M27" s="0" t="n">
        <f aca="false">SUMPRODUCT(ISNUMBER(SEARCH(" "&amp;Terms!$A$3:$A$821&amp;" ",$C27))*Terms!D$3:D$821)+Terms!D$2</f>
        <v>-0.34172585670953</v>
      </c>
      <c r="N27" s="0" t="n">
        <f aca="false">SUMPRODUCT(ISNUMBER(SEARCH(" "&amp;Terms!$A$3:$A$821&amp;" ",$C27))*Terms!E$3:E$821)+Terms!E$2</f>
        <v>16.5331371298194</v>
      </c>
      <c r="O27" s="0" t="n">
        <f aca="false">SUMPRODUCT(ISNUMBER(SEARCH(" "&amp;Terms!$A$3:$A$821&amp;" ",$C27))*Terms!F$3:F$821)+Terms!F$2</f>
        <v>1.49487406931745</v>
      </c>
      <c r="P27" s="0" t="n">
        <f aca="false">SUMPRODUCT(ISNUMBER(SEARCH(" "&amp;Terms!$A$3:$A$821&amp;" ",$C27))*Terms!G$3:G$821)+Terms!G$2</f>
        <v>-6.50180000616127</v>
      </c>
      <c r="Q27" s="0" t="str">
        <f aca="false">INDEX($K$1:$P$1,MATCH(MAX(K27:P27),K27:P27,0))</f>
        <v>Fees &amp; Charges</v>
      </c>
      <c r="R27" s="0" t="str">
        <f aca="false">IF(J27&lt;&gt;"No label",J27,Q27)</f>
        <v>Fees &amp; Charges</v>
      </c>
      <c r="S27" s="0" t="str">
        <f aca="false">INDEX(Answers!$B$2:$B$201,MATCH(A27,Answers!$A$2:$A$201,0))</f>
        <v>Fees &amp; Charges</v>
      </c>
      <c r="T27" s="4" t="b">
        <f aca="false">R27=S27</f>
        <v>1</v>
      </c>
    </row>
    <row r="28" customFormat="false" ht="15" hidden="false" customHeight="false" outlineLevel="0" collapsed="false">
      <c r="A28" s="0" t="str">
        <f aca="false">NewComplaints!A28</f>
        <v>N0027</v>
      </c>
      <c r="B28" s="0" t="str">
        <f aca="false">NewComplaints!B28</f>
        <v>I am writing to complain. I keep getting an error message when I sign in. I want this put right.</v>
      </c>
      <c r="C28" s="0" t="str">
        <f aca="false">" "&amp;TRIM(SUBSTITUTE(SUBSTITUTE(SUBSTITUTE(SUBSTITUTE(SUBSTITUTE(SUBSTITUTE(SUBSTITUTE(SUBSTITUTE(SUBSTITUTE(SUBSTITUTE(SUBSTITUTE(SUBSTITUTE(SUBSTITUTE(SUBSTITUTE(SUBSTITUTE(SUBSTITUTE(LOWER(B28),"."," "),","," "),"'"," "),"’"," "),"!"," "),"?"," "),";"," "),":"," "),"-"," "),"("," "),")"," "),"""", " "),"£"," "),"&amp;"," "),"/"," "),"%"," "))&amp;" "</f>
        <v> i am writing to complain i keep getting an error message when i sign in i want this put right </v>
      </c>
      <c r="D28" s="0" t="n">
        <f aca="false">SUMPRODUCT((Rules!$A$2:$A$60=D$1)*Rules!$C$2:$C$60*ISNUMBER(SEARCH(Rules!$D$2:$D$60,$C28)))</f>
        <v>0</v>
      </c>
      <c r="E28" s="0" t="n">
        <f aca="false">SUMPRODUCT((Rules!$A$2:$A$60=E$1)*Rules!$C$2:$C$60*ISNUMBER(SEARCH(Rules!$D$2:$D$60,$C28)))</f>
        <v>0</v>
      </c>
      <c r="F28" s="0" t="n">
        <f aca="false">SUMPRODUCT((Rules!$A$2:$A$60=F$1)*Rules!$C$2:$C$60*ISNUMBER(SEARCH(Rules!$D$2:$D$60,$C28)))</f>
        <v>3</v>
      </c>
      <c r="G28" s="0" t="n">
        <f aca="false">SUMPRODUCT((Rules!$A$2:$A$60=G$1)*Rules!$C$2:$C$60*ISNUMBER(SEARCH(Rules!$D$2:$D$60,$C28)))</f>
        <v>0</v>
      </c>
      <c r="H28" s="0" t="n">
        <f aca="false">SUMPRODUCT((Rules!$A$2:$A$60=H$1)*Rules!$C$2:$C$60*ISNUMBER(SEARCH(Rules!$D$2:$D$60,$C28)))</f>
        <v>0</v>
      </c>
      <c r="I28" s="0" t="n">
        <f aca="false">SUMPRODUCT((Rules!$A$2:$A$60=I$1)*Rules!$C$2:$C$60*ISNUMBER(SEARCH(Rules!$D$2:$D$60,$C28)))</f>
        <v>0</v>
      </c>
      <c r="J28" s="0" t="str">
        <f aca="false">IF(OR(MAX(D28:I28)&lt;Rules!$H$1,MAX(D28:I28)-LARGE(D28:I28,2)&lt;Rules!$H$2),"No label",INDEX($D$1:$I$1,MATCH(MAX(D28:I28),D28:I28,0)))</f>
        <v>Account Access</v>
      </c>
      <c r="K28" s="0" t="n">
        <f aca="false">SUMPRODUCT(ISNUMBER(SEARCH(" "&amp;Terms!$A$3:$A$821&amp;" ",$C28))*Terms!B$3:B$821)+Terms!B$2</f>
        <v>8.98415687540489</v>
      </c>
      <c r="L28" s="0" t="n">
        <f aca="false">SUMPRODUCT(ISNUMBER(SEARCH(" "&amp;Terms!$A$3:$A$821&amp;" ",$C28))*Terms!C$3:C$821)+Terms!C$2</f>
        <v>0.0370863809222116</v>
      </c>
      <c r="M28" s="0" t="n">
        <f aca="false">SUMPRODUCT(ISNUMBER(SEARCH(" "&amp;Terms!$A$3:$A$821&amp;" ",$C28))*Terms!D$3:D$821)+Terms!D$2</f>
        <v>-1.3102263453189</v>
      </c>
      <c r="N28" s="0" t="n">
        <f aca="false">SUMPRODUCT(ISNUMBER(SEARCH(" "&amp;Terms!$A$3:$A$821&amp;" ",$C28))*Terms!E$3:E$821)+Terms!E$2</f>
        <v>-4.92605883926549</v>
      </c>
      <c r="O28" s="0" t="n">
        <f aca="false">SUMPRODUCT(ISNUMBER(SEARCH(" "&amp;Terms!$A$3:$A$821&amp;" ",$C28))*Terms!F$3:F$821)+Terms!F$2</f>
        <v>0.926279668884667</v>
      </c>
      <c r="P28" s="0" t="n">
        <f aca="false">SUMPRODUCT(ISNUMBER(SEARCH(" "&amp;Terms!$A$3:$A$821&amp;" ",$C28))*Terms!G$3:G$821)+Terms!G$2</f>
        <v>-3.71123774062728</v>
      </c>
      <c r="Q28" s="0" t="str">
        <f aca="false">INDEX($K$1:$P$1,MATCH(MAX(K28:P28),K28:P28,0))</f>
        <v>Account Access</v>
      </c>
      <c r="R28" s="0" t="str">
        <f aca="false">IF(J28&lt;&gt;"No label",J28,Q28)</f>
        <v>Account Access</v>
      </c>
      <c r="S28" s="0" t="str">
        <f aca="false">INDEX(Answers!$B$2:$B$201,MATCH(A28,Answers!$A$2:$A$201,0))</f>
        <v>Account Access</v>
      </c>
      <c r="T28" s="4" t="b">
        <f aca="false">R28=S28</f>
        <v>1</v>
      </c>
    </row>
    <row r="29" customFormat="false" ht="15" hidden="false" customHeight="false" outlineLevel="0" collapsed="false">
      <c r="A29" s="0" t="str">
        <f aca="false">NewComplaints!A29</f>
        <v>N0028</v>
      </c>
      <c r="B29" s="0" t="str">
        <f aca="false">NewComplaints!B29</f>
        <v>This is the second time I have raised this. Someone has made payments from my account that I did not authorise. Please escalate this.</v>
      </c>
      <c r="C29" s="0" t="str">
        <f aca="false">" "&amp;TRIM(SUBSTITUTE(SUBSTITUTE(SUBSTITUTE(SUBSTITUTE(SUBSTITUTE(SUBSTITUTE(SUBSTITUTE(SUBSTITUTE(SUBSTITUTE(SUBSTITUTE(SUBSTITUTE(SUBSTITUTE(SUBSTITUTE(SUBSTITUTE(SUBSTITUTE(SUBSTITUTE(LOWER(B29),"."," "),","," "),"'"," "),"’"," "),"!"," "),"?"," "),";"," "),":"," "),"-"," "),"("," "),")"," "),"""", " "),"£"," "),"&amp;"," "),"/"," "),"%"," "))&amp;" "</f>
        <v> this is the second time i have raised this someone has made payments from my account that i did not authorise please escalate this </v>
      </c>
      <c r="D29" s="0" t="n">
        <f aca="false">SUMPRODUCT((Rules!$A$2:$A$60=D$1)*Rules!$C$2:$C$60*ISNUMBER(SEARCH(Rules!$D$2:$D$60,$C29)))</f>
        <v>3</v>
      </c>
      <c r="E29" s="0" t="n">
        <f aca="false">SUMPRODUCT((Rules!$A$2:$A$60=E$1)*Rules!$C$2:$C$60*ISNUMBER(SEARCH(Rules!$D$2:$D$60,$C29)))</f>
        <v>0</v>
      </c>
      <c r="F29" s="0" t="n">
        <f aca="false">SUMPRODUCT((Rules!$A$2:$A$60=F$1)*Rules!$C$2:$C$60*ISNUMBER(SEARCH(Rules!$D$2:$D$60,$C29)))</f>
        <v>0</v>
      </c>
      <c r="G29" s="0" t="n">
        <f aca="false">SUMPRODUCT((Rules!$A$2:$A$60=G$1)*Rules!$C$2:$C$60*ISNUMBER(SEARCH(Rules!$D$2:$D$60,$C29)))</f>
        <v>0</v>
      </c>
      <c r="H29" s="0" t="n">
        <f aca="false">SUMPRODUCT((Rules!$A$2:$A$60=H$1)*Rules!$C$2:$C$60*ISNUMBER(SEARCH(Rules!$D$2:$D$60,$C29)))</f>
        <v>0</v>
      </c>
      <c r="I29" s="0" t="n">
        <f aca="false">SUMPRODUCT((Rules!$A$2:$A$60=I$1)*Rules!$C$2:$C$60*ISNUMBER(SEARCH(Rules!$D$2:$D$60,$C29)))</f>
        <v>0</v>
      </c>
      <c r="J29" s="0" t="str">
        <f aca="false">IF(OR(MAX(D29:I29)&lt;Rules!$H$1,MAX(D29:I29)-LARGE(D29:I29,2)&lt;Rules!$H$2),"No label",INDEX($D$1:$I$1,MATCH(MAX(D29:I29),D29:I29,0)))</f>
        <v>Fraud &amp; Scams</v>
      </c>
      <c r="K29" s="0" t="n">
        <f aca="false">SUMPRODUCT(ISNUMBER(SEARCH(" "&amp;Terms!$A$3:$A$821&amp;" ",$C29))*Terms!B$3:B$821)+Terms!B$2</f>
        <v>-0.546864529773359</v>
      </c>
      <c r="L29" s="0" t="n">
        <f aca="false">SUMPRODUCT(ISNUMBER(SEARCH(" "&amp;Terms!$A$3:$A$821&amp;" ",$C29))*Terms!C$3:C$821)+Terms!C$2</f>
        <v>0.083061097827491</v>
      </c>
      <c r="M29" s="0" t="n">
        <f aca="false">SUMPRODUCT(ISNUMBER(SEARCH(" "&amp;Terms!$A$3:$A$821&amp;" ",$C29))*Terms!D$3:D$821)+Terms!D$2</f>
        <v>-0.80440598821394</v>
      </c>
      <c r="N29" s="0" t="n">
        <f aca="false">SUMPRODUCT(ISNUMBER(SEARCH(" "&amp;Terms!$A$3:$A$821&amp;" ",$C29))*Terms!E$3:E$821)+Terms!E$2</f>
        <v>-1.34123491756104</v>
      </c>
      <c r="O29" s="0" t="n">
        <f aca="false">SUMPRODUCT(ISNUMBER(SEARCH(" "&amp;Terms!$A$3:$A$821&amp;" ",$C29))*Terms!F$3:F$821)+Terms!F$2</f>
        <v>4.96074142697546</v>
      </c>
      <c r="P29" s="0" t="n">
        <f aca="false">SUMPRODUCT(ISNUMBER(SEARCH(" "&amp;Terms!$A$3:$A$821&amp;" ",$C29))*Terms!G$3:G$821)+Terms!G$2</f>
        <v>-2.35129708925451</v>
      </c>
      <c r="Q29" s="0" t="str">
        <f aca="false">INDEX($K$1:$P$1,MATCH(MAX(K29:P29),K29:P29,0))</f>
        <v>Fraud &amp; Scams</v>
      </c>
      <c r="R29" s="0" t="str">
        <f aca="false">IF(J29&lt;&gt;"No label",J29,Q29)</f>
        <v>Fraud &amp; Scams</v>
      </c>
      <c r="S29" s="0" t="str">
        <f aca="false">INDEX(Answers!$B$2:$B$201,MATCH(A29,Answers!$A$2:$A$201,0))</f>
        <v>Fraud &amp; Scams</v>
      </c>
      <c r="T29" s="4" t="b">
        <f aca="false">R29=S29</f>
        <v>1</v>
      </c>
    </row>
    <row r="30" customFormat="false" ht="15" hidden="false" customHeight="false" outlineLevel="0" collapsed="false">
      <c r="A30" s="0" t="str">
        <f aca="false">NewComplaints!A30</f>
        <v>N0029</v>
      </c>
      <c r="B30" s="0" t="str">
        <f aca="false">NewComplaints!B30</f>
        <v>To whom it may concern, Someone has made payments from my account that I did not authorise. Also, two factor codes are not being sent to my phone.</v>
      </c>
      <c r="C30" s="0" t="str">
        <f aca="false">" "&amp;TRIM(SUBSTITUTE(SUBSTITUTE(SUBSTITUTE(SUBSTITUTE(SUBSTITUTE(SUBSTITUTE(SUBSTITUTE(SUBSTITUTE(SUBSTITUTE(SUBSTITUTE(SUBSTITUTE(SUBSTITUTE(SUBSTITUTE(SUBSTITUTE(SUBSTITUTE(SUBSTITUTE(LOWER(B30),"."," "),","," "),"'"," "),"’"," "),"!"," "),"?"," "),";"," "),":"," "),"-"," "),"("," "),")"," "),"""", " "),"£"," "),"&amp;"," "),"/"," "),"%"," "))&amp;" "</f>
        <v> to whom it may concern someone has made payments from my account that i did not authorise also two factor codes are not being sent to my phone </v>
      </c>
      <c r="D30" s="0" t="n">
        <f aca="false">SUMPRODUCT((Rules!$A$2:$A$60=D$1)*Rules!$C$2:$C$60*ISNUMBER(SEARCH(Rules!$D$2:$D$60,$C30)))</f>
        <v>3</v>
      </c>
      <c r="E30" s="0" t="n">
        <f aca="false">SUMPRODUCT((Rules!$A$2:$A$60=E$1)*Rules!$C$2:$C$60*ISNUMBER(SEARCH(Rules!$D$2:$D$60,$C30)))</f>
        <v>0</v>
      </c>
      <c r="F30" s="0" t="n">
        <f aca="false">SUMPRODUCT((Rules!$A$2:$A$60=F$1)*Rules!$C$2:$C$60*ISNUMBER(SEARCH(Rules!$D$2:$D$60,$C30)))</f>
        <v>3</v>
      </c>
      <c r="G30" s="0" t="n">
        <f aca="false">SUMPRODUCT((Rules!$A$2:$A$60=G$1)*Rules!$C$2:$C$60*ISNUMBER(SEARCH(Rules!$D$2:$D$60,$C30)))</f>
        <v>0</v>
      </c>
      <c r="H30" s="0" t="n">
        <f aca="false">SUMPRODUCT((Rules!$A$2:$A$60=H$1)*Rules!$C$2:$C$60*ISNUMBER(SEARCH(Rules!$D$2:$D$60,$C30)))</f>
        <v>0</v>
      </c>
      <c r="I30" s="0" t="n">
        <f aca="false">SUMPRODUCT((Rules!$A$2:$A$60=I$1)*Rules!$C$2:$C$60*ISNUMBER(SEARCH(Rules!$D$2:$D$60,$C30)))</f>
        <v>0</v>
      </c>
      <c r="J30" s="0" t="str">
        <f aca="false">IF(OR(MAX(D30:I30)&lt;Rules!$H$1,MAX(D30:I30)-LARGE(D30:I30,2)&lt;Rules!$H$2),"No label",INDEX($D$1:$I$1,MATCH(MAX(D30:I30),D30:I30,0)))</f>
        <v>No label</v>
      </c>
      <c r="K30" s="0" t="n">
        <f aca="false">SUMPRODUCT(ISNUMBER(SEARCH(" "&amp;Terms!$A$3:$A$821&amp;" ",$C30))*Terms!B$3:B$821)+Terms!B$2</f>
        <v>10.0539499741521</v>
      </c>
      <c r="L30" s="0" t="n">
        <f aca="false">SUMPRODUCT(ISNUMBER(SEARCH(" "&amp;Terms!$A$3:$A$821&amp;" ",$C30))*Terms!C$3:C$821)+Terms!C$2</f>
        <v>-5.08278291431552</v>
      </c>
      <c r="M30" s="0" t="n">
        <f aca="false">SUMPRODUCT(ISNUMBER(SEARCH(" "&amp;Terms!$A$3:$A$821&amp;" ",$C30))*Terms!D$3:D$821)+Terms!D$2</f>
        <v>2.32179197473487</v>
      </c>
      <c r="N30" s="0" t="n">
        <f aca="false">SUMPRODUCT(ISNUMBER(SEARCH(" "&amp;Terms!$A$3:$A$821&amp;" ",$C30))*Terms!E$3:E$821)+Terms!E$2</f>
        <v>-2.78742511373131</v>
      </c>
      <c r="O30" s="0" t="n">
        <f aca="false">SUMPRODUCT(ISNUMBER(SEARCH(" "&amp;Terms!$A$3:$A$821&amp;" ",$C30))*Terms!F$3:F$821)+Terms!F$2</f>
        <v>0.0830045917692883</v>
      </c>
      <c r="P30" s="0" t="n">
        <f aca="false">SUMPRODUCT(ISNUMBER(SEARCH(" "&amp;Terms!$A$3:$A$821&amp;" ",$C30))*Terms!G$3:G$821)+Terms!G$2</f>
        <v>-4.58853851260932</v>
      </c>
      <c r="Q30" s="0" t="str">
        <f aca="false">INDEX($K$1:$P$1,MATCH(MAX(K30:P30),K30:P30,0))</f>
        <v>Account Access</v>
      </c>
      <c r="R30" s="0" t="str">
        <f aca="false">IF(J30&lt;&gt;"No label",J30,Q30)</f>
        <v>Account Access</v>
      </c>
      <c r="S30" s="0" t="str">
        <f aca="false">INDEX(Answers!$B$2:$B$201,MATCH(A30,Answers!$A$2:$A$201,0))</f>
        <v>Fraud &amp; Scams</v>
      </c>
      <c r="T30" s="4" t="b">
        <f aca="false">R30=S30</f>
        <v>0</v>
      </c>
    </row>
    <row r="31" customFormat="false" ht="15" hidden="false" customHeight="false" outlineLevel="0" collapsed="false">
      <c r="A31" s="0" t="str">
        <f aca="false">NewComplaints!A31</f>
        <v>N0030</v>
      </c>
      <c r="B31" s="0" t="str">
        <f aca="false">NewComplaints!B31</f>
        <v>This is the second time I have raised this. I was tricked into moving savings to a safe account that was not safe.</v>
      </c>
      <c r="C31" s="0" t="str">
        <f aca="false">" "&amp;TRIM(SUBSTITUTE(SUBSTITUTE(SUBSTITUTE(SUBSTITUTE(SUBSTITUTE(SUBSTITUTE(SUBSTITUTE(SUBSTITUTE(SUBSTITUTE(SUBSTITUTE(SUBSTITUTE(SUBSTITUTE(SUBSTITUTE(SUBSTITUTE(SUBSTITUTE(SUBSTITUTE(LOWER(B31),"."," "),","," "),"'"," "),"’"," "),"!"," "),"?"," "),";"," "),":"," "),"-"," "),"("," "),")"," "),"""", " "),"£"," "),"&amp;"," "),"/"," "),"%"," "))&amp;" "</f>
        <v> this is the second time i have raised this i was tricked into moving savings to a safe account that was not safe </v>
      </c>
      <c r="D31" s="0" t="n">
        <f aca="false">SUMPRODUCT((Rules!$A$2:$A$60=D$1)*Rules!$C$2:$C$60*ISNUMBER(SEARCH(Rules!$D$2:$D$60,$C31)))</f>
        <v>2</v>
      </c>
      <c r="E31" s="0" t="n">
        <f aca="false">SUMPRODUCT((Rules!$A$2:$A$60=E$1)*Rules!$C$2:$C$60*ISNUMBER(SEARCH(Rules!$D$2:$D$60,$C31)))</f>
        <v>0</v>
      </c>
      <c r="F31" s="0" t="n">
        <f aca="false">SUMPRODUCT((Rules!$A$2:$A$60=F$1)*Rules!$C$2:$C$60*ISNUMBER(SEARCH(Rules!$D$2:$D$60,$C31)))</f>
        <v>0</v>
      </c>
      <c r="G31" s="0" t="n">
        <f aca="false">SUMPRODUCT((Rules!$A$2:$A$60=G$1)*Rules!$C$2:$C$60*ISNUMBER(SEARCH(Rules!$D$2:$D$60,$C31)))</f>
        <v>0</v>
      </c>
      <c r="H31" s="0" t="n">
        <f aca="false">SUMPRODUCT((Rules!$A$2:$A$60=H$1)*Rules!$C$2:$C$60*ISNUMBER(SEARCH(Rules!$D$2:$D$60,$C31)))</f>
        <v>0</v>
      </c>
      <c r="I31" s="0" t="n">
        <f aca="false">SUMPRODUCT((Rules!$A$2:$A$60=I$1)*Rules!$C$2:$C$60*ISNUMBER(SEARCH(Rules!$D$2:$D$60,$C31)))</f>
        <v>0</v>
      </c>
      <c r="J31" s="0" t="str">
        <f aca="false">IF(OR(MAX(D31:I31)&lt;Rules!$H$1,MAX(D31:I31)-LARGE(D31:I31,2)&lt;Rules!$H$2),"No label",INDEX($D$1:$I$1,MATCH(MAX(D31:I31),D31:I31,0)))</f>
        <v>No label</v>
      </c>
      <c r="K31" s="0" t="n">
        <f aca="false">SUMPRODUCT(ISNUMBER(SEARCH(" "&amp;Terms!$A$3:$A$821&amp;" ",$C31))*Terms!B$3:B$821)+Terms!B$2</f>
        <v>-3.21685831976328</v>
      </c>
      <c r="L31" s="0" t="n">
        <f aca="false">SUMPRODUCT(ISNUMBER(SEARCH(" "&amp;Terms!$A$3:$A$821&amp;" ",$C31))*Terms!C$3:C$821)+Terms!C$2</f>
        <v>-3.71100692209434</v>
      </c>
      <c r="M31" s="0" t="n">
        <f aca="false">SUMPRODUCT(ISNUMBER(SEARCH(" "&amp;Terms!$A$3:$A$821&amp;" ",$C31))*Terms!D$3:D$821)+Terms!D$2</f>
        <v>1.69431309947956</v>
      </c>
      <c r="N31" s="0" t="n">
        <f aca="false">SUMPRODUCT(ISNUMBER(SEARCH(" "&amp;Terms!$A$3:$A$821&amp;" ",$C31))*Terms!E$3:E$821)+Terms!E$2</f>
        <v>-0.517855881603823</v>
      </c>
      <c r="O31" s="0" t="n">
        <f aca="false">SUMPRODUCT(ISNUMBER(SEARCH(" "&amp;Terms!$A$3:$A$821&amp;" ",$C31))*Terms!F$3:F$821)+Terms!F$2</f>
        <v>10.4995715120328</v>
      </c>
      <c r="P31" s="0" t="n">
        <f aca="false">SUMPRODUCT(ISNUMBER(SEARCH(" "&amp;Terms!$A$3:$A$821&amp;" ",$C31))*Terms!G$3:G$821)+Terms!G$2</f>
        <v>-4.74816348805079</v>
      </c>
      <c r="Q31" s="0" t="str">
        <f aca="false">INDEX($K$1:$P$1,MATCH(MAX(K31:P31),K31:P31,0))</f>
        <v>Fraud &amp; Scams</v>
      </c>
      <c r="R31" s="0" t="str">
        <f aca="false">IF(J31&lt;&gt;"No label",J31,Q31)</f>
        <v>Fraud &amp; Scams</v>
      </c>
      <c r="S31" s="0" t="str">
        <f aca="false">INDEX(Answers!$B$2:$B$201,MATCH(A31,Answers!$A$2:$A$201,0))</f>
        <v>Fraud &amp; Scams</v>
      </c>
      <c r="T31" s="4" t="b">
        <f aca="false">R31=S31</f>
        <v>1</v>
      </c>
    </row>
    <row r="32" customFormat="false" ht="15" hidden="false" customHeight="false" outlineLevel="0" collapsed="false">
      <c r="A32" s="0" t="str">
        <f aca="false">NewComplaints!A32</f>
        <v>N0031</v>
      </c>
      <c r="B32" s="0" t="str">
        <f aca="false">NewComplaints!B32</f>
        <v>To whom it may concern, There are transactions on my card I do not recognise. Also, there is an unexpected charge on my statement of £15. This is not acceptable.</v>
      </c>
      <c r="C32" s="0" t="str">
        <f aca="false">" "&amp;TRIM(SUBSTITUTE(SUBSTITUTE(SUBSTITUTE(SUBSTITUTE(SUBSTITUTE(SUBSTITUTE(SUBSTITUTE(SUBSTITUTE(SUBSTITUTE(SUBSTITUTE(SUBSTITUTE(SUBSTITUTE(SUBSTITUTE(SUBSTITUTE(SUBSTITUTE(SUBSTITUTE(LOWER(B32),"."," "),","," "),"'"," "),"’"," "),"!"," "),"?"," "),";"," "),":"," "),"-"," "),"("," "),")"," "),"""", " "),"£"," "),"&amp;"," "),"/"," "),"%"," "))&amp;" "</f>
        <v> to whom it may concern there are transactions on my card i do not recognise also there is an unexpected charge on my statement of 15 this is not acceptable </v>
      </c>
      <c r="D32" s="0" t="n">
        <f aca="false">SUMPRODUCT((Rules!$A$2:$A$60=D$1)*Rules!$C$2:$C$60*ISNUMBER(SEARCH(Rules!$D$2:$D$60,$C32)))</f>
        <v>2</v>
      </c>
      <c r="E32" s="0" t="n">
        <f aca="false">SUMPRODUCT((Rules!$A$2:$A$60=E$1)*Rules!$C$2:$C$60*ISNUMBER(SEARCH(Rules!$D$2:$D$60,$C32)))</f>
        <v>0</v>
      </c>
      <c r="F32" s="0" t="n">
        <f aca="false">SUMPRODUCT((Rules!$A$2:$A$60=F$1)*Rules!$C$2:$C$60*ISNUMBER(SEARCH(Rules!$D$2:$D$60,$C32)))</f>
        <v>0</v>
      </c>
      <c r="G32" s="0" t="n">
        <f aca="false">SUMPRODUCT((Rules!$A$2:$A$60=G$1)*Rules!$C$2:$C$60*ISNUMBER(SEARCH(Rules!$D$2:$D$60,$C32)))</f>
        <v>3</v>
      </c>
      <c r="H32" s="0" t="n">
        <f aca="false">SUMPRODUCT((Rules!$A$2:$A$60=H$1)*Rules!$C$2:$C$60*ISNUMBER(SEARCH(Rules!$D$2:$D$60,$C32)))</f>
        <v>0</v>
      </c>
      <c r="I32" s="0" t="n">
        <f aca="false">SUMPRODUCT((Rules!$A$2:$A$60=I$1)*Rules!$C$2:$C$60*ISNUMBER(SEARCH(Rules!$D$2:$D$60,$C32)))</f>
        <v>0</v>
      </c>
      <c r="J32" s="0" t="str">
        <f aca="false">IF(OR(MAX(D32:I32)&lt;Rules!$H$1,MAX(D32:I32)-LARGE(D32:I32,2)&lt;Rules!$H$2),"No label",INDEX($D$1:$I$1,MATCH(MAX(D32:I32),D32:I32,0)))</f>
        <v>No label</v>
      </c>
      <c r="K32" s="0" t="n">
        <f aca="false">SUMPRODUCT(ISNUMBER(SEARCH(" "&amp;Terms!$A$3:$A$821&amp;" ",$C32))*Terms!B$3:B$821)+Terms!B$2</f>
        <v>-1.84447283097773</v>
      </c>
      <c r="L32" s="0" t="n">
        <f aca="false">SUMPRODUCT(ISNUMBER(SEARCH(" "&amp;Terms!$A$3:$A$821&amp;" ",$C32))*Terms!C$3:C$821)+Terms!C$2</f>
        <v>-3.32226856685408</v>
      </c>
      <c r="M32" s="0" t="n">
        <f aca="false">SUMPRODUCT(ISNUMBER(SEARCH(" "&amp;Terms!$A$3:$A$821&amp;" ",$C32))*Terms!D$3:D$821)+Terms!D$2</f>
        <v>-3.83088313821794</v>
      </c>
      <c r="N32" s="0" t="n">
        <f aca="false">SUMPRODUCT(ISNUMBER(SEARCH(" "&amp;Terms!$A$3:$A$821&amp;" ",$C32))*Terms!E$3:E$821)+Terms!E$2</f>
        <v>7.54805291849702</v>
      </c>
      <c r="O32" s="0" t="n">
        <f aca="false">SUMPRODUCT(ISNUMBER(SEARCH(" "&amp;Terms!$A$3:$A$821&amp;" ",$C32))*Terms!F$3:F$821)+Terms!F$2</f>
        <v>5.49515313197062</v>
      </c>
      <c r="P32" s="0" t="n">
        <f aca="false">SUMPRODUCT(ISNUMBER(SEARCH(" "&amp;Terms!$A$3:$A$821&amp;" ",$C32))*Terms!G$3:G$821)+Terms!G$2</f>
        <v>-4.04558151441781</v>
      </c>
      <c r="Q32" s="0" t="str">
        <f aca="false">INDEX($K$1:$P$1,MATCH(MAX(K32:P32),K32:P32,0))</f>
        <v>Fees &amp; Charges</v>
      </c>
      <c r="R32" s="0" t="str">
        <f aca="false">IF(J32&lt;&gt;"No label",J32,Q32)</f>
        <v>Fees &amp; Charges</v>
      </c>
      <c r="S32" s="0" t="str">
        <f aca="false">INDEX(Answers!$B$2:$B$201,MATCH(A32,Answers!$A$2:$A$201,0))</f>
        <v>Fraud &amp; Scams</v>
      </c>
      <c r="T32" s="4" t="b">
        <f aca="false">R32=S32</f>
        <v>0</v>
      </c>
    </row>
    <row r="33" customFormat="false" ht="15" hidden="false" customHeight="false" outlineLevel="0" collapsed="false">
      <c r="A33" s="0" t="str">
        <f aca="false">NewComplaints!A33</f>
        <v>N0032</v>
      </c>
      <c r="B33" s="0" t="str">
        <f aca="false">NewComplaints!B33</f>
        <v>To whom it may concern, The terms were very different from what I was promised at the time of sale.</v>
      </c>
      <c r="C33" s="0" t="str">
        <f aca="false">" "&amp;TRIM(SUBSTITUTE(SUBSTITUTE(SUBSTITUTE(SUBSTITUTE(SUBSTITUTE(SUBSTITUTE(SUBSTITUTE(SUBSTITUTE(SUBSTITUTE(SUBSTITUTE(SUBSTITUTE(SUBSTITUTE(SUBSTITUTE(SUBSTITUTE(SUBSTITUTE(SUBSTITUTE(LOWER(B33),"."," "),","," "),"'"," "),"’"," "),"!"," "),"?"," "),";"," "),":"," "),"-"," "),"("," "),")"," "),"""", " "),"£"," "),"&amp;"," "),"/"," "),"%"," "))&amp;" "</f>
        <v> to whom it may concern the terms were very different from what i was promised at the time of sale </v>
      </c>
      <c r="D33" s="0" t="n">
        <f aca="false">SUMPRODUCT((Rules!$A$2:$A$60=D$1)*Rules!$C$2:$C$60*ISNUMBER(SEARCH(Rules!$D$2:$D$60,$C33)))</f>
        <v>0</v>
      </c>
      <c r="E33" s="0" t="n">
        <f aca="false">SUMPRODUCT((Rules!$A$2:$A$60=E$1)*Rules!$C$2:$C$60*ISNUMBER(SEARCH(Rules!$D$2:$D$60,$C33)))</f>
        <v>1</v>
      </c>
      <c r="F33" s="0" t="n">
        <f aca="false">SUMPRODUCT((Rules!$A$2:$A$60=F$1)*Rules!$C$2:$C$60*ISNUMBER(SEARCH(Rules!$D$2:$D$60,$C33)))</f>
        <v>0</v>
      </c>
      <c r="G33" s="0" t="n">
        <f aca="false">SUMPRODUCT((Rules!$A$2:$A$60=G$1)*Rules!$C$2:$C$60*ISNUMBER(SEARCH(Rules!$D$2:$D$60,$C33)))</f>
        <v>0</v>
      </c>
      <c r="H33" s="0" t="n">
        <f aca="false">SUMPRODUCT((Rules!$A$2:$A$60=H$1)*Rules!$C$2:$C$60*ISNUMBER(SEARCH(Rules!$D$2:$D$60,$C33)))</f>
        <v>0</v>
      </c>
      <c r="I33" s="0" t="n">
        <f aca="false">SUMPRODUCT((Rules!$A$2:$A$60=I$1)*Rules!$C$2:$C$60*ISNUMBER(SEARCH(Rules!$D$2:$D$60,$C33)))</f>
        <v>0</v>
      </c>
      <c r="J33" s="0" t="str">
        <f aca="false">IF(OR(MAX(D33:I33)&lt;Rules!$H$1,MAX(D33:I33)-LARGE(D33:I33,2)&lt;Rules!$H$2),"No label",INDEX($D$1:$I$1,MATCH(MAX(D33:I33),D33:I33,0)))</f>
        <v>No label</v>
      </c>
      <c r="K33" s="0" t="n">
        <f aca="false">SUMPRODUCT(ISNUMBER(SEARCH(" "&amp;Terms!$A$3:$A$821&amp;" ",$C33))*Terms!B$3:B$821)+Terms!B$2</f>
        <v>-1.4923726766468</v>
      </c>
      <c r="L33" s="0" t="n">
        <f aca="false">SUMPRODUCT(ISNUMBER(SEARCH(" "&amp;Terms!$A$3:$A$821&amp;" ",$C33))*Terms!C$3:C$821)+Terms!C$2</f>
        <v>-1.78976244293057</v>
      </c>
      <c r="M33" s="0" t="n">
        <f aca="false">SUMPRODUCT(ISNUMBER(SEARCH(" "&amp;Terms!$A$3:$A$821&amp;" ",$C33))*Terms!D$3:D$821)+Terms!D$2</f>
        <v>1.88708111739837</v>
      </c>
      <c r="N33" s="0" t="n">
        <f aca="false">SUMPRODUCT(ISNUMBER(SEARCH(" "&amp;Terms!$A$3:$A$821&amp;" ",$C33))*Terms!E$3:E$821)+Terms!E$2</f>
        <v>-1.08808171792961</v>
      </c>
      <c r="O33" s="0" t="n">
        <f aca="false">SUMPRODUCT(ISNUMBER(SEARCH(" "&amp;Terms!$A$3:$A$821&amp;" ",$C33))*Terms!F$3:F$821)+Terms!F$2</f>
        <v>-4.08205286425556</v>
      </c>
      <c r="P33" s="0" t="n">
        <f aca="false">SUMPRODUCT(ISNUMBER(SEARCH(" "&amp;Terms!$A$3:$A$821&amp;" ",$C33))*Terms!G$3:G$821)+Terms!G$2</f>
        <v>6.56518858436427</v>
      </c>
      <c r="Q33" s="0" t="str">
        <f aca="false">INDEX($K$1:$P$1,MATCH(MAX(K33:P33),K33:P33,0))</f>
        <v>Mis-selling</v>
      </c>
      <c r="R33" s="0" t="str">
        <f aca="false">IF(J33&lt;&gt;"No label",J33,Q33)</f>
        <v>Mis-selling</v>
      </c>
      <c r="S33" s="0" t="str">
        <f aca="false">INDEX(Answers!$B$2:$B$201,MATCH(A33,Answers!$A$2:$A$201,0))</f>
        <v>Mis-selling</v>
      </c>
      <c r="T33" s="4" t="b">
        <f aca="false">R33=S33</f>
        <v>1</v>
      </c>
    </row>
    <row r="34" customFormat="false" ht="15" hidden="false" customHeight="false" outlineLevel="0" collapsed="false">
      <c r="A34" s="0" t="str">
        <f aca="false">NewComplaints!A34</f>
        <v>N0033</v>
      </c>
      <c r="B34" s="0" t="str">
        <f aca="false">NewComplaints!B34</f>
        <v>I have been a customer for years. My online banking is locked and the reset link never arrives. Also, you promised the money within three working days and it is still outstanding. Please sort this out.</v>
      </c>
      <c r="C34" s="0" t="str">
        <f aca="false">" "&amp;TRIM(SUBSTITUTE(SUBSTITUTE(SUBSTITUTE(SUBSTITUTE(SUBSTITUTE(SUBSTITUTE(SUBSTITUTE(SUBSTITUTE(SUBSTITUTE(SUBSTITUTE(SUBSTITUTE(SUBSTITUTE(SUBSTITUTE(SUBSTITUTE(SUBSTITUTE(SUBSTITUTE(LOWER(B34),"."," "),","," "),"'"," "),"’"," "),"!"," "),"?"," "),";"," "),":"," "),"-"," "),"("," "),")"," "),"""", " "),"£"," "),"&amp;"," "),"/"," "),"%"," "))&amp;" "</f>
        <v> i have been a customer for years my online banking is locked and the reset link never arrives also you promised the money within three working days and it is still outstanding please sort this out </v>
      </c>
      <c r="D34" s="0" t="n">
        <f aca="false">SUMPRODUCT((Rules!$A$2:$A$60=D$1)*Rules!$C$2:$C$60*ISNUMBER(SEARCH(Rules!$D$2:$D$60,$C34)))</f>
        <v>0</v>
      </c>
      <c r="E34" s="0" t="n">
        <f aca="false">SUMPRODUCT((Rules!$A$2:$A$60=E$1)*Rules!$C$2:$C$60*ISNUMBER(SEARCH(Rules!$D$2:$D$60,$C34)))</f>
        <v>1</v>
      </c>
      <c r="F34" s="0" t="n">
        <f aca="false">SUMPRODUCT((Rules!$A$2:$A$60=F$1)*Rules!$C$2:$C$60*ISNUMBER(SEARCH(Rules!$D$2:$D$60,$C34)))</f>
        <v>5</v>
      </c>
      <c r="G34" s="0" t="n">
        <f aca="false">SUMPRODUCT((Rules!$A$2:$A$60=G$1)*Rules!$C$2:$C$60*ISNUMBER(SEARCH(Rules!$D$2:$D$60,$C34)))</f>
        <v>0</v>
      </c>
      <c r="H34" s="0" t="n">
        <f aca="false">SUMPRODUCT((Rules!$A$2:$A$60=H$1)*Rules!$C$2:$C$60*ISNUMBER(SEARCH(Rules!$D$2:$D$60,$C34)))</f>
        <v>2</v>
      </c>
      <c r="I34" s="0" t="n">
        <f aca="false">SUMPRODUCT((Rules!$A$2:$A$60=I$1)*Rules!$C$2:$C$60*ISNUMBER(SEARCH(Rules!$D$2:$D$60,$C34)))</f>
        <v>0</v>
      </c>
      <c r="J34" s="0" t="str">
        <f aca="false">IF(OR(MAX(D34:I34)&lt;Rules!$H$1,MAX(D34:I34)-LARGE(D34:I34,2)&lt;Rules!$H$2),"No label",INDEX($D$1:$I$1,MATCH(MAX(D34:I34),D34:I34,0)))</f>
        <v>Account Access</v>
      </c>
      <c r="K34" s="0" t="n">
        <f aca="false">SUMPRODUCT(ISNUMBER(SEARCH(" "&amp;Terms!$A$3:$A$821&amp;" ",$C34))*Terms!B$3:B$821)+Terms!B$2</f>
        <v>10.1319957683425</v>
      </c>
      <c r="L34" s="0" t="n">
        <f aca="false">SUMPRODUCT(ISNUMBER(SEARCH(" "&amp;Terms!$A$3:$A$821&amp;" ",$C34))*Terms!C$3:C$821)+Terms!C$2</f>
        <v>-7.60836434955317</v>
      </c>
      <c r="M34" s="0" t="n">
        <f aca="false">SUMPRODUCT(ISNUMBER(SEARCH(" "&amp;Terms!$A$3:$A$821&amp;" ",$C34))*Terms!D$3:D$821)+Terms!D$2</f>
        <v>5.28013105816976</v>
      </c>
      <c r="N34" s="0" t="n">
        <f aca="false">SUMPRODUCT(ISNUMBER(SEARCH(" "&amp;Terms!$A$3:$A$821&amp;" ",$C34))*Terms!E$3:E$821)+Terms!E$2</f>
        <v>-1.30260108134587</v>
      </c>
      <c r="O34" s="0" t="n">
        <f aca="false">SUMPRODUCT(ISNUMBER(SEARCH(" "&amp;Terms!$A$3:$A$821&amp;" ",$C34))*Terms!F$3:F$821)+Terms!F$2</f>
        <v>-4.75917689363331</v>
      </c>
      <c r="P34" s="0" t="n">
        <f aca="false">SUMPRODUCT(ISNUMBER(SEARCH(" "&amp;Terms!$A$3:$A$821&amp;" ",$C34))*Terms!G$3:G$821)+Terms!G$2</f>
        <v>-1.74198450197983</v>
      </c>
      <c r="Q34" s="0" t="str">
        <f aca="false">INDEX($K$1:$P$1,MATCH(MAX(K34:P34),K34:P34,0))</f>
        <v>Account Access</v>
      </c>
      <c r="R34" s="0" t="str">
        <f aca="false">IF(J34&lt;&gt;"No label",J34,Q34)</f>
        <v>Account Access</v>
      </c>
      <c r="S34" s="0" t="str">
        <f aca="false">INDEX(Answers!$B$2:$B$201,MATCH(A34,Answers!$A$2:$A$201,0))</f>
        <v>Account Access</v>
      </c>
      <c r="T34" s="4" t="b">
        <f aca="false">R34=S34</f>
        <v>1</v>
      </c>
    </row>
    <row r="35" customFormat="false" ht="15" hidden="false" customHeight="false" outlineLevel="0" collapsed="false">
      <c r="A35" s="0" t="str">
        <f aca="false">NewComplaints!A35</f>
        <v>N0034</v>
      </c>
      <c r="B35" s="0" t="str">
        <f aca="false">NewComplaints!B35</f>
        <v>Frankly, I asked for a callback and it never happened. I do not think it was explained properly when I bought it. I would like a response in writing.</v>
      </c>
      <c r="C35" s="0" t="str">
        <f aca="false">" "&amp;TRIM(SUBSTITUTE(SUBSTITUTE(SUBSTITUTE(SUBSTITUTE(SUBSTITUTE(SUBSTITUTE(SUBSTITUTE(SUBSTITUTE(SUBSTITUTE(SUBSTITUTE(SUBSTITUTE(SUBSTITUTE(SUBSTITUTE(SUBSTITUTE(SUBSTITUTE(SUBSTITUTE(LOWER(B35),"."," "),","," "),"'"," "),"’"," "),"!"," "),"?"," "),";"," "),":"," "),"-"," "),"("," "),")"," "),"""", " "),"£"," "),"&amp;"," "),"/"," "),"%"," "))&amp;" "</f>
        <v> frankly i asked for a callback and it never happened i do not think it was explained properly when i bought it i would like a response in writing </v>
      </c>
      <c r="D35" s="0" t="n">
        <f aca="false">SUMPRODUCT((Rules!$A$2:$A$60=D$1)*Rules!$C$2:$C$60*ISNUMBER(SEARCH(Rules!$D$2:$D$60,$C35)))</f>
        <v>0</v>
      </c>
      <c r="E35" s="0" t="n">
        <f aca="false">SUMPRODUCT((Rules!$A$2:$A$60=E$1)*Rules!$C$2:$C$60*ISNUMBER(SEARCH(Rules!$D$2:$D$60,$C35)))</f>
        <v>0</v>
      </c>
      <c r="F35" s="0" t="n">
        <f aca="false">SUMPRODUCT((Rules!$A$2:$A$60=F$1)*Rules!$C$2:$C$60*ISNUMBER(SEARCH(Rules!$D$2:$D$60,$C35)))</f>
        <v>0</v>
      </c>
      <c r="G35" s="0" t="n">
        <f aca="false">SUMPRODUCT((Rules!$A$2:$A$60=G$1)*Rules!$C$2:$C$60*ISNUMBER(SEARCH(Rules!$D$2:$D$60,$C35)))</f>
        <v>0</v>
      </c>
      <c r="H35" s="0" t="n">
        <f aca="false">SUMPRODUCT((Rules!$A$2:$A$60=H$1)*Rules!$C$2:$C$60*ISNUMBER(SEARCH(Rules!$D$2:$D$60,$C35)))</f>
        <v>0</v>
      </c>
      <c r="I35" s="0" t="n">
        <f aca="false">SUMPRODUCT((Rules!$A$2:$A$60=I$1)*Rules!$C$2:$C$60*ISNUMBER(SEARCH(Rules!$D$2:$D$60,$C35)))</f>
        <v>2</v>
      </c>
      <c r="J35" s="0" t="str">
        <f aca="false">IF(OR(MAX(D35:I35)&lt;Rules!$H$1,MAX(D35:I35)-LARGE(D35:I35,2)&lt;Rules!$H$2),"No label",INDEX($D$1:$I$1,MATCH(MAX(D35:I35),D35:I35,0)))</f>
        <v>No label</v>
      </c>
      <c r="K35" s="0" t="n">
        <f aca="false">SUMPRODUCT(ISNUMBER(SEARCH(" "&amp;Terms!$A$3:$A$821&amp;" ",$C35))*Terms!B$3:B$821)+Terms!B$2</f>
        <v>-1.77594896860807</v>
      </c>
      <c r="L35" s="0" t="n">
        <f aca="false">SUMPRODUCT(ISNUMBER(SEARCH(" "&amp;Terms!$A$3:$A$821&amp;" ",$C35))*Terms!C$3:C$821)+Terms!C$2</f>
        <v>4.67407263483865</v>
      </c>
      <c r="M35" s="0" t="n">
        <f aca="false">SUMPRODUCT(ISNUMBER(SEARCH(" "&amp;Terms!$A$3:$A$821&amp;" ",$C35))*Terms!D$3:D$821)+Terms!D$2</f>
        <v>-3.85033527935988</v>
      </c>
      <c r="N35" s="0" t="n">
        <f aca="false">SUMPRODUCT(ISNUMBER(SEARCH(" "&amp;Terms!$A$3:$A$821&amp;" ",$C35))*Terms!E$3:E$821)+Terms!E$2</f>
        <v>1.48156015967712</v>
      </c>
      <c r="O35" s="0" t="n">
        <f aca="false">SUMPRODUCT(ISNUMBER(SEARCH(" "&amp;Terms!$A$3:$A$821&amp;" ",$C35))*Terms!F$3:F$821)+Terms!F$2</f>
        <v>0.148255024636506</v>
      </c>
      <c r="P35" s="0" t="n">
        <f aca="false">SUMPRODUCT(ISNUMBER(SEARCH(" "&amp;Terms!$A$3:$A$821&amp;" ",$C35))*Terms!G$3:G$821)+Terms!G$2</f>
        <v>-0.677603571184241</v>
      </c>
      <c r="Q35" s="0" t="str">
        <f aca="false">INDEX($K$1:$P$1,MATCH(MAX(K35:P35),K35:P35,0))</f>
        <v>Customer Service</v>
      </c>
      <c r="R35" s="0" t="str">
        <f aca="false">IF(J35&lt;&gt;"No label",J35,Q35)</f>
        <v>Customer Service</v>
      </c>
      <c r="S35" s="0" t="str">
        <f aca="false">INDEX(Answers!$B$2:$B$201,MATCH(A35,Answers!$A$2:$A$201,0))</f>
        <v>Customer Service</v>
      </c>
      <c r="T35" s="4" t="b">
        <f aca="false">R35=S35</f>
        <v>1</v>
      </c>
    </row>
    <row r="36" customFormat="false" ht="15" hidden="false" customHeight="false" outlineLevel="0" collapsed="false">
      <c r="A36" s="0" t="str">
        <f aca="false">NewComplaints!A36</f>
        <v>N0035</v>
      </c>
      <c r="B36" s="0" t="str">
        <f aca="false">NewComplaints!B36</f>
        <v>My card reader stopped working and I cannot approve paymnts. Also, nobody explained the foreign transaction charges before my holiday. I want this put right.</v>
      </c>
      <c r="C36" s="0" t="str">
        <f aca="false">" "&amp;TRIM(SUBSTITUTE(SUBSTITUTE(SUBSTITUTE(SUBSTITUTE(SUBSTITUTE(SUBSTITUTE(SUBSTITUTE(SUBSTITUTE(SUBSTITUTE(SUBSTITUTE(SUBSTITUTE(SUBSTITUTE(SUBSTITUTE(SUBSTITUTE(SUBSTITUTE(SUBSTITUTE(LOWER(B36),"."," "),","," "),"'"," "),"’"," "),"!"," "),"?"," "),";"," "),":"," "),"-"," "),"("," "),")"," "),"""", " "),"£"," "),"&amp;"," "),"/"," "),"%"," "))&amp;" "</f>
        <v> my card reader stopped working and i cannot approve paymnts also nobody explained the foreign transaction charges before my holiday i want this put right </v>
      </c>
      <c r="D36" s="0" t="n">
        <f aca="false">SUMPRODUCT((Rules!$A$2:$A$60=D$1)*Rules!$C$2:$C$60*ISNUMBER(SEARCH(Rules!$D$2:$D$60,$C36)))</f>
        <v>0</v>
      </c>
      <c r="E36" s="0" t="n">
        <f aca="false">SUMPRODUCT((Rules!$A$2:$A$60=E$1)*Rules!$C$2:$C$60*ISNUMBER(SEARCH(Rules!$D$2:$D$60,$C36)))</f>
        <v>0</v>
      </c>
      <c r="F36" s="0" t="n">
        <f aca="false">SUMPRODUCT((Rules!$A$2:$A$60=F$1)*Rules!$C$2:$C$60*ISNUMBER(SEARCH(Rules!$D$2:$D$60,$C36)))</f>
        <v>0</v>
      </c>
      <c r="G36" s="0" t="n">
        <f aca="false">SUMPRODUCT((Rules!$A$2:$A$60=G$1)*Rules!$C$2:$C$60*ISNUMBER(SEARCH(Rules!$D$2:$D$60,$C36)))</f>
        <v>0</v>
      </c>
      <c r="H36" s="0" t="n">
        <f aca="false">SUMPRODUCT((Rules!$A$2:$A$60=H$1)*Rules!$C$2:$C$60*ISNUMBER(SEARCH(Rules!$D$2:$D$60,$C36)))</f>
        <v>0</v>
      </c>
      <c r="I36" s="0" t="n">
        <f aca="false">SUMPRODUCT((Rules!$A$2:$A$60=I$1)*Rules!$C$2:$C$60*ISNUMBER(SEARCH(Rules!$D$2:$D$60,$C36)))</f>
        <v>0</v>
      </c>
      <c r="J36" s="0" t="str">
        <f aca="false">IF(OR(MAX(D36:I36)&lt;Rules!$H$1,MAX(D36:I36)-LARGE(D36:I36,2)&lt;Rules!$H$2),"No label",INDEX($D$1:$I$1,MATCH(MAX(D36:I36),D36:I36,0)))</f>
        <v>No label</v>
      </c>
      <c r="K36" s="0" t="n">
        <f aca="false">SUMPRODUCT(ISNUMBER(SEARCH(" "&amp;Terms!$A$3:$A$821&amp;" ",$C36))*Terms!B$3:B$821)+Terms!B$2</f>
        <v>10.5125902652179</v>
      </c>
      <c r="L36" s="0" t="n">
        <f aca="false">SUMPRODUCT(ISNUMBER(SEARCH(" "&amp;Terms!$A$3:$A$821&amp;" ",$C36))*Terms!C$3:C$821)+Terms!C$2</f>
        <v>-3.05216773825179</v>
      </c>
      <c r="M36" s="0" t="n">
        <f aca="false">SUMPRODUCT(ISNUMBER(SEARCH(" "&amp;Terms!$A$3:$A$821&amp;" ",$C36))*Terms!D$3:D$821)+Terms!D$2</f>
        <v>-5.61560295330889</v>
      </c>
      <c r="N36" s="0" t="n">
        <f aca="false">SUMPRODUCT(ISNUMBER(SEARCH(" "&amp;Terms!$A$3:$A$821&amp;" ",$C36))*Terms!E$3:E$821)+Terms!E$2</f>
        <v>8.91611583999243</v>
      </c>
      <c r="O36" s="0" t="n">
        <f aca="false">SUMPRODUCT(ISNUMBER(SEARCH(" "&amp;Terms!$A$3:$A$821&amp;" ",$C36))*Terms!F$3:F$821)+Terms!F$2</f>
        <v>-1.67341094572295</v>
      </c>
      <c r="P36" s="0" t="n">
        <f aca="false">SUMPRODUCT(ISNUMBER(SEARCH(" "&amp;Terms!$A$3:$A$821&amp;" ",$C36))*Terms!G$3:G$821)+Terms!G$2</f>
        <v>-9.08752446792668</v>
      </c>
      <c r="Q36" s="0" t="str">
        <f aca="false">INDEX($K$1:$P$1,MATCH(MAX(K36:P36),K36:P36,0))</f>
        <v>Account Access</v>
      </c>
      <c r="R36" s="0" t="str">
        <f aca="false">IF(J36&lt;&gt;"No label",J36,Q36)</f>
        <v>Account Access</v>
      </c>
      <c r="S36" s="0" t="str">
        <f aca="false">INDEX(Answers!$B$2:$B$201,MATCH(A36,Answers!$A$2:$A$201,0))</f>
        <v>Account Access</v>
      </c>
      <c r="T36" s="4" t="b">
        <f aca="false">R36=S36</f>
        <v>1</v>
      </c>
    </row>
    <row r="37" customFormat="false" ht="15" hidden="false" customHeight="false" outlineLevel="0" collapsed="false">
      <c r="A37" s="0" t="str">
        <f aca="false">NewComplaints!A37</f>
        <v>N0036</v>
      </c>
      <c r="B37" s="0" t="str">
        <f aca="false">NewComplaints!B37</f>
        <v>To whom it may concern, The website will not let me register for online access. This is not acceptable.</v>
      </c>
      <c r="C37" s="0" t="str">
        <f aca="false">" "&amp;TRIM(SUBSTITUTE(SUBSTITUTE(SUBSTITUTE(SUBSTITUTE(SUBSTITUTE(SUBSTITUTE(SUBSTITUTE(SUBSTITUTE(SUBSTITUTE(SUBSTITUTE(SUBSTITUTE(SUBSTITUTE(SUBSTITUTE(SUBSTITUTE(SUBSTITUTE(SUBSTITUTE(LOWER(B37),"."," "),","," "),"'"," "),"’"," "),"!"," "),"?"," "),";"," "),":"," "),"-"," "),"("," "),")"," "),"""", " "),"£"," "),"&amp;"," "),"/"," "),"%"," "))&amp;" "</f>
        <v> to whom it may concern the website will not let me register for online access this is not acceptable </v>
      </c>
      <c r="D37" s="0" t="n">
        <f aca="false">SUMPRODUCT((Rules!$A$2:$A$60=D$1)*Rules!$C$2:$C$60*ISNUMBER(SEARCH(Rules!$D$2:$D$60,$C37)))</f>
        <v>0</v>
      </c>
      <c r="E37" s="0" t="n">
        <f aca="false">SUMPRODUCT((Rules!$A$2:$A$60=E$1)*Rules!$C$2:$C$60*ISNUMBER(SEARCH(Rules!$D$2:$D$60,$C37)))</f>
        <v>0</v>
      </c>
      <c r="F37" s="0" t="n">
        <f aca="false">SUMPRODUCT((Rules!$A$2:$A$60=F$1)*Rules!$C$2:$C$60*ISNUMBER(SEARCH(Rules!$D$2:$D$60,$C37)))</f>
        <v>1</v>
      </c>
      <c r="G37" s="0" t="n">
        <f aca="false">SUMPRODUCT((Rules!$A$2:$A$60=G$1)*Rules!$C$2:$C$60*ISNUMBER(SEARCH(Rules!$D$2:$D$60,$C37)))</f>
        <v>0</v>
      </c>
      <c r="H37" s="0" t="n">
        <f aca="false">SUMPRODUCT((Rules!$A$2:$A$60=H$1)*Rules!$C$2:$C$60*ISNUMBER(SEARCH(Rules!$D$2:$D$60,$C37)))</f>
        <v>0</v>
      </c>
      <c r="I37" s="0" t="n">
        <f aca="false">SUMPRODUCT((Rules!$A$2:$A$60=I$1)*Rules!$C$2:$C$60*ISNUMBER(SEARCH(Rules!$D$2:$D$60,$C37)))</f>
        <v>0</v>
      </c>
      <c r="J37" s="0" t="str">
        <f aca="false">IF(OR(MAX(D37:I37)&lt;Rules!$H$1,MAX(D37:I37)-LARGE(D37:I37,2)&lt;Rules!$H$2),"No label",INDEX($D$1:$I$1,MATCH(MAX(D37:I37),D37:I37,0)))</f>
        <v>No label</v>
      </c>
      <c r="K37" s="0" t="n">
        <f aca="false">SUMPRODUCT(ISNUMBER(SEARCH(" "&amp;Terms!$A$3:$A$821&amp;" ",$C37))*Terms!B$3:B$821)+Terms!B$2</f>
        <v>10.3633640400876</v>
      </c>
      <c r="L37" s="0" t="n">
        <f aca="false">SUMPRODUCT(ISNUMBER(SEARCH(" "&amp;Terms!$A$3:$A$821&amp;" ",$C37))*Terms!C$3:C$821)+Terms!C$2</f>
        <v>-5.04520780177871</v>
      </c>
      <c r="M37" s="0" t="n">
        <f aca="false">SUMPRODUCT(ISNUMBER(SEARCH(" "&amp;Terms!$A$3:$A$821&amp;" ",$C37))*Terms!D$3:D$821)+Terms!D$2</f>
        <v>-1.4507964617286</v>
      </c>
      <c r="N37" s="0" t="n">
        <f aca="false">SUMPRODUCT(ISNUMBER(SEARCH(" "&amp;Terms!$A$3:$A$821&amp;" ",$C37))*Terms!E$3:E$821)+Terms!E$2</f>
        <v>-2.25643619104863</v>
      </c>
      <c r="O37" s="0" t="n">
        <f aca="false">SUMPRODUCT(ISNUMBER(SEARCH(" "&amp;Terms!$A$3:$A$821&amp;" ",$C37))*Terms!F$3:F$821)+Terms!F$2</f>
        <v>-1.80882684883669</v>
      </c>
      <c r="P37" s="0" t="n">
        <f aca="false">SUMPRODUCT(ISNUMBER(SEARCH(" "&amp;Terms!$A$3:$A$821&amp;" ",$C37))*Terms!G$3:G$821)+Terms!G$2</f>
        <v>0.197903263305096</v>
      </c>
      <c r="Q37" s="0" t="str">
        <f aca="false">INDEX($K$1:$P$1,MATCH(MAX(K37:P37),K37:P37,0))</f>
        <v>Account Access</v>
      </c>
      <c r="R37" s="0" t="str">
        <f aca="false">IF(J37&lt;&gt;"No label",J37,Q37)</f>
        <v>Account Access</v>
      </c>
      <c r="S37" s="0" t="str">
        <f aca="false">INDEX(Answers!$B$2:$B$201,MATCH(A37,Answers!$A$2:$A$201,0))</f>
        <v>Account Access</v>
      </c>
      <c r="T37" s="4" t="b">
        <f aca="false">R37=S37</f>
        <v>1</v>
      </c>
    </row>
    <row r="38" customFormat="false" ht="15" hidden="false" customHeight="false" outlineLevel="0" collapsed="false">
      <c r="A38" s="0" t="str">
        <f aca="false">NewComplaints!A38</f>
        <v>N0037</v>
      </c>
      <c r="B38" s="0" t="str">
        <f aca="false">NewComplaints!B38</f>
        <v>Your advisor gave me different answers on two separate calls. Also, i have been billed an annual fee I never agreed to. Please sort this out.</v>
      </c>
      <c r="C38" s="0" t="str">
        <f aca="false">" "&amp;TRIM(SUBSTITUTE(SUBSTITUTE(SUBSTITUTE(SUBSTITUTE(SUBSTITUTE(SUBSTITUTE(SUBSTITUTE(SUBSTITUTE(SUBSTITUTE(SUBSTITUTE(SUBSTITUTE(SUBSTITUTE(SUBSTITUTE(SUBSTITUTE(SUBSTITUTE(SUBSTITUTE(LOWER(B38),"."," "),","," "),"'"," "),"’"," "),"!"," "),"?"," "),";"," "),":"," "),"-"," "),"("," "),")"," "),"""", " "),"£"," "),"&amp;"," "),"/"," "),"%"," "))&amp;" "</f>
        <v> your advisor gave me different answers on two separate calls also i have been billed an annual fee i never agreed to please sort this out </v>
      </c>
      <c r="D38" s="0" t="n">
        <f aca="false">SUMPRODUCT((Rules!$A$2:$A$60=D$1)*Rules!$C$2:$C$60*ISNUMBER(SEARCH(Rules!$D$2:$D$60,$C38)))</f>
        <v>0</v>
      </c>
      <c r="E38" s="0" t="n">
        <f aca="false">SUMPRODUCT((Rules!$A$2:$A$60=E$1)*Rules!$C$2:$C$60*ISNUMBER(SEARCH(Rules!$D$2:$D$60,$C38)))</f>
        <v>0</v>
      </c>
      <c r="F38" s="0" t="n">
        <f aca="false">SUMPRODUCT((Rules!$A$2:$A$60=F$1)*Rules!$C$2:$C$60*ISNUMBER(SEARCH(Rules!$D$2:$D$60,$C38)))</f>
        <v>0</v>
      </c>
      <c r="G38" s="0" t="n">
        <f aca="false">SUMPRODUCT((Rules!$A$2:$A$60=G$1)*Rules!$C$2:$C$60*ISNUMBER(SEARCH(Rules!$D$2:$D$60,$C38)))</f>
        <v>4</v>
      </c>
      <c r="H38" s="0" t="n">
        <f aca="false">SUMPRODUCT((Rules!$A$2:$A$60=H$1)*Rules!$C$2:$C$60*ISNUMBER(SEARCH(Rules!$D$2:$D$60,$C38)))</f>
        <v>0</v>
      </c>
      <c r="I38" s="0" t="n">
        <f aca="false">SUMPRODUCT((Rules!$A$2:$A$60=I$1)*Rules!$C$2:$C$60*ISNUMBER(SEARCH(Rules!$D$2:$D$60,$C38)))</f>
        <v>1</v>
      </c>
      <c r="J38" s="0" t="str">
        <f aca="false">IF(OR(MAX(D38:I38)&lt;Rules!$H$1,MAX(D38:I38)-LARGE(D38:I38,2)&lt;Rules!$H$2),"No label",INDEX($D$1:$I$1,MATCH(MAX(D38:I38),D38:I38,0)))</f>
        <v>Fees &amp; Charges</v>
      </c>
      <c r="K38" s="0" t="n">
        <f aca="false">SUMPRODUCT(ISNUMBER(SEARCH(" "&amp;Terms!$A$3:$A$821&amp;" ",$C38))*Terms!B$3:B$821)+Terms!B$2</f>
        <v>-2.73562294429809</v>
      </c>
      <c r="L38" s="0" t="n">
        <f aca="false">SUMPRODUCT(ISNUMBER(SEARCH(" "&amp;Terms!$A$3:$A$821&amp;" ",$C38))*Terms!C$3:C$821)+Terms!C$2</f>
        <v>11.245302313201</v>
      </c>
      <c r="M38" s="0" t="n">
        <f aca="false">SUMPRODUCT(ISNUMBER(SEARCH(" "&amp;Terms!$A$3:$A$821&amp;" ",$C38))*Terms!D$3:D$821)+Terms!D$2</f>
        <v>-4.76993324203913</v>
      </c>
      <c r="N38" s="0" t="n">
        <f aca="false">SUMPRODUCT(ISNUMBER(SEARCH(" "&amp;Terms!$A$3:$A$821&amp;" ",$C38))*Terms!E$3:E$821)+Terms!E$2</f>
        <v>7.50174244592667</v>
      </c>
      <c r="O38" s="0" t="n">
        <f aca="false">SUMPRODUCT(ISNUMBER(SEARCH(" "&amp;Terms!$A$3:$A$821&amp;" ",$C38))*Terms!F$3:F$821)+Terms!F$2</f>
        <v>-6.59382009619984</v>
      </c>
      <c r="P38" s="0" t="n">
        <f aca="false">SUMPRODUCT(ISNUMBER(SEARCH(" "&amp;Terms!$A$3:$A$821&amp;" ",$C38))*Terms!G$3:G$821)+Terms!G$2</f>
        <v>-4.64766847659047</v>
      </c>
      <c r="Q38" s="0" t="str">
        <f aca="false">INDEX($K$1:$P$1,MATCH(MAX(K38:P38),K38:P38,0))</f>
        <v>Customer Service</v>
      </c>
      <c r="R38" s="0" t="str">
        <f aca="false">IF(J38&lt;&gt;"No label",J38,Q38)</f>
        <v>Fees &amp; Charges</v>
      </c>
      <c r="S38" s="0" t="str">
        <f aca="false">INDEX(Answers!$B$2:$B$201,MATCH(A38,Answers!$A$2:$A$201,0))</f>
        <v>Customer Service</v>
      </c>
      <c r="T38" s="4" t="b">
        <f aca="false">R38=S38</f>
        <v>0</v>
      </c>
    </row>
    <row r="39" customFormat="false" ht="15" hidden="false" customHeight="false" outlineLevel="0" collapsed="false">
      <c r="A39" s="0" t="str">
        <f aca="false">NewComplaints!A39</f>
        <v>N0038</v>
      </c>
      <c r="B39" s="0" t="str">
        <f aca="false">NewComplaints!B39</f>
        <v>The fraud team closed my case without investigating properly. Also, i sent the form twice and it seems to have been lost in the system. I want this put right.</v>
      </c>
      <c r="C39" s="0" t="str">
        <f aca="false">" "&amp;TRIM(SUBSTITUTE(SUBSTITUTE(SUBSTITUTE(SUBSTITUTE(SUBSTITUTE(SUBSTITUTE(SUBSTITUTE(SUBSTITUTE(SUBSTITUTE(SUBSTITUTE(SUBSTITUTE(SUBSTITUTE(SUBSTITUTE(SUBSTITUTE(SUBSTITUTE(SUBSTITUTE(LOWER(B39),"."," "),","," "),"'"," "),"’"," "),"!"," "),"?"," "),";"," "),":"," "),"-"," "),"("," "),")"," "),"""", " "),"£"," "),"&amp;"," "),"/"," "),"%"," "))&amp;" "</f>
        <v> the fraud team closed my case without investigating properly also i sent the form twice and it seems to have been lost in the system i want this put right </v>
      </c>
      <c r="D39" s="0" t="n">
        <f aca="false">SUMPRODUCT((Rules!$A$2:$A$60=D$1)*Rules!$C$2:$C$60*ISNUMBER(SEARCH(Rules!$D$2:$D$60,$C39)))</f>
        <v>3</v>
      </c>
      <c r="E39" s="0" t="n">
        <f aca="false">SUMPRODUCT((Rules!$A$2:$A$60=E$1)*Rules!$C$2:$C$60*ISNUMBER(SEARCH(Rules!$D$2:$D$60,$C39)))</f>
        <v>0</v>
      </c>
      <c r="F39" s="0" t="n">
        <f aca="false">SUMPRODUCT((Rules!$A$2:$A$60=F$1)*Rules!$C$2:$C$60*ISNUMBER(SEARCH(Rules!$D$2:$D$60,$C39)))</f>
        <v>0</v>
      </c>
      <c r="G39" s="0" t="n">
        <f aca="false">SUMPRODUCT((Rules!$A$2:$A$60=G$1)*Rules!$C$2:$C$60*ISNUMBER(SEARCH(Rules!$D$2:$D$60,$C39)))</f>
        <v>0</v>
      </c>
      <c r="H39" s="0" t="n">
        <f aca="false">SUMPRODUCT((Rules!$A$2:$A$60=H$1)*Rules!$C$2:$C$60*ISNUMBER(SEARCH(Rules!$D$2:$D$60,$C39)))</f>
        <v>0</v>
      </c>
      <c r="I39" s="0" t="n">
        <f aca="false">SUMPRODUCT((Rules!$A$2:$A$60=I$1)*Rules!$C$2:$C$60*ISNUMBER(SEARCH(Rules!$D$2:$D$60,$C39)))</f>
        <v>0</v>
      </c>
      <c r="J39" s="0" t="str">
        <f aca="false">IF(OR(MAX(D39:I39)&lt;Rules!$H$1,MAX(D39:I39)-LARGE(D39:I39,2)&lt;Rules!$H$2),"No label",INDEX($D$1:$I$1,MATCH(MAX(D39:I39),D39:I39,0)))</f>
        <v>Fraud &amp; Scams</v>
      </c>
      <c r="K39" s="0" t="n">
        <f aca="false">SUMPRODUCT(ISNUMBER(SEARCH(" "&amp;Terms!$A$3:$A$821&amp;" ",$C39))*Terms!B$3:B$821)+Terms!B$2</f>
        <v>-7.87482497097697</v>
      </c>
      <c r="L39" s="0" t="n">
        <f aca="false">SUMPRODUCT(ISNUMBER(SEARCH(" "&amp;Terms!$A$3:$A$821&amp;" ",$C39))*Terms!C$3:C$821)+Terms!C$2</f>
        <v>-3.01027826950928</v>
      </c>
      <c r="M39" s="0" t="n">
        <f aca="false">SUMPRODUCT(ISNUMBER(SEARCH(" "&amp;Terms!$A$3:$A$821&amp;" ",$C39))*Terms!D$3:D$821)+Terms!D$2</f>
        <v>5.79316752141843</v>
      </c>
      <c r="N39" s="0" t="n">
        <f aca="false">SUMPRODUCT(ISNUMBER(SEARCH(" "&amp;Terms!$A$3:$A$821&amp;" ",$C39))*Terms!E$3:E$821)+Terms!E$2</f>
        <v>-1.64525583167911</v>
      </c>
      <c r="O39" s="0" t="n">
        <f aca="false">SUMPRODUCT(ISNUMBER(SEARCH(" "&amp;Terms!$A$3:$A$821&amp;" ",$C39))*Terms!F$3:F$821)+Terms!F$2</f>
        <v>10.4697626115122</v>
      </c>
      <c r="P39" s="0" t="n">
        <f aca="false">SUMPRODUCT(ISNUMBER(SEARCH(" "&amp;Terms!$A$3:$A$821&amp;" ",$C39))*Terms!G$3:G$821)+Terms!G$2</f>
        <v>-3.7325710607652</v>
      </c>
      <c r="Q39" s="0" t="str">
        <f aca="false">INDEX($K$1:$P$1,MATCH(MAX(K39:P39),K39:P39,0))</f>
        <v>Fraud &amp; Scams</v>
      </c>
      <c r="R39" s="0" t="str">
        <f aca="false">IF(J39&lt;&gt;"No label",J39,Q39)</f>
        <v>Fraud &amp; Scams</v>
      </c>
      <c r="S39" s="0" t="str">
        <f aca="false">INDEX(Answers!$B$2:$B$201,MATCH(A39,Answers!$A$2:$A$201,0))</f>
        <v>Fraud &amp; Scams</v>
      </c>
      <c r="T39" s="4" t="b">
        <f aca="false">R39=S39</f>
        <v>1</v>
      </c>
    </row>
    <row r="40" customFormat="false" ht="15" hidden="false" customHeight="false" outlineLevel="0" collapsed="false">
      <c r="A40" s="0" t="str">
        <f aca="false">NewComplaints!A40</f>
        <v>N0039</v>
      </c>
      <c r="B40" s="0" t="str">
        <f aca="false">NewComplaints!B40</f>
        <v>I have been a customer for years. My application has been stuck for weeks with no progress.</v>
      </c>
      <c r="C40" s="0" t="str">
        <f aca="false">" "&amp;TRIM(SUBSTITUTE(SUBSTITUTE(SUBSTITUTE(SUBSTITUTE(SUBSTITUTE(SUBSTITUTE(SUBSTITUTE(SUBSTITUTE(SUBSTITUTE(SUBSTITUTE(SUBSTITUTE(SUBSTITUTE(SUBSTITUTE(SUBSTITUTE(SUBSTITUTE(SUBSTITUTE(LOWER(B40),"."," "),","," "),"'"," "),"’"," "),"!"," "),"?"," "),";"," "),":"," "),"-"," "),"("," "),")"," "),"""", " "),"£"," "),"&amp;"," "),"/"," "),"%"," "))&amp;" "</f>
        <v> i have been a customer for years my application has been stuck for weeks with no progress </v>
      </c>
      <c r="D40" s="0" t="n">
        <f aca="false">SUMPRODUCT((Rules!$A$2:$A$60=D$1)*Rules!$C$2:$C$60*ISNUMBER(SEARCH(Rules!$D$2:$D$60,$C40)))</f>
        <v>0</v>
      </c>
      <c r="E40" s="0" t="n">
        <f aca="false">SUMPRODUCT((Rules!$A$2:$A$60=E$1)*Rules!$C$2:$C$60*ISNUMBER(SEARCH(Rules!$D$2:$D$60,$C40)))</f>
        <v>0</v>
      </c>
      <c r="F40" s="0" t="n">
        <f aca="false">SUMPRODUCT((Rules!$A$2:$A$60=F$1)*Rules!$C$2:$C$60*ISNUMBER(SEARCH(Rules!$D$2:$D$60,$C40)))</f>
        <v>0</v>
      </c>
      <c r="G40" s="0" t="n">
        <f aca="false">SUMPRODUCT((Rules!$A$2:$A$60=G$1)*Rules!$C$2:$C$60*ISNUMBER(SEARCH(Rules!$D$2:$D$60,$C40)))</f>
        <v>0</v>
      </c>
      <c r="H40" s="0" t="n">
        <f aca="false">SUMPRODUCT((Rules!$A$2:$A$60=H$1)*Rules!$C$2:$C$60*ISNUMBER(SEARCH(Rules!$D$2:$D$60,$C40)))</f>
        <v>3</v>
      </c>
      <c r="I40" s="0" t="n">
        <f aca="false">SUMPRODUCT((Rules!$A$2:$A$60=I$1)*Rules!$C$2:$C$60*ISNUMBER(SEARCH(Rules!$D$2:$D$60,$C40)))</f>
        <v>0</v>
      </c>
      <c r="J40" s="0" t="str">
        <f aca="false">IF(OR(MAX(D40:I40)&lt;Rules!$H$1,MAX(D40:I40)-LARGE(D40:I40,2)&lt;Rules!$H$2),"No label",INDEX($D$1:$I$1,MATCH(MAX(D40:I40),D40:I40,0)))</f>
        <v>Delays &amp; Processing</v>
      </c>
      <c r="K40" s="0" t="n">
        <f aca="false">SUMPRODUCT(ISNUMBER(SEARCH(" "&amp;Terms!$A$3:$A$821&amp;" ",$C40))*Terms!B$3:B$821)+Terms!B$2</f>
        <v>-1.95423391924939</v>
      </c>
      <c r="L40" s="0" t="n">
        <f aca="false">SUMPRODUCT(ISNUMBER(SEARCH(" "&amp;Terms!$A$3:$A$821&amp;" ",$C40))*Terms!C$3:C$821)+Terms!C$2</f>
        <v>0.872132636399089</v>
      </c>
      <c r="M40" s="0" t="n">
        <f aca="false">SUMPRODUCT(ISNUMBER(SEARCH(" "&amp;Terms!$A$3:$A$821&amp;" ",$C40))*Terms!D$3:D$821)+Terms!D$2</f>
        <v>9.07096542938042</v>
      </c>
      <c r="N40" s="0" t="n">
        <f aca="false">SUMPRODUCT(ISNUMBER(SEARCH(" "&amp;Terms!$A$3:$A$821&amp;" ",$C40))*Terms!E$3:E$821)+Terms!E$2</f>
        <v>-2.27052685995156</v>
      </c>
      <c r="O40" s="0" t="n">
        <f aca="false">SUMPRODUCT(ISNUMBER(SEARCH(" "&amp;Terms!$A$3:$A$821&amp;" ",$C40))*Terms!F$3:F$821)+Terms!F$2</f>
        <v>-3.45112469394288</v>
      </c>
      <c r="P40" s="0" t="n">
        <f aca="false">SUMPRODUCT(ISNUMBER(SEARCH(" "&amp;Terms!$A$3:$A$821&amp;" ",$C40))*Terms!G$3:G$821)+Terms!G$2</f>
        <v>-2.26721259263559</v>
      </c>
      <c r="Q40" s="0" t="str">
        <f aca="false">INDEX($K$1:$P$1,MATCH(MAX(K40:P40),K40:P40,0))</f>
        <v>Delays &amp; Processing</v>
      </c>
      <c r="R40" s="0" t="str">
        <f aca="false">IF(J40&lt;&gt;"No label",J40,Q40)</f>
        <v>Delays &amp; Processing</v>
      </c>
      <c r="S40" s="0" t="str">
        <f aca="false">INDEX(Answers!$B$2:$B$201,MATCH(A40,Answers!$A$2:$A$201,0))</f>
        <v>Delays &amp; Processing</v>
      </c>
      <c r="T40" s="4" t="b">
        <f aca="false">R40=S40</f>
        <v>1</v>
      </c>
    </row>
    <row r="41" customFormat="false" ht="15" hidden="false" customHeight="false" outlineLevel="0" collapsed="false">
      <c r="A41" s="0" t="str">
        <f aca="false">NewComplaints!A41</f>
        <v>N0040</v>
      </c>
      <c r="B41" s="0" t="str">
        <f aca="false">NewComplaints!B41</f>
        <v>Hello, Two factor codes are not being sent to my phone. Also, i think I was the victim of a scam and sent money to a fraudster. Please sort this out.</v>
      </c>
      <c r="C41" s="0" t="str">
        <f aca="false">" "&amp;TRIM(SUBSTITUTE(SUBSTITUTE(SUBSTITUTE(SUBSTITUTE(SUBSTITUTE(SUBSTITUTE(SUBSTITUTE(SUBSTITUTE(SUBSTITUTE(SUBSTITUTE(SUBSTITUTE(SUBSTITUTE(SUBSTITUTE(SUBSTITUTE(SUBSTITUTE(SUBSTITUTE(LOWER(B41),"."," "),","," "),"'"," "),"’"," "),"!"," "),"?"," "),";"," "),":"," "),"-"," "),"("," "),")"," "),"""", " "),"£"," "),"&amp;"," "),"/"," "),"%"," "))&amp;" "</f>
        <v> hello two factor codes are not being sent to my phone also i think i was the victim of a scam and sent money to a fraudster please sort this out </v>
      </c>
      <c r="D41" s="0" t="n">
        <f aca="false">SUMPRODUCT((Rules!$A$2:$A$60=D$1)*Rules!$C$2:$C$60*ISNUMBER(SEARCH(Rules!$D$2:$D$60,$C41)))</f>
        <v>6</v>
      </c>
      <c r="E41" s="0" t="n">
        <f aca="false">SUMPRODUCT((Rules!$A$2:$A$60=E$1)*Rules!$C$2:$C$60*ISNUMBER(SEARCH(Rules!$D$2:$D$60,$C41)))</f>
        <v>0</v>
      </c>
      <c r="F41" s="0" t="n">
        <f aca="false">SUMPRODUCT((Rules!$A$2:$A$60=F$1)*Rules!$C$2:$C$60*ISNUMBER(SEARCH(Rules!$D$2:$D$60,$C41)))</f>
        <v>3</v>
      </c>
      <c r="G41" s="0" t="n">
        <f aca="false">SUMPRODUCT((Rules!$A$2:$A$60=G$1)*Rules!$C$2:$C$60*ISNUMBER(SEARCH(Rules!$D$2:$D$60,$C41)))</f>
        <v>0</v>
      </c>
      <c r="H41" s="0" t="n">
        <f aca="false">SUMPRODUCT((Rules!$A$2:$A$60=H$1)*Rules!$C$2:$C$60*ISNUMBER(SEARCH(Rules!$D$2:$D$60,$C41)))</f>
        <v>0</v>
      </c>
      <c r="I41" s="0" t="n">
        <f aca="false">SUMPRODUCT((Rules!$A$2:$A$60=I$1)*Rules!$C$2:$C$60*ISNUMBER(SEARCH(Rules!$D$2:$D$60,$C41)))</f>
        <v>0</v>
      </c>
      <c r="J41" s="0" t="str">
        <f aca="false">IF(OR(MAX(D41:I41)&lt;Rules!$H$1,MAX(D41:I41)-LARGE(D41:I41,2)&lt;Rules!$H$2),"No label",INDEX($D$1:$I$1,MATCH(MAX(D41:I41),D41:I41,0)))</f>
        <v>Fraud &amp; Scams</v>
      </c>
      <c r="K41" s="0" t="n">
        <f aca="false">SUMPRODUCT(ISNUMBER(SEARCH(" "&amp;Terms!$A$3:$A$821&amp;" ",$C41))*Terms!B$3:B$821)+Terms!B$2</f>
        <v>6.63576087729952</v>
      </c>
      <c r="L41" s="0" t="n">
        <f aca="false">SUMPRODUCT(ISNUMBER(SEARCH(" "&amp;Terms!$A$3:$A$821&amp;" ",$C41))*Terms!C$3:C$821)+Terms!C$2</f>
        <v>-5.38889009083912</v>
      </c>
      <c r="M41" s="0" t="n">
        <f aca="false">SUMPRODUCT(ISNUMBER(SEARCH(" "&amp;Terms!$A$3:$A$821&amp;" ",$C41))*Terms!D$3:D$821)+Terms!D$2</f>
        <v>-0.577549413022969</v>
      </c>
      <c r="N41" s="0" t="n">
        <f aca="false">SUMPRODUCT(ISNUMBER(SEARCH(" "&amp;Terms!$A$3:$A$821&amp;" ",$C41))*Terms!E$3:E$821)+Terms!E$2</f>
        <v>-1.88755126828687</v>
      </c>
      <c r="O41" s="0" t="n">
        <f aca="false">SUMPRODUCT(ISNUMBER(SEARCH(" "&amp;Terms!$A$3:$A$821&amp;" ",$C41))*Terms!F$3:F$821)+Terms!F$2</f>
        <v>4.97333655926413</v>
      </c>
      <c r="P41" s="0" t="n">
        <f aca="false">SUMPRODUCT(ISNUMBER(SEARCH(" "&amp;Terms!$A$3:$A$821&amp;" ",$C41))*Terms!G$3:G$821)+Terms!G$2</f>
        <v>-3.75510666441461</v>
      </c>
      <c r="Q41" s="0" t="str">
        <f aca="false">INDEX($K$1:$P$1,MATCH(MAX(K41:P41),K41:P41,0))</f>
        <v>Account Access</v>
      </c>
      <c r="R41" s="0" t="str">
        <f aca="false">IF(J41&lt;&gt;"No label",J41,Q41)</f>
        <v>Fraud &amp; Scams</v>
      </c>
      <c r="S41" s="0" t="str">
        <f aca="false">INDEX(Answers!$B$2:$B$201,MATCH(A41,Answers!$A$2:$A$201,0))</f>
        <v>Account Access</v>
      </c>
      <c r="T41" s="4" t="b">
        <f aca="false">R41=S41</f>
        <v>0</v>
      </c>
    </row>
    <row r="42" customFormat="false" ht="15" hidden="false" customHeight="false" outlineLevel="0" collapsed="false">
      <c r="A42" s="0" t="str">
        <f aca="false">NewComplaints!A42</f>
        <v>N0041</v>
      </c>
      <c r="B42" s="0" t="str">
        <f aca="false">NewComplaints!B42</f>
        <v>This is the second time I have raised this. I was tricked into moving savings to a safe account that was not safe. I expect compensation.</v>
      </c>
      <c r="C42" s="0" t="str">
        <f aca="false">" "&amp;TRIM(SUBSTITUTE(SUBSTITUTE(SUBSTITUTE(SUBSTITUTE(SUBSTITUTE(SUBSTITUTE(SUBSTITUTE(SUBSTITUTE(SUBSTITUTE(SUBSTITUTE(SUBSTITUTE(SUBSTITUTE(SUBSTITUTE(SUBSTITUTE(SUBSTITUTE(SUBSTITUTE(LOWER(B42),"."," "),","," "),"'"," "),"’"," "),"!"," "),"?"," "),";"," "),":"," "),"-"," "),"("," "),")"," "),"""", " "),"£"," "),"&amp;"," "),"/"," "),"%"," "))&amp;" "</f>
        <v> this is the second time i have raised this i was tricked into moving savings to a safe account that was not safe i expect compensation </v>
      </c>
      <c r="D42" s="0" t="n">
        <f aca="false">SUMPRODUCT((Rules!$A$2:$A$60=D$1)*Rules!$C$2:$C$60*ISNUMBER(SEARCH(Rules!$D$2:$D$60,$C42)))</f>
        <v>2</v>
      </c>
      <c r="E42" s="0" t="n">
        <f aca="false">SUMPRODUCT((Rules!$A$2:$A$60=E$1)*Rules!$C$2:$C$60*ISNUMBER(SEARCH(Rules!$D$2:$D$60,$C42)))</f>
        <v>0</v>
      </c>
      <c r="F42" s="0" t="n">
        <f aca="false">SUMPRODUCT((Rules!$A$2:$A$60=F$1)*Rules!$C$2:$C$60*ISNUMBER(SEARCH(Rules!$D$2:$D$60,$C42)))</f>
        <v>0</v>
      </c>
      <c r="G42" s="0" t="n">
        <f aca="false">SUMPRODUCT((Rules!$A$2:$A$60=G$1)*Rules!$C$2:$C$60*ISNUMBER(SEARCH(Rules!$D$2:$D$60,$C42)))</f>
        <v>0</v>
      </c>
      <c r="H42" s="0" t="n">
        <f aca="false">SUMPRODUCT((Rules!$A$2:$A$60=H$1)*Rules!$C$2:$C$60*ISNUMBER(SEARCH(Rules!$D$2:$D$60,$C42)))</f>
        <v>0</v>
      </c>
      <c r="I42" s="0" t="n">
        <f aca="false">SUMPRODUCT((Rules!$A$2:$A$60=I$1)*Rules!$C$2:$C$60*ISNUMBER(SEARCH(Rules!$D$2:$D$60,$C42)))</f>
        <v>0</v>
      </c>
      <c r="J42" s="0" t="str">
        <f aca="false">IF(OR(MAX(D42:I42)&lt;Rules!$H$1,MAX(D42:I42)-LARGE(D42:I42,2)&lt;Rules!$H$2),"No label",INDEX($D$1:$I$1,MATCH(MAX(D42:I42),D42:I42,0)))</f>
        <v>No label</v>
      </c>
      <c r="K42" s="0" t="n">
        <f aca="false">SUMPRODUCT(ISNUMBER(SEARCH(" "&amp;Terms!$A$3:$A$821&amp;" ",$C42))*Terms!B$3:B$821)+Terms!B$2</f>
        <v>-0.790413847931762</v>
      </c>
      <c r="L42" s="0" t="n">
        <f aca="false">SUMPRODUCT(ISNUMBER(SEARCH(" "&amp;Terms!$A$3:$A$821&amp;" ",$C42))*Terms!C$3:C$821)+Terms!C$2</f>
        <v>-4.50179600003462</v>
      </c>
      <c r="M42" s="0" t="n">
        <f aca="false">SUMPRODUCT(ISNUMBER(SEARCH(" "&amp;Terms!$A$3:$A$821&amp;" ",$C42))*Terms!D$3:D$821)+Terms!D$2</f>
        <v>0.718864482652577</v>
      </c>
      <c r="N42" s="0" t="n">
        <f aca="false">SUMPRODUCT(ISNUMBER(SEARCH(" "&amp;Terms!$A$3:$A$821&amp;" ",$C42))*Terms!E$3:E$821)+Terms!E$2</f>
        <v>-1.16099421698096</v>
      </c>
      <c r="O42" s="0" t="n">
        <f aca="false">SUMPRODUCT(ISNUMBER(SEARCH(" "&amp;Terms!$A$3:$A$821&amp;" ",$C42))*Terms!F$3:F$821)+Terms!F$2</f>
        <v>11.9289315392621</v>
      </c>
      <c r="P42" s="0" t="n">
        <f aca="false">SUMPRODUCT(ISNUMBER(SEARCH(" "&amp;Terms!$A$3:$A$821&amp;" ",$C42))*Terms!G$3:G$821)+Terms!G$2</f>
        <v>-6.19459195696727</v>
      </c>
      <c r="Q42" s="0" t="str">
        <f aca="false">INDEX($K$1:$P$1,MATCH(MAX(K42:P42),K42:P42,0))</f>
        <v>Fraud &amp; Scams</v>
      </c>
      <c r="R42" s="0" t="str">
        <f aca="false">IF(J42&lt;&gt;"No label",J42,Q42)</f>
        <v>Fraud &amp; Scams</v>
      </c>
      <c r="S42" s="0" t="str">
        <f aca="false">INDEX(Answers!$B$2:$B$201,MATCH(A42,Answers!$A$2:$A$201,0))</f>
        <v>Fraud &amp; Scams</v>
      </c>
      <c r="T42" s="4" t="b">
        <f aca="false">R42=S42</f>
        <v>1</v>
      </c>
    </row>
    <row r="43" customFormat="false" ht="15" hidden="false" customHeight="false" outlineLevel="0" collapsed="false">
      <c r="A43" s="0" t="str">
        <f aca="false">NewComplaints!A43</f>
        <v>N0042</v>
      </c>
      <c r="B43" s="0" t="str">
        <f aca="false">NewComplaints!B43</f>
        <v>Frankly, The payment still has not arrive in my account.</v>
      </c>
      <c r="C43" s="0" t="str">
        <f aca="false">" "&amp;TRIM(SUBSTITUTE(SUBSTITUTE(SUBSTITUTE(SUBSTITUTE(SUBSTITUTE(SUBSTITUTE(SUBSTITUTE(SUBSTITUTE(SUBSTITUTE(SUBSTITUTE(SUBSTITUTE(SUBSTITUTE(SUBSTITUTE(SUBSTITUTE(SUBSTITUTE(SUBSTITUTE(LOWER(B43),"."," "),","," "),"'"," "),"’"," "),"!"," "),"?"," "),";"," "),":"," "),"-"," "),"("," "),")"," "),"""", " "),"£"," "),"&amp;"," "),"/"," "),"%"," "))&amp;" "</f>
        <v> frankly the payment still has not arrive in my account </v>
      </c>
      <c r="D43" s="0" t="n">
        <f aca="false">SUMPRODUCT((Rules!$A$2:$A$60=D$1)*Rules!$C$2:$C$60*ISNUMBER(SEARCH(Rules!$D$2:$D$60,$C43)))</f>
        <v>0</v>
      </c>
      <c r="E43" s="0" t="n">
        <f aca="false">SUMPRODUCT((Rules!$A$2:$A$60=E$1)*Rules!$C$2:$C$60*ISNUMBER(SEARCH(Rules!$D$2:$D$60,$C43)))</f>
        <v>0</v>
      </c>
      <c r="F43" s="0" t="n">
        <f aca="false">SUMPRODUCT((Rules!$A$2:$A$60=F$1)*Rules!$C$2:$C$60*ISNUMBER(SEARCH(Rules!$D$2:$D$60,$C43)))</f>
        <v>0</v>
      </c>
      <c r="G43" s="0" t="n">
        <f aca="false">SUMPRODUCT((Rules!$A$2:$A$60=G$1)*Rules!$C$2:$C$60*ISNUMBER(SEARCH(Rules!$D$2:$D$60,$C43)))</f>
        <v>0</v>
      </c>
      <c r="H43" s="0" t="n">
        <f aca="false">SUMPRODUCT((Rules!$A$2:$A$60=H$1)*Rules!$C$2:$C$60*ISNUMBER(SEARCH(Rules!$D$2:$D$60,$C43)))</f>
        <v>0</v>
      </c>
      <c r="I43" s="0" t="n">
        <f aca="false">SUMPRODUCT((Rules!$A$2:$A$60=I$1)*Rules!$C$2:$C$60*ISNUMBER(SEARCH(Rules!$D$2:$D$60,$C43)))</f>
        <v>0</v>
      </c>
      <c r="J43" s="0" t="str">
        <f aca="false">IF(OR(MAX(D43:I43)&lt;Rules!$H$1,MAX(D43:I43)-LARGE(D43:I43,2)&lt;Rules!$H$2),"No label",INDEX($D$1:$I$1,MATCH(MAX(D43:I43),D43:I43,0)))</f>
        <v>No label</v>
      </c>
      <c r="K43" s="0" t="n">
        <f aca="false">SUMPRODUCT(ISNUMBER(SEARCH(" "&amp;Terms!$A$3:$A$821&amp;" ",$C43))*Terms!B$3:B$821)+Terms!B$2</f>
        <v>0.440849226317028</v>
      </c>
      <c r="L43" s="0" t="n">
        <f aca="false">SUMPRODUCT(ISNUMBER(SEARCH(" "&amp;Terms!$A$3:$A$821&amp;" ",$C43))*Terms!C$3:C$821)+Terms!C$2</f>
        <v>-2.72729838966923</v>
      </c>
      <c r="M43" s="0" t="n">
        <f aca="false">SUMPRODUCT(ISNUMBER(SEARCH(" "&amp;Terms!$A$3:$A$821&amp;" ",$C43))*Terms!D$3:D$821)+Terms!D$2</f>
        <v>2.91696909466399</v>
      </c>
      <c r="N43" s="0" t="n">
        <f aca="false">SUMPRODUCT(ISNUMBER(SEARCH(" "&amp;Terms!$A$3:$A$821&amp;" ",$C43))*Terms!E$3:E$821)+Terms!E$2</f>
        <v>1.02497342259975</v>
      </c>
      <c r="O43" s="0" t="n">
        <f aca="false">SUMPRODUCT(ISNUMBER(SEARCH(" "&amp;Terms!$A$3:$A$821&amp;" ",$C43))*Terms!F$3:F$821)+Terms!F$2</f>
        <v>1.10023065000241</v>
      </c>
      <c r="P43" s="0" t="n">
        <f aca="false">SUMPRODUCT(ISNUMBER(SEARCH(" "&amp;Terms!$A$3:$A$821&amp;" ",$C43))*Terms!G$3:G$821)+Terms!G$2</f>
        <v>-2.75572400391386</v>
      </c>
      <c r="Q43" s="0" t="str">
        <f aca="false">INDEX($K$1:$P$1,MATCH(MAX(K43:P43),K43:P43,0))</f>
        <v>Delays &amp; Processing</v>
      </c>
      <c r="R43" s="0" t="str">
        <f aca="false">IF(J43&lt;&gt;"No label",J43,Q43)</f>
        <v>Delays &amp; Processing</v>
      </c>
      <c r="S43" s="0" t="str">
        <f aca="false">INDEX(Answers!$B$2:$B$201,MATCH(A43,Answers!$A$2:$A$201,0))</f>
        <v>Delays &amp; Processing</v>
      </c>
      <c r="T43" s="4" t="b">
        <f aca="false">R43=S43</f>
        <v>1</v>
      </c>
    </row>
    <row r="44" customFormat="false" ht="15" hidden="false" customHeight="false" outlineLevel="0" collapsed="false">
      <c r="A44" s="0" t="str">
        <f aca="false">NewComplaints!A44</f>
        <v>N0043</v>
      </c>
      <c r="B44" s="0" t="str">
        <f aca="false">NewComplaints!B44</f>
        <v>It has taken six weeks to process my claim and nobody has updated me. This is not acceptable.</v>
      </c>
      <c r="C44" s="0" t="str">
        <f aca="false">" "&amp;TRIM(SUBSTITUTE(SUBSTITUTE(SUBSTITUTE(SUBSTITUTE(SUBSTITUTE(SUBSTITUTE(SUBSTITUTE(SUBSTITUTE(SUBSTITUTE(SUBSTITUTE(SUBSTITUTE(SUBSTITUTE(SUBSTITUTE(SUBSTITUTE(SUBSTITUTE(SUBSTITUTE(LOWER(B44),"."," "),","," "),"'"," "),"’"," "),"!"," "),"?"," "),";"," "),":"," "),"-"," "),"("," "),")"," "),"""", " "),"£"," "),"&amp;"," "),"/"," "),"%"," "))&amp;" "</f>
        <v> it has taken six weeks to process my claim and nobody has updated me this is not acceptable </v>
      </c>
      <c r="D44" s="0" t="n">
        <f aca="false">SUMPRODUCT((Rules!$A$2:$A$60=D$1)*Rules!$C$2:$C$60*ISNUMBER(SEARCH(Rules!$D$2:$D$60,$C44)))</f>
        <v>0</v>
      </c>
      <c r="E44" s="0" t="n">
        <f aca="false">SUMPRODUCT((Rules!$A$2:$A$60=E$1)*Rules!$C$2:$C$60*ISNUMBER(SEARCH(Rules!$D$2:$D$60,$C44)))</f>
        <v>0</v>
      </c>
      <c r="F44" s="0" t="n">
        <f aca="false">SUMPRODUCT((Rules!$A$2:$A$60=F$1)*Rules!$C$2:$C$60*ISNUMBER(SEARCH(Rules!$D$2:$D$60,$C44)))</f>
        <v>0</v>
      </c>
      <c r="G44" s="0" t="n">
        <f aca="false">SUMPRODUCT((Rules!$A$2:$A$60=G$1)*Rules!$C$2:$C$60*ISNUMBER(SEARCH(Rules!$D$2:$D$60,$C44)))</f>
        <v>0</v>
      </c>
      <c r="H44" s="0" t="n">
        <f aca="false">SUMPRODUCT((Rules!$A$2:$A$60=H$1)*Rules!$C$2:$C$60*ISNUMBER(SEARCH(Rules!$D$2:$D$60,$C44)))</f>
        <v>2</v>
      </c>
      <c r="I44" s="0" t="n">
        <f aca="false">SUMPRODUCT((Rules!$A$2:$A$60=I$1)*Rules!$C$2:$C$60*ISNUMBER(SEARCH(Rules!$D$2:$D$60,$C44)))</f>
        <v>0</v>
      </c>
      <c r="J44" s="0" t="str">
        <f aca="false">IF(OR(MAX(D44:I44)&lt;Rules!$H$1,MAX(D44:I44)-LARGE(D44:I44,2)&lt;Rules!$H$2),"No label",INDEX($D$1:$I$1,MATCH(MAX(D44:I44),D44:I44,0)))</f>
        <v>No label</v>
      </c>
      <c r="K44" s="0" t="n">
        <f aca="false">SUMPRODUCT(ISNUMBER(SEARCH(" "&amp;Terms!$A$3:$A$821&amp;" ",$C44))*Terms!B$3:B$821)+Terms!B$2</f>
        <v>-1.24105844578282</v>
      </c>
      <c r="L44" s="0" t="n">
        <f aca="false">SUMPRODUCT(ISNUMBER(SEARCH(" "&amp;Terms!$A$3:$A$821&amp;" ",$C44))*Terms!C$3:C$821)+Terms!C$2</f>
        <v>-3.96811366258523</v>
      </c>
      <c r="M44" s="0" t="n">
        <f aca="false">SUMPRODUCT(ISNUMBER(SEARCH(" "&amp;Terms!$A$3:$A$821&amp;" ",$C44))*Terms!D$3:D$821)+Terms!D$2</f>
        <v>8.06125891064228</v>
      </c>
      <c r="N44" s="0" t="n">
        <f aca="false">SUMPRODUCT(ISNUMBER(SEARCH(" "&amp;Terms!$A$3:$A$821&amp;" ",$C44))*Terms!E$3:E$821)+Terms!E$2</f>
        <v>-1.84947303417123</v>
      </c>
      <c r="O44" s="0" t="n">
        <f aca="false">SUMPRODUCT(ISNUMBER(SEARCH(" "&amp;Terms!$A$3:$A$821&amp;" ",$C44))*Terms!F$3:F$821)+Terms!F$2</f>
        <v>-0.547139943122857</v>
      </c>
      <c r="P44" s="0" t="n">
        <f aca="false">SUMPRODUCT(ISNUMBER(SEARCH(" "&amp;Terms!$A$3:$A$821&amp;" ",$C44))*Terms!G$3:G$821)+Terms!G$2</f>
        <v>-0.455473824980061</v>
      </c>
      <c r="Q44" s="0" t="str">
        <f aca="false">INDEX($K$1:$P$1,MATCH(MAX(K44:P44),K44:P44,0))</f>
        <v>Delays &amp; Processing</v>
      </c>
      <c r="R44" s="0" t="str">
        <f aca="false">IF(J44&lt;&gt;"No label",J44,Q44)</f>
        <v>Delays &amp; Processing</v>
      </c>
      <c r="S44" s="0" t="str">
        <f aca="false">INDEX(Answers!$B$2:$B$201,MATCH(A44,Answers!$A$2:$A$201,0))</f>
        <v>Delays &amp; Processing</v>
      </c>
      <c r="T44" s="4" t="b">
        <f aca="false">R44=S44</f>
        <v>1</v>
      </c>
    </row>
    <row r="45" customFormat="false" ht="15" hidden="false" customHeight="false" outlineLevel="0" collapsed="false">
      <c r="A45" s="0" t="str">
        <f aca="false">NewComplaints!A45</f>
        <v>N0044</v>
      </c>
      <c r="B45" s="0" t="str">
        <f aca="false">NewComplaints!B45</f>
        <v>To whom it may concern, The website will not let me register for online access. Please sort this out.</v>
      </c>
      <c r="C45" s="0" t="str">
        <f aca="false">" "&amp;TRIM(SUBSTITUTE(SUBSTITUTE(SUBSTITUTE(SUBSTITUTE(SUBSTITUTE(SUBSTITUTE(SUBSTITUTE(SUBSTITUTE(SUBSTITUTE(SUBSTITUTE(SUBSTITUTE(SUBSTITUTE(SUBSTITUTE(SUBSTITUTE(SUBSTITUTE(SUBSTITUTE(LOWER(B45),"."," "),","," "),"'"," "),"’"," "),"!"," "),"?"," "),";"," "),":"," "),"-"," "),"("," "),")"," "),"""", " "),"£"," "),"&amp;"," "),"/"," "),"%"," "))&amp;" "</f>
        <v> to whom it may concern the website will not let me register for online access please sort this out </v>
      </c>
      <c r="D45" s="0" t="n">
        <f aca="false">SUMPRODUCT((Rules!$A$2:$A$60=D$1)*Rules!$C$2:$C$60*ISNUMBER(SEARCH(Rules!$D$2:$D$60,$C45)))</f>
        <v>0</v>
      </c>
      <c r="E45" s="0" t="n">
        <f aca="false">SUMPRODUCT((Rules!$A$2:$A$60=E$1)*Rules!$C$2:$C$60*ISNUMBER(SEARCH(Rules!$D$2:$D$60,$C45)))</f>
        <v>0</v>
      </c>
      <c r="F45" s="0" t="n">
        <f aca="false">SUMPRODUCT((Rules!$A$2:$A$60=F$1)*Rules!$C$2:$C$60*ISNUMBER(SEARCH(Rules!$D$2:$D$60,$C45)))</f>
        <v>1</v>
      </c>
      <c r="G45" s="0" t="n">
        <f aca="false">SUMPRODUCT((Rules!$A$2:$A$60=G$1)*Rules!$C$2:$C$60*ISNUMBER(SEARCH(Rules!$D$2:$D$60,$C45)))</f>
        <v>0</v>
      </c>
      <c r="H45" s="0" t="n">
        <f aca="false">SUMPRODUCT((Rules!$A$2:$A$60=H$1)*Rules!$C$2:$C$60*ISNUMBER(SEARCH(Rules!$D$2:$D$60,$C45)))</f>
        <v>0</v>
      </c>
      <c r="I45" s="0" t="n">
        <f aca="false">SUMPRODUCT((Rules!$A$2:$A$60=I$1)*Rules!$C$2:$C$60*ISNUMBER(SEARCH(Rules!$D$2:$D$60,$C45)))</f>
        <v>0</v>
      </c>
      <c r="J45" s="0" t="str">
        <f aca="false">IF(OR(MAX(D45:I45)&lt;Rules!$H$1,MAX(D45:I45)-LARGE(D45:I45,2)&lt;Rules!$H$2),"No label",INDEX($D$1:$I$1,MATCH(MAX(D45:I45),D45:I45,0)))</f>
        <v>No label</v>
      </c>
      <c r="K45" s="0" t="n">
        <f aca="false">SUMPRODUCT(ISNUMBER(SEARCH(" "&amp;Terms!$A$3:$A$821&amp;" ",$C45))*Terms!B$3:B$821)+Terms!B$2</f>
        <v>7.36179601292059</v>
      </c>
      <c r="L45" s="0" t="n">
        <f aca="false">SUMPRODUCT(ISNUMBER(SEARCH(" "&amp;Terms!$A$3:$A$821&amp;" ",$C45))*Terms!C$3:C$821)+Terms!C$2</f>
        <v>-3.13908391117718</v>
      </c>
      <c r="M45" s="0" t="n">
        <f aca="false">SUMPRODUCT(ISNUMBER(SEARCH(" "&amp;Terms!$A$3:$A$821&amp;" ",$C45))*Terms!D$3:D$821)+Terms!D$2</f>
        <v>-1.77031836315509</v>
      </c>
      <c r="N45" s="0" t="n">
        <f aca="false">SUMPRODUCT(ISNUMBER(SEARCH(" "&amp;Terms!$A$3:$A$821&amp;" ",$C45))*Terms!E$3:E$821)+Terms!E$2</f>
        <v>-0.0686540270536073</v>
      </c>
      <c r="O45" s="0" t="n">
        <f aca="false">SUMPRODUCT(ISNUMBER(SEARCH(" "&amp;Terms!$A$3:$A$821&amp;" ",$C45))*Terms!F$3:F$821)+Terms!F$2</f>
        <v>-1.8437527936932</v>
      </c>
      <c r="P45" s="0" t="n">
        <f aca="false">SUMPRODUCT(ISNUMBER(SEARCH(" "&amp;Terms!$A$3:$A$821&amp;" ",$C45))*Terms!G$3:G$821)+Terms!G$2</f>
        <v>-0.539986917841429</v>
      </c>
      <c r="Q45" s="0" t="str">
        <f aca="false">INDEX($K$1:$P$1,MATCH(MAX(K45:P45),K45:P45,0))</f>
        <v>Account Access</v>
      </c>
      <c r="R45" s="0" t="str">
        <f aca="false">IF(J45&lt;&gt;"No label",J45,Q45)</f>
        <v>Account Access</v>
      </c>
      <c r="S45" s="0" t="str">
        <f aca="false">INDEX(Answers!$B$2:$B$201,MATCH(A45,Answers!$A$2:$A$201,0))</f>
        <v>Account Access</v>
      </c>
      <c r="T45" s="4" t="b">
        <f aca="false">R45=S45</f>
        <v>1</v>
      </c>
    </row>
    <row r="46" customFormat="false" ht="15" hidden="false" customHeight="false" outlineLevel="0" collapsed="false">
      <c r="A46" s="0" t="str">
        <f aca="false">NewComplaints!A46</f>
        <v>N0045</v>
      </c>
      <c r="B46" s="0" t="str">
        <f aca="false">NewComplaints!B46</f>
        <v>The adviser did not explain the risks of the investment. Please sort this out.</v>
      </c>
      <c r="C46" s="0" t="str">
        <f aca="false">" "&amp;TRIM(SUBSTITUTE(SUBSTITUTE(SUBSTITUTE(SUBSTITUTE(SUBSTITUTE(SUBSTITUTE(SUBSTITUTE(SUBSTITUTE(SUBSTITUTE(SUBSTITUTE(SUBSTITUTE(SUBSTITUTE(SUBSTITUTE(SUBSTITUTE(SUBSTITUTE(SUBSTITUTE(LOWER(B46),"."," "),","," "),"'"," "),"’"," "),"!"," "),"?"," "),";"," "),":"," "),"-"," "),"("," "),")"," "),"""", " "),"£"," "),"&amp;"," "),"/"," "),"%"," "))&amp;" "</f>
        <v> the adviser did not explain the risks of the investment please sort this out </v>
      </c>
      <c r="D46" s="0" t="n">
        <f aca="false">SUMPRODUCT((Rules!$A$2:$A$60=D$1)*Rules!$C$2:$C$60*ISNUMBER(SEARCH(Rules!$D$2:$D$60,$C46)))</f>
        <v>0</v>
      </c>
      <c r="E46" s="0" t="n">
        <f aca="false">SUMPRODUCT((Rules!$A$2:$A$60=E$1)*Rules!$C$2:$C$60*ISNUMBER(SEARCH(Rules!$D$2:$D$60,$C46)))</f>
        <v>4</v>
      </c>
      <c r="F46" s="0" t="n">
        <f aca="false">SUMPRODUCT((Rules!$A$2:$A$60=F$1)*Rules!$C$2:$C$60*ISNUMBER(SEARCH(Rules!$D$2:$D$60,$C46)))</f>
        <v>0</v>
      </c>
      <c r="G46" s="0" t="n">
        <f aca="false">SUMPRODUCT((Rules!$A$2:$A$60=G$1)*Rules!$C$2:$C$60*ISNUMBER(SEARCH(Rules!$D$2:$D$60,$C46)))</f>
        <v>0</v>
      </c>
      <c r="H46" s="0" t="n">
        <f aca="false">SUMPRODUCT((Rules!$A$2:$A$60=H$1)*Rules!$C$2:$C$60*ISNUMBER(SEARCH(Rules!$D$2:$D$60,$C46)))</f>
        <v>0</v>
      </c>
      <c r="I46" s="0" t="n">
        <f aca="false">SUMPRODUCT((Rules!$A$2:$A$60=I$1)*Rules!$C$2:$C$60*ISNUMBER(SEARCH(Rules!$D$2:$D$60,$C46)))</f>
        <v>0</v>
      </c>
      <c r="J46" s="0" t="str">
        <f aca="false">IF(OR(MAX(D46:I46)&lt;Rules!$H$1,MAX(D46:I46)-LARGE(D46:I46,2)&lt;Rules!$H$2),"No label",INDEX($D$1:$I$1,MATCH(MAX(D46:I46),D46:I46,0)))</f>
        <v>Mis-selling</v>
      </c>
      <c r="K46" s="0" t="n">
        <f aca="false">SUMPRODUCT(ISNUMBER(SEARCH(" "&amp;Terms!$A$3:$A$821&amp;" ",$C46))*Terms!B$3:B$821)+Terms!B$2</f>
        <v>-5.19935962450199</v>
      </c>
      <c r="L46" s="0" t="n">
        <f aca="false">SUMPRODUCT(ISNUMBER(SEARCH(" "&amp;Terms!$A$3:$A$821&amp;" ",$C46))*Terms!C$3:C$821)+Terms!C$2</f>
        <v>0.240202427499438</v>
      </c>
      <c r="M46" s="0" t="n">
        <f aca="false">SUMPRODUCT(ISNUMBER(SEARCH(" "&amp;Terms!$A$3:$A$821&amp;" ",$C46))*Terms!D$3:D$821)+Terms!D$2</f>
        <v>-3.86946758806207</v>
      </c>
      <c r="N46" s="0" t="n">
        <f aca="false">SUMPRODUCT(ISNUMBER(SEARCH(" "&amp;Terms!$A$3:$A$821&amp;" ",$C46))*Terms!E$3:E$821)+Terms!E$2</f>
        <v>1.40176362613687</v>
      </c>
      <c r="O46" s="0" t="n">
        <f aca="false">SUMPRODUCT(ISNUMBER(SEARCH(" "&amp;Terms!$A$3:$A$821&amp;" ",$C46))*Terms!F$3:F$821)+Terms!F$2</f>
        <v>-0.97606428694193</v>
      </c>
      <c r="P46" s="0" t="n">
        <f aca="false">SUMPRODUCT(ISNUMBER(SEARCH(" "&amp;Terms!$A$3:$A$821&amp;" ",$C46))*Terms!G$3:G$821)+Terms!G$2</f>
        <v>8.40292544586977</v>
      </c>
      <c r="Q46" s="0" t="str">
        <f aca="false">INDEX($K$1:$P$1,MATCH(MAX(K46:P46),K46:P46,0))</f>
        <v>Mis-selling</v>
      </c>
      <c r="R46" s="0" t="str">
        <f aca="false">IF(J46&lt;&gt;"No label",J46,Q46)</f>
        <v>Mis-selling</v>
      </c>
      <c r="S46" s="0" t="str">
        <f aca="false">INDEX(Answers!$B$2:$B$201,MATCH(A46,Answers!$A$2:$A$201,0))</f>
        <v>Mis-selling</v>
      </c>
      <c r="T46" s="4" t="b">
        <f aca="false">R46=S46</f>
        <v>1</v>
      </c>
    </row>
    <row r="47" customFormat="false" ht="15" hidden="false" customHeight="false" outlineLevel="0" collapsed="false">
      <c r="A47" s="0" t="str">
        <f aca="false">NewComplaints!A47</f>
        <v>N0046</v>
      </c>
      <c r="B47" s="0" t="str">
        <f aca="false">NewComplaints!B47</f>
        <v>To whom it may concern, A person pretending to be from your bank phoned me and I gave them details. I would like a response in writing.</v>
      </c>
      <c r="C47" s="0" t="str">
        <f aca="false">" "&amp;TRIM(SUBSTITUTE(SUBSTITUTE(SUBSTITUTE(SUBSTITUTE(SUBSTITUTE(SUBSTITUTE(SUBSTITUTE(SUBSTITUTE(SUBSTITUTE(SUBSTITUTE(SUBSTITUTE(SUBSTITUTE(SUBSTITUTE(SUBSTITUTE(SUBSTITUTE(SUBSTITUTE(LOWER(B47),"."," "),","," "),"'"," "),"’"," "),"!"," "),"?"," "),";"," "),":"," "),"-"," "),"("," "),")"," "),"""", " "),"£"," "),"&amp;"," "),"/"," "),"%"," "))&amp;" "</f>
        <v> to whom it may concern a person pretending to be from your bank phoned me and i gave them details i would like a response in writing </v>
      </c>
      <c r="D47" s="0" t="n">
        <f aca="false">SUMPRODUCT((Rules!$A$2:$A$60=D$1)*Rules!$C$2:$C$60*ISNUMBER(SEARCH(Rules!$D$2:$D$60,$C47)))</f>
        <v>0</v>
      </c>
      <c r="E47" s="0" t="n">
        <f aca="false">SUMPRODUCT((Rules!$A$2:$A$60=E$1)*Rules!$C$2:$C$60*ISNUMBER(SEARCH(Rules!$D$2:$D$60,$C47)))</f>
        <v>0</v>
      </c>
      <c r="F47" s="0" t="n">
        <f aca="false">SUMPRODUCT((Rules!$A$2:$A$60=F$1)*Rules!$C$2:$C$60*ISNUMBER(SEARCH(Rules!$D$2:$D$60,$C47)))</f>
        <v>0</v>
      </c>
      <c r="G47" s="0" t="n">
        <f aca="false">SUMPRODUCT((Rules!$A$2:$A$60=G$1)*Rules!$C$2:$C$60*ISNUMBER(SEARCH(Rules!$D$2:$D$60,$C47)))</f>
        <v>0</v>
      </c>
      <c r="H47" s="0" t="n">
        <f aca="false">SUMPRODUCT((Rules!$A$2:$A$60=H$1)*Rules!$C$2:$C$60*ISNUMBER(SEARCH(Rules!$D$2:$D$60,$C47)))</f>
        <v>0</v>
      </c>
      <c r="I47" s="0" t="n">
        <f aca="false">SUMPRODUCT((Rules!$A$2:$A$60=I$1)*Rules!$C$2:$C$60*ISNUMBER(SEARCH(Rules!$D$2:$D$60,$C47)))</f>
        <v>0</v>
      </c>
      <c r="J47" s="0" t="str">
        <f aca="false">IF(OR(MAX(D47:I47)&lt;Rules!$H$1,MAX(D47:I47)-LARGE(D47:I47,2)&lt;Rules!$H$2),"No label",INDEX($D$1:$I$1,MATCH(MAX(D47:I47),D47:I47,0)))</f>
        <v>No label</v>
      </c>
      <c r="K47" s="0" t="n">
        <f aca="false">SUMPRODUCT(ISNUMBER(SEARCH(" "&amp;Terms!$A$3:$A$821&amp;" ",$C47))*Terms!B$3:B$821)+Terms!B$2</f>
        <v>-0.421598147312849</v>
      </c>
      <c r="L47" s="0" t="n">
        <f aca="false">SUMPRODUCT(ISNUMBER(SEARCH(" "&amp;Terms!$A$3:$A$821&amp;" ",$C47))*Terms!C$3:C$821)+Terms!C$2</f>
        <v>-2.76822916703967</v>
      </c>
      <c r="M47" s="0" t="n">
        <f aca="false">SUMPRODUCT(ISNUMBER(SEARCH(" "&amp;Terms!$A$3:$A$821&amp;" ",$C47))*Terms!D$3:D$821)+Terms!D$2</f>
        <v>-5.13834069456204</v>
      </c>
      <c r="N47" s="0" t="n">
        <f aca="false">SUMPRODUCT(ISNUMBER(SEARCH(" "&amp;Terms!$A$3:$A$821&amp;" ",$C47))*Terms!E$3:E$821)+Terms!E$2</f>
        <v>-2.01729606223924</v>
      </c>
      <c r="O47" s="0" t="n">
        <f aca="false">SUMPRODUCT(ISNUMBER(SEARCH(" "&amp;Terms!$A$3:$A$821&amp;" ",$C47))*Terms!F$3:F$821)+Terms!F$2</f>
        <v>8.64737415701563</v>
      </c>
      <c r="P47" s="0" t="n">
        <f aca="false">SUMPRODUCT(ISNUMBER(SEARCH(" "&amp;Terms!$A$3:$A$821&amp;" ",$C47))*Terms!G$3:G$821)+Terms!G$2</f>
        <v>1.69808991413824</v>
      </c>
      <c r="Q47" s="0" t="str">
        <f aca="false">INDEX($K$1:$P$1,MATCH(MAX(K47:P47),K47:P47,0))</f>
        <v>Fraud &amp; Scams</v>
      </c>
      <c r="R47" s="0" t="str">
        <f aca="false">IF(J47&lt;&gt;"No label",J47,Q47)</f>
        <v>Fraud &amp; Scams</v>
      </c>
      <c r="S47" s="0" t="str">
        <f aca="false">INDEX(Answers!$B$2:$B$201,MATCH(A47,Answers!$A$2:$A$201,0))</f>
        <v>Fraud &amp; Scams</v>
      </c>
      <c r="T47" s="4" t="b">
        <f aca="false">R47=S47</f>
        <v>1</v>
      </c>
    </row>
    <row r="48" customFormat="false" ht="15" hidden="false" customHeight="false" outlineLevel="0" collapsed="false">
      <c r="A48" s="0" t="str">
        <f aca="false">NewComplaints!A48</f>
        <v>N0047</v>
      </c>
      <c r="B48" s="0" t="str">
        <f aca="false">NewComplaints!B48</f>
        <v>I have been a customer for years. The salesperson pushed me into a plan I did not need. Please escalate this.</v>
      </c>
      <c r="C48" s="0" t="str">
        <f aca="false">" "&amp;TRIM(SUBSTITUTE(SUBSTITUTE(SUBSTITUTE(SUBSTITUTE(SUBSTITUTE(SUBSTITUTE(SUBSTITUTE(SUBSTITUTE(SUBSTITUTE(SUBSTITUTE(SUBSTITUTE(SUBSTITUTE(SUBSTITUTE(SUBSTITUTE(SUBSTITUTE(SUBSTITUTE(LOWER(B48),"."," "),","," "),"'"," "),"’"," "),"!"," "),"?"," "),";"," "),":"," "),"-"," "),"("," "),")"," "),"""", " "),"£"," "),"&amp;"," "),"/"," "),"%"," "))&amp;" "</f>
        <v> i have been a customer for years the salesperson pushed me into a plan i did not need please escalate this </v>
      </c>
      <c r="D48" s="0" t="n">
        <f aca="false">SUMPRODUCT((Rules!$A$2:$A$60=D$1)*Rules!$C$2:$C$60*ISNUMBER(SEARCH(Rules!$D$2:$D$60,$C48)))</f>
        <v>0</v>
      </c>
      <c r="E48" s="0" t="n">
        <f aca="false">SUMPRODUCT((Rules!$A$2:$A$60=E$1)*Rules!$C$2:$C$60*ISNUMBER(SEARCH(Rules!$D$2:$D$60,$C48)))</f>
        <v>2</v>
      </c>
      <c r="F48" s="0" t="n">
        <f aca="false">SUMPRODUCT((Rules!$A$2:$A$60=F$1)*Rules!$C$2:$C$60*ISNUMBER(SEARCH(Rules!$D$2:$D$60,$C48)))</f>
        <v>0</v>
      </c>
      <c r="G48" s="0" t="n">
        <f aca="false">SUMPRODUCT((Rules!$A$2:$A$60=G$1)*Rules!$C$2:$C$60*ISNUMBER(SEARCH(Rules!$D$2:$D$60,$C48)))</f>
        <v>0</v>
      </c>
      <c r="H48" s="0" t="n">
        <f aca="false">SUMPRODUCT((Rules!$A$2:$A$60=H$1)*Rules!$C$2:$C$60*ISNUMBER(SEARCH(Rules!$D$2:$D$60,$C48)))</f>
        <v>0</v>
      </c>
      <c r="I48" s="0" t="n">
        <f aca="false">SUMPRODUCT((Rules!$A$2:$A$60=I$1)*Rules!$C$2:$C$60*ISNUMBER(SEARCH(Rules!$D$2:$D$60,$C48)))</f>
        <v>0</v>
      </c>
      <c r="J48" s="0" t="str">
        <f aca="false">IF(OR(MAX(D48:I48)&lt;Rules!$H$1,MAX(D48:I48)-LARGE(D48:I48,2)&lt;Rules!$H$2),"No label",INDEX($D$1:$I$1,MATCH(MAX(D48:I48),D48:I48,0)))</f>
        <v>No label</v>
      </c>
      <c r="K48" s="0" t="n">
        <f aca="false">SUMPRODUCT(ISNUMBER(SEARCH(" "&amp;Terms!$A$3:$A$821&amp;" ",$C48))*Terms!B$3:B$821)+Terms!B$2</f>
        <v>-2.26275500237748</v>
      </c>
      <c r="L48" s="0" t="n">
        <f aca="false">SUMPRODUCT(ISNUMBER(SEARCH(" "&amp;Terms!$A$3:$A$821&amp;" ",$C48))*Terms!C$3:C$821)+Terms!C$2</f>
        <v>1.40056247656375</v>
      </c>
      <c r="M48" s="0" t="n">
        <f aca="false">SUMPRODUCT(ISNUMBER(SEARCH(" "&amp;Terms!$A$3:$A$821&amp;" ",$C48))*Terms!D$3:D$821)+Terms!D$2</f>
        <v>-3.4619037254765</v>
      </c>
      <c r="N48" s="0" t="n">
        <f aca="false">SUMPRODUCT(ISNUMBER(SEARCH(" "&amp;Terms!$A$3:$A$821&amp;" ",$C48))*Terms!E$3:E$821)+Terms!E$2</f>
        <v>-2.69644717540492</v>
      </c>
      <c r="O48" s="0" t="n">
        <f aca="false">SUMPRODUCT(ISNUMBER(SEARCH(" "&amp;Terms!$A$3:$A$821&amp;" ",$C48))*Terms!F$3:F$821)+Terms!F$2</f>
        <v>-1.01557655236746</v>
      </c>
      <c r="P48" s="0" t="n">
        <f aca="false">SUMPRODUCT(ISNUMBER(SEARCH(" "&amp;Terms!$A$3:$A$821&amp;" ",$C48))*Terms!G$3:G$821)+Terms!G$2</f>
        <v>8.03611997906272</v>
      </c>
      <c r="Q48" s="0" t="str">
        <f aca="false">INDEX($K$1:$P$1,MATCH(MAX(K48:P48),K48:P48,0))</f>
        <v>Mis-selling</v>
      </c>
      <c r="R48" s="0" t="str">
        <f aca="false">IF(J48&lt;&gt;"No label",J48,Q48)</f>
        <v>Mis-selling</v>
      </c>
      <c r="S48" s="0" t="str">
        <f aca="false">INDEX(Answers!$B$2:$B$201,MATCH(A48,Answers!$A$2:$A$201,0))</f>
        <v>Mis-selling</v>
      </c>
      <c r="T48" s="4" t="b">
        <f aca="false">R48=S48</f>
        <v>1</v>
      </c>
    </row>
    <row r="49" customFormat="false" ht="15" hidden="false" customHeight="false" outlineLevel="0" collapsed="false">
      <c r="A49" s="0" t="str">
        <f aca="false">NewComplaints!A49</f>
        <v>N0048</v>
      </c>
      <c r="B49" s="0" t="str">
        <f aca="false">NewComplaints!B49</f>
        <v>Hello, Why has my interest rate gone up without notice, it is costing me more every month. Also, i asked for a callback and it never happened. I want this put right.</v>
      </c>
      <c r="C49" s="0" t="str">
        <f aca="false">" "&amp;TRIM(SUBSTITUTE(SUBSTITUTE(SUBSTITUTE(SUBSTITUTE(SUBSTITUTE(SUBSTITUTE(SUBSTITUTE(SUBSTITUTE(SUBSTITUTE(SUBSTITUTE(SUBSTITUTE(SUBSTITUTE(SUBSTITUTE(SUBSTITUTE(SUBSTITUTE(SUBSTITUTE(LOWER(B49),"."," "),","," "),"'"," "),"’"," "),"!"," "),"?"," "),";"," "),":"," "),"-"," "),"("," "),")"," "),"""", " "),"£"," "),"&amp;"," "),"/"," "),"%"," "))&amp;" "</f>
        <v> hello why has my interest rate gone up without notice it is costing me more every month also i asked for a callback and it never happened i want this put right </v>
      </c>
      <c r="D49" s="0" t="n">
        <f aca="false">SUMPRODUCT((Rules!$A$2:$A$60=D$1)*Rules!$C$2:$C$60*ISNUMBER(SEARCH(Rules!$D$2:$D$60,$C49)))</f>
        <v>0</v>
      </c>
      <c r="E49" s="0" t="n">
        <f aca="false">SUMPRODUCT((Rules!$A$2:$A$60=E$1)*Rules!$C$2:$C$60*ISNUMBER(SEARCH(Rules!$D$2:$D$60,$C49)))</f>
        <v>0</v>
      </c>
      <c r="F49" s="0" t="n">
        <f aca="false">SUMPRODUCT((Rules!$A$2:$A$60=F$1)*Rules!$C$2:$C$60*ISNUMBER(SEARCH(Rules!$D$2:$D$60,$C49)))</f>
        <v>0</v>
      </c>
      <c r="G49" s="0" t="n">
        <f aca="false">SUMPRODUCT((Rules!$A$2:$A$60=G$1)*Rules!$C$2:$C$60*ISNUMBER(SEARCH(Rules!$D$2:$D$60,$C49)))</f>
        <v>2</v>
      </c>
      <c r="H49" s="0" t="n">
        <f aca="false">SUMPRODUCT((Rules!$A$2:$A$60=H$1)*Rules!$C$2:$C$60*ISNUMBER(SEARCH(Rules!$D$2:$D$60,$C49)))</f>
        <v>0</v>
      </c>
      <c r="I49" s="0" t="n">
        <f aca="false">SUMPRODUCT((Rules!$A$2:$A$60=I$1)*Rules!$C$2:$C$60*ISNUMBER(SEARCH(Rules!$D$2:$D$60,$C49)))</f>
        <v>2</v>
      </c>
      <c r="J49" s="0" t="str">
        <f aca="false">IF(OR(MAX(D49:I49)&lt;Rules!$H$1,MAX(D49:I49)-LARGE(D49:I49,2)&lt;Rules!$H$2),"No label",INDEX($D$1:$I$1,MATCH(MAX(D49:I49),D49:I49,0)))</f>
        <v>No label</v>
      </c>
      <c r="K49" s="0" t="n">
        <f aca="false">SUMPRODUCT(ISNUMBER(SEARCH(" "&amp;Terms!$A$3:$A$821&amp;" ",$C49))*Terms!B$3:B$821)+Terms!B$2</f>
        <v>-2.99463919199908</v>
      </c>
      <c r="L49" s="0" t="n">
        <f aca="false">SUMPRODUCT(ISNUMBER(SEARCH(" "&amp;Terms!$A$3:$A$821&amp;" ",$C49))*Terms!C$3:C$821)+Terms!C$2</f>
        <v>1.80553175935435</v>
      </c>
      <c r="M49" s="0" t="n">
        <f aca="false">SUMPRODUCT(ISNUMBER(SEARCH(" "&amp;Terms!$A$3:$A$821&amp;" ",$C49))*Terms!D$3:D$821)+Terms!D$2</f>
        <v>-4.31915347077104</v>
      </c>
      <c r="N49" s="0" t="n">
        <f aca="false">SUMPRODUCT(ISNUMBER(SEARCH(" "&amp;Terms!$A$3:$A$821&amp;" ",$C49))*Terms!E$3:E$821)+Terms!E$2</f>
        <v>7.92299896749329</v>
      </c>
      <c r="O49" s="0" t="n">
        <f aca="false">SUMPRODUCT(ISNUMBER(SEARCH(" "&amp;Terms!$A$3:$A$821&amp;" ",$C49))*Terms!F$3:F$821)+Terms!F$2</f>
        <v>-0.0315648340423831</v>
      </c>
      <c r="P49" s="0" t="n">
        <f aca="false">SUMPRODUCT(ISNUMBER(SEARCH(" "&amp;Terms!$A$3:$A$821&amp;" ",$C49))*Terms!G$3:G$821)+Terms!G$2</f>
        <v>-2.38317323003504</v>
      </c>
      <c r="Q49" s="0" t="str">
        <f aca="false">INDEX($K$1:$P$1,MATCH(MAX(K49:P49),K49:P49,0))</f>
        <v>Fees &amp; Charges</v>
      </c>
      <c r="R49" s="0" t="str">
        <f aca="false">IF(J49&lt;&gt;"No label",J49,Q49)</f>
        <v>Fees &amp; Charges</v>
      </c>
      <c r="S49" s="0" t="str">
        <f aca="false">INDEX(Answers!$B$2:$B$201,MATCH(A49,Answers!$A$2:$A$201,0))</f>
        <v>Fees &amp; Charges</v>
      </c>
      <c r="T49" s="4" t="b">
        <f aca="false">R49=S49</f>
        <v>1</v>
      </c>
    </row>
    <row r="50" customFormat="false" ht="15" hidden="false" customHeight="false" outlineLevel="0" collapsed="false">
      <c r="A50" s="0" t="str">
        <f aca="false">NewComplaints!A50</f>
        <v>N0049</v>
      </c>
      <c r="B50" s="0" t="str">
        <f aca="false">NewComplaints!B50</f>
        <v>I am writing to complain. Your advisor gave me different answers on two separate calls.</v>
      </c>
      <c r="C50" s="0" t="str">
        <f aca="false">" "&amp;TRIM(SUBSTITUTE(SUBSTITUTE(SUBSTITUTE(SUBSTITUTE(SUBSTITUTE(SUBSTITUTE(SUBSTITUTE(SUBSTITUTE(SUBSTITUTE(SUBSTITUTE(SUBSTITUTE(SUBSTITUTE(SUBSTITUTE(SUBSTITUTE(SUBSTITUTE(SUBSTITUTE(LOWER(B50),"."," "),","," "),"'"," "),"’"," "),"!"," "),"?"," "),";"," "),":"," "),"-"," "),"("," "),")"," "),"""", " "),"£"," "),"&amp;"," "),"/"," "),"%"," "))&amp;" "</f>
        <v> i am writing to complain your advisor gave me different answers on two separate calls </v>
      </c>
      <c r="D50" s="0" t="n">
        <f aca="false">SUMPRODUCT((Rules!$A$2:$A$60=D$1)*Rules!$C$2:$C$60*ISNUMBER(SEARCH(Rules!$D$2:$D$60,$C50)))</f>
        <v>0</v>
      </c>
      <c r="E50" s="0" t="n">
        <f aca="false">SUMPRODUCT((Rules!$A$2:$A$60=E$1)*Rules!$C$2:$C$60*ISNUMBER(SEARCH(Rules!$D$2:$D$60,$C50)))</f>
        <v>0</v>
      </c>
      <c r="F50" s="0" t="n">
        <f aca="false">SUMPRODUCT((Rules!$A$2:$A$60=F$1)*Rules!$C$2:$C$60*ISNUMBER(SEARCH(Rules!$D$2:$D$60,$C50)))</f>
        <v>0</v>
      </c>
      <c r="G50" s="0" t="n">
        <f aca="false">SUMPRODUCT((Rules!$A$2:$A$60=G$1)*Rules!$C$2:$C$60*ISNUMBER(SEARCH(Rules!$D$2:$D$60,$C50)))</f>
        <v>0</v>
      </c>
      <c r="H50" s="0" t="n">
        <f aca="false">SUMPRODUCT((Rules!$A$2:$A$60=H$1)*Rules!$C$2:$C$60*ISNUMBER(SEARCH(Rules!$D$2:$D$60,$C50)))</f>
        <v>0</v>
      </c>
      <c r="I50" s="0" t="n">
        <f aca="false">SUMPRODUCT((Rules!$A$2:$A$60=I$1)*Rules!$C$2:$C$60*ISNUMBER(SEARCH(Rules!$D$2:$D$60,$C50)))</f>
        <v>1</v>
      </c>
      <c r="J50" s="0" t="str">
        <f aca="false">IF(OR(MAX(D50:I50)&lt;Rules!$H$1,MAX(D50:I50)-LARGE(D50:I50,2)&lt;Rules!$H$2),"No label",INDEX($D$1:$I$1,MATCH(MAX(D50:I50),D50:I50,0)))</f>
        <v>No label</v>
      </c>
      <c r="K50" s="0" t="n">
        <f aca="false">SUMPRODUCT(ISNUMBER(SEARCH(" "&amp;Terms!$A$3:$A$821&amp;" ",$C50))*Terms!B$3:B$821)+Terms!B$2</f>
        <v>-0.143016338723619</v>
      </c>
      <c r="L50" s="0" t="n">
        <f aca="false">SUMPRODUCT(ISNUMBER(SEARCH(" "&amp;Terms!$A$3:$A$821&amp;" ",$C50))*Terms!C$3:C$821)+Terms!C$2</f>
        <v>12.8764460689327</v>
      </c>
      <c r="M50" s="0" t="n">
        <f aca="false">SUMPRODUCT(ISNUMBER(SEARCH(" "&amp;Terms!$A$3:$A$821&amp;" ",$C50))*Terms!D$3:D$821)+Terms!D$2</f>
        <v>-1.32541288453274</v>
      </c>
      <c r="N50" s="0" t="n">
        <f aca="false">SUMPRODUCT(ISNUMBER(SEARCH(" "&amp;Terms!$A$3:$A$821&amp;" ",$C50))*Terms!E$3:E$821)+Terms!E$2</f>
        <v>-6.34746710299982</v>
      </c>
      <c r="O50" s="0" t="n">
        <f aca="false">SUMPRODUCT(ISNUMBER(SEARCH(" "&amp;Terms!$A$3:$A$821&amp;" ",$C50))*Terms!F$3:F$821)+Terms!F$2</f>
        <v>-2.49078913849818</v>
      </c>
      <c r="P50" s="0" t="n">
        <f aca="false">SUMPRODUCT(ISNUMBER(SEARCH(" "&amp;Terms!$A$3:$A$821&amp;" ",$C50))*Terms!G$3:G$821)+Terms!G$2</f>
        <v>-2.56976060417822</v>
      </c>
      <c r="Q50" s="0" t="str">
        <f aca="false">INDEX($K$1:$P$1,MATCH(MAX(K50:P50),K50:P50,0))</f>
        <v>Customer Service</v>
      </c>
      <c r="R50" s="0" t="str">
        <f aca="false">IF(J50&lt;&gt;"No label",J50,Q50)</f>
        <v>Customer Service</v>
      </c>
      <c r="S50" s="0" t="str">
        <f aca="false">INDEX(Answers!$B$2:$B$201,MATCH(A50,Answers!$A$2:$A$201,0))</f>
        <v>Customer Service</v>
      </c>
      <c r="T50" s="4" t="b">
        <f aca="false">R50=S50</f>
        <v>1</v>
      </c>
    </row>
    <row r="51" customFormat="false" ht="15" hidden="false" customHeight="false" outlineLevel="0" collapsed="false">
      <c r="A51" s="0" t="str">
        <f aca="false">NewComplaints!A51</f>
        <v>N0050</v>
      </c>
      <c r="B51" s="0" t="str">
        <f aca="false">NewComplaints!B51</f>
        <v>I was tricked into moving savings to a safe account that was not safe. Also, nobody checked whether I could afford the credit agreement. I would like a response in writing.</v>
      </c>
      <c r="C51" s="0" t="str">
        <f aca="false">" "&amp;TRIM(SUBSTITUTE(SUBSTITUTE(SUBSTITUTE(SUBSTITUTE(SUBSTITUTE(SUBSTITUTE(SUBSTITUTE(SUBSTITUTE(SUBSTITUTE(SUBSTITUTE(SUBSTITUTE(SUBSTITUTE(SUBSTITUTE(SUBSTITUTE(SUBSTITUTE(SUBSTITUTE(LOWER(B51),"."," "),","," "),"'"," "),"’"," "),"!"," "),"?"," "),";"," "),":"," "),"-"," "),"("," "),")"," "),"""", " "),"£"," "),"&amp;"," "),"/"," "),"%"," "))&amp;" "</f>
        <v> i was tricked into moving savings to a safe account that was not safe also nobody checked whether i could afford the credit agreement i would like a response in writing </v>
      </c>
      <c r="D51" s="0" t="n">
        <f aca="false">SUMPRODUCT((Rules!$A$2:$A$60=D$1)*Rules!$C$2:$C$60*ISNUMBER(SEARCH(Rules!$D$2:$D$60,$C51)))</f>
        <v>2</v>
      </c>
      <c r="E51" s="0" t="n">
        <f aca="false">SUMPRODUCT((Rules!$A$2:$A$60=E$1)*Rules!$C$2:$C$60*ISNUMBER(SEARCH(Rules!$D$2:$D$60,$C51)))</f>
        <v>0</v>
      </c>
      <c r="F51" s="0" t="n">
        <f aca="false">SUMPRODUCT((Rules!$A$2:$A$60=F$1)*Rules!$C$2:$C$60*ISNUMBER(SEARCH(Rules!$D$2:$D$60,$C51)))</f>
        <v>0</v>
      </c>
      <c r="G51" s="0" t="n">
        <f aca="false">SUMPRODUCT((Rules!$A$2:$A$60=G$1)*Rules!$C$2:$C$60*ISNUMBER(SEARCH(Rules!$D$2:$D$60,$C51)))</f>
        <v>0</v>
      </c>
      <c r="H51" s="0" t="n">
        <f aca="false">SUMPRODUCT((Rules!$A$2:$A$60=H$1)*Rules!$C$2:$C$60*ISNUMBER(SEARCH(Rules!$D$2:$D$60,$C51)))</f>
        <v>0</v>
      </c>
      <c r="I51" s="0" t="n">
        <f aca="false">SUMPRODUCT((Rules!$A$2:$A$60=I$1)*Rules!$C$2:$C$60*ISNUMBER(SEARCH(Rules!$D$2:$D$60,$C51)))</f>
        <v>0</v>
      </c>
      <c r="J51" s="0" t="str">
        <f aca="false">IF(OR(MAX(D51:I51)&lt;Rules!$H$1,MAX(D51:I51)-LARGE(D51:I51,2)&lt;Rules!$H$2),"No label",INDEX($D$1:$I$1,MATCH(MAX(D51:I51),D51:I51,0)))</f>
        <v>No label</v>
      </c>
      <c r="K51" s="0" t="n">
        <f aca="false">SUMPRODUCT(ISNUMBER(SEARCH(" "&amp;Terms!$A$3:$A$821&amp;" ",$C51))*Terms!B$3:B$821)+Terms!B$2</f>
        <v>-3.46470348387264</v>
      </c>
      <c r="L51" s="0" t="n">
        <f aca="false">SUMPRODUCT(ISNUMBER(SEARCH(" "&amp;Terms!$A$3:$A$821&amp;" ",$C51))*Terms!C$3:C$821)+Terms!C$2</f>
        <v>-8.64531713279273</v>
      </c>
      <c r="M51" s="0" t="n">
        <f aca="false">SUMPRODUCT(ISNUMBER(SEARCH(" "&amp;Terms!$A$3:$A$821&amp;" ",$C51))*Terms!D$3:D$821)+Terms!D$2</f>
        <v>0.840351138716009</v>
      </c>
      <c r="N51" s="0" t="n">
        <f aca="false">SUMPRODUCT(ISNUMBER(SEARCH(" "&amp;Terms!$A$3:$A$821&amp;" ",$C51))*Terms!E$3:E$821)+Terms!E$2</f>
        <v>-1.16836386385124</v>
      </c>
      <c r="O51" s="0" t="n">
        <f aca="false">SUMPRODUCT(ISNUMBER(SEARCH(" "&amp;Terms!$A$3:$A$821&amp;" ",$C51))*Terms!F$3:F$821)+Terms!F$2</f>
        <v>5.49819986860066</v>
      </c>
      <c r="P51" s="0" t="n">
        <f aca="false">SUMPRODUCT(ISNUMBER(SEARCH(" "&amp;Terms!$A$3:$A$821&amp;" ",$C51))*Terms!G$3:G$821)+Terms!G$2</f>
        <v>6.93983347320005</v>
      </c>
      <c r="Q51" s="0" t="str">
        <f aca="false">INDEX($K$1:$P$1,MATCH(MAX(K51:P51),K51:P51,0))</f>
        <v>Mis-selling</v>
      </c>
      <c r="R51" s="0" t="str">
        <f aca="false">IF(J51&lt;&gt;"No label",J51,Q51)</f>
        <v>Mis-selling</v>
      </c>
      <c r="S51" s="0" t="str">
        <f aca="false">INDEX(Answers!$B$2:$B$201,MATCH(A51,Answers!$A$2:$A$201,0))</f>
        <v>Fraud &amp; Scams</v>
      </c>
      <c r="T51" s="4" t="b">
        <f aca="false">R51=S51</f>
        <v>0</v>
      </c>
    </row>
    <row r="52" customFormat="false" ht="15" hidden="false" customHeight="false" outlineLevel="0" collapsed="false">
      <c r="A52" s="0" t="str">
        <f aca="false">NewComplaints!A52</f>
        <v>N0051</v>
      </c>
      <c r="B52" s="0" t="str">
        <f aca="false">NewComplaints!B52</f>
        <v>This is the second time I have raised this. I spent an hour on hold and then the call was cut off. I do not think it was explained properly when I bought it. I want this put right.</v>
      </c>
      <c r="C52" s="0" t="str">
        <f aca="false">" "&amp;TRIM(SUBSTITUTE(SUBSTITUTE(SUBSTITUTE(SUBSTITUTE(SUBSTITUTE(SUBSTITUTE(SUBSTITUTE(SUBSTITUTE(SUBSTITUTE(SUBSTITUTE(SUBSTITUTE(SUBSTITUTE(SUBSTITUTE(SUBSTITUTE(SUBSTITUTE(SUBSTITUTE(LOWER(B52),"."," "),","," "),"'"," "),"’"," "),"!"," "),"?"," "),";"," "),":"," "),"-"," "),"("," "),")"," "),"""", " "),"£"," "),"&amp;"," "),"/"," "),"%"," "))&amp;" "</f>
        <v> this is the second time i have raised this i spent an hour on hold and then the call was cut off i do not think it was explained properly when i bought it i want this put right </v>
      </c>
      <c r="D52" s="0" t="n">
        <f aca="false">SUMPRODUCT((Rules!$A$2:$A$60=D$1)*Rules!$C$2:$C$60*ISNUMBER(SEARCH(Rules!$D$2:$D$60,$C52)))</f>
        <v>0</v>
      </c>
      <c r="E52" s="0" t="n">
        <f aca="false">SUMPRODUCT((Rules!$A$2:$A$60=E$1)*Rules!$C$2:$C$60*ISNUMBER(SEARCH(Rules!$D$2:$D$60,$C52)))</f>
        <v>0</v>
      </c>
      <c r="F52" s="0" t="n">
        <f aca="false">SUMPRODUCT((Rules!$A$2:$A$60=F$1)*Rules!$C$2:$C$60*ISNUMBER(SEARCH(Rules!$D$2:$D$60,$C52)))</f>
        <v>0</v>
      </c>
      <c r="G52" s="0" t="n">
        <f aca="false">SUMPRODUCT((Rules!$A$2:$A$60=G$1)*Rules!$C$2:$C$60*ISNUMBER(SEARCH(Rules!$D$2:$D$60,$C52)))</f>
        <v>0</v>
      </c>
      <c r="H52" s="0" t="n">
        <f aca="false">SUMPRODUCT((Rules!$A$2:$A$60=H$1)*Rules!$C$2:$C$60*ISNUMBER(SEARCH(Rules!$D$2:$D$60,$C52)))</f>
        <v>0</v>
      </c>
      <c r="I52" s="0" t="n">
        <f aca="false">SUMPRODUCT((Rules!$A$2:$A$60=I$1)*Rules!$C$2:$C$60*ISNUMBER(SEARCH(Rules!$D$2:$D$60,$C52)))</f>
        <v>3</v>
      </c>
      <c r="J52" s="0" t="str">
        <f aca="false">IF(OR(MAX(D52:I52)&lt;Rules!$H$1,MAX(D52:I52)-LARGE(D52:I52,2)&lt;Rules!$H$2),"No label",INDEX($D$1:$I$1,MATCH(MAX(D52:I52),D52:I52,0)))</f>
        <v>Customer Service</v>
      </c>
      <c r="K52" s="0" t="n">
        <f aca="false">SUMPRODUCT(ISNUMBER(SEARCH(" "&amp;Terms!$A$3:$A$821&amp;" ",$C52))*Terms!B$3:B$821)+Terms!B$2</f>
        <v>-4.02470207084661</v>
      </c>
      <c r="L52" s="0" t="n">
        <f aca="false">SUMPRODUCT(ISNUMBER(SEARCH(" "&amp;Terms!$A$3:$A$821&amp;" ",$C52))*Terms!C$3:C$821)+Terms!C$2</f>
        <v>6.72137039896442</v>
      </c>
      <c r="M52" s="0" t="n">
        <f aca="false">SUMPRODUCT(ISNUMBER(SEARCH(" "&amp;Terms!$A$3:$A$821&amp;" ",$C52))*Terms!D$3:D$821)+Terms!D$2</f>
        <v>-3.82275061207395</v>
      </c>
      <c r="N52" s="0" t="n">
        <f aca="false">SUMPRODUCT(ISNUMBER(SEARCH(" "&amp;Terms!$A$3:$A$821&amp;" ",$C52))*Terms!E$3:E$821)+Terms!E$2</f>
        <v>0.615216915062872</v>
      </c>
      <c r="O52" s="0" t="n">
        <f aca="false">SUMPRODUCT(ISNUMBER(SEARCH(" "&amp;Terms!$A$3:$A$821&amp;" ",$C52))*Terms!F$3:F$821)+Terms!F$2</f>
        <v>4.07927339064654</v>
      </c>
      <c r="P52" s="0" t="n">
        <f aca="false">SUMPRODUCT(ISNUMBER(SEARCH(" "&amp;Terms!$A$3:$A$821&amp;" ",$C52))*Terms!G$3:G$821)+Terms!G$2</f>
        <v>-3.56840802175317</v>
      </c>
      <c r="Q52" s="0" t="str">
        <f aca="false">INDEX($K$1:$P$1,MATCH(MAX(K52:P52),K52:P52,0))</f>
        <v>Customer Service</v>
      </c>
      <c r="R52" s="0" t="str">
        <f aca="false">IF(J52&lt;&gt;"No label",J52,Q52)</f>
        <v>Customer Service</v>
      </c>
      <c r="S52" s="0" t="str">
        <f aca="false">INDEX(Answers!$B$2:$B$201,MATCH(A52,Answers!$A$2:$A$201,0))</f>
        <v>Customer Service</v>
      </c>
      <c r="T52" s="4" t="b">
        <f aca="false">R52=S52</f>
        <v>1</v>
      </c>
    </row>
    <row r="53" customFormat="false" ht="15" hidden="false" customHeight="false" outlineLevel="0" collapsed="false">
      <c r="A53" s="0" t="str">
        <f aca="false">NewComplaints!A53</f>
        <v>N0052</v>
      </c>
      <c r="B53" s="0" t="str">
        <f aca="false">NewComplaints!B53</f>
        <v>The terms were very different from what I was promised at the time of sale. Also, the website will not let me register for online access.</v>
      </c>
      <c r="C53" s="0" t="str">
        <f aca="false">" "&amp;TRIM(SUBSTITUTE(SUBSTITUTE(SUBSTITUTE(SUBSTITUTE(SUBSTITUTE(SUBSTITUTE(SUBSTITUTE(SUBSTITUTE(SUBSTITUTE(SUBSTITUTE(SUBSTITUTE(SUBSTITUTE(SUBSTITUTE(SUBSTITUTE(SUBSTITUTE(SUBSTITUTE(LOWER(B53),"."," "),","," "),"'"," "),"’"," "),"!"," "),"?"," "),";"," "),":"," "),"-"," "),"("," "),")"," "),"""", " "),"£"," "),"&amp;"," "),"/"," "),"%"," "))&amp;" "</f>
        <v> the terms were very different from what i was promised at the time of sale also the website will not let me register for online access </v>
      </c>
      <c r="D53" s="0" t="n">
        <f aca="false">SUMPRODUCT((Rules!$A$2:$A$60=D$1)*Rules!$C$2:$C$60*ISNUMBER(SEARCH(Rules!$D$2:$D$60,$C53)))</f>
        <v>0</v>
      </c>
      <c r="E53" s="0" t="n">
        <f aca="false">SUMPRODUCT((Rules!$A$2:$A$60=E$1)*Rules!$C$2:$C$60*ISNUMBER(SEARCH(Rules!$D$2:$D$60,$C53)))</f>
        <v>1</v>
      </c>
      <c r="F53" s="0" t="n">
        <f aca="false">SUMPRODUCT((Rules!$A$2:$A$60=F$1)*Rules!$C$2:$C$60*ISNUMBER(SEARCH(Rules!$D$2:$D$60,$C53)))</f>
        <v>1</v>
      </c>
      <c r="G53" s="0" t="n">
        <f aca="false">SUMPRODUCT((Rules!$A$2:$A$60=G$1)*Rules!$C$2:$C$60*ISNUMBER(SEARCH(Rules!$D$2:$D$60,$C53)))</f>
        <v>0</v>
      </c>
      <c r="H53" s="0" t="n">
        <f aca="false">SUMPRODUCT((Rules!$A$2:$A$60=H$1)*Rules!$C$2:$C$60*ISNUMBER(SEARCH(Rules!$D$2:$D$60,$C53)))</f>
        <v>0</v>
      </c>
      <c r="I53" s="0" t="n">
        <f aca="false">SUMPRODUCT((Rules!$A$2:$A$60=I$1)*Rules!$C$2:$C$60*ISNUMBER(SEARCH(Rules!$D$2:$D$60,$C53)))</f>
        <v>0</v>
      </c>
      <c r="J53" s="0" t="str">
        <f aca="false">IF(OR(MAX(D53:I53)&lt;Rules!$H$1,MAX(D53:I53)-LARGE(D53:I53,2)&lt;Rules!$H$2),"No label",INDEX($D$1:$I$1,MATCH(MAX(D53:I53),D53:I53,0)))</f>
        <v>No label</v>
      </c>
      <c r="K53" s="0" t="n">
        <f aca="false">SUMPRODUCT(ISNUMBER(SEARCH(" "&amp;Terms!$A$3:$A$821&amp;" ",$C53))*Terms!B$3:B$821)+Terms!B$2</f>
        <v>7.96265330501054</v>
      </c>
      <c r="L53" s="0" t="n">
        <f aca="false">SUMPRODUCT(ISNUMBER(SEARCH(" "&amp;Terms!$A$3:$A$821&amp;" ",$C53))*Terms!C$3:C$821)+Terms!C$2</f>
        <v>-6.18425391556352</v>
      </c>
      <c r="M53" s="0" t="n">
        <f aca="false">SUMPRODUCT(ISNUMBER(SEARCH(" "&amp;Terms!$A$3:$A$821&amp;" ",$C53))*Terms!D$3:D$821)+Terms!D$2</f>
        <v>0.459780928114016</v>
      </c>
      <c r="N53" s="0" t="n">
        <f aca="false">SUMPRODUCT(ISNUMBER(SEARCH(" "&amp;Terms!$A$3:$A$821&amp;" ",$C53))*Terms!E$3:E$821)+Terms!E$2</f>
        <v>-4.73422531174327</v>
      </c>
      <c r="O53" s="0" t="n">
        <f aca="false">SUMPRODUCT(ISNUMBER(SEARCH(" "&amp;Terms!$A$3:$A$821&amp;" ",$C53))*Terms!F$3:F$821)+Terms!F$2</f>
        <v>-4.9288293761076</v>
      </c>
      <c r="P53" s="0" t="n">
        <f aca="false">SUMPRODUCT(ISNUMBER(SEARCH(" "&amp;Terms!$A$3:$A$821&amp;" ",$C53))*Terms!G$3:G$821)+Terms!G$2</f>
        <v>7.42487437028993</v>
      </c>
      <c r="Q53" s="0" t="str">
        <f aca="false">INDEX($K$1:$P$1,MATCH(MAX(K53:P53),K53:P53,0))</f>
        <v>Account Access</v>
      </c>
      <c r="R53" s="0" t="str">
        <f aca="false">IF(J53&lt;&gt;"No label",J53,Q53)</f>
        <v>Account Access</v>
      </c>
      <c r="S53" s="0" t="str">
        <f aca="false">INDEX(Answers!$B$2:$B$201,MATCH(A53,Answers!$A$2:$A$201,0))</f>
        <v>Mis-selling</v>
      </c>
      <c r="T53" s="4" t="b">
        <f aca="false">R53=S53</f>
        <v>0</v>
      </c>
    </row>
    <row r="54" customFormat="false" ht="15" hidden="false" customHeight="false" outlineLevel="0" collapsed="false">
      <c r="A54" s="0" t="str">
        <f aca="false">NewComplaints!A54</f>
        <v>N0053</v>
      </c>
      <c r="B54" s="0" t="str">
        <f aca="false">NewComplaints!B54</f>
        <v>I was hit with a penalty charge for a payment I made on time. I want this put right.</v>
      </c>
      <c r="C54" s="0" t="str">
        <f aca="false">" "&amp;TRIM(SUBSTITUTE(SUBSTITUTE(SUBSTITUTE(SUBSTITUTE(SUBSTITUTE(SUBSTITUTE(SUBSTITUTE(SUBSTITUTE(SUBSTITUTE(SUBSTITUTE(SUBSTITUTE(SUBSTITUTE(SUBSTITUTE(SUBSTITUTE(SUBSTITUTE(SUBSTITUTE(LOWER(B54),"."," "),","," "),"'"," "),"’"," "),"!"," "),"?"," "),";"," "),":"," "),"-"," "),"("," "),")"," "),"""", " "),"£"," "),"&amp;"," "),"/"," "),"%"," "))&amp;" "</f>
        <v> i was hit with a penalty charge for a payment i made on time i want this put right </v>
      </c>
      <c r="D54" s="0" t="n">
        <f aca="false">SUMPRODUCT((Rules!$A$2:$A$60=D$1)*Rules!$C$2:$C$60*ISNUMBER(SEARCH(Rules!$D$2:$D$60,$C54)))</f>
        <v>0</v>
      </c>
      <c r="E54" s="0" t="n">
        <f aca="false">SUMPRODUCT((Rules!$A$2:$A$60=E$1)*Rules!$C$2:$C$60*ISNUMBER(SEARCH(Rules!$D$2:$D$60,$C54)))</f>
        <v>0</v>
      </c>
      <c r="F54" s="0" t="n">
        <f aca="false">SUMPRODUCT((Rules!$A$2:$A$60=F$1)*Rules!$C$2:$C$60*ISNUMBER(SEARCH(Rules!$D$2:$D$60,$C54)))</f>
        <v>0</v>
      </c>
      <c r="G54" s="0" t="n">
        <f aca="false">SUMPRODUCT((Rules!$A$2:$A$60=G$1)*Rules!$C$2:$C$60*ISNUMBER(SEARCH(Rules!$D$2:$D$60,$C54)))</f>
        <v>4</v>
      </c>
      <c r="H54" s="0" t="n">
        <f aca="false">SUMPRODUCT((Rules!$A$2:$A$60=H$1)*Rules!$C$2:$C$60*ISNUMBER(SEARCH(Rules!$D$2:$D$60,$C54)))</f>
        <v>0</v>
      </c>
      <c r="I54" s="0" t="n">
        <f aca="false">SUMPRODUCT((Rules!$A$2:$A$60=I$1)*Rules!$C$2:$C$60*ISNUMBER(SEARCH(Rules!$D$2:$D$60,$C54)))</f>
        <v>0</v>
      </c>
      <c r="J54" s="0" t="str">
        <f aca="false">IF(OR(MAX(D54:I54)&lt;Rules!$H$1,MAX(D54:I54)-LARGE(D54:I54,2)&lt;Rules!$H$2),"No label",INDEX($D$1:$I$1,MATCH(MAX(D54:I54),D54:I54,0)))</f>
        <v>Fees &amp; Charges</v>
      </c>
      <c r="K54" s="0" t="n">
        <f aca="false">SUMPRODUCT(ISNUMBER(SEARCH(" "&amp;Terms!$A$3:$A$821&amp;" ",$C54))*Terms!B$3:B$821)+Terms!B$2</f>
        <v>-5.06380972983496</v>
      </c>
      <c r="L54" s="0" t="n">
        <f aca="false">SUMPRODUCT(ISNUMBER(SEARCH(" "&amp;Terms!$A$3:$A$821&amp;" ",$C54))*Terms!C$3:C$821)+Terms!C$2</f>
        <v>-1.81948825521082</v>
      </c>
      <c r="M54" s="0" t="n">
        <f aca="false">SUMPRODUCT(ISNUMBER(SEARCH(" "&amp;Terms!$A$3:$A$821&amp;" ",$C54))*Terms!D$3:D$821)+Terms!D$2</f>
        <v>-1.98119113194158</v>
      </c>
      <c r="N54" s="0" t="n">
        <f aca="false">SUMPRODUCT(ISNUMBER(SEARCH(" "&amp;Terms!$A$3:$A$821&amp;" ",$C54))*Terms!E$3:E$821)+Terms!E$2</f>
        <v>10.4627846742803</v>
      </c>
      <c r="O54" s="0" t="n">
        <f aca="false">SUMPRODUCT(ISNUMBER(SEARCH(" "&amp;Terms!$A$3:$A$821&amp;" ",$C54))*Terms!F$3:F$821)+Terms!F$2</f>
        <v>0.659241878115668</v>
      </c>
      <c r="P54" s="0" t="n">
        <f aca="false">SUMPRODUCT(ISNUMBER(SEARCH(" "&amp;Terms!$A$3:$A$821&amp;" ",$C54))*Terms!G$3:G$821)+Terms!G$2</f>
        <v>-2.25753743540856</v>
      </c>
      <c r="Q54" s="0" t="str">
        <f aca="false">INDEX($K$1:$P$1,MATCH(MAX(K54:P54),K54:P54,0))</f>
        <v>Fees &amp; Charges</v>
      </c>
      <c r="R54" s="0" t="str">
        <f aca="false">IF(J54&lt;&gt;"No label",J54,Q54)</f>
        <v>Fees &amp; Charges</v>
      </c>
      <c r="S54" s="0" t="str">
        <f aca="false">INDEX(Answers!$B$2:$B$201,MATCH(A54,Answers!$A$2:$A$201,0))</f>
        <v>Fees &amp; Charges</v>
      </c>
      <c r="T54" s="4" t="b">
        <f aca="false">R54=S54</f>
        <v>1</v>
      </c>
    </row>
    <row r="55" customFormat="false" ht="15" hidden="false" customHeight="false" outlineLevel="0" collapsed="false">
      <c r="A55" s="0" t="str">
        <f aca="false">NewComplaints!A55</f>
        <v>N0054</v>
      </c>
      <c r="B55" s="0" t="str">
        <f aca="false">NewComplaints!B55</f>
        <v>I have been a customer for years. I think I was the victim of a scam and sent money to a fraudster. I want this put right.</v>
      </c>
      <c r="C55" s="0" t="str">
        <f aca="false">" "&amp;TRIM(SUBSTITUTE(SUBSTITUTE(SUBSTITUTE(SUBSTITUTE(SUBSTITUTE(SUBSTITUTE(SUBSTITUTE(SUBSTITUTE(SUBSTITUTE(SUBSTITUTE(SUBSTITUTE(SUBSTITUTE(SUBSTITUTE(SUBSTITUTE(SUBSTITUTE(SUBSTITUTE(LOWER(B55),"."," "),","," "),"'"," "),"’"," "),"!"," "),"?"," "),";"," "),":"," "),"-"," "),"("," "),")"," "),"""", " "),"£"," "),"&amp;"," "),"/"," "),"%"," "))&amp;" "</f>
        <v> i have been a customer for years i think i was the victim of a scam and sent money to a fraudster i want this put right </v>
      </c>
      <c r="D55" s="0" t="n">
        <f aca="false">SUMPRODUCT((Rules!$A$2:$A$60=D$1)*Rules!$C$2:$C$60*ISNUMBER(SEARCH(Rules!$D$2:$D$60,$C55)))</f>
        <v>6</v>
      </c>
      <c r="E55" s="0" t="n">
        <f aca="false">SUMPRODUCT((Rules!$A$2:$A$60=E$1)*Rules!$C$2:$C$60*ISNUMBER(SEARCH(Rules!$D$2:$D$60,$C55)))</f>
        <v>0</v>
      </c>
      <c r="F55" s="0" t="n">
        <f aca="false">SUMPRODUCT((Rules!$A$2:$A$60=F$1)*Rules!$C$2:$C$60*ISNUMBER(SEARCH(Rules!$D$2:$D$60,$C55)))</f>
        <v>0</v>
      </c>
      <c r="G55" s="0" t="n">
        <f aca="false">SUMPRODUCT((Rules!$A$2:$A$60=G$1)*Rules!$C$2:$C$60*ISNUMBER(SEARCH(Rules!$D$2:$D$60,$C55)))</f>
        <v>0</v>
      </c>
      <c r="H55" s="0" t="n">
        <f aca="false">SUMPRODUCT((Rules!$A$2:$A$60=H$1)*Rules!$C$2:$C$60*ISNUMBER(SEARCH(Rules!$D$2:$D$60,$C55)))</f>
        <v>0</v>
      </c>
      <c r="I55" s="0" t="n">
        <f aca="false">SUMPRODUCT((Rules!$A$2:$A$60=I$1)*Rules!$C$2:$C$60*ISNUMBER(SEARCH(Rules!$D$2:$D$60,$C55)))</f>
        <v>0</v>
      </c>
      <c r="J55" s="0" t="str">
        <f aca="false">IF(OR(MAX(D55:I55)&lt;Rules!$H$1,MAX(D55:I55)-LARGE(D55:I55,2)&lt;Rules!$H$2),"No label",INDEX($D$1:$I$1,MATCH(MAX(D55:I55),D55:I55,0)))</f>
        <v>Fraud &amp; Scams</v>
      </c>
      <c r="K55" s="0" t="n">
        <f aca="false">SUMPRODUCT(ISNUMBER(SEARCH(" "&amp;Terms!$A$3:$A$821&amp;" ",$C55))*Terms!B$3:B$821)+Terms!B$2</f>
        <v>-0.309710297077217</v>
      </c>
      <c r="L55" s="0" t="n">
        <f aca="false">SUMPRODUCT(ISNUMBER(SEARCH(" "&amp;Terms!$A$3:$A$821&amp;" ",$C55))*Terms!C$3:C$821)+Terms!C$2</f>
        <v>-4.93474024868359</v>
      </c>
      <c r="M55" s="0" t="n">
        <f aca="false">SUMPRODUCT(ISNUMBER(SEARCH(" "&amp;Terms!$A$3:$A$821&amp;" ",$C55))*Terms!D$3:D$821)+Terms!D$2</f>
        <v>-0.421628066098701</v>
      </c>
      <c r="N55" s="0" t="n">
        <f aca="false">SUMPRODUCT(ISNUMBER(SEARCH(" "&amp;Terms!$A$3:$A$821&amp;" ",$C55))*Terms!E$3:E$821)+Terms!E$2</f>
        <v>-1.96646603445944</v>
      </c>
      <c r="O55" s="0" t="n">
        <f aca="false">SUMPRODUCT(ISNUMBER(SEARCH(" "&amp;Terms!$A$3:$A$821&amp;" ",$C55))*Terms!F$3:F$821)+Terms!F$2</f>
        <v>10.563652090658</v>
      </c>
      <c r="P55" s="0" t="n">
        <f aca="false">SUMPRODUCT(ISNUMBER(SEARCH(" "&amp;Terms!$A$3:$A$821&amp;" ",$C55))*Terms!G$3:G$821)+Terms!G$2</f>
        <v>-2.93110744433892</v>
      </c>
      <c r="Q55" s="0" t="str">
        <f aca="false">INDEX($K$1:$P$1,MATCH(MAX(K55:P55),K55:P55,0))</f>
        <v>Fraud &amp; Scams</v>
      </c>
      <c r="R55" s="0" t="str">
        <f aca="false">IF(J55&lt;&gt;"No label",J55,Q55)</f>
        <v>Fraud &amp; Scams</v>
      </c>
      <c r="S55" s="0" t="str">
        <f aca="false">INDEX(Answers!$B$2:$B$201,MATCH(A55,Answers!$A$2:$A$201,0))</f>
        <v>Fraud &amp; Scams</v>
      </c>
      <c r="T55" s="4" t="b">
        <f aca="false">R55=S55</f>
        <v>1</v>
      </c>
    </row>
    <row r="56" customFormat="false" ht="15" hidden="false" customHeight="false" outlineLevel="0" collapsed="false">
      <c r="A56" s="0" t="str">
        <f aca="false">NewComplaints!A56</f>
        <v>N0055</v>
      </c>
      <c r="B56" s="0" t="str">
        <f aca="false">NewComplaints!B56</f>
        <v>Frankly, I keep getting an error message when I sign in. I am worried it might be fraud.</v>
      </c>
      <c r="C56" s="0" t="str">
        <f aca="false">" "&amp;TRIM(SUBSTITUTE(SUBSTITUTE(SUBSTITUTE(SUBSTITUTE(SUBSTITUTE(SUBSTITUTE(SUBSTITUTE(SUBSTITUTE(SUBSTITUTE(SUBSTITUTE(SUBSTITUTE(SUBSTITUTE(SUBSTITUTE(SUBSTITUTE(SUBSTITUTE(SUBSTITUTE(LOWER(B56),"."," "),","," "),"'"," "),"’"," "),"!"," "),"?"," "),";"," "),":"," "),"-"," "),"("," "),")"," "),"""", " "),"£"," "),"&amp;"," "),"/"," "),"%"," "))&amp;" "</f>
        <v> frankly i keep getting an error message when i sign in i am worried it might be fraud </v>
      </c>
      <c r="D56" s="0" t="n">
        <f aca="false">SUMPRODUCT((Rules!$A$2:$A$60=D$1)*Rules!$C$2:$C$60*ISNUMBER(SEARCH(Rules!$D$2:$D$60,$C56)))</f>
        <v>3</v>
      </c>
      <c r="E56" s="0" t="n">
        <f aca="false">SUMPRODUCT((Rules!$A$2:$A$60=E$1)*Rules!$C$2:$C$60*ISNUMBER(SEARCH(Rules!$D$2:$D$60,$C56)))</f>
        <v>0</v>
      </c>
      <c r="F56" s="0" t="n">
        <f aca="false">SUMPRODUCT((Rules!$A$2:$A$60=F$1)*Rules!$C$2:$C$60*ISNUMBER(SEARCH(Rules!$D$2:$D$60,$C56)))</f>
        <v>3</v>
      </c>
      <c r="G56" s="0" t="n">
        <f aca="false">SUMPRODUCT((Rules!$A$2:$A$60=G$1)*Rules!$C$2:$C$60*ISNUMBER(SEARCH(Rules!$D$2:$D$60,$C56)))</f>
        <v>0</v>
      </c>
      <c r="H56" s="0" t="n">
        <f aca="false">SUMPRODUCT((Rules!$A$2:$A$60=H$1)*Rules!$C$2:$C$60*ISNUMBER(SEARCH(Rules!$D$2:$D$60,$C56)))</f>
        <v>0</v>
      </c>
      <c r="I56" s="0" t="n">
        <f aca="false">SUMPRODUCT((Rules!$A$2:$A$60=I$1)*Rules!$C$2:$C$60*ISNUMBER(SEARCH(Rules!$D$2:$D$60,$C56)))</f>
        <v>0</v>
      </c>
      <c r="J56" s="0" t="str">
        <f aca="false">IF(OR(MAX(D56:I56)&lt;Rules!$H$1,MAX(D56:I56)-LARGE(D56:I56,2)&lt;Rules!$H$2),"No label",INDEX($D$1:$I$1,MATCH(MAX(D56:I56),D56:I56,0)))</f>
        <v>No label</v>
      </c>
      <c r="K56" s="0" t="n">
        <f aca="false">SUMPRODUCT(ISNUMBER(SEARCH(" "&amp;Terms!$A$3:$A$821&amp;" ",$C56))*Terms!B$3:B$821)+Terms!B$2</f>
        <v>10.2697312092327</v>
      </c>
      <c r="L56" s="0" t="n">
        <f aca="false">SUMPRODUCT(ISNUMBER(SEARCH(" "&amp;Terms!$A$3:$A$821&amp;" ",$C56))*Terms!C$3:C$821)+Terms!C$2</f>
        <v>0.804888188339656</v>
      </c>
      <c r="M56" s="0" t="n">
        <f aca="false">SUMPRODUCT(ISNUMBER(SEARCH(" "&amp;Terms!$A$3:$A$821&amp;" ",$C56))*Terms!D$3:D$821)+Terms!D$2</f>
        <v>-2.47633711676644</v>
      </c>
      <c r="N56" s="0" t="n">
        <f aca="false">SUMPRODUCT(ISNUMBER(SEARCH(" "&amp;Terms!$A$3:$A$821&amp;" ",$C56))*Terms!E$3:E$821)+Terms!E$2</f>
        <v>-4.39568248663955</v>
      </c>
      <c r="O56" s="0" t="n">
        <f aca="false">SUMPRODUCT(ISNUMBER(SEARCH(" "&amp;Terms!$A$3:$A$821&amp;" ",$C56))*Terms!F$3:F$821)+Terms!F$2</f>
        <v>-0.336907714000112</v>
      </c>
      <c r="P56" s="0" t="n">
        <f aca="false">SUMPRODUCT(ISNUMBER(SEARCH(" "&amp;Terms!$A$3:$A$821&amp;" ",$C56))*Terms!G$3:G$821)+Terms!G$2</f>
        <v>-3.86569208016616</v>
      </c>
      <c r="Q56" s="0" t="str">
        <f aca="false">INDEX($K$1:$P$1,MATCH(MAX(K56:P56),K56:P56,0))</f>
        <v>Account Access</v>
      </c>
      <c r="R56" s="0" t="str">
        <f aca="false">IF(J56&lt;&gt;"No label",J56,Q56)</f>
        <v>Account Access</v>
      </c>
      <c r="S56" s="0" t="str">
        <f aca="false">INDEX(Answers!$B$2:$B$201,MATCH(A56,Answers!$A$2:$A$201,0))</f>
        <v>Account Access</v>
      </c>
      <c r="T56" s="4" t="b">
        <f aca="false">R56=S56</f>
        <v>1</v>
      </c>
    </row>
    <row r="57" customFormat="false" ht="15" hidden="false" customHeight="false" outlineLevel="0" collapsed="false">
      <c r="A57" s="0" t="str">
        <f aca="false">NewComplaints!A57</f>
        <v>N0056</v>
      </c>
      <c r="B57" s="0" t="str">
        <f aca="false">NewComplaints!B57</f>
        <v>Frankly, The terms were very different from what I was promised at the time of sale. I would like a response in writing.</v>
      </c>
      <c r="C57" s="0" t="str">
        <f aca="false">" "&amp;TRIM(SUBSTITUTE(SUBSTITUTE(SUBSTITUTE(SUBSTITUTE(SUBSTITUTE(SUBSTITUTE(SUBSTITUTE(SUBSTITUTE(SUBSTITUTE(SUBSTITUTE(SUBSTITUTE(SUBSTITUTE(SUBSTITUTE(SUBSTITUTE(SUBSTITUTE(SUBSTITUTE(LOWER(B57),"."," "),","," "),"'"," "),"’"," "),"!"," "),"?"," "),";"," "),":"," "),"-"," "),"("," "),")"," "),"""", " "),"£"," "),"&amp;"," "),"/"," "),"%"," "))&amp;" "</f>
        <v> frankly the terms were very different from what i was promised at the time of sale i would like a response in writing </v>
      </c>
      <c r="D57" s="0" t="n">
        <f aca="false">SUMPRODUCT((Rules!$A$2:$A$60=D$1)*Rules!$C$2:$C$60*ISNUMBER(SEARCH(Rules!$D$2:$D$60,$C57)))</f>
        <v>0</v>
      </c>
      <c r="E57" s="0" t="n">
        <f aca="false">SUMPRODUCT((Rules!$A$2:$A$60=E$1)*Rules!$C$2:$C$60*ISNUMBER(SEARCH(Rules!$D$2:$D$60,$C57)))</f>
        <v>1</v>
      </c>
      <c r="F57" s="0" t="n">
        <f aca="false">SUMPRODUCT((Rules!$A$2:$A$60=F$1)*Rules!$C$2:$C$60*ISNUMBER(SEARCH(Rules!$D$2:$D$60,$C57)))</f>
        <v>0</v>
      </c>
      <c r="G57" s="0" t="n">
        <f aca="false">SUMPRODUCT((Rules!$A$2:$A$60=G$1)*Rules!$C$2:$C$60*ISNUMBER(SEARCH(Rules!$D$2:$D$60,$C57)))</f>
        <v>0</v>
      </c>
      <c r="H57" s="0" t="n">
        <f aca="false">SUMPRODUCT((Rules!$A$2:$A$60=H$1)*Rules!$C$2:$C$60*ISNUMBER(SEARCH(Rules!$D$2:$D$60,$C57)))</f>
        <v>0</v>
      </c>
      <c r="I57" s="0" t="n">
        <f aca="false">SUMPRODUCT((Rules!$A$2:$A$60=I$1)*Rules!$C$2:$C$60*ISNUMBER(SEARCH(Rules!$D$2:$D$60,$C57)))</f>
        <v>0</v>
      </c>
      <c r="J57" s="0" t="str">
        <f aca="false">IF(OR(MAX(D57:I57)&lt;Rules!$H$1,MAX(D57:I57)-LARGE(D57:I57,2)&lt;Rules!$H$2),"No label",INDEX($D$1:$I$1,MATCH(MAX(D57:I57),D57:I57,0)))</f>
        <v>No label</v>
      </c>
      <c r="K57" s="0" t="n">
        <f aca="false">SUMPRODUCT(ISNUMBER(SEARCH(" "&amp;Terms!$A$3:$A$821&amp;" ",$C57))*Terms!B$3:B$821)+Terms!B$2</f>
        <v>-1.6591164087005</v>
      </c>
      <c r="L57" s="0" t="n">
        <f aca="false">SUMPRODUCT(ISNUMBER(SEARCH(" "&amp;Terms!$A$3:$A$821&amp;" ",$C57))*Terms!C$3:C$821)+Terms!C$2</f>
        <v>-2.34408692629768</v>
      </c>
      <c r="M57" s="0" t="n">
        <f aca="false">SUMPRODUCT(ISNUMBER(SEARCH(" "&amp;Terms!$A$3:$A$821&amp;" ",$C57))*Terms!D$3:D$821)+Terms!D$2</f>
        <v>1.65063855566198</v>
      </c>
      <c r="N57" s="0" t="n">
        <f aca="false">SUMPRODUCT(ISNUMBER(SEARCH(" "&amp;Terms!$A$3:$A$821&amp;" ",$C57))*Terms!E$3:E$821)+Terms!E$2</f>
        <v>-2.32416278460471</v>
      </c>
      <c r="O57" s="0" t="n">
        <f aca="false">SUMPRODUCT(ISNUMBER(SEARCH(" "&amp;Terms!$A$3:$A$821&amp;" ",$C57))*Terms!F$3:F$821)+Terms!F$2</f>
        <v>-4.53310628048929</v>
      </c>
      <c r="P57" s="0" t="n">
        <f aca="false">SUMPRODUCT(ISNUMBER(SEARCH(" "&amp;Terms!$A$3:$A$821&amp;" ",$C57))*Terms!G$3:G$821)+Terms!G$2</f>
        <v>9.20983384443029</v>
      </c>
      <c r="Q57" s="0" t="str">
        <f aca="false">INDEX($K$1:$P$1,MATCH(MAX(K57:P57),K57:P57,0))</f>
        <v>Mis-selling</v>
      </c>
      <c r="R57" s="0" t="str">
        <f aca="false">IF(J57&lt;&gt;"No label",J57,Q57)</f>
        <v>Mis-selling</v>
      </c>
      <c r="S57" s="0" t="str">
        <f aca="false">INDEX(Answers!$B$2:$B$201,MATCH(A57,Answers!$A$2:$A$201,0))</f>
        <v>Mis-selling</v>
      </c>
      <c r="T57" s="4" t="b">
        <f aca="false">R57=S57</f>
        <v>1</v>
      </c>
    </row>
    <row r="58" customFormat="false" ht="15" hidden="false" customHeight="false" outlineLevel="0" collapsed="false">
      <c r="A58" s="0" t="str">
        <f aca="false">NewComplaints!A58</f>
        <v>N0057</v>
      </c>
      <c r="B58" s="0" t="str">
        <f aca="false">NewComplaints!B58</f>
        <v>To whom it may concern, Nobody has responded to my emails despite three reminders. I would like a response in writing.</v>
      </c>
      <c r="C58" s="0" t="str">
        <f aca="false">" "&amp;TRIM(SUBSTITUTE(SUBSTITUTE(SUBSTITUTE(SUBSTITUTE(SUBSTITUTE(SUBSTITUTE(SUBSTITUTE(SUBSTITUTE(SUBSTITUTE(SUBSTITUTE(SUBSTITUTE(SUBSTITUTE(SUBSTITUTE(SUBSTITUTE(SUBSTITUTE(SUBSTITUTE(LOWER(B58),"."," "),","," "),"'"," "),"’"," "),"!"," "),"?"," "),";"," "),":"," "),"-"," "),"("," "),")"," "),"""", " "),"£"," "),"&amp;"," "),"/"," "),"%"," "))&amp;" "</f>
        <v> to whom it may concern nobody has responded to my emails despite three reminders i would like a response in writing </v>
      </c>
      <c r="D58" s="0" t="n">
        <f aca="false">SUMPRODUCT((Rules!$A$2:$A$60=D$1)*Rules!$C$2:$C$60*ISNUMBER(SEARCH(Rules!$D$2:$D$60,$C58)))</f>
        <v>0</v>
      </c>
      <c r="E58" s="0" t="n">
        <f aca="false">SUMPRODUCT((Rules!$A$2:$A$60=E$1)*Rules!$C$2:$C$60*ISNUMBER(SEARCH(Rules!$D$2:$D$60,$C58)))</f>
        <v>0</v>
      </c>
      <c r="F58" s="0" t="n">
        <f aca="false">SUMPRODUCT((Rules!$A$2:$A$60=F$1)*Rules!$C$2:$C$60*ISNUMBER(SEARCH(Rules!$D$2:$D$60,$C58)))</f>
        <v>0</v>
      </c>
      <c r="G58" s="0" t="n">
        <f aca="false">SUMPRODUCT((Rules!$A$2:$A$60=G$1)*Rules!$C$2:$C$60*ISNUMBER(SEARCH(Rules!$D$2:$D$60,$C58)))</f>
        <v>0</v>
      </c>
      <c r="H58" s="0" t="n">
        <f aca="false">SUMPRODUCT((Rules!$A$2:$A$60=H$1)*Rules!$C$2:$C$60*ISNUMBER(SEARCH(Rules!$D$2:$D$60,$C58)))</f>
        <v>0</v>
      </c>
      <c r="I58" s="0" t="n">
        <f aca="false">SUMPRODUCT((Rules!$A$2:$A$60=I$1)*Rules!$C$2:$C$60*ISNUMBER(SEARCH(Rules!$D$2:$D$60,$C58)))</f>
        <v>2</v>
      </c>
      <c r="J58" s="0" t="str">
        <f aca="false">IF(OR(MAX(D58:I58)&lt;Rules!$H$1,MAX(D58:I58)-LARGE(D58:I58,2)&lt;Rules!$H$2),"No label",INDEX($D$1:$I$1,MATCH(MAX(D58:I58),D58:I58,0)))</f>
        <v>No label</v>
      </c>
      <c r="K58" s="0" t="n">
        <f aca="false">SUMPRODUCT(ISNUMBER(SEARCH(" "&amp;Terms!$A$3:$A$821&amp;" ",$C58))*Terms!B$3:B$821)+Terms!B$2</f>
        <v>-3.18296148237083</v>
      </c>
      <c r="L58" s="0" t="n">
        <f aca="false">SUMPRODUCT(ISNUMBER(SEARCH(" "&amp;Terms!$A$3:$A$821&amp;" ",$C58))*Terms!C$3:C$821)+Terms!C$2</f>
        <v>9.24572672240527</v>
      </c>
      <c r="M58" s="0" t="n">
        <f aca="false">SUMPRODUCT(ISNUMBER(SEARCH(" "&amp;Terms!$A$3:$A$821&amp;" ",$C58))*Terms!D$3:D$821)+Terms!D$2</f>
        <v>-2.14455758620325</v>
      </c>
      <c r="N58" s="0" t="n">
        <f aca="false">SUMPRODUCT(ISNUMBER(SEARCH(" "&amp;Terms!$A$3:$A$821&amp;" ",$C58))*Terms!E$3:E$821)+Terms!E$2</f>
        <v>-0.895531644032956</v>
      </c>
      <c r="O58" s="0" t="n">
        <f aca="false">SUMPRODUCT(ISNUMBER(SEARCH(" "&amp;Terms!$A$3:$A$821&amp;" ",$C58))*Terms!F$3:F$821)+Terms!F$2</f>
        <v>-3.3589868981715</v>
      </c>
      <c r="P58" s="0" t="n">
        <f aca="false">SUMPRODUCT(ISNUMBER(SEARCH(" "&amp;Terms!$A$3:$A$821&amp;" ",$C58))*Terms!G$3:G$821)+Terms!G$2</f>
        <v>0.336310888373372</v>
      </c>
      <c r="Q58" s="0" t="str">
        <f aca="false">INDEX($K$1:$P$1,MATCH(MAX(K58:P58),K58:P58,0))</f>
        <v>Customer Service</v>
      </c>
      <c r="R58" s="0" t="str">
        <f aca="false">IF(J58&lt;&gt;"No label",J58,Q58)</f>
        <v>Customer Service</v>
      </c>
      <c r="S58" s="0" t="str">
        <f aca="false">INDEX(Answers!$B$2:$B$201,MATCH(A58,Answers!$A$2:$A$201,0))</f>
        <v>Customer Service</v>
      </c>
      <c r="T58" s="4" t="b">
        <f aca="false">R58=S58</f>
        <v>1</v>
      </c>
    </row>
    <row r="59" customFormat="false" ht="15" hidden="false" customHeight="false" outlineLevel="0" collapsed="false">
      <c r="A59" s="0" t="str">
        <f aca="false">NewComplaints!A59</f>
        <v>N0058</v>
      </c>
      <c r="B59" s="0" t="str">
        <f aca="false">NewComplaints!B59</f>
        <v>I have been a customer for years. The adviser did not explain the risks of the investment. Also, my application has been stuck for weeks with no progress.</v>
      </c>
      <c r="C59" s="0" t="str">
        <f aca="false">" "&amp;TRIM(SUBSTITUTE(SUBSTITUTE(SUBSTITUTE(SUBSTITUTE(SUBSTITUTE(SUBSTITUTE(SUBSTITUTE(SUBSTITUTE(SUBSTITUTE(SUBSTITUTE(SUBSTITUTE(SUBSTITUTE(SUBSTITUTE(SUBSTITUTE(SUBSTITUTE(SUBSTITUTE(LOWER(B59),"."," "),","," "),"'"," "),"’"," "),"!"," "),"?"," "),";"," "),":"," "),"-"," "),"("," "),")"," "),"""", " "),"£"," "),"&amp;"," "),"/"," "),"%"," "))&amp;" "</f>
        <v> i have been a customer for years the adviser did not explain the risks of the investment also my application has been stuck for weeks with no progress </v>
      </c>
      <c r="D59" s="0" t="n">
        <f aca="false">SUMPRODUCT((Rules!$A$2:$A$60=D$1)*Rules!$C$2:$C$60*ISNUMBER(SEARCH(Rules!$D$2:$D$60,$C59)))</f>
        <v>0</v>
      </c>
      <c r="E59" s="0" t="n">
        <f aca="false">SUMPRODUCT((Rules!$A$2:$A$60=E$1)*Rules!$C$2:$C$60*ISNUMBER(SEARCH(Rules!$D$2:$D$60,$C59)))</f>
        <v>4</v>
      </c>
      <c r="F59" s="0" t="n">
        <f aca="false">SUMPRODUCT((Rules!$A$2:$A$60=F$1)*Rules!$C$2:$C$60*ISNUMBER(SEARCH(Rules!$D$2:$D$60,$C59)))</f>
        <v>0</v>
      </c>
      <c r="G59" s="0" t="n">
        <f aca="false">SUMPRODUCT((Rules!$A$2:$A$60=G$1)*Rules!$C$2:$C$60*ISNUMBER(SEARCH(Rules!$D$2:$D$60,$C59)))</f>
        <v>0</v>
      </c>
      <c r="H59" s="0" t="n">
        <f aca="false">SUMPRODUCT((Rules!$A$2:$A$60=H$1)*Rules!$C$2:$C$60*ISNUMBER(SEARCH(Rules!$D$2:$D$60,$C59)))</f>
        <v>3</v>
      </c>
      <c r="I59" s="0" t="n">
        <f aca="false">SUMPRODUCT((Rules!$A$2:$A$60=I$1)*Rules!$C$2:$C$60*ISNUMBER(SEARCH(Rules!$D$2:$D$60,$C59)))</f>
        <v>0</v>
      </c>
      <c r="J59" s="0" t="str">
        <f aca="false">IF(OR(MAX(D59:I59)&lt;Rules!$H$1,MAX(D59:I59)-LARGE(D59:I59,2)&lt;Rules!$H$2),"No label",INDEX($D$1:$I$1,MATCH(MAX(D59:I59),D59:I59,0)))</f>
        <v>No label</v>
      </c>
      <c r="K59" s="0" t="n">
        <f aca="false">SUMPRODUCT(ISNUMBER(SEARCH(" "&amp;Terms!$A$3:$A$821&amp;" ",$C59))*Terms!B$3:B$821)+Terms!B$2</f>
        <v>-5.19905311009069</v>
      </c>
      <c r="L59" s="0" t="n">
        <f aca="false">SUMPRODUCT(ISNUMBER(SEARCH(" "&amp;Terms!$A$3:$A$821&amp;" ",$C59))*Terms!C$3:C$821)+Terms!C$2</f>
        <v>0.233007237420176</v>
      </c>
      <c r="M59" s="0" t="n">
        <f aca="false">SUMPRODUCT(ISNUMBER(SEARCH(" "&amp;Terms!$A$3:$A$821&amp;" ",$C59))*Terms!D$3:D$821)+Terms!D$2</f>
        <v>4.90224626861999</v>
      </c>
      <c r="N59" s="0" t="n">
        <f aca="false">SUMPRODUCT(ISNUMBER(SEARCH(" "&amp;Terms!$A$3:$A$821&amp;" ",$C59))*Terms!E$3:E$821)+Terms!E$2</f>
        <v>-2.15334779220552</v>
      </c>
      <c r="O59" s="0" t="n">
        <f aca="false">SUMPRODUCT(ISNUMBER(SEARCH(" "&amp;Terms!$A$3:$A$821&amp;" ",$C59))*Terms!F$3:F$821)+Terms!F$2</f>
        <v>-4.3441513499455</v>
      </c>
      <c r="P59" s="0" t="n">
        <f aca="false">SUMPRODUCT(ISNUMBER(SEARCH(" "&amp;Terms!$A$3:$A$821&amp;" ",$C59))*Terms!G$3:G$821)+Terms!G$2</f>
        <v>6.56129874620162</v>
      </c>
      <c r="Q59" s="0" t="str">
        <f aca="false">INDEX($K$1:$P$1,MATCH(MAX(K59:P59),K59:P59,0))</f>
        <v>Mis-selling</v>
      </c>
      <c r="R59" s="0" t="str">
        <f aca="false">IF(J59&lt;&gt;"No label",J59,Q59)</f>
        <v>Mis-selling</v>
      </c>
      <c r="S59" s="0" t="str">
        <f aca="false">INDEX(Answers!$B$2:$B$201,MATCH(A59,Answers!$A$2:$A$201,0))</f>
        <v>Mis-selling</v>
      </c>
      <c r="T59" s="4" t="b">
        <f aca="false">R59=S59</f>
        <v>1</v>
      </c>
    </row>
    <row r="60" customFormat="false" ht="15" hidden="false" customHeight="false" outlineLevel="0" collapsed="false">
      <c r="A60" s="0" t="str">
        <f aca="false">NewComplaints!A60</f>
        <v>N0059</v>
      </c>
      <c r="B60" s="0" t="str">
        <f aca="false">NewComplaints!B60</f>
        <v>I have been a customer for years. I was passed between four departments and no one took ownership. Also, someone has made payments from my account that I did not authorise. I want this put right.</v>
      </c>
      <c r="C60" s="0" t="str">
        <f aca="false">" "&amp;TRIM(SUBSTITUTE(SUBSTITUTE(SUBSTITUTE(SUBSTITUTE(SUBSTITUTE(SUBSTITUTE(SUBSTITUTE(SUBSTITUTE(SUBSTITUTE(SUBSTITUTE(SUBSTITUTE(SUBSTITUTE(SUBSTITUTE(SUBSTITUTE(SUBSTITUTE(SUBSTITUTE(LOWER(B60),"."," "),","," "),"'"," "),"’"," "),"!"," "),"?"," "),";"," "),":"," "),"-"," "),"("," "),")"," "),"""", " "),"£"," "),"&amp;"," "),"/"," "),"%"," "))&amp;" "</f>
        <v> i have been a customer for years i was passed between four departments and no one took ownership also someone has made payments from my account that i did not authorise i want this put right </v>
      </c>
      <c r="D60" s="0" t="n">
        <f aca="false">SUMPRODUCT((Rules!$A$2:$A$60=D$1)*Rules!$C$2:$C$60*ISNUMBER(SEARCH(Rules!$D$2:$D$60,$C60)))</f>
        <v>3</v>
      </c>
      <c r="E60" s="0" t="n">
        <f aca="false">SUMPRODUCT((Rules!$A$2:$A$60=E$1)*Rules!$C$2:$C$60*ISNUMBER(SEARCH(Rules!$D$2:$D$60,$C60)))</f>
        <v>0</v>
      </c>
      <c r="F60" s="0" t="n">
        <f aca="false">SUMPRODUCT((Rules!$A$2:$A$60=F$1)*Rules!$C$2:$C$60*ISNUMBER(SEARCH(Rules!$D$2:$D$60,$C60)))</f>
        <v>0</v>
      </c>
      <c r="G60" s="0" t="n">
        <f aca="false">SUMPRODUCT((Rules!$A$2:$A$60=G$1)*Rules!$C$2:$C$60*ISNUMBER(SEARCH(Rules!$D$2:$D$60,$C60)))</f>
        <v>0</v>
      </c>
      <c r="H60" s="0" t="n">
        <f aca="false">SUMPRODUCT((Rules!$A$2:$A$60=H$1)*Rules!$C$2:$C$60*ISNUMBER(SEARCH(Rules!$D$2:$D$60,$C60)))</f>
        <v>0</v>
      </c>
      <c r="I60" s="0" t="n">
        <f aca="false">SUMPRODUCT((Rules!$A$2:$A$60=I$1)*Rules!$C$2:$C$60*ISNUMBER(SEARCH(Rules!$D$2:$D$60,$C60)))</f>
        <v>2</v>
      </c>
      <c r="J60" s="0" t="str">
        <f aca="false">IF(OR(MAX(D60:I60)&lt;Rules!$H$1,MAX(D60:I60)-LARGE(D60:I60,2)&lt;Rules!$H$2),"No label",INDEX($D$1:$I$1,MATCH(MAX(D60:I60),D60:I60,0)))</f>
        <v>No label</v>
      </c>
      <c r="K60" s="0" t="n">
        <f aca="false">SUMPRODUCT(ISNUMBER(SEARCH(" "&amp;Terms!$A$3:$A$821&amp;" ",$C60))*Terms!B$3:B$821)+Terms!B$2</f>
        <v>-0.701433171899292</v>
      </c>
      <c r="L60" s="0" t="n">
        <f aca="false">SUMPRODUCT(ISNUMBER(SEARCH(" "&amp;Terms!$A$3:$A$821&amp;" ",$C60))*Terms!C$3:C$821)+Terms!C$2</f>
        <v>5.49289740248353</v>
      </c>
      <c r="M60" s="0" t="n">
        <f aca="false">SUMPRODUCT(ISNUMBER(SEARCH(" "&amp;Terms!$A$3:$A$821&amp;" ",$C60))*Terms!D$3:D$821)+Terms!D$2</f>
        <v>-1.62551046723989</v>
      </c>
      <c r="N60" s="0" t="n">
        <f aca="false">SUMPRODUCT(ISNUMBER(SEARCH(" "&amp;Terms!$A$3:$A$821&amp;" ",$C60))*Terms!E$3:E$821)+Terms!E$2</f>
        <v>-1.92354245892094</v>
      </c>
      <c r="O60" s="0" t="n">
        <f aca="false">SUMPRODUCT(ISNUMBER(SEARCH(" "&amp;Terms!$A$3:$A$821&amp;" ",$C60))*Terms!F$3:F$821)+Terms!F$2</f>
        <v>3.82348123481807</v>
      </c>
      <c r="P60" s="0" t="n">
        <f aca="false">SUMPRODUCT(ISNUMBER(SEARCH(" "&amp;Terms!$A$3:$A$821&amp;" ",$C60))*Terms!G$3:G$821)+Terms!G$2</f>
        <v>-5.06589253924138</v>
      </c>
      <c r="Q60" s="0" t="str">
        <f aca="false">INDEX($K$1:$P$1,MATCH(MAX(K60:P60),K60:P60,0))</f>
        <v>Customer Service</v>
      </c>
      <c r="R60" s="0" t="str">
        <f aca="false">IF(J60&lt;&gt;"No label",J60,Q60)</f>
        <v>Customer Service</v>
      </c>
      <c r="S60" s="0" t="str">
        <f aca="false">INDEX(Answers!$B$2:$B$201,MATCH(A60,Answers!$A$2:$A$201,0))</f>
        <v>Customer Service</v>
      </c>
      <c r="T60" s="4" t="b">
        <f aca="false">R60=S60</f>
        <v>1</v>
      </c>
    </row>
    <row r="61" customFormat="false" ht="15" hidden="false" customHeight="false" outlineLevel="0" collapsed="false">
      <c r="A61" s="0" t="str">
        <f aca="false">NewComplaints!A61</f>
        <v>N0060</v>
      </c>
      <c r="B61" s="0" t="str">
        <f aca="false">NewComplaints!B61</f>
        <v>I am writing to complain. I was hit with a penalty charge for a payment I made on time.</v>
      </c>
      <c r="C61" s="0" t="str">
        <f aca="false">" "&amp;TRIM(SUBSTITUTE(SUBSTITUTE(SUBSTITUTE(SUBSTITUTE(SUBSTITUTE(SUBSTITUTE(SUBSTITUTE(SUBSTITUTE(SUBSTITUTE(SUBSTITUTE(SUBSTITUTE(SUBSTITUTE(SUBSTITUTE(SUBSTITUTE(SUBSTITUTE(SUBSTITUTE(LOWER(B61),"."," "),","," "),"'"," "),"’"," "),"!"," "),"?"," "),";"," "),":"," "),"-"," "),"("," "),")"," "),"""", " "),"£"," "),"&amp;"," "),"/"," "),"%"," "))&amp;" "</f>
        <v> i am writing to complain i was hit with a penalty charge for a payment i made on time </v>
      </c>
      <c r="D61" s="0" t="n">
        <f aca="false">SUMPRODUCT((Rules!$A$2:$A$60=D$1)*Rules!$C$2:$C$60*ISNUMBER(SEARCH(Rules!$D$2:$D$60,$C61)))</f>
        <v>0</v>
      </c>
      <c r="E61" s="0" t="n">
        <f aca="false">SUMPRODUCT((Rules!$A$2:$A$60=E$1)*Rules!$C$2:$C$60*ISNUMBER(SEARCH(Rules!$D$2:$D$60,$C61)))</f>
        <v>0</v>
      </c>
      <c r="F61" s="0" t="n">
        <f aca="false">SUMPRODUCT((Rules!$A$2:$A$60=F$1)*Rules!$C$2:$C$60*ISNUMBER(SEARCH(Rules!$D$2:$D$60,$C61)))</f>
        <v>0</v>
      </c>
      <c r="G61" s="0" t="n">
        <f aca="false">SUMPRODUCT((Rules!$A$2:$A$60=G$1)*Rules!$C$2:$C$60*ISNUMBER(SEARCH(Rules!$D$2:$D$60,$C61)))</f>
        <v>4</v>
      </c>
      <c r="H61" s="0" t="n">
        <f aca="false">SUMPRODUCT((Rules!$A$2:$A$60=H$1)*Rules!$C$2:$C$60*ISNUMBER(SEARCH(Rules!$D$2:$D$60,$C61)))</f>
        <v>0</v>
      </c>
      <c r="I61" s="0" t="n">
        <f aca="false">SUMPRODUCT((Rules!$A$2:$A$60=I$1)*Rules!$C$2:$C$60*ISNUMBER(SEARCH(Rules!$D$2:$D$60,$C61)))</f>
        <v>0</v>
      </c>
      <c r="J61" s="0" t="str">
        <f aca="false">IF(OR(MAX(D61:I61)&lt;Rules!$H$1,MAX(D61:I61)-LARGE(D61:I61,2)&lt;Rules!$H$2),"No label",INDEX($D$1:$I$1,MATCH(MAX(D61:I61),D61:I61,0)))</f>
        <v>Fees &amp; Charges</v>
      </c>
      <c r="K61" s="0" t="n">
        <f aca="false">SUMPRODUCT(ISNUMBER(SEARCH(" "&amp;Terms!$A$3:$A$821&amp;" ",$C61))*Terms!B$3:B$821)+Terms!B$2</f>
        <v>-4.21958528598413</v>
      </c>
      <c r="L61" s="0" t="n">
        <f aca="false">SUMPRODUCT(ISNUMBER(SEARCH(" "&amp;Terms!$A$3:$A$821&amp;" ",$C61))*Terms!C$3:C$821)+Terms!C$2</f>
        <v>0.598430115367887</v>
      </c>
      <c r="M61" s="0" t="n">
        <f aca="false">SUMPRODUCT(ISNUMBER(SEARCH(" "&amp;Terms!$A$3:$A$821&amp;" ",$C61))*Terms!D$3:D$821)+Terms!D$2</f>
        <v>0.350021353117461</v>
      </c>
      <c r="N61" s="0" t="n">
        <f aca="false">SUMPRODUCT(ISNUMBER(SEARCH(" "&amp;Terms!$A$3:$A$821&amp;" ",$C61))*Terms!E$3:E$821)+Terms!E$2</f>
        <v>8.01744179811459</v>
      </c>
      <c r="O61" s="0" t="n">
        <f aca="false">SUMPRODUCT(ISNUMBER(SEARCH(" "&amp;Terms!$A$3:$A$821&amp;" ",$C61))*Terms!F$3:F$821)+Terms!F$2</f>
        <v>-2.17341313630511</v>
      </c>
      <c r="P61" s="0" t="n">
        <f aca="false">SUMPRODUCT(ISNUMBER(SEARCH(" "&amp;Terms!$A$3:$A$821&amp;" ",$C61))*Terms!G$3:G$821)+Terms!G$2</f>
        <v>-2.57289484431062</v>
      </c>
      <c r="Q61" s="0" t="str">
        <f aca="false">INDEX($K$1:$P$1,MATCH(MAX(K61:P61),K61:P61,0))</f>
        <v>Fees &amp; Charges</v>
      </c>
      <c r="R61" s="0" t="str">
        <f aca="false">IF(J61&lt;&gt;"No label",J61,Q61)</f>
        <v>Fees &amp; Charges</v>
      </c>
      <c r="S61" s="0" t="str">
        <f aca="false">INDEX(Answers!$B$2:$B$201,MATCH(A61,Answers!$A$2:$A$201,0))</f>
        <v>Fees &amp; Charges</v>
      </c>
      <c r="T61" s="4" t="b">
        <f aca="false">R61=S61</f>
        <v>1</v>
      </c>
    </row>
    <row r="62" customFormat="false" ht="15" hidden="false" customHeight="false" outlineLevel="0" collapsed="false">
      <c r="A62" s="0" t="str">
        <f aca="false">NewComplaints!A62</f>
        <v>N0061</v>
      </c>
      <c r="B62" s="0" t="str">
        <f aca="false">NewComplaints!B62</f>
        <v>Hello, I was sold a product that was not suitable for my circumstances. I would like a response in writing.</v>
      </c>
      <c r="C62" s="0" t="str">
        <f aca="false">" "&amp;TRIM(SUBSTITUTE(SUBSTITUTE(SUBSTITUTE(SUBSTITUTE(SUBSTITUTE(SUBSTITUTE(SUBSTITUTE(SUBSTITUTE(SUBSTITUTE(SUBSTITUTE(SUBSTITUTE(SUBSTITUTE(SUBSTITUTE(SUBSTITUTE(SUBSTITUTE(SUBSTITUTE(LOWER(B62),"."," "),","," "),"'"," "),"’"," "),"!"," "),"?"," "),";"," "),":"," "),"-"," "),"("," "),")"," "),"""", " "),"£"," "),"&amp;"," "),"/"," "),"%"," "))&amp;" "</f>
        <v> hello i was sold a product that was not suitable for my circumstances i would like a response in writing </v>
      </c>
      <c r="D62" s="0" t="n">
        <f aca="false">SUMPRODUCT((Rules!$A$2:$A$60=D$1)*Rules!$C$2:$C$60*ISNUMBER(SEARCH(Rules!$D$2:$D$60,$C62)))</f>
        <v>0</v>
      </c>
      <c r="E62" s="0" t="n">
        <f aca="false">SUMPRODUCT((Rules!$A$2:$A$60=E$1)*Rules!$C$2:$C$60*ISNUMBER(SEARCH(Rules!$D$2:$D$60,$C62)))</f>
        <v>5</v>
      </c>
      <c r="F62" s="0" t="n">
        <f aca="false">SUMPRODUCT((Rules!$A$2:$A$60=F$1)*Rules!$C$2:$C$60*ISNUMBER(SEARCH(Rules!$D$2:$D$60,$C62)))</f>
        <v>0</v>
      </c>
      <c r="G62" s="0" t="n">
        <f aca="false">SUMPRODUCT((Rules!$A$2:$A$60=G$1)*Rules!$C$2:$C$60*ISNUMBER(SEARCH(Rules!$D$2:$D$60,$C62)))</f>
        <v>0</v>
      </c>
      <c r="H62" s="0" t="n">
        <f aca="false">SUMPRODUCT((Rules!$A$2:$A$60=H$1)*Rules!$C$2:$C$60*ISNUMBER(SEARCH(Rules!$D$2:$D$60,$C62)))</f>
        <v>0</v>
      </c>
      <c r="I62" s="0" t="n">
        <f aca="false">SUMPRODUCT((Rules!$A$2:$A$60=I$1)*Rules!$C$2:$C$60*ISNUMBER(SEARCH(Rules!$D$2:$D$60,$C62)))</f>
        <v>0</v>
      </c>
      <c r="J62" s="0" t="str">
        <f aca="false">IF(OR(MAX(D62:I62)&lt;Rules!$H$1,MAX(D62:I62)-LARGE(D62:I62,2)&lt;Rules!$H$2),"No label",INDEX($D$1:$I$1,MATCH(MAX(D62:I62),D62:I62,0)))</f>
        <v>Mis-selling</v>
      </c>
      <c r="K62" s="0" t="n">
        <f aca="false">SUMPRODUCT(ISNUMBER(SEARCH(" "&amp;Terms!$A$3:$A$821&amp;" ",$C62))*Terms!B$3:B$821)+Terms!B$2</f>
        <v>-0.692493639532014</v>
      </c>
      <c r="L62" s="0" t="n">
        <f aca="false">SUMPRODUCT(ISNUMBER(SEARCH(" "&amp;Terms!$A$3:$A$821&amp;" ",$C62))*Terms!C$3:C$821)+Terms!C$2</f>
        <v>-1.43370788465269</v>
      </c>
      <c r="M62" s="0" t="n">
        <f aca="false">SUMPRODUCT(ISNUMBER(SEARCH(" "&amp;Terms!$A$3:$A$821&amp;" ",$C62))*Terms!D$3:D$821)+Terms!D$2</f>
        <v>-1.68353901722316</v>
      </c>
      <c r="N62" s="0" t="n">
        <f aca="false">SUMPRODUCT(ISNUMBER(SEARCH(" "&amp;Terms!$A$3:$A$821&amp;" ",$C62))*Terms!E$3:E$821)+Terms!E$2</f>
        <v>-1.93699116253636</v>
      </c>
      <c r="O62" s="0" t="n">
        <f aca="false">SUMPRODUCT(ISNUMBER(SEARCH(" "&amp;Terms!$A$3:$A$821&amp;" ",$C62))*Terms!F$3:F$821)+Terms!F$2</f>
        <v>-3.11971680869517</v>
      </c>
      <c r="P62" s="0" t="n">
        <f aca="false">SUMPRODUCT(ISNUMBER(SEARCH(" "&amp;Terms!$A$3:$A$821&amp;" ",$C62))*Terms!G$3:G$821)+Terms!G$2</f>
        <v>8.86644851263949</v>
      </c>
      <c r="Q62" s="0" t="str">
        <f aca="false">INDEX($K$1:$P$1,MATCH(MAX(K62:P62),K62:P62,0))</f>
        <v>Mis-selling</v>
      </c>
      <c r="R62" s="0" t="str">
        <f aca="false">IF(J62&lt;&gt;"No label",J62,Q62)</f>
        <v>Mis-selling</v>
      </c>
      <c r="S62" s="0" t="str">
        <f aca="false">INDEX(Answers!$B$2:$B$201,MATCH(A62,Answers!$A$2:$A$201,0))</f>
        <v>Mis-selling</v>
      </c>
      <c r="T62" s="4" t="b">
        <f aca="false">R62=S62</f>
        <v>1</v>
      </c>
    </row>
    <row r="63" customFormat="false" ht="15" hidden="false" customHeight="false" outlineLevel="0" collapsed="false">
      <c r="A63" s="0" t="str">
        <f aca="false">NewComplaints!A63</f>
        <v>N0062</v>
      </c>
      <c r="B63" s="0" t="str">
        <f aca="false">NewComplaints!B63</f>
        <v>Hello, I was misled about what the insurance actually included.</v>
      </c>
      <c r="C63" s="0" t="str">
        <f aca="false">" "&amp;TRIM(SUBSTITUTE(SUBSTITUTE(SUBSTITUTE(SUBSTITUTE(SUBSTITUTE(SUBSTITUTE(SUBSTITUTE(SUBSTITUTE(SUBSTITUTE(SUBSTITUTE(SUBSTITUTE(SUBSTITUTE(SUBSTITUTE(SUBSTITUTE(SUBSTITUTE(SUBSTITUTE(LOWER(B63),"."," "),","," "),"'"," "),"’"," "),"!"," "),"?"," "),";"," "),":"," "),"-"," "),"("," "),")"," "),"""", " "),"£"," "),"&amp;"," "),"/"," "),"%"," "))&amp;" "</f>
        <v> hello i was misled about what the insurance actually included </v>
      </c>
      <c r="D63" s="0" t="n">
        <f aca="false">SUMPRODUCT((Rules!$A$2:$A$60=D$1)*Rules!$C$2:$C$60*ISNUMBER(SEARCH(Rules!$D$2:$D$60,$C63)))</f>
        <v>0</v>
      </c>
      <c r="E63" s="0" t="n">
        <f aca="false">SUMPRODUCT((Rules!$A$2:$A$60=E$1)*Rules!$C$2:$C$60*ISNUMBER(SEARCH(Rules!$D$2:$D$60,$C63)))</f>
        <v>4</v>
      </c>
      <c r="F63" s="0" t="n">
        <f aca="false">SUMPRODUCT((Rules!$A$2:$A$60=F$1)*Rules!$C$2:$C$60*ISNUMBER(SEARCH(Rules!$D$2:$D$60,$C63)))</f>
        <v>0</v>
      </c>
      <c r="G63" s="0" t="n">
        <f aca="false">SUMPRODUCT((Rules!$A$2:$A$60=G$1)*Rules!$C$2:$C$60*ISNUMBER(SEARCH(Rules!$D$2:$D$60,$C63)))</f>
        <v>0</v>
      </c>
      <c r="H63" s="0" t="n">
        <f aca="false">SUMPRODUCT((Rules!$A$2:$A$60=H$1)*Rules!$C$2:$C$60*ISNUMBER(SEARCH(Rules!$D$2:$D$60,$C63)))</f>
        <v>0</v>
      </c>
      <c r="I63" s="0" t="n">
        <f aca="false">SUMPRODUCT((Rules!$A$2:$A$60=I$1)*Rules!$C$2:$C$60*ISNUMBER(SEARCH(Rules!$D$2:$D$60,$C63)))</f>
        <v>0</v>
      </c>
      <c r="J63" s="0" t="str">
        <f aca="false">IF(OR(MAX(D63:I63)&lt;Rules!$H$1,MAX(D63:I63)-LARGE(D63:I63,2)&lt;Rules!$H$2),"No label",INDEX($D$1:$I$1,MATCH(MAX(D63:I63),D63:I63,0)))</f>
        <v>Mis-selling</v>
      </c>
      <c r="K63" s="0" t="n">
        <f aca="false">SUMPRODUCT(ISNUMBER(SEARCH(" "&amp;Terms!$A$3:$A$821&amp;" ",$C63))*Terms!B$3:B$821)+Terms!B$2</f>
        <v>-1.72922243684668</v>
      </c>
      <c r="L63" s="0" t="n">
        <f aca="false">SUMPRODUCT(ISNUMBER(SEARCH(" "&amp;Terms!$A$3:$A$821&amp;" ",$C63))*Terms!C$3:C$821)+Terms!C$2</f>
        <v>-3.29198742198124</v>
      </c>
      <c r="M63" s="0" t="n">
        <f aca="false">SUMPRODUCT(ISNUMBER(SEARCH(" "&amp;Terms!$A$3:$A$821&amp;" ",$C63))*Terms!D$3:D$821)+Terms!D$2</f>
        <v>-2.24904052552805</v>
      </c>
      <c r="N63" s="0" t="n">
        <f aca="false">SUMPRODUCT(ISNUMBER(SEARCH(" "&amp;Terms!$A$3:$A$821&amp;" ",$C63))*Terms!E$3:E$821)+Terms!E$2</f>
        <v>-0.0101023136975034</v>
      </c>
      <c r="O63" s="0" t="n">
        <f aca="false">SUMPRODUCT(ISNUMBER(SEARCH(" "&amp;Terms!$A$3:$A$821&amp;" ",$C63))*Terms!F$3:F$821)+Terms!F$2</f>
        <v>-4.72452399724122</v>
      </c>
      <c r="P63" s="0" t="n">
        <f aca="false">SUMPRODUCT(ISNUMBER(SEARCH(" "&amp;Terms!$A$3:$A$821&amp;" ",$C63))*Terms!G$3:G$821)+Terms!G$2</f>
        <v>12.0048766952948</v>
      </c>
      <c r="Q63" s="0" t="str">
        <f aca="false">INDEX($K$1:$P$1,MATCH(MAX(K63:P63),K63:P63,0))</f>
        <v>Mis-selling</v>
      </c>
      <c r="R63" s="0" t="str">
        <f aca="false">IF(J63&lt;&gt;"No label",J63,Q63)</f>
        <v>Mis-selling</v>
      </c>
      <c r="S63" s="0" t="str">
        <f aca="false">INDEX(Answers!$B$2:$B$201,MATCH(A63,Answers!$A$2:$A$201,0))</f>
        <v>Mis-selling</v>
      </c>
      <c r="T63" s="4" t="b">
        <f aca="false">R63=S63</f>
        <v>1</v>
      </c>
    </row>
    <row r="64" customFormat="false" ht="15" hidden="false" customHeight="false" outlineLevel="0" collapsed="false">
      <c r="A64" s="0" t="str">
        <f aca="false">NewComplaints!A64</f>
        <v>N0063</v>
      </c>
      <c r="B64" s="0" t="str">
        <f aca="false">NewComplaints!B64</f>
        <v>Frankly, My transfer has been pending for over a week. This is not acceptable.</v>
      </c>
      <c r="C64" s="0" t="str">
        <f aca="false">" "&amp;TRIM(SUBSTITUTE(SUBSTITUTE(SUBSTITUTE(SUBSTITUTE(SUBSTITUTE(SUBSTITUTE(SUBSTITUTE(SUBSTITUTE(SUBSTITUTE(SUBSTITUTE(SUBSTITUTE(SUBSTITUTE(SUBSTITUTE(SUBSTITUTE(SUBSTITUTE(SUBSTITUTE(LOWER(B64),"."," "),","," "),"'"," "),"’"," "),"!"," "),"?"," "),";"," "),":"," "),"-"," "),"("," "),")"," "),"""", " "),"£"," "),"&amp;"," "),"/"," "),"%"," "))&amp;" "</f>
        <v> frankly my transfer has been pending for over a week this is not acceptable </v>
      </c>
      <c r="D64" s="0" t="n">
        <f aca="false">SUMPRODUCT((Rules!$A$2:$A$60=D$1)*Rules!$C$2:$C$60*ISNUMBER(SEARCH(Rules!$D$2:$D$60,$C64)))</f>
        <v>0</v>
      </c>
      <c r="E64" s="0" t="n">
        <f aca="false">SUMPRODUCT((Rules!$A$2:$A$60=E$1)*Rules!$C$2:$C$60*ISNUMBER(SEARCH(Rules!$D$2:$D$60,$C64)))</f>
        <v>0</v>
      </c>
      <c r="F64" s="0" t="n">
        <f aca="false">SUMPRODUCT((Rules!$A$2:$A$60=F$1)*Rules!$C$2:$C$60*ISNUMBER(SEARCH(Rules!$D$2:$D$60,$C64)))</f>
        <v>0</v>
      </c>
      <c r="G64" s="0" t="n">
        <f aca="false">SUMPRODUCT((Rules!$A$2:$A$60=G$1)*Rules!$C$2:$C$60*ISNUMBER(SEARCH(Rules!$D$2:$D$60,$C64)))</f>
        <v>0</v>
      </c>
      <c r="H64" s="0" t="n">
        <f aca="false">SUMPRODUCT((Rules!$A$2:$A$60=H$1)*Rules!$C$2:$C$60*ISNUMBER(SEARCH(Rules!$D$2:$D$60,$C64)))</f>
        <v>2</v>
      </c>
      <c r="I64" s="0" t="n">
        <f aca="false">SUMPRODUCT((Rules!$A$2:$A$60=I$1)*Rules!$C$2:$C$60*ISNUMBER(SEARCH(Rules!$D$2:$D$60,$C64)))</f>
        <v>0</v>
      </c>
      <c r="J64" s="0" t="str">
        <f aca="false">IF(OR(MAX(D64:I64)&lt;Rules!$H$1,MAX(D64:I64)-LARGE(D64:I64,2)&lt;Rules!$H$2),"No label",INDEX($D$1:$I$1,MATCH(MAX(D64:I64),D64:I64,0)))</f>
        <v>No label</v>
      </c>
      <c r="K64" s="0" t="n">
        <f aca="false">SUMPRODUCT(ISNUMBER(SEARCH(" "&amp;Terms!$A$3:$A$821&amp;" ",$C64))*Terms!B$3:B$821)+Terms!B$2</f>
        <v>-1.3349616019583</v>
      </c>
      <c r="L64" s="0" t="n">
        <f aca="false">SUMPRODUCT(ISNUMBER(SEARCH(" "&amp;Terms!$A$3:$A$821&amp;" ",$C64))*Terms!C$3:C$821)+Terms!C$2</f>
        <v>-1.98643478565878</v>
      </c>
      <c r="M64" s="0" t="n">
        <f aca="false">SUMPRODUCT(ISNUMBER(SEARCH(" "&amp;Terms!$A$3:$A$821&amp;" ",$C64))*Terms!D$3:D$821)+Terms!D$2</f>
        <v>6.77852086959622</v>
      </c>
      <c r="N64" s="0" t="n">
        <f aca="false">SUMPRODUCT(ISNUMBER(SEARCH(" "&amp;Terms!$A$3:$A$821&amp;" ",$C64))*Terms!E$3:E$821)+Terms!E$2</f>
        <v>-2.8317153148491</v>
      </c>
      <c r="O64" s="0" t="n">
        <f aca="false">SUMPRODUCT(ISNUMBER(SEARCH(" "&amp;Terms!$A$3:$A$821&amp;" ",$C64))*Terms!F$3:F$821)+Terms!F$2</f>
        <v>0.500083531364101</v>
      </c>
      <c r="P64" s="0" t="n">
        <f aca="false">SUMPRODUCT(ISNUMBER(SEARCH(" "&amp;Terms!$A$3:$A$821&amp;" ",$C64))*Terms!G$3:G$821)+Terms!G$2</f>
        <v>-1.12549269849404</v>
      </c>
      <c r="Q64" s="0" t="str">
        <f aca="false">INDEX($K$1:$P$1,MATCH(MAX(K64:P64),K64:P64,0))</f>
        <v>Delays &amp; Processing</v>
      </c>
      <c r="R64" s="0" t="str">
        <f aca="false">IF(J64&lt;&gt;"No label",J64,Q64)</f>
        <v>Delays &amp; Processing</v>
      </c>
      <c r="S64" s="0" t="str">
        <f aca="false">INDEX(Answers!$B$2:$B$201,MATCH(A64,Answers!$A$2:$A$201,0))</f>
        <v>Delays &amp; Processing</v>
      </c>
      <c r="T64" s="4" t="b">
        <f aca="false">R64=S64</f>
        <v>1</v>
      </c>
    </row>
    <row r="65" customFormat="false" ht="15" hidden="false" customHeight="false" outlineLevel="0" collapsed="false">
      <c r="A65" s="0" t="str">
        <f aca="false">NewComplaints!A65</f>
        <v>N0064</v>
      </c>
      <c r="B65" s="0" t="str">
        <f aca="false">NewComplaints!B65</f>
        <v>The costs keep creeping up and my balance is lower than it should be. I do not think it was explained properly when I bought it.</v>
      </c>
      <c r="C65" s="0" t="str">
        <f aca="false">" "&amp;TRIM(SUBSTITUTE(SUBSTITUTE(SUBSTITUTE(SUBSTITUTE(SUBSTITUTE(SUBSTITUTE(SUBSTITUTE(SUBSTITUTE(SUBSTITUTE(SUBSTITUTE(SUBSTITUTE(SUBSTITUTE(SUBSTITUTE(SUBSTITUTE(SUBSTITUTE(SUBSTITUTE(LOWER(B65),"."," "),","," "),"'"," "),"’"," "),"!"," "),"?"," "),";"," "),":"," "),"-"," "),"("," "),")"," "),"""", " "),"£"," "),"&amp;"," "),"/"," "),"%"," "))&amp;" "</f>
        <v> the costs keep creeping up and my balance is lower than it should be i do not think it was explained properly when i bought it </v>
      </c>
      <c r="D65" s="0" t="n">
        <f aca="false">SUMPRODUCT((Rules!$A$2:$A$60=D$1)*Rules!$C$2:$C$60*ISNUMBER(SEARCH(Rules!$D$2:$D$60,$C65)))</f>
        <v>0</v>
      </c>
      <c r="E65" s="0" t="n">
        <f aca="false">SUMPRODUCT((Rules!$A$2:$A$60=E$1)*Rules!$C$2:$C$60*ISNUMBER(SEARCH(Rules!$D$2:$D$60,$C65)))</f>
        <v>0</v>
      </c>
      <c r="F65" s="0" t="n">
        <f aca="false">SUMPRODUCT((Rules!$A$2:$A$60=F$1)*Rules!$C$2:$C$60*ISNUMBER(SEARCH(Rules!$D$2:$D$60,$C65)))</f>
        <v>0</v>
      </c>
      <c r="G65" s="0" t="n">
        <f aca="false">SUMPRODUCT((Rules!$A$2:$A$60=G$1)*Rules!$C$2:$C$60*ISNUMBER(SEARCH(Rules!$D$2:$D$60,$C65)))</f>
        <v>1</v>
      </c>
      <c r="H65" s="0" t="n">
        <f aca="false">SUMPRODUCT((Rules!$A$2:$A$60=H$1)*Rules!$C$2:$C$60*ISNUMBER(SEARCH(Rules!$D$2:$D$60,$C65)))</f>
        <v>0</v>
      </c>
      <c r="I65" s="0" t="n">
        <f aca="false">SUMPRODUCT((Rules!$A$2:$A$60=I$1)*Rules!$C$2:$C$60*ISNUMBER(SEARCH(Rules!$D$2:$D$60,$C65)))</f>
        <v>0</v>
      </c>
      <c r="J65" s="0" t="str">
        <f aca="false">IF(OR(MAX(D65:I65)&lt;Rules!$H$1,MAX(D65:I65)-LARGE(D65:I65,2)&lt;Rules!$H$2),"No label",INDEX($D$1:$I$1,MATCH(MAX(D65:I65),D65:I65,0)))</f>
        <v>No label</v>
      </c>
      <c r="K65" s="0" t="n">
        <f aca="false">SUMPRODUCT(ISNUMBER(SEARCH(" "&amp;Terms!$A$3:$A$821&amp;" ",$C65))*Terms!B$3:B$821)+Terms!B$2</f>
        <v>-0.196039971284112</v>
      </c>
      <c r="L65" s="0" t="n">
        <f aca="false">SUMPRODUCT(ISNUMBER(SEARCH(" "&amp;Terms!$A$3:$A$821&amp;" ",$C65))*Terms!C$3:C$821)+Terms!C$2</f>
        <v>-1.7164698487621</v>
      </c>
      <c r="M65" s="0" t="n">
        <f aca="false">SUMPRODUCT(ISNUMBER(SEARCH(" "&amp;Terms!$A$3:$A$821&amp;" ",$C65))*Terms!D$3:D$821)+Terms!D$2</f>
        <v>-2.19737518242677</v>
      </c>
      <c r="N65" s="0" t="n">
        <f aca="false">SUMPRODUCT(ISNUMBER(SEARCH(" "&amp;Terms!$A$3:$A$821&amp;" ",$C65))*Terms!E$3:E$821)+Terms!E$2</f>
        <v>7.6579708474035</v>
      </c>
      <c r="O65" s="0" t="n">
        <f aca="false">SUMPRODUCT(ISNUMBER(SEARCH(" "&amp;Terms!$A$3:$A$821&amp;" ",$C65))*Terms!F$3:F$821)+Terms!F$2</f>
        <v>1.8527896930188</v>
      </c>
      <c r="P65" s="0" t="n">
        <f aca="false">SUMPRODUCT(ISNUMBER(SEARCH(" "&amp;Terms!$A$3:$A$821&amp;" ",$C65))*Terms!G$3:G$821)+Terms!G$2</f>
        <v>-5.40087553794923</v>
      </c>
      <c r="Q65" s="0" t="str">
        <f aca="false">INDEX($K$1:$P$1,MATCH(MAX(K65:P65),K65:P65,0))</f>
        <v>Fees &amp; Charges</v>
      </c>
      <c r="R65" s="0" t="str">
        <f aca="false">IF(J65&lt;&gt;"No label",J65,Q65)</f>
        <v>Fees &amp; Charges</v>
      </c>
      <c r="S65" s="0" t="str">
        <f aca="false">INDEX(Answers!$B$2:$B$201,MATCH(A65,Answers!$A$2:$A$201,0))</f>
        <v>Fees &amp; Charges</v>
      </c>
      <c r="T65" s="4" t="b">
        <f aca="false">R65=S65</f>
        <v>1</v>
      </c>
    </row>
    <row r="66" customFormat="false" ht="15" hidden="false" customHeight="false" outlineLevel="0" collapsed="false">
      <c r="A66" s="0" t="str">
        <f aca="false">NewComplaints!A66</f>
        <v>N0065</v>
      </c>
      <c r="B66" s="0" t="str">
        <f aca="false">NewComplaints!B66</f>
        <v>My account was frozen and I cannot get in to move money. I do not think it was explained properly when I bought it. I expect compensation.</v>
      </c>
      <c r="C66" s="0" t="str">
        <f aca="false">" "&amp;TRIM(SUBSTITUTE(SUBSTITUTE(SUBSTITUTE(SUBSTITUTE(SUBSTITUTE(SUBSTITUTE(SUBSTITUTE(SUBSTITUTE(SUBSTITUTE(SUBSTITUTE(SUBSTITUTE(SUBSTITUTE(SUBSTITUTE(SUBSTITUTE(SUBSTITUTE(SUBSTITUTE(LOWER(B66),"."," "),","," "),"'"," "),"’"," "),"!"," "),"?"," "),";"," "),":"," "),"-"," "),"("," "),")"," "),"""", " "),"£"," "),"&amp;"," "),"/"," "),"%"," "))&amp;" "</f>
        <v> my account was frozen and i cannot get in to move money i do not think it was explained properly when i bought it i expect compensation </v>
      </c>
      <c r="D66" s="0" t="n">
        <f aca="false">SUMPRODUCT((Rules!$A$2:$A$60=D$1)*Rules!$C$2:$C$60*ISNUMBER(SEARCH(Rules!$D$2:$D$60,$C66)))</f>
        <v>0</v>
      </c>
      <c r="E66" s="0" t="n">
        <f aca="false">SUMPRODUCT((Rules!$A$2:$A$60=E$1)*Rules!$C$2:$C$60*ISNUMBER(SEARCH(Rules!$D$2:$D$60,$C66)))</f>
        <v>0</v>
      </c>
      <c r="F66" s="0" t="n">
        <f aca="false">SUMPRODUCT((Rules!$A$2:$A$60=F$1)*Rules!$C$2:$C$60*ISNUMBER(SEARCH(Rules!$D$2:$D$60,$C66)))</f>
        <v>0</v>
      </c>
      <c r="G66" s="0" t="n">
        <f aca="false">SUMPRODUCT((Rules!$A$2:$A$60=G$1)*Rules!$C$2:$C$60*ISNUMBER(SEARCH(Rules!$D$2:$D$60,$C66)))</f>
        <v>0</v>
      </c>
      <c r="H66" s="0" t="n">
        <f aca="false">SUMPRODUCT((Rules!$A$2:$A$60=H$1)*Rules!$C$2:$C$60*ISNUMBER(SEARCH(Rules!$D$2:$D$60,$C66)))</f>
        <v>0</v>
      </c>
      <c r="I66" s="0" t="n">
        <f aca="false">SUMPRODUCT((Rules!$A$2:$A$60=I$1)*Rules!$C$2:$C$60*ISNUMBER(SEARCH(Rules!$D$2:$D$60,$C66)))</f>
        <v>0</v>
      </c>
      <c r="J66" s="0" t="str">
        <f aca="false">IF(OR(MAX(D66:I66)&lt;Rules!$H$1,MAX(D66:I66)-LARGE(D66:I66,2)&lt;Rules!$H$2),"No label",INDEX($D$1:$I$1,MATCH(MAX(D66:I66),D66:I66,0)))</f>
        <v>No label</v>
      </c>
      <c r="K66" s="0" t="n">
        <f aca="false">SUMPRODUCT(ISNUMBER(SEARCH(" "&amp;Terms!$A$3:$A$821&amp;" ",$C66))*Terms!B$3:B$821)+Terms!B$2</f>
        <v>7.05559426663218</v>
      </c>
      <c r="L66" s="0" t="n">
        <f aca="false">SUMPRODUCT(ISNUMBER(SEARCH(" "&amp;Terms!$A$3:$A$821&amp;" ",$C66))*Terms!C$3:C$821)+Terms!C$2</f>
        <v>-4.4264786851531</v>
      </c>
      <c r="M66" s="0" t="n">
        <f aca="false">SUMPRODUCT(ISNUMBER(SEARCH(" "&amp;Terms!$A$3:$A$821&amp;" ",$C66))*Terms!D$3:D$821)+Terms!D$2</f>
        <v>-1.42196838962403</v>
      </c>
      <c r="N66" s="0" t="n">
        <f aca="false">SUMPRODUCT(ISNUMBER(SEARCH(" "&amp;Terms!$A$3:$A$821&amp;" ",$C66))*Terms!E$3:E$821)+Terms!E$2</f>
        <v>-0.200797769904048</v>
      </c>
      <c r="O66" s="0" t="n">
        <f aca="false">SUMPRODUCT(ISNUMBER(SEARCH(" "&amp;Terms!$A$3:$A$821&amp;" ",$C66))*Terms!F$3:F$821)+Terms!F$2</f>
        <v>4.14758816761791</v>
      </c>
      <c r="P66" s="0" t="n">
        <f aca="false">SUMPRODUCT(ISNUMBER(SEARCH(" "&amp;Terms!$A$3:$A$821&amp;" ",$C66))*Terms!G$3:G$821)+Terms!G$2</f>
        <v>-5.15393758956884</v>
      </c>
      <c r="Q66" s="0" t="str">
        <f aca="false">INDEX($K$1:$P$1,MATCH(MAX(K66:P66),K66:P66,0))</f>
        <v>Account Access</v>
      </c>
      <c r="R66" s="0" t="str">
        <f aca="false">IF(J66&lt;&gt;"No label",J66,Q66)</f>
        <v>Account Access</v>
      </c>
      <c r="S66" s="0" t="str">
        <f aca="false">INDEX(Answers!$B$2:$B$201,MATCH(A66,Answers!$A$2:$A$201,0))</f>
        <v>Account Access</v>
      </c>
      <c r="T66" s="4" t="b">
        <f aca="false">R66=S66</f>
        <v>1</v>
      </c>
    </row>
    <row r="67" customFormat="false" ht="15" hidden="false" customHeight="false" outlineLevel="0" collapsed="false">
      <c r="A67" s="0" t="str">
        <f aca="false">NewComplaints!A67</f>
        <v>N0066</v>
      </c>
      <c r="B67" s="0" t="str">
        <f aca="false">NewComplaints!B67</f>
        <v>Frankly, Your advisor gave me different answers on two separate calls. I expect compensation.</v>
      </c>
      <c r="C67" s="0" t="str">
        <f aca="false">" "&amp;TRIM(SUBSTITUTE(SUBSTITUTE(SUBSTITUTE(SUBSTITUTE(SUBSTITUTE(SUBSTITUTE(SUBSTITUTE(SUBSTITUTE(SUBSTITUTE(SUBSTITUTE(SUBSTITUTE(SUBSTITUTE(SUBSTITUTE(SUBSTITUTE(SUBSTITUTE(SUBSTITUTE(LOWER(B67),"."," "),","," "),"'"," "),"’"," "),"!"," "),"?"," "),";"," "),":"," "),"-"," "),"("," "),")"," "),"""", " "),"£"," "),"&amp;"," "),"/"," "),"%"," "))&amp;" "</f>
        <v> frankly your advisor gave me different answers on two separate calls i expect compensation </v>
      </c>
      <c r="D67" s="0" t="n">
        <f aca="false">SUMPRODUCT((Rules!$A$2:$A$60=D$1)*Rules!$C$2:$C$60*ISNUMBER(SEARCH(Rules!$D$2:$D$60,$C67)))</f>
        <v>0</v>
      </c>
      <c r="E67" s="0" t="n">
        <f aca="false">SUMPRODUCT((Rules!$A$2:$A$60=E$1)*Rules!$C$2:$C$60*ISNUMBER(SEARCH(Rules!$D$2:$D$60,$C67)))</f>
        <v>0</v>
      </c>
      <c r="F67" s="0" t="n">
        <f aca="false">SUMPRODUCT((Rules!$A$2:$A$60=F$1)*Rules!$C$2:$C$60*ISNUMBER(SEARCH(Rules!$D$2:$D$60,$C67)))</f>
        <v>0</v>
      </c>
      <c r="G67" s="0" t="n">
        <f aca="false">SUMPRODUCT((Rules!$A$2:$A$60=G$1)*Rules!$C$2:$C$60*ISNUMBER(SEARCH(Rules!$D$2:$D$60,$C67)))</f>
        <v>0</v>
      </c>
      <c r="H67" s="0" t="n">
        <f aca="false">SUMPRODUCT((Rules!$A$2:$A$60=H$1)*Rules!$C$2:$C$60*ISNUMBER(SEARCH(Rules!$D$2:$D$60,$C67)))</f>
        <v>0</v>
      </c>
      <c r="I67" s="0" t="n">
        <f aca="false">SUMPRODUCT((Rules!$A$2:$A$60=I$1)*Rules!$C$2:$C$60*ISNUMBER(SEARCH(Rules!$D$2:$D$60,$C67)))</f>
        <v>1</v>
      </c>
      <c r="J67" s="0" t="str">
        <f aca="false">IF(OR(MAX(D67:I67)&lt;Rules!$H$1,MAX(D67:I67)-LARGE(D67:I67,2)&lt;Rules!$H$2),"No label",INDEX($D$1:$I$1,MATCH(MAX(D67:I67),D67:I67,0)))</f>
        <v>No label</v>
      </c>
      <c r="K67" s="0" t="n">
        <f aca="false">SUMPRODUCT(ISNUMBER(SEARCH(" "&amp;Terms!$A$3:$A$821&amp;" ",$C67))*Terms!B$3:B$821)+Terms!B$2</f>
        <v>2.03403374296124</v>
      </c>
      <c r="L67" s="0" t="n">
        <f aca="false">SUMPRODUCT(ISNUMBER(SEARCH(" "&amp;Terms!$A$3:$A$821&amp;" ",$C67))*Terms!C$3:C$821)+Terms!C$2</f>
        <v>11.3493968216249</v>
      </c>
      <c r="M67" s="0" t="n">
        <f aca="false">SUMPRODUCT(ISNUMBER(SEARCH(" "&amp;Terms!$A$3:$A$821&amp;" ",$C67))*Terms!D$3:D$821)+Terms!D$2</f>
        <v>-4.29891075998275</v>
      </c>
      <c r="N67" s="0" t="n">
        <f aca="false">SUMPRODUCT(ISNUMBER(SEARCH(" "&amp;Terms!$A$3:$A$821&amp;" ",$C67))*Terms!E$3:E$821)+Terms!E$2</f>
        <v>-5.21497520223982</v>
      </c>
      <c r="O67" s="0" t="n">
        <f aca="false">SUMPRODUCT(ISNUMBER(SEARCH(" "&amp;Terms!$A$3:$A$821&amp;" ",$C67))*Terms!F$3:F$821)+Terms!F$2</f>
        <v>-0.180420545612113</v>
      </c>
      <c r="P67" s="0" t="n">
        <f aca="false">SUMPRODUCT(ISNUMBER(SEARCH(" "&amp;Terms!$A$3:$A$821&amp;" ",$C67))*Terms!G$3:G$821)+Terms!G$2</f>
        <v>-3.68912405675132</v>
      </c>
      <c r="Q67" s="0" t="str">
        <f aca="false">INDEX($K$1:$P$1,MATCH(MAX(K67:P67),K67:P67,0))</f>
        <v>Customer Service</v>
      </c>
      <c r="R67" s="0" t="str">
        <f aca="false">IF(J67&lt;&gt;"No label",J67,Q67)</f>
        <v>Customer Service</v>
      </c>
      <c r="S67" s="0" t="str">
        <f aca="false">INDEX(Answers!$B$2:$B$201,MATCH(A67,Answers!$A$2:$A$201,0))</f>
        <v>Customer Service</v>
      </c>
      <c r="T67" s="4" t="b">
        <f aca="false">R67=S67</f>
        <v>1</v>
      </c>
    </row>
    <row r="68" customFormat="false" ht="15" hidden="false" customHeight="false" outlineLevel="0" collapsed="false">
      <c r="A68" s="0" t="str">
        <f aca="false">NewComplaints!A68</f>
        <v>N0067</v>
      </c>
      <c r="B68" s="0" t="str">
        <f aca="false">NewComplaints!B68</f>
        <v>This is the second time I have raised this. The adviser did not explain the risks of the investment. It has also been taking far too long. This is not acceptable.</v>
      </c>
      <c r="C68" s="0" t="str">
        <f aca="false">" "&amp;TRIM(SUBSTITUTE(SUBSTITUTE(SUBSTITUTE(SUBSTITUTE(SUBSTITUTE(SUBSTITUTE(SUBSTITUTE(SUBSTITUTE(SUBSTITUTE(SUBSTITUTE(SUBSTITUTE(SUBSTITUTE(SUBSTITUTE(SUBSTITUTE(SUBSTITUTE(SUBSTITUTE(LOWER(B68),"."," "),","," "),"'"," "),"’"," "),"!"," "),"?"," "),";"," "),":"," "),"-"," "),"("," "),")"," "),"""", " "),"£"," "),"&amp;"," "),"/"," "),"%"," "))&amp;" "</f>
        <v> this is the second time i have raised this the adviser did not explain the risks of the investment it has also been taking far too long this is not acceptable </v>
      </c>
      <c r="D68" s="0" t="n">
        <f aca="false">SUMPRODUCT((Rules!$A$2:$A$60=D$1)*Rules!$C$2:$C$60*ISNUMBER(SEARCH(Rules!$D$2:$D$60,$C68)))</f>
        <v>0</v>
      </c>
      <c r="E68" s="0" t="n">
        <f aca="false">SUMPRODUCT((Rules!$A$2:$A$60=E$1)*Rules!$C$2:$C$60*ISNUMBER(SEARCH(Rules!$D$2:$D$60,$C68)))</f>
        <v>4</v>
      </c>
      <c r="F68" s="0" t="n">
        <f aca="false">SUMPRODUCT((Rules!$A$2:$A$60=F$1)*Rules!$C$2:$C$60*ISNUMBER(SEARCH(Rules!$D$2:$D$60,$C68)))</f>
        <v>0</v>
      </c>
      <c r="G68" s="0" t="n">
        <f aca="false">SUMPRODUCT((Rules!$A$2:$A$60=G$1)*Rules!$C$2:$C$60*ISNUMBER(SEARCH(Rules!$D$2:$D$60,$C68)))</f>
        <v>0</v>
      </c>
      <c r="H68" s="0" t="n">
        <f aca="false">SUMPRODUCT((Rules!$A$2:$A$60=H$1)*Rules!$C$2:$C$60*ISNUMBER(SEARCH(Rules!$D$2:$D$60,$C68)))</f>
        <v>0</v>
      </c>
      <c r="I68" s="0" t="n">
        <f aca="false">SUMPRODUCT((Rules!$A$2:$A$60=I$1)*Rules!$C$2:$C$60*ISNUMBER(SEARCH(Rules!$D$2:$D$60,$C68)))</f>
        <v>0</v>
      </c>
      <c r="J68" s="0" t="str">
        <f aca="false">IF(OR(MAX(D68:I68)&lt;Rules!$H$1,MAX(D68:I68)-LARGE(D68:I68,2)&lt;Rules!$H$2),"No label",INDEX($D$1:$I$1,MATCH(MAX(D68:I68),D68:I68,0)))</f>
        <v>Mis-selling</v>
      </c>
      <c r="K68" s="0" t="n">
        <f aca="false">SUMPRODUCT(ISNUMBER(SEARCH(" "&amp;Terms!$A$3:$A$821&amp;" ",$C68))*Terms!B$3:B$821)+Terms!B$2</f>
        <v>-4.76405280257592</v>
      </c>
      <c r="L68" s="0" t="n">
        <f aca="false">SUMPRODUCT(ISNUMBER(SEARCH(" "&amp;Terms!$A$3:$A$821&amp;" ",$C68))*Terms!C$3:C$821)+Terms!C$2</f>
        <v>0.37487724112698</v>
      </c>
      <c r="M68" s="0" t="n">
        <f aca="false">SUMPRODUCT(ISNUMBER(SEARCH(" "&amp;Terms!$A$3:$A$821&amp;" ",$C68))*Terms!D$3:D$821)+Terms!D$2</f>
        <v>-3.63142508593147</v>
      </c>
      <c r="N68" s="0" t="n">
        <f aca="false">SUMPRODUCT(ISNUMBER(SEARCH(" "&amp;Terms!$A$3:$A$821&amp;" ",$C68))*Terms!E$3:E$821)+Terms!E$2</f>
        <v>0.40244096287811</v>
      </c>
      <c r="O68" s="0" t="n">
        <f aca="false">SUMPRODUCT(ISNUMBER(SEARCH(" "&amp;Terms!$A$3:$A$821&amp;" ",$C68))*Terms!F$3:F$821)+Terms!F$2</f>
        <v>-0.220544033102056</v>
      </c>
      <c r="P68" s="0" t="n">
        <f aca="false">SUMPRODUCT(ISNUMBER(SEARCH(" "&amp;Terms!$A$3:$A$821&amp;" ",$C68))*Terms!G$3:G$821)+Terms!G$2</f>
        <v>7.83870371760444</v>
      </c>
      <c r="Q68" s="0" t="str">
        <f aca="false">INDEX($K$1:$P$1,MATCH(MAX(K68:P68),K68:P68,0))</f>
        <v>Mis-selling</v>
      </c>
      <c r="R68" s="0" t="str">
        <f aca="false">IF(J68&lt;&gt;"No label",J68,Q68)</f>
        <v>Mis-selling</v>
      </c>
      <c r="S68" s="0" t="str">
        <f aca="false">INDEX(Answers!$B$2:$B$201,MATCH(A68,Answers!$A$2:$A$201,0))</f>
        <v>Mis-selling</v>
      </c>
      <c r="T68" s="4" t="b">
        <f aca="false">R68=S68</f>
        <v>1</v>
      </c>
    </row>
    <row r="69" customFormat="false" ht="15" hidden="false" customHeight="false" outlineLevel="0" collapsed="false">
      <c r="A69" s="0" t="str">
        <f aca="false">NewComplaints!A69</f>
        <v>N0068</v>
      </c>
      <c r="B69" s="0" t="str">
        <f aca="false">NewComplaints!B69</f>
        <v>I am writing to complain. I was told this policy covered me but my claim was rejected.</v>
      </c>
      <c r="C69" s="0" t="str">
        <f aca="false">" "&amp;TRIM(SUBSTITUTE(SUBSTITUTE(SUBSTITUTE(SUBSTITUTE(SUBSTITUTE(SUBSTITUTE(SUBSTITUTE(SUBSTITUTE(SUBSTITUTE(SUBSTITUTE(SUBSTITUTE(SUBSTITUTE(SUBSTITUTE(SUBSTITUTE(SUBSTITUTE(SUBSTITUTE(LOWER(B69),"."," "),","," "),"'"," "),"’"," "),"!"," "),"?"," "),";"," "),":"," "),"-"," "),"("," "),")"," "),"""", " "),"£"," "),"&amp;"," "),"/"," "),"%"," "))&amp;" "</f>
        <v> i am writing to complain i was told this policy covered me but my claim was rejected </v>
      </c>
      <c r="D69" s="0" t="n">
        <f aca="false">SUMPRODUCT((Rules!$A$2:$A$60=D$1)*Rules!$C$2:$C$60*ISNUMBER(SEARCH(Rules!$D$2:$D$60,$C69)))</f>
        <v>0</v>
      </c>
      <c r="E69" s="0" t="n">
        <f aca="false">SUMPRODUCT((Rules!$A$2:$A$60=E$1)*Rules!$C$2:$C$60*ISNUMBER(SEARCH(Rules!$D$2:$D$60,$C69)))</f>
        <v>1</v>
      </c>
      <c r="F69" s="0" t="n">
        <f aca="false">SUMPRODUCT((Rules!$A$2:$A$60=F$1)*Rules!$C$2:$C$60*ISNUMBER(SEARCH(Rules!$D$2:$D$60,$C69)))</f>
        <v>0</v>
      </c>
      <c r="G69" s="0" t="n">
        <f aca="false">SUMPRODUCT((Rules!$A$2:$A$60=G$1)*Rules!$C$2:$C$60*ISNUMBER(SEARCH(Rules!$D$2:$D$60,$C69)))</f>
        <v>0</v>
      </c>
      <c r="H69" s="0" t="n">
        <f aca="false">SUMPRODUCT((Rules!$A$2:$A$60=H$1)*Rules!$C$2:$C$60*ISNUMBER(SEARCH(Rules!$D$2:$D$60,$C69)))</f>
        <v>0</v>
      </c>
      <c r="I69" s="0" t="n">
        <f aca="false">SUMPRODUCT((Rules!$A$2:$A$60=I$1)*Rules!$C$2:$C$60*ISNUMBER(SEARCH(Rules!$D$2:$D$60,$C69)))</f>
        <v>0</v>
      </c>
      <c r="J69" s="0" t="str">
        <f aca="false">IF(OR(MAX(D69:I69)&lt;Rules!$H$1,MAX(D69:I69)-LARGE(D69:I69,2)&lt;Rules!$H$2),"No label",INDEX($D$1:$I$1,MATCH(MAX(D69:I69),D69:I69,0)))</f>
        <v>No label</v>
      </c>
      <c r="K69" s="0" t="n">
        <f aca="false">SUMPRODUCT(ISNUMBER(SEARCH(" "&amp;Terms!$A$3:$A$821&amp;" ",$C69))*Terms!B$3:B$821)+Terms!B$2</f>
        <v>-2.33928905015167</v>
      </c>
      <c r="L69" s="0" t="n">
        <f aca="false">SUMPRODUCT(ISNUMBER(SEARCH(" "&amp;Terms!$A$3:$A$821&amp;" ",$C69))*Terms!C$3:C$821)+Terms!C$2</f>
        <v>-3.426997833299</v>
      </c>
      <c r="M69" s="0" t="n">
        <f aca="false">SUMPRODUCT(ISNUMBER(SEARCH(" "&amp;Terms!$A$3:$A$821&amp;" ",$C69))*Terms!D$3:D$821)+Terms!D$2</f>
        <v>2.09795130373476</v>
      </c>
      <c r="N69" s="0" t="n">
        <f aca="false">SUMPRODUCT(ISNUMBER(SEARCH(" "&amp;Terms!$A$3:$A$821&amp;" ",$C69))*Terms!E$3:E$821)+Terms!E$2</f>
        <v>-2.0558821457809</v>
      </c>
      <c r="O69" s="0" t="n">
        <f aca="false">SUMPRODUCT(ISNUMBER(SEARCH(" "&amp;Terms!$A$3:$A$821&amp;" ",$C69))*Terms!F$3:F$821)+Terms!F$2</f>
        <v>-2.7705841215918</v>
      </c>
      <c r="P69" s="0" t="n">
        <f aca="false">SUMPRODUCT(ISNUMBER(SEARCH(" "&amp;Terms!$A$3:$A$821&amp;" ",$C69))*Terms!G$3:G$821)+Terms!G$2</f>
        <v>8.49480184708871</v>
      </c>
      <c r="Q69" s="0" t="str">
        <f aca="false">INDEX($K$1:$P$1,MATCH(MAX(K69:P69),K69:P69,0))</f>
        <v>Mis-selling</v>
      </c>
      <c r="R69" s="0" t="str">
        <f aca="false">IF(J69&lt;&gt;"No label",J69,Q69)</f>
        <v>Mis-selling</v>
      </c>
      <c r="S69" s="0" t="str">
        <f aca="false">INDEX(Answers!$B$2:$B$201,MATCH(A69,Answers!$A$2:$A$201,0))</f>
        <v>Mis-selling</v>
      </c>
      <c r="T69" s="4" t="b">
        <f aca="false">R69=S69</f>
        <v>1</v>
      </c>
    </row>
    <row r="70" customFormat="false" ht="15" hidden="false" customHeight="false" outlineLevel="0" collapsed="false">
      <c r="A70" s="0" t="str">
        <f aca="false">NewComplaints!A70</f>
        <v>N0069</v>
      </c>
      <c r="B70" s="0" t="str">
        <f aca="false">NewComplaints!B70</f>
        <v>Hello, Your advisor gave me different answers on two separate calls. I would like a response in writing.</v>
      </c>
      <c r="C70" s="0" t="str">
        <f aca="false">" "&amp;TRIM(SUBSTITUTE(SUBSTITUTE(SUBSTITUTE(SUBSTITUTE(SUBSTITUTE(SUBSTITUTE(SUBSTITUTE(SUBSTITUTE(SUBSTITUTE(SUBSTITUTE(SUBSTITUTE(SUBSTITUTE(SUBSTITUTE(SUBSTITUTE(SUBSTITUTE(SUBSTITUTE(LOWER(B70),"."," "),","," "),"'"," "),"’"," "),"!"," "),"?"," "),";"," "),":"," "),"-"," "),"("," "),")"," "),"""", " "),"£"," "),"&amp;"," "),"/"," "),"%"," "))&amp;" "</f>
        <v> hello your advisor gave me different answers on two separate calls i would like a response in writing </v>
      </c>
      <c r="D70" s="0" t="n">
        <f aca="false">SUMPRODUCT((Rules!$A$2:$A$60=D$1)*Rules!$C$2:$C$60*ISNUMBER(SEARCH(Rules!$D$2:$D$60,$C70)))</f>
        <v>0</v>
      </c>
      <c r="E70" s="0" t="n">
        <f aca="false">SUMPRODUCT((Rules!$A$2:$A$60=E$1)*Rules!$C$2:$C$60*ISNUMBER(SEARCH(Rules!$D$2:$D$60,$C70)))</f>
        <v>0</v>
      </c>
      <c r="F70" s="0" t="n">
        <f aca="false">SUMPRODUCT((Rules!$A$2:$A$60=F$1)*Rules!$C$2:$C$60*ISNUMBER(SEARCH(Rules!$D$2:$D$60,$C70)))</f>
        <v>0</v>
      </c>
      <c r="G70" s="0" t="n">
        <f aca="false">SUMPRODUCT((Rules!$A$2:$A$60=G$1)*Rules!$C$2:$C$60*ISNUMBER(SEARCH(Rules!$D$2:$D$60,$C70)))</f>
        <v>0</v>
      </c>
      <c r="H70" s="0" t="n">
        <f aca="false">SUMPRODUCT((Rules!$A$2:$A$60=H$1)*Rules!$C$2:$C$60*ISNUMBER(SEARCH(Rules!$D$2:$D$60,$C70)))</f>
        <v>0</v>
      </c>
      <c r="I70" s="0" t="n">
        <f aca="false">SUMPRODUCT((Rules!$A$2:$A$60=I$1)*Rules!$C$2:$C$60*ISNUMBER(SEARCH(Rules!$D$2:$D$60,$C70)))</f>
        <v>1</v>
      </c>
      <c r="J70" s="0" t="str">
        <f aca="false">IF(OR(MAX(D70:I70)&lt;Rules!$H$1,MAX(D70:I70)-LARGE(D70:I70,2)&lt;Rules!$H$2),"No label",INDEX($D$1:$I$1,MATCH(MAX(D70:I70),D70:I70,0)))</f>
        <v>No label</v>
      </c>
      <c r="K70" s="0" t="n">
        <f aca="false">SUMPRODUCT(ISNUMBER(SEARCH(" "&amp;Terms!$A$3:$A$821&amp;" ",$C70))*Terms!B$3:B$821)+Terms!B$2</f>
        <v>0.629126154071079</v>
      </c>
      <c r="L70" s="0" t="n">
        <f aca="false">SUMPRODUCT(ISNUMBER(SEARCH(" "&amp;Terms!$A$3:$A$821&amp;" ",$C70))*Terms!C$3:C$821)+Terms!C$2</f>
        <v>12.3165448914742</v>
      </c>
      <c r="M70" s="0" t="n">
        <f aca="false">SUMPRODUCT(ISNUMBER(SEARCH(" "&amp;Terms!$A$3:$A$821&amp;" ",$C70))*Terms!D$3:D$821)+Terms!D$2</f>
        <v>-4.31663343464956</v>
      </c>
      <c r="N70" s="0" t="n">
        <f aca="false">SUMPRODUCT(ISNUMBER(SEARCH(" "&amp;Terms!$A$3:$A$821&amp;" ",$C70))*Terms!E$3:E$821)+Terms!E$2</f>
        <v>-5.40727962044913</v>
      </c>
      <c r="O70" s="0" t="n">
        <f aca="false">SUMPRODUCT(ISNUMBER(SEARCH(" "&amp;Terms!$A$3:$A$821&amp;" ",$C70))*Terms!F$3:F$821)+Terms!F$2</f>
        <v>-3.18833366723932</v>
      </c>
      <c r="P70" s="0" t="n">
        <f aca="false">SUMPRODUCT(ISNUMBER(SEARCH(" "&amp;Terms!$A$3:$A$821&amp;" ",$C70))*Terms!G$3:G$821)+Terms!G$2</f>
        <v>-0.0334243232072121</v>
      </c>
      <c r="Q70" s="0" t="str">
        <f aca="false">INDEX($K$1:$P$1,MATCH(MAX(K70:P70),K70:P70,0))</f>
        <v>Customer Service</v>
      </c>
      <c r="R70" s="0" t="str">
        <f aca="false">IF(J70&lt;&gt;"No label",J70,Q70)</f>
        <v>Customer Service</v>
      </c>
      <c r="S70" s="0" t="str">
        <f aca="false">INDEX(Answers!$B$2:$B$201,MATCH(A70,Answers!$A$2:$A$201,0))</f>
        <v>Customer Service</v>
      </c>
      <c r="T70" s="4" t="b">
        <f aca="false">R70=S70</f>
        <v>1</v>
      </c>
    </row>
    <row r="71" customFormat="false" ht="15" hidden="false" customHeight="false" outlineLevel="0" collapsed="false">
      <c r="A71" s="0" t="str">
        <f aca="false">NewComplaints!A71</f>
        <v>N0070</v>
      </c>
      <c r="B71" s="0" t="str">
        <f aca="false">NewComplaints!B71</f>
        <v>I am writing to complain. I was misled about what the insurance actually included. Also, the account maintenance fee was taken twice this month.</v>
      </c>
      <c r="C71" s="0" t="str">
        <f aca="false">" "&amp;TRIM(SUBSTITUTE(SUBSTITUTE(SUBSTITUTE(SUBSTITUTE(SUBSTITUTE(SUBSTITUTE(SUBSTITUTE(SUBSTITUTE(SUBSTITUTE(SUBSTITUTE(SUBSTITUTE(SUBSTITUTE(SUBSTITUTE(SUBSTITUTE(SUBSTITUTE(SUBSTITUTE(LOWER(B71),"."," "),","," "),"'"," "),"’"," "),"!"," "),"?"," "),";"," "),":"," "),"-"," "),"("," "),")"," "),"""", " "),"£"," "),"&amp;"," "),"/"," "),"%"," "))&amp;" "</f>
        <v> i am writing to complain i was misled about what the insurance actually included also the account maintenance fee was taken twice this month </v>
      </c>
      <c r="D71" s="0" t="n">
        <f aca="false">SUMPRODUCT((Rules!$A$2:$A$60=D$1)*Rules!$C$2:$C$60*ISNUMBER(SEARCH(Rules!$D$2:$D$60,$C71)))</f>
        <v>0</v>
      </c>
      <c r="E71" s="0" t="n">
        <f aca="false">SUMPRODUCT((Rules!$A$2:$A$60=E$1)*Rules!$C$2:$C$60*ISNUMBER(SEARCH(Rules!$D$2:$D$60,$C71)))</f>
        <v>4</v>
      </c>
      <c r="F71" s="0" t="n">
        <f aca="false">SUMPRODUCT((Rules!$A$2:$A$60=F$1)*Rules!$C$2:$C$60*ISNUMBER(SEARCH(Rules!$D$2:$D$60,$C71)))</f>
        <v>0</v>
      </c>
      <c r="G71" s="0" t="n">
        <f aca="false">SUMPRODUCT((Rules!$A$2:$A$60=G$1)*Rules!$C$2:$C$60*ISNUMBER(SEARCH(Rules!$D$2:$D$60,$C71)))</f>
        <v>2</v>
      </c>
      <c r="H71" s="0" t="n">
        <f aca="false">SUMPRODUCT((Rules!$A$2:$A$60=H$1)*Rules!$C$2:$C$60*ISNUMBER(SEARCH(Rules!$D$2:$D$60,$C71)))</f>
        <v>0</v>
      </c>
      <c r="I71" s="0" t="n">
        <f aca="false">SUMPRODUCT((Rules!$A$2:$A$60=I$1)*Rules!$C$2:$C$60*ISNUMBER(SEARCH(Rules!$D$2:$D$60,$C71)))</f>
        <v>0</v>
      </c>
      <c r="J71" s="0" t="str">
        <f aca="false">IF(OR(MAX(D71:I71)&lt;Rules!$H$1,MAX(D71:I71)-LARGE(D71:I71,2)&lt;Rules!$H$2),"No label",INDEX($D$1:$I$1,MATCH(MAX(D71:I71),D71:I71,0)))</f>
        <v>Mis-selling</v>
      </c>
      <c r="K71" s="0" t="n">
        <f aca="false">SUMPRODUCT(ISNUMBER(SEARCH(" "&amp;Terms!$A$3:$A$821&amp;" ",$C71))*Terms!B$3:B$821)+Terms!B$2</f>
        <v>-3.63891841342936</v>
      </c>
      <c r="L71" s="0" t="n">
        <f aca="false">SUMPRODUCT(ISNUMBER(SEARCH(" "&amp;Terms!$A$3:$A$821&amp;" ",$C71))*Terms!C$3:C$821)+Terms!C$2</f>
        <v>-6.06841940023333</v>
      </c>
      <c r="M71" s="0" t="n">
        <f aca="false">SUMPRODUCT(ISNUMBER(SEARCH(" "&amp;Terms!$A$3:$A$821&amp;" ",$C71))*Terms!D$3:D$821)+Terms!D$2</f>
        <v>0.781595332664556</v>
      </c>
      <c r="N71" s="0" t="n">
        <f aca="false">SUMPRODUCT(ISNUMBER(SEARCH(" "&amp;Terms!$A$3:$A$821&amp;" ",$C71))*Terms!E$3:E$821)+Terms!E$2</f>
        <v>10.2023913238534</v>
      </c>
      <c r="O71" s="0" t="n">
        <f aca="false">SUMPRODUCT(ISNUMBER(SEARCH(" "&amp;Terms!$A$3:$A$821&amp;" ",$C71))*Terms!F$3:F$821)+Terms!F$2</f>
        <v>-7.28901018944477</v>
      </c>
      <c r="P71" s="0" t="n">
        <f aca="false">SUMPRODUCT(ISNUMBER(SEARCH(" "&amp;Terms!$A$3:$A$821&amp;" ",$C71))*Terms!G$3:G$821)+Terms!G$2</f>
        <v>6.01236134658957</v>
      </c>
      <c r="Q71" s="0" t="str">
        <f aca="false">INDEX($K$1:$P$1,MATCH(MAX(K71:P71),K71:P71,0))</f>
        <v>Fees &amp; Charges</v>
      </c>
      <c r="R71" s="0" t="str">
        <f aca="false">IF(J71&lt;&gt;"No label",J71,Q71)</f>
        <v>Mis-selling</v>
      </c>
      <c r="S71" s="0" t="str">
        <f aca="false">INDEX(Answers!$B$2:$B$201,MATCH(A71,Answers!$A$2:$A$201,0))</f>
        <v>Mis-selling</v>
      </c>
      <c r="T71" s="4" t="b">
        <f aca="false">R71=S71</f>
        <v>1</v>
      </c>
    </row>
    <row r="72" customFormat="false" ht="15" hidden="false" customHeight="false" outlineLevel="0" collapsed="false">
      <c r="A72" s="0" t="str">
        <f aca="false">NewComplaints!A72</f>
        <v>N0071</v>
      </c>
      <c r="B72" s="0" t="str">
        <f aca="false">NewComplaints!B72</f>
        <v>The adviser did not explain the risks of the investment. I expect compensation.</v>
      </c>
      <c r="C72" s="0" t="str">
        <f aca="false">" "&amp;TRIM(SUBSTITUTE(SUBSTITUTE(SUBSTITUTE(SUBSTITUTE(SUBSTITUTE(SUBSTITUTE(SUBSTITUTE(SUBSTITUTE(SUBSTITUTE(SUBSTITUTE(SUBSTITUTE(SUBSTITUTE(SUBSTITUTE(SUBSTITUTE(SUBSTITUTE(SUBSTITUTE(LOWER(B72),"."," "),","," "),"'"," "),"’"," "),"!"," "),"?"," "),";"," "),":"," "),"-"," "),"("," "),")"," "),"""", " "),"£"," "),"&amp;"," "),"/"," "),"%"," "))&amp;" "</f>
        <v> the adviser did not explain the risks of the investment i expect compensation </v>
      </c>
      <c r="D72" s="0" t="n">
        <f aca="false">SUMPRODUCT((Rules!$A$2:$A$60=D$1)*Rules!$C$2:$C$60*ISNUMBER(SEARCH(Rules!$D$2:$D$60,$C72)))</f>
        <v>0</v>
      </c>
      <c r="E72" s="0" t="n">
        <f aca="false">SUMPRODUCT((Rules!$A$2:$A$60=E$1)*Rules!$C$2:$C$60*ISNUMBER(SEARCH(Rules!$D$2:$D$60,$C72)))</f>
        <v>4</v>
      </c>
      <c r="F72" s="0" t="n">
        <f aca="false">SUMPRODUCT((Rules!$A$2:$A$60=F$1)*Rules!$C$2:$C$60*ISNUMBER(SEARCH(Rules!$D$2:$D$60,$C72)))</f>
        <v>0</v>
      </c>
      <c r="G72" s="0" t="n">
        <f aca="false">SUMPRODUCT((Rules!$A$2:$A$60=G$1)*Rules!$C$2:$C$60*ISNUMBER(SEARCH(Rules!$D$2:$D$60,$C72)))</f>
        <v>0</v>
      </c>
      <c r="H72" s="0" t="n">
        <f aca="false">SUMPRODUCT((Rules!$A$2:$A$60=H$1)*Rules!$C$2:$C$60*ISNUMBER(SEARCH(Rules!$D$2:$D$60,$C72)))</f>
        <v>0</v>
      </c>
      <c r="I72" s="0" t="n">
        <f aca="false">SUMPRODUCT((Rules!$A$2:$A$60=I$1)*Rules!$C$2:$C$60*ISNUMBER(SEARCH(Rules!$D$2:$D$60,$C72)))</f>
        <v>0</v>
      </c>
      <c r="J72" s="0" t="str">
        <f aca="false">IF(OR(MAX(D72:I72)&lt;Rules!$H$1,MAX(D72:I72)-LARGE(D72:I72,2)&lt;Rules!$H$2),"No label",INDEX($D$1:$I$1,MATCH(MAX(D72:I72),D72:I72,0)))</f>
        <v>Mis-selling</v>
      </c>
      <c r="K72" s="0" t="n">
        <f aca="false">SUMPRODUCT(ISNUMBER(SEARCH(" "&amp;Terms!$A$3:$A$821&amp;" ",$C72))*Terms!B$3:B$821)+Terms!B$2</f>
        <v>-0.705241337801102</v>
      </c>
      <c r="L72" s="0" t="n">
        <f aca="false">SUMPRODUCT(ISNUMBER(SEARCH(" "&amp;Terms!$A$3:$A$821&amp;" ",$C72))*Terms!C$3:C$821)+Terms!C$2</f>
        <v>-1.30961014042106</v>
      </c>
      <c r="M72" s="0" t="n">
        <f aca="false">SUMPRODUCT(ISNUMBER(SEARCH(" "&amp;Terms!$A$3:$A$821&amp;" ",$C72))*Terms!D$3:D$821)+Terms!D$2</f>
        <v>-5.07658822435927</v>
      </c>
      <c r="N72" s="0" t="n">
        <f aca="false">SUMPRODUCT(ISNUMBER(SEARCH(" "&amp;Terms!$A$3:$A$821&amp;" ",$C72))*Terms!E$3:E$821)+Terms!E$2</f>
        <v>-0.637448216230467</v>
      </c>
      <c r="O72" s="0" t="n">
        <f aca="false">SUMPRODUCT(ISNUMBER(SEARCH(" "&amp;Terms!$A$3:$A$821&amp;" ",$C72))*Terms!F$3:F$821)+Terms!F$2</f>
        <v>0.303673855879271</v>
      </c>
      <c r="P72" s="0" t="n">
        <f aca="false">SUMPRODUCT(ISNUMBER(SEARCH(" "&amp;Terms!$A$3:$A$821&amp;" ",$C72))*Terms!G$3:G$821)+Terms!G$2</f>
        <v>7.42521406293271</v>
      </c>
      <c r="Q72" s="0" t="str">
        <f aca="false">INDEX($K$1:$P$1,MATCH(MAX(K72:P72),K72:P72,0))</f>
        <v>Mis-selling</v>
      </c>
      <c r="R72" s="0" t="str">
        <f aca="false">IF(J72&lt;&gt;"No label",J72,Q72)</f>
        <v>Mis-selling</v>
      </c>
      <c r="S72" s="0" t="str">
        <f aca="false">INDEX(Answers!$B$2:$B$201,MATCH(A72,Answers!$A$2:$A$201,0))</f>
        <v>Mis-selling</v>
      </c>
      <c r="T72" s="4" t="b">
        <f aca="false">R72=S72</f>
        <v>1</v>
      </c>
    </row>
    <row r="73" customFormat="false" ht="15" hidden="false" customHeight="false" outlineLevel="0" collapsed="false">
      <c r="A73" s="0" t="str">
        <f aca="false">NewComplaints!A73</f>
        <v>N0072</v>
      </c>
      <c r="B73" s="0" t="str">
        <f aca="false">NewComplaints!B73</f>
        <v>Frankly, The complaints handler was unhelpful and talked over me. Also, my application has been stuck for weeks with no progress. This is not acceptable.</v>
      </c>
      <c r="C73" s="0" t="str">
        <f aca="false">" "&amp;TRIM(SUBSTITUTE(SUBSTITUTE(SUBSTITUTE(SUBSTITUTE(SUBSTITUTE(SUBSTITUTE(SUBSTITUTE(SUBSTITUTE(SUBSTITUTE(SUBSTITUTE(SUBSTITUTE(SUBSTITUTE(SUBSTITUTE(SUBSTITUTE(SUBSTITUTE(SUBSTITUTE(LOWER(B73),"."," "),","," "),"'"," "),"’"," "),"!"," "),"?"," "),";"," "),":"," "),"-"," "),"("," "),")"," "),"""", " "),"£"," "),"&amp;"," "),"/"," "),"%"," "))&amp;" "</f>
        <v> frankly the complaints handler was unhelpful and talked over me also my application has been stuck for weeks with no progress this is not acceptable </v>
      </c>
      <c r="D73" s="0" t="n">
        <f aca="false">SUMPRODUCT((Rules!$A$2:$A$60=D$1)*Rules!$C$2:$C$60*ISNUMBER(SEARCH(Rules!$D$2:$D$60,$C73)))</f>
        <v>0</v>
      </c>
      <c r="E73" s="0" t="n">
        <f aca="false">SUMPRODUCT((Rules!$A$2:$A$60=E$1)*Rules!$C$2:$C$60*ISNUMBER(SEARCH(Rules!$D$2:$D$60,$C73)))</f>
        <v>0</v>
      </c>
      <c r="F73" s="0" t="n">
        <f aca="false">SUMPRODUCT((Rules!$A$2:$A$60=F$1)*Rules!$C$2:$C$60*ISNUMBER(SEARCH(Rules!$D$2:$D$60,$C73)))</f>
        <v>0</v>
      </c>
      <c r="G73" s="0" t="n">
        <f aca="false">SUMPRODUCT((Rules!$A$2:$A$60=G$1)*Rules!$C$2:$C$60*ISNUMBER(SEARCH(Rules!$D$2:$D$60,$C73)))</f>
        <v>0</v>
      </c>
      <c r="H73" s="0" t="n">
        <f aca="false">SUMPRODUCT((Rules!$A$2:$A$60=H$1)*Rules!$C$2:$C$60*ISNUMBER(SEARCH(Rules!$D$2:$D$60,$C73)))</f>
        <v>3</v>
      </c>
      <c r="I73" s="0" t="n">
        <f aca="false">SUMPRODUCT((Rules!$A$2:$A$60=I$1)*Rules!$C$2:$C$60*ISNUMBER(SEARCH(Rules!$D$2:$D$60,$C73)))</f>
        <v>2</v>
      </c>
      <c r="J73" s="0" t="str">
        <f aca="false">IF(OR(MAX(D73:I73)&lt;Rules!$H$1,MAX(D73:I73)-LARGE(D73:I73,2)&lt;Rules!$H$2),"No label",INDEX($D$1:$I$1,MATCH(MAX(D73:I73),D73:I73,0)))</f>
        <v>No label</v>
      </c>
      <c r="K73" s="0" t="n">
        <f aca="false">SUMPRODUCT(ISNUMBER(SEARCH(" "&amp;Terms!$A$3:$A$821&amp;" ",$C73))*Terms!B$3:B$821)+Terms!B$2</f>
        <v>-3.30863605666064</v>
      </c>
      <c r="L73" s="0" t="n">
        <f aca="false">SUMPRODUCT(ISNUMBER(SEARCH(" "&amp;Terms!$A$3:$A$821&amp;" ",$C73))*Terms!C$3:C$821)+Terms!C$2</f>
        <v>6.90303668996329</v>
      </c>
      <c r="M73" s="0" t="n">
        <f aca="false">SUMPRODUCT(ISNUMBER(SEARCH(" "&amp;Terms!$A$3:$A$821&amp;" ",$C73))*Terms!D$3:D$821)+Terms!D$2</f>
        <v>4.9240975002128</v>
      </c>
      <c r="N73" s="0" t="n">
        <f aca="false">SUMPRODUCT(ISNUMBER(SEARCH(" "&amp;Terms!$A$3:$A$821&amp;" ",$C73))*Terms!E$3:E$821)+Terms!E$2</f>
        <v>-2.52173906282417</v>
      </c>
      <c r="O73" s="0" t="n">
        <f aca="false">SUMPRODUCT(ISNUMBER(SEARCH(" "&amp;Terms!$A$3:$A$821&amp;" ",$C73))*Terms!F$3:F$821)+Terms!F$2</f>
        <v>-4.3853030705565</v>
      </c>
      <c r="P73" s="0" t="n">
        <f aca="false">SUMPRODUCT(ISNUMBER(SEARCH(" "&amp;Terms!$A$3:$A$821&amp;" ",$C73))*Terms!G$3:G$821)+Terms!G$2</f>
        <v>-1.61145600013469</v>
      </c>
      <c r="Q73" s="0" t="str">
        <f aca="false">INDEX($K$1:$P$1,MATCH(MAX(K73:P73),K73:P73,0))</f>
        <v>Customer Service</v>
      </c>
      <c r="R73" s="0" t="str">
        <f aca="false">IF(J73&lt;&gt;"No label",J73,Q73)</f>
        <v>Customer Service</v>
      </c>
      <c r="S73" s="0" t="str">
        <f aca="false">INDEX(Answers!$B$2:$B$201,MATCH(A73,Answers!$A$2:$A$201,0))</f>
        <v>Customer Service</v>
      </c>
      <c r="T73" s="4" t="b">
        <f aca="false">R73=S73</f>
        <v>1</v>
      </c>
    </row>
    <row r="74" customFormat="false" ht="15" hidden="false" customHeight="false" outlineLevel="0" collapsed="false">
      <c r="A74" s="0" t="str">
        <f aca="false">NewComplaints!A74</f>
        <v>N0073</v>
      </c>
      <c r="B74" s="0" t="str">
        <f aca="false">NewComplaints!B74</f>
        <v>Your advisor gave me different answers on two separate calls. Please sort this out.</v>
      </c>
      <c r="C74" s="0" t="str">
        <f aca="false">" "&amp;TRIM(SUBSTITUTE(SUBSTITUTE(SUBSTITUTE(SUBSTITUTE(SUBSTITUTE(SUBSTITUTE(SUBSTITUTE(SUBSTITUTE(SUBSTITUTE(SUBSTITUTE(SUBSTITUTE(SUBSTITUTE(SUBSTITUTE(SUBSTITUTE(SUBSTITUTE(SUBSTITUTE(LOWER(B74),"."," "),","," "),"'"," "),"’"," "),"!"," "),"?"," "),";"," "),":"," "),"-"," "),"("," "),")"," "),"""", " "),"£"," "),"&amp;"," "),"/"," "),"%"," "))&amp;" "</f>
        <v> your advisor gave me different answers on two separate calls please sort this out </v>
      </c>
      <c r="D74" s="0" t="n">
        <f aca="false">SUMPRODUCT((Rules!$A$2:$A$60=D$1)*Rules!$C$2:$C$60*ISNUMBER(SEARCH(Rules!$D$2:$D$60,$C74)))</f>
        <v>0</v>
      </c>
      <c r="E74" s="0" t="n">
        <f aca="false">SUMPRODUCT((Rules!$A$2:$A$60=E$1)*Rules!$C$2:$C$60*ISNUMBER(SEARCH(Rules!$D$2:$D$60,$C74)))</f>
        <v>0</v>
      </c>
      <c r="F74" s="0" t="n">
        <f aca="false">SUMPRODUCT((Rules!$A$2:$A$60=F$1)*Rules!$C$2:$C$60*ISNUMBER(SEARCH(Rules!$D$2:$D$60,$C74)))</f>
        <v>0</v>
      </c>
      <c r="G74" s="0" t="n">
        <f aca="false">SUMPRODUCT((Rules!$A$2:$A$60=G$1)*Rules!$C$2:$C$60*ISNUMBER(SEARCH(Rules!$D$2:$D$60,$C74)))</f>
        <v>0</v>
      </c>
      <c r="H74" s="0" t="n">
        <f aca="false">SUMPRODUCT((Rules!$A$2:$A$60=H$1)*Rules!$C$2:$C$60*ISNUMBER(SEARCH(Rules!$D$2:$D$60,$C74)))</f>
        <v>0</v>
      </c>
      <c r="I74" s="0" t="n">
        <f aca="false">SUMPRODUCT((Rules!$A$2:$A$60=I$1)*Rules!$C$2:$C$60*ISNUMBER(SEARCH(Rules!$D$2:$D$60,$C74)))</f>
        <v>1</v>
      </c>
      <c r="J74" s="0" t="str">
        <f aca="false">IF(OR(MAX(D74:I74)&lt;Rules!$H$1,MAX(D74:I74)-LARGE(D74:I74,2)&lt;Rules!$H$2),"No label",INDEX($D$1:$I$1,MATCH(MAX(D74:I74),D74:I74,0)))</f>
        <v>No label</v>
      </c>
      <c r="K74" s="0" t="n">
        <f aca="false">SUMPRODUCT(ISNUMBER(SEARCH(" "&amp;Terms!$A$3:$A$821&amp;" ",$C74))*Terms!B$3:B$821)+Terms!B$2</f>
        <v>-2.0546895160614</v>
      </c>
      <c r="L74" s="0" t="n">
        <f aca="false">SUMPRODUCT(ISNUMBER(SEARCH(" "&amp;Terms!$A$3:$A$821&amp;" ",$C74))*Terms!C$3:C$821)+Terms!C$2</f>
        <v>12.9466186611391</v>
      </c>
      <c r="M74" s="0" t="n">
        <f aca="false">SUMPRODUCT(ISNUMBER(SEARCH(" "&amp;Terms!$A$3:$A$821&amp;" ",$C74))*Terms!D$3:D$821)+Terms!D$2</f>
        <v>-2.68427519942177</v>
      </c>
      <c r="N74" s="0" t="n">
        <f aca="false">SUMPRODUCT(ISNUMBER(SEARCH(" "&amp;Terms!$A$3:$A$821&amp;" ",$C74))*Terms!E$3:E$821)+Terms!E$2</f>
        <v>-3.77984130590946</v>
      </c>
      <c r="O74" s="0" t="n">
        <f aca="false">SUMPRODUCT(ISNUMBER(SEARCH(" "&amp;Terms!$A$3:$A$821&amp;" ",$C74))*Terms!F$3:F$821)+Terms!F$2</f>
        <v>-1.69722583727491</v>
      </c>
      <c r="P74" s="0" t="n">
        <f aca="false">SUMPRODUCT(ISNUMBER(SEARCH(" "&amp;Terms!$A$3:$A$821&amp;" ",$C74))*Terms!G$3:G$821)+Terms!G$2</f>
        <v>-2.73058680247142</v>
      </c>
      <c r="Q74" s="0" t="str">
        <f aca="false">INDEX($K$1:$P$1,MATCH(MAX(K74:P74),K74:P74,0))</f>
        <v>Customer Service</v>
      </c>
      <c r="R74" s="0" t="str">
        <f aca="false">IF(J74&lt;&gt;"No label",J74,Q74)</f>
        <v>Customer Service</v>
      </c>
      <c r="S74" s="0" t="str">
        <f aca="false">INDEX(Answers!$B$2:$B$201,MATCH(A74,Answers!$A$2:$A$201,0))</f>
        <v>Customer Service</v>
      </c>
      <c r="T74" s="4" t="b">
        <f aca="false">R74=S74</f>
        <v>1</v>
      </c>
    </row>
    <row r="75" customFormat="false" ht="15" hidden="false" customHeight="false" outlineLevel="0" collapsed="false">
      <c r="A75" s="0" t="str">
        <f aca="false">NewComplaints!A75</f>
        <v>N0074</v>
      </c>
      <c r="B75" s="0" t="str">
        <f aca="false">NewComplaints!B75</f>
        <v>I am writing to complain. The complaints handler was unhelpful and talked over me.</v>
      </c>
      <c r="C75" s="0" t="str">
        <f aca="false">" "&amp;TRIM(SUBSTITUTE(SUBSTITUTE(SUBSTITUTE(SUBSTITUTE(SUBSTITUTE(SUBSTITUTE(SUBSTITUTE(SUBSTITUTE(SUBSTITUTE(SUBSTITUTE(SUBSTITUTE(SUBSTITUTE(SUBSTITUTE(SUBSTITUTE(SUBSTITUTE(SUBSTITUTE(LOWER(B75),"."," "),","," "),"'"," "),"’"," "),"!"," "),"?"," "),";"," "),":"," "),"-"," "),"("," "),")"," "),"""", " "),"£"," "),"&amp;"," "),"/"," "),"%"," "))&amp;" "</f>
        <v> i am writing to complain the complaints handler was unhelpful and talked over me </v>
      </c>
      <c r="D75" s="0" t="n">
        <f aca="false">SUMPRODUCT((Rules!$A$2:$A$60=D$1)*Rules!$C$2:$C$60*ISNUMBER(SEARCH(Rules!$D$2:$D$60,$C75)))</f>
        <v>0</v>
      </c>
      <c r="E75" s="0" t="n">
        <f aca="false">SUMPRODUCT((Rules!$A$2:$A$60=E$1)*Rules!$C$2:$C$60*ISNUMBER(SEARCH(Rules!$D$2:$D$60,$C75)))</f>
        <v>0</v>
      </c>
      <c r="F75" s="0" t="n">
        <f aca="false">SUMPRODUCT((Rules!$A$2:$A$60=F$1)*Rules!$C$2:$C$60*ISNUMBER(SEARCH(Rules!$D$2:$D$60,$C75)))</f>
        <v>0</v>
      </c>
      <c r="G75" s="0" t="n">
        <f aca="false">SUMPRODUCT((Rules!$A$2:$A$60=G$1)*Rules!$C$2:$C$60*ISNUMBER(SEARCH(Rules!$D$2:$D$60,$C75)))</f>
        <v>0</v>
      </c>
      <c r="H75" s="0" t="n">
        <f aca="false">SUMPRODUCT((Rules!$A$2:$A$60=H$1)*Rules!$C$2:$C$60*ISNUMBER(SEARCH(Rules!$D$2:$D$60,$C75)))</f>
        <v>0</v>
      </c>
      <c r="I75" s="0" t="n">
        <f aca="false">SUMPRODUCT((Rules!$A$2:$A$60=I$1)*Rules!$C$2:$C$60*ISNUMBER(SEARCH(Rules!$D$2:$D$60,$C75)))</f>
        <v>2</v>
      </c>
      <c r="J75" s="0" t="str">
        <f aca="false">IF(OR(MAX(D75:I75)&lt;Rules!$H$1,MAX(D75:I75)-LARGE(D75:I75,2)&lt;Rules!$H$2),"No label",INDEX($D$1:$I$1,MATCH(MAX(D75:I75),D75:I75,0)))</f>
        <v>No label</v>
      </c>
      <c r="K75" s="0" t="n">
        <f aca="false">SUMPRODUCT(ISNUMBER(SEARCH(" "&amp;Terms!$A$3:$A$821&amp;" ",$C75))*Terms!B$3:B$821)+Terms!B$2</f>
        <v>-1.15986586287031</v>
      </c>
      <c r="L75" s="0" t="n">
        <f aca="false">SUMPRODUCT(ISNUMBER(SEARCH(" "&amp;Terms!$A$3:$A$821&amp;" ",$C75))*Terms!C$3:C$821)+Terms!C$2</f>
        <v>8.87655171699061</v>
      </c>
      <c r="M75" s="0" t="n">
        <f aca="false">SUMPRODUCT(ISNUMBER(SEARCH(" "&amp;Terms!$A$3:$A$821&amp;" ",$C75))*Terms!D$3:D$821)+Terms!D$2</f>
        <v>-1.81527189911687</v>
      </c>
      <c r="N75" s="0" t="n">
        <f aca="false">SUMPRODUCT(ISNUMBER(SEARCH(" "&amp;Terms!$A$3:$A$821&amp;" ",$C75))*Terms!E$3:E$821)+Terms!E$2</f>
        <v>-2.12445122941427</v>
      </c>
      <c r="O75" s="0" t="n">
        <f aca="false">SUMPRODUCT(ISNUMBER(SEARCH(" "&amp;Terms!$A$3:$A$821&amp;" ",$C75))*Terms!F$3:F$821)+Terms!F$2</f>
        <v>-3.07574581320089</v>
      </c>
      <c r="P75" s="0" t="n">
        <f aca="false">SUMPRODUCT(ISNUMBER(SEARCH(" "&amp;Terms!$A$3:$A$821&amp;" ",$C75))*Terms!G$3:G$821)+Terms!G$2</f>
        <v>-0.701216912388173</v>
      </c>
      <c r="Q75" s="0" t="str">
        <f aca="false">INDEX($K$1:$P$1,MATCH(MAX(K75:P75),K75:P75,0))</f>
        <v>Customer Service</v>
      </c>
      <c r="R75" s="0" t="str">
        <f aca="false">IF(J75&lt;&gt;"No label",J75,Q75)</f>
        <v>Customer Service</v>
      </c>
      <c r="S75" s="0" t="str">
        <f aca="false">INDEX(Answers!$B$2:$B$201,MATCH(A75,Answers!$A$2:$A$201,0))</f>
        <v>Customer Service</v>
      </c>
      <c r="T75" s="4" t="b">
        <f aca="false">R75=S75</f>
        <v>1</v>
      </c>
    </row>
    <row r="76" customFormat="false" ht="15" hidden="false" customHeight="false" outlineLevel="0" collapsed="false">
      <c r="A76" s="0" t="str">
        <f aca="false">NewComplaints!A76</f>
        <v>N0075</v>
      </c>
      <c r="B76" s="0" t="str">
        <f aca="false">NewComplaints!B76</f>
        <v>I am writing to complain. My identity was stolen and a loan was taken out in my name. Please escalate this.</v>
      </c>
      <c r="C76" s="0" t="str">
        <f aca="false">" "&amp;TRIM(SUBSTITUTE(SUBSTITUTE(SUBSTITUTE(SUBSTITUTE(SUBSTITUTE(SUBSTITUTE(SUBSTITUTE(SUBSTITUTE(SUBSTITUTE(SUBSTITUTE(SUBSTITUTE(SUBSTITUTE(SUBSTITUTE(SUBSTITUTE(SUBSTITUTE(SUBSTITUTE(LOWER(B76),"."," "),","," "),"'"," "),"’"," "),"!"," "),"?"," "),";"," "),":"," "),"-"," "),"("," "),")"," "),"""", " "),"£"," "),"&amp;"," "),"/"," "),"%"," "))&amp;" "</f>
        <v> i am writing to complain my identity was stolen and a loan was taken out in my name please escalate this </v>
      </c>
      <c r="D76" s="0" t="n">
        <f aca="false">SUMPRODUCT((Rules!$A$2:$A$60=D$1)*Rules!$C$2:$C$60*ISNUMBER(SEARCH(Rules!$D$2:$D$60,$C76)))</f>
        <v>2</v>
      </c>
      <c r="E76" s="0" t="n">
        <f aca="false">SUMPRODUCT((Rules!$A$2:$A$60=E$1)*Rules!$C$2:$C$60*ISNUMBER(SEARCH(Rules!$D$2:$D$60,$C76)))</f>
        <v>0</v>
      </c>
      <c r="F76" s="0" t="n">
        <f aca="false">SUMPRODUCT((Rules!$A$2:$A$60=F$1)*Rules!$C$2:$C$60*ISNUMBER(SEARCH(Rules!$D$2:$D$60,$C76)))</f>
        <v>0</v>
      </c>
      <c r="G76" s="0" t="n">
        <f aca="false">SUMPRODUCT((Rules!$A$2:$A$60=G$1)*Rules!$C$2:$C$60*ISNUMBER(SEARCH(Rules!$D$2:$D$60,$C76)))</f>
        <v>0</v>
      </c>
      <c r="H76" s="0" t="n">
        <f aca="false">SUMPRODUCT((Rules!$A$2:$A$60=H$1)*Rules!$C$2:$C$60*ISNUMBER(SEARCH(Rules!$D$2:$D$60,$C76)))</f>
        <v>0</v>
      </c>
      <c r="I76" s="0" t="n">
        <f aca="false">SUMPRODUCT((Rules!$A$2:$A$60=I$1)*Rules!$C$2:$C$60*ISNUMBER(SEARCH(Rules!$D$2:$D$60,$C76)))</f>
        <v>0</v>
      </c>
      <c r="J76" s="0" t="str">
        <f aca="false">IF(OR(MAX(D76:I76)&lt;Rules!$H$1,MAX(D76:I76)-LARGE(D76:I76,2)&lt;Rules!$H$2),"No label",INDEX($D$1:$I$1,MATCH(MAX(D76:I76),D76:I76,0)))</f>
        <v>No label</v>
      </c>
      <c r="K76" s="0" t="n">
        <f aca="false">SUMPRODUCT(ISNUMBER(SEARCH(" "&amp;Terms!$A$3:$A$821&amp;" ",$C76))*Terms!B$3:B$821)+Terms!B$2</f>
        <v>-1.17183785781739</v>
      </c>
      <c r="L76" s="0" t="n">
        <f aca="false">SUMPRODUCT(ISNUMBER(SEARCH(" "&amp;Terms!$A$3:$A$821&amp;" ",$C76))*Terms!C$3:C$821)+Terms!C$2</f>
        <v>0.0147724624166332</v>
      </c>
      <c r="M76" s="0" t="n">
        <f aca="false">SUMPRODUCT(ISNUMBER(SEARCH(" "&amp;Terms!$A$3:$A$821&amp;" ",$C76))*Terms!D$3:D$821)+Terms!D$2</f>
        <v>-0.965830656592426</v>
      </c>
      <c r="N76" s="0" t="n">
        <f aca="false">SUMPRODUCT(ISNUMBER(SEARCH(" "&amp;Terms!$A$3:$A$821&amp;" ",$C76))*Terms!E$3:E$821)+Terms!E$2</f>
        <v>-1.21536368998341</v>
      </c>
      <c r="O76" s="0" t="n">
        <f aca="false">SUMPRODUCT(ISNUMBER(SEARCH(" "&amp;Terms!$A$3:$A$821&amp;" ",$C76))*Terms!F$3:F$821)+Terms!F$2</f>
        <v>5.37335967649382</v>
      </c>
      <c r="P76" s="0" t="n">
        <f aca="false">SUMPRODUCT(ISNUMBER(SEARCH(" "&amp;Terms!$A$3:$A$821&amp;" ",$C76))*Terms!G$3:G$821)+Terms!G$2</f>
        <v>-2.03509993451714</v>
      </c>
      <c r="Q76" s="0" t="str">
        <f aca="false">INDEX($K$1:$P$1,MATCH(MAX(K76:P76),K76:P76,0))</f>
        <v>Fraud &amp; Scams</v>
      </c>
      <c r="R76" s="0" t="str">
        <f aca="false">IF(J76&lt;&gt;"No label",J76,Q76)</f>
        <v>Fraud &amp; Scams</v>
      </c>
      <c r="S76" s="0" t="str">
        <f aca="false">INDEX(Answers!$B$2:$B$201,MATCH(A76,Answers!$A$2:$A$201,0))</f>
        <v>Fraud &amp; Scams</v>
      </c>
      <c r="T76" s="4" t="b">
        <f aca="false">R76=S76</f>
        <v>1</v>
      </c>
    </row>
    <row r="77" customFormat="false" ht="15" hidden="false" customHeight="false" outlineLevel="0" collapsed="false">
      <c r="A77" s="0" t="str">
        <f aca="false">NewComplaints!A77</f>
        <v>N0076</v>
      </c>
      <c r="B77" s="0" t="str">
        <f aca="false">NewComplaints!B77</f>
        <v>I sent the form twice and it seems to have been lost in the system. Also, i spent an hour on hold and then the call was cut off. I expect compensation.</v>
      </c>
      <c r="C77" s="0" t="str">
        <f aca="false">" "&amp;TRIM(SUBSTITUTE(SUBSTITUTE(SUBSTITUTE(SUBSTITUTE(SUBSTITUTE(SUBSTITUTE(SUBSTITUTE(SUBSTITUTE(SUBSTITUTE(SUBSTITUTE(SUBSTITUTE(SUBSTITUTE(SUBSTITUTE(SUBSTITUTE(SUBSTITUTE(SUBSTITUTE(LOWER(B77),"."," "),","," "),"'"," "),"’"," "),"!"," "),"?"," "),";"," "),":"," "),"-"," "),"("," "),")"," "),"""", " "),"£"," "),"&amp;"," "),"/"," "),"%"," "))&amp;" "</f>
        <v> i sent the form twice and it seems to have been lost in the system also i spent an hour on hold and then the call was cut off i expect compensation </v>
      </c>
      <c r="D77" s="0" t="n">
        <f aca="false">SUMPRODUCT((Rules!$A$2:$A$60=D$1)*Rules!$C$2:$C$60*ISNUMBER(SEARCH(Rules!$D$2:$D$60,$C77)))</f>
        <v>0</v>
      </c>
      <c r="E77" s="0" t="n">
        <f aca="false">SUMPRODUCT((Rules!$A$2:$A$60=E$1)*Rules!$C$2:$C$60*ISNUMBER(SEARCH(Rules!$D$2:$D$60,$C77)))</f>
        <v>0</v>
      </c>
      <c r="F77" s="0" t="n">
        <f aca="false">SUMPRODUCT((Rules!$A$2:$A$60=F$1)*Rules!$C$2:$C$60*ISNUMBER(SEARCH(Rules!$D$2:$D$60,$C77)))</f>
        <v>0</v>
      </c>
      <c r="G77" s="0" t="n">
        <f aca="false">SUMPRODUCT((Rules!$A$2:$A$60=G$1)*Rules!$C$2:$C$60*ISNUMBER(SEARCH(Rules!$D$2:$D$60,$C77)))</f>
        <v>0</v>
      </c>
      <c r="H77" s="0" t="n">
        <f aca="false">SUMPRODUCT((Rules!$A$2:$A$60=H$1)*Rules!$C$2:$C$60*ISNUMBER(SEARCH(Rules!$D$2:$D$60,$C77)))</f>
        <v>0</v>
      </c>
      <c r="I77" s="0" t="n">
        <f aca="false">SUMPRODUCT((Rules!$A$2:$A$60=I$1)*Rules!$C$2:$C$60*ISNUMBER(SEARCH(Rules!$D$2:$D$60,$C77)))</f>
        <v>3</v>
      </c>
      <c r="J77" s="0" t="str">
        <f aca="false">IF(OR(MAX(D77:I77)&lt;Rules!$H$1,MAX(D77:I77)-LARGE(D77:I77,2)&lt;Rules!$H$2),"No label",INDEX($D$1:$I$1,MATCH(MAX(D77:I77),D77:I77,0)))</f>
        <v>Customer Service</v>
      </c>
      <c r="K77" s="0" t="n">
        <f aca="false">SUMPRODUCT(ISNUMBER(SEARCH(" "&amp;Terms!$A$3:$A$821&amp;" ",$C77))*Terms!B$3:B$821)+Terms!B$2</f>
        <v>-1.94075909268088</v>
      </c>
      <c r="L77" s="0" t="n">
        <f aca="false">SUMPRODUCT(ISNUMBER(SEARCH(" "&amp;Terms!$A$3:$A$821&amp;" ",$C77))*Terms!C$3:C$821)+Terms!C$2</f>
        <v>4.92197580748708</v>
      </c>
      <c r="M77" s="0" t="n">
        <f aca="false">SUMPRODUCT(ISNUMBER(SEARCH(" "&amp;Terms!$A$3:$A$821&amp;" ",$C77))*Terms!D$3:D$821)+Terms!D$2</f>
        <v>6.49258095743928</v>
      </c>
      <c r="N77" s="0" t="n">
        <f aca="false">SUMPRODUCT(ISNUMBER(SEARCH(" "&amp;Terms!$A$3:$A$821&amp;" ",$C77))*Terms!E$3:E$821)+Terms!E$2</f>
        <v>-3.70882646670654</v>
      </c>
      <c r="O77" s="0" t="n">
        <f aca="false">SUMPRODUCT(ISNUMBER(SEARCH(" "&amp;Terms!$A$3:$A$821&amp;" ",$C77))*Terms!F$3:F$821)+Terms!F$2</f>
        <v>-2.32895691111506</v>
      </c>
      <c r="P77" s="0" t="n">
        <f aca="false">SUMPRODUCT(ISNUMBER(SEARCH(" "&amp;Terms!$A$3:$A$821&amp;" ",$C77))*Terms!G$3:G$821)+Terms!G$2</f>
        <v>-3.43601429442378</v>
      </c>
      <c r="Q77" s="0" t="str">
        <f aca="false">INDEX($K$1:$P$1,MATCH(MAX(K77:P77),K77:P77,0))</f>
        <v>Delays &amp; Processing</v>
      </c>
      <c r="R77" s="0" t="str">
        <f aca="false">IF(J77&lt;&gt;"No label",J77,Q77)</f>
        <v>Customer Service</v>
      </c>
      <c r="S77" s="0" t="str">
        <f aca="false">INDEX(Answers!$B$2:$B$201,MATCH(A77,Answers!$A$2:$A$201,0))</f>
        <v>Delays &amp; Processing</v>
      </c>
      <c r="T77" s="4" t="b">
        <f aca="false">R77=S77</f>
        <v>0</v>
      </c>
    </row>
    <row r="78" customFormat="false" ht="15" hidden="false" customHeight="false" outlineLevel="0" collapsed="false">
      <c r="A78" s="0" t="str">
        <f aca="false">NewComplaints!A78</f>
        <v>N0077</v>
      </c>
      <c r="B78" s="0" t="str">
        <f aca="false">NewComplaints!B78</f>
        <v>I have been a customer for years. My online banking is locked and the reset link never arrives. Also, the brochure said guaranteed returns and my money has lost value.</v>
      </c>
      <c r="C78" s="0" t="str">
        <f aca="false">" "&amp;TRIM(SUBSTITUTE(SUBSTITUTE(SUBSTITUTE(SUBSTITUTE(SUBSTITUTE(SUBSTITUTE(SUBSTITUTE(SUBSTITUTE(SUBSTITUTE(SUBSTITUTE(SUBSTITUTE(SUBSTITUTE(SUBSTITUTE(SUBSTITUTE(SUBSTITUTE(SUBSTITUTE(LOWER(B78),"."," "),","," "),"'"," "),"’"," "),"!"," "),"?"," "),";"," "),":"," "),"-"," "),"("," "),")"," "),"""", " "),"£"," "),"&amp;"," "),"/"," "),"%"," "))&amp;" "</f>
        <v> i have been a customer for years my online banking is locked and the reset link never arrives also the brochure said guaranteed returns and my money has lost value </v>
      </c>
      <c r="D78" s="0" t="n">
        <f aca="false">SUMPRODUCT((Rules!$A$2:$A$60=D$1)*Rules!$C$2:$C$60*ISNUMBER(SEARCH(Rules!$D$2:$D$60,$C78)))</f>
        <v>0</v>
      </c>
      <c r="E78" s="0" t="n">
        <f aca="false">SUMPRODUCT((Rules!$A$2:$A$60=E$1)*Rules!$C$2:$C$60*ISNUMBER(SEARCH(Rules!$D$2:$D$60,$C78)))</f>
        <v>2</v>
      </c>
      <c r="F78" s="0" t="n">
        <f aca="false">SUMPRODUCT((Rules!$A$2:$A$60=F$1)*Rules!$C$2:$C$60*ISNUMBER(SEARCH(Rules!$D$2:$D$60,$C78)))</f>
        <v>5</v>
      </c>
      <c r="G78" s="0" t="n">
        <f aca="false">SUMPRODUCT((Rules!$A$2:$A$60=G$1)*Rules!$C$2:$C$60*ISNUMBER(SEARCH(Rules!$D$2:$D$60,$C78)))</f>
        <v>0</v>
      </c>
      <c r="H78" s="0" t="n">
        <f aca="false">SUMPRODUCT((Rules!$A$2:$A$60=H$1)*Rules!$C$2:$C$60*ISNUMBER(SEARCH(Rules!$D$2:$D$60,$C78)))</f>
        <v>0</v>
      </c>
      <c r="I78" s="0" t="n">
        <f aca="false">SUMPRODUCT((Rules!$A$2:$A$60=I$1)*Rules!$C$2:$C$60*ISNUMBER(SEARCH(Rules!$D$2:$D$60,$C78)))</f>
        <v>0</v>
      </c>
      <c r="J78" s="0" t="str">
        <f aca="false">IF(OR(MAX(D78:I78)&lt;Rules!$H$1,MAX(D78:I78)-LARGE(D78:I78,2)&lt;Rules!$H$2),"No label",INDEX($D$1:$I$1,MATCH(MAX(D78:I78),D78:I78,0)))</f>
        <v>Account Access</v>
      </c>
      <c r="K78" s="0" t="n">
        <f aca="false">SUMPRODUCT(ISNUMBER(SEARCH(" "&amp;Terms!$A$3:$A$821&amp;" ",$C78))*Terms!B$3:B$821)+Terms!B$2</f>
        <v>6.41385575898792</v>
      </c>
      <c r="L78" s="0" t="n">
        <f aca="false">SUMPRODUCT(ISNUMBER(SEARCH(" "&amp;Terms!$A$3:$A$821&amp;" ",$C78))*Terms!C$3:C$821)+Terms!C$2</f>
        <v>-8.54613814861083</v>
      </c>
      <c r="M78" s="0" t="n">
        <f aca="false">SUMPRODUCT(ISNUMBER(SEARCH(" "&amp;Terms!$A$3:$A$821&amp;" ",$C78))*Terms!D$3:D$821)+Terms!D$2</f>
        <v>-2.50264228341288</v>
      </c>
      <c r="N78" s="0" t="n">
        <f aca="false">SUMPRODUCT(ISNUMBER(SEARCH(" "&amp;Terms!$A$3:$A$821&amp;" ",$C78))*Terms!E$3:E$821)+Terms!E$2</f>
        <v>-4.95147971762986</v>
      </c>
      <c r="O78" s="0" t="n">
        <f aca="false">SUMPRODUCT(ISNUMBER(SEARCH(" "&amp;Terms!$A$3:$A$821&amp;" ",$C78))*Terms!F$3:F$821)+Terms!F$2</f>
        <v>-2.63925443481565</v>
      </c>
      <c r="P78" s="0" t="n">
        <f aca="false">SUMPRODUCT(ISNUMBER(SEARCH(" "&amp;Terms!$A$3:$A$821&amp;" ",$C78))*Terms!G$3:G$821)+Terms!G$2</f>
        <v>12.2256588254814</v>
      </c>
      <c r="Q78" s="0" t="str">
        <f aca="false">INDEX($K$1:$P$1,MATCH(MAX(K78:P78),K78:P78,0))</f>
        <v>Mis-selling</v>
      </c>
      <c r="R78" s="0" t="str">
        <f aca="false">IF(J78&lt;&gt;"No label",J78,Q78)</f>
        <v>Account Access</v>
      </c>
      <c r="S78" s="0" t="str">
        <f aca="false">INDEX(Answers!$B$2:$B$201,MATCH(A78,Answers!$A$2:$A$201,0))</f>
        <v>Account Access</v>
      </c>
      <c r="T78" s="4" t="b">
        <f aca="false">R78=S78</f>
        <v>1</v>
      </c>
    </row>
    <row r="79" customFormat="false" ht="15" hidden="false" customHeight="false" outlineLevel="0" collapsed="false">
      <c r="A79" s="0" t="str">
        <f aca="false">NewComplaints!A79</f>
        <v>N0078</v>
      </c>
      <c r="B79" s="0" t="str">
        <f aca="false">NewComplaints!B79</f>
        <v>I have been a customer for years. The fraud team closed my case without investigating properly.</v>
      </c>
      <c r="C79" s="0" t="str">
        <f aca="false">" "&amp;TRIM(SUBSTITUTE(SUBSTITUTE(SUBSTITUTE(SUBSTITUTE(SUBSTITUTE(SUBSTITUTE(SUBSTITUTE(SUBSTITUTE(SUBSTITUTE(SUBSTITUTE(SUBSTITUTE(SUBSTITUTE(SUBSTITUTE(SUBSTITUTE(SUBSTITUTE(SUBSTITUTE(LOWER(B79),"."," "),","," "),"'"," "),"’"," "),"!"," "),"?"," "),";"," "),":"," "),"-"," "),"("," "),")"," "),"""", " "),"£"," "),"&amp;"," "),"/"," "),"%"," "))&amp;" "</f>
        <v> i have been a customer for years the fraud team closed my case without investigating properly </v>
      </c>
      <c r="D79" s="0" t="n">
        <f aca="false">SUMPRODUCT((Rules!$A$2:$A$60=D$1)*Rules!$C$2:$C$60*ISNUMBER(SEARCH(Rules!$D$2:$D$60,$C79)))</f>
        <v>3</v>
      </c>
      <c r="E79" s="0" t="n">
        <f aca="false">SUMPRODUCT((Rules!$A$2:$A$60=E$1)*Rules!$C$2:$C$60*ISNUMBER(SEARCH(Rules!$D$2:$D$60,$C79)))</f>
        <v>0</v>
      </c>
      <c r="F79" s="0" t="n">
        <f aca="false">SUMPRODUCT((Rules!$A$2:$A$60=F$1)*Rules!$C$2:$C$60*ISNUMBER(SEARCH(Rules!$D$2:$D$60,$C79)))</f>
        <v>0</v>
      </c>
      <c r="G79" s="0" t="n">
        <f aca="false">SUMPRODUCT((Rules!$A$2:$A$60=G$1)*Rules!$C$2:$C$60*ISNUMBER(SEARCH(Rules!$D$2:$D$60,$C79)))</f>
        <v>0</v>
      </c>
      <c r="H79" s="0" t="n">
        <f aca="false">SUMPRODUCT((Rules!$A$2:$A$60=H$1)*Rules!$C$2:$C$60*ISNUMBER(SEARCH(Rules!$D$2:$D$60,$C79)))</f>
        <v>0</v>
      </c>
      <c r="I79" s="0" t="n">
        <f aca="false">SUMPRODUCT((Rules!$A$2:$A$60=I$1)*Rules!$C$2:$C$60*ISNUMBER(SEARCH(Rules!$D$2:$D$60,$C79)))</f>
        <v>0</v>
      </c>
      <c r="J79" s="0" t="str">
        <f aca="false">IF(OR(MAX(D79:I79)&lt;Rules!$H$1,MAX(D79:I79)-LARGE(D79:I79,2)&lt;Rules!$H$2),"No label",INDEX($D$1:$I$1,MATCH(MAX(D79:I79),D79:I79,0)))</f>
        <v>Fraud &amp; Scams</v>
      </c>
      <c r="K79" s="0" t="n">
        <f aca="false">SUMPRODUCT(ISNUMBER(SEARCH(" "&amp;Terms!$A$3:$A$821&amp;" ",$C79))*Terms!B$3:B$821)+Terms!B$2</f>
        <v>-2.76512292045167</v>
      </c>
      <c r="L79" s="0" t="n">
        <f aca="false">SUMPRODUCT(ISNUMBER(SEARCH(" "&amp;Terms!$A$3:$A$821&amp;" ",$C79))*Terms!C$3:C$821)+Terms!C$2</f>
        <v>0.631221106278053</v>
      </c>
      <c r="M79" s="0" t="n">
        <f aca="false">SUMPRODUCT(ISNUMBER(SEARCH(" "&amp;Terms!$A$3:$A$821&amp;" ",$C79))*Terms!D$3:D$821)+Terms!D$2</f>
        <v>-1.60918007136734</v>
      </c>
      <c r="N79" s="0" t="n">
        <f aca="false">SUMPRODUCT(ISNUMBER(SEARCH(" "&amp;Terms!$A$3:$A$821&amp;" ",$C79))*Terms!E$3:E$821)+Terms!E$2</f>
        <v>-3.97596737536413</v>
      </c>
      <c r="O79" s="0" t="n">
        <f aca="false">SUMPRODUCT(ISNUMBER(SEARCH(" "&amp;Terms!$A$3:$A$821&amp;" ",$C79))*Terms!F$3:F$821)+Terms!F$2</f>
        <v>10.4539402139251</v>
      </c>
      <c r="P79" s="0" t="n">
        <f aca="false">SUMPRODUCT(ISNUMBER(SEARCH(" "&amp;Terms!$A$3:$A$821&amp;" ",$C79))*Terms!G$3:G$821)+Terms!G$2</f>
        <v>-2.73489095301997</v>
      </c>
      <c r="Q79" s="0" t="str">
        <f aca="false">INDEX($K$1:$P$1,MATCH(MAX(K79:P79),K79:P79,0))</f>
        <v>Fraud &amp; Scams</v>
      </c>
      <c r="R79" s="0" t="str">
        <f aca="false">IF(J79&lt;&gt;"No label",J79,Q79)</f>
        <v>Fraud &amp; Scams</v>
      </c>
      <c r="S79" s="0" t="str">
        <f aca="false">INDEX(Answers!$B$2:$B$201,MATCH(A79,Answers!$A$2:$A$201,0))</f>
        <v>Fraud &amp; Scams</v>
      </c>
      <c r="T79" s="4" t="b">
        <f aca="false">R79=S79</f>
        <v>1</v>
      </c>
    </row>
    <row r="80" customFormat="false" ht="15" hidden="false" customHeight="false" outlineLevel="0" collapsed="false">
      <c r="A80" s="0" t="str">
        <f aca="false">NewComplaints!A80</f>
        <v>N0079</v>
      </c>
      <c r="B80" s="0" t="str">
        <f aca="false">NewComplaints!B80</f>
        <v>I am writing to complain. The payment still has not arrived in my account. I want this put right.</v>
      </c>
      <c r="C80" s="0" t="str">
        <f aca="false">" "&amp;TRIM(SUBSTITUTE(SUBSTITUTE(SUBSTITUTE(SUBSTITUTE(SUBSTITUTE(SUBSTITUTE(SUBSTITUTE(SUBSTITUTE(SUBSTITUTE(SUBSTITUTE(SUBSTITUTE(SUBSTITUTE(SUBSTITUTE(SUBSTITUTE(SUBSTITUTE(SUBSTITUTE(LOWER(B80),"."," "),","," "),"'"," "),"’"," "),"!"," "),"?"," "),";"," "),":"," "),"-"," "),"("," "),")"," "),"""", " "),"£"," "),"&amp;"," "),"/"," "),"%"," "))&amp;" "</f>
        <v> i am writing to complain the payment still has not arrived in my account i want this put right </v>
      </c>
      <c r="D80" s="0" t="n">
        <f aca="false">SUMPRODUCT((Rules!$A$2:$A$60=D$1)*Rules!$C$2:$C$60*ISNUMBER(SEARCH(Rules!$D$2:$D$60,$C80)))</f>
        <v>0</v>
      </c>
      <c r="E80" s="0" t="n">
        <f aca="false">SUMPRODUCT((Rules!$A$2:$A$60=E$1)*Rules!$C$2:$C$60*ISNUMBER(SEARCH(Rules!$D$2:$D$60,$C80)))</f>
        <v>0</v>
      </c>
      <c r="F80" s="0" t="n">
        <f aca="false">SUMPRODUCT((Rules!$A$2:$A$60=F$1)*Rules!$C$2:$C$60*ISNUMBER(SEARCH(Rules!$D$2:$D$60,$C80)))</f>
        <v>0</v>
      </c>
      <c r="G80" s="0" t="n">
        <f aca="false">SUMPRODUCT((Rules!$A$2:$A$60=G$1)*Rules!$C$2:$C$60*ISNUMBER(SEARCH(Rules!$D$2:$D$60,$C80)))</f>
        <v>0</v>
      </c>
      <c r="H80" s="0" t="n">
        <f aca="false">SUMPRODUCT((Rules!$A$2:$A$60=H$1)*Rules!$C$2:$C$60*ISNUMBER(SEARCH(Rules!$D$2:$D$60,$C80)))</f>
        <v>2</v>
      </c>
      <c r="I80" s="0" t="n">
        <f aca="false">SUMPRODUCT((Rules!$A$2:$A$60=I$1)*Rules!$C$2:$C$60*ISNUMBER(SEARCH(Rules!$D$2:$D$60,$C80)))</f>
        <v>0</v>
      </c>
      <c r="J80" s="0" t="str">
        <f aca="false">IF(OR(MAX(D80:I80)&lt;Rules!$H$1,MAX(D80:I80)-LARGE(D80:I80,2)&lt;Rules!$H$2),"No label",INDEX($D$1:$I$1,MATCH(MAX(D80:I80),D80:I80,0)))</f>
        <v>No label</v>
      </c>
      <c r="K80" s="0" t="n">
        <f aca="false">SUMPRODUCT(ISNUMBER(SEARCH(" "&amp;Terms!$A$3:$A$821&amp;" ",$C80))*Terms!B$3:B$821)+Terms!B$2</f>
        <v>-0.573446147683749</v>
      </c>
      <c r="L80" s="0" t="n">
        <f aca="false">SUMPRODUCT(ISNUMBER(SEARCH(" "&amp;Terms!$A$3:$A$821&amp;" ",$C80))*Terms!C$3:C$821)+Terms!C$2</f>
        <v>-4.10825019502422</v>
      </c>
      <c r="M80" s="0" t="n">
        <f aca="false">SUMPRODUCT(ISNUMBER(SEARCH(" "&amp;Terms!$A$3:$A$821&amp;" ",$C80))*Terms!D$3:D$821)+Terms!D$2</f>
        <v>7.24925557864957</v>
      </c>
      <c r="N80" s="0" t="n">
        <f aca="false">SUMPRODUCT(ISNUMBER(SEARCH(" "&amp;Terms!$A$3:$A$821&amp;" ",$C80))*Terms!E$3:E$821)+Terms!E$2</f>
        <v>-0.498921792556374</v>
      </c>
      <c r="O80" s="0" t="n">
        <f aca="false">SUMPRODUCT(ISNUMBER(SEARCH(" "&amp;Terms!$A$3:$A$821&amp;" ",$C80))*Terms!F$3:F$821)+Terms!F$2</f>
        <v>1.63678620296426</v>
      </c>
      <c r="P80" s="0" t="n">
        <f aca="false">SUMPRODUCT(ISNUMBER(SEARCH(" "&amp;Terms!$A$3:$A$821&amp;" ",$C80))*Terms!G$3:G$821)+Terms!G$2</f>
        <v>-3.7054236463494</v>
      </c>
      <c r="Q80" s="0" t="str">
        <f aca="false">INDEX($K$1:$P$1,MATCH(MAX(K80:P80),K80:P80,0))</f>
        <v>Delays &amp; Processing</v>
      </c>
      <c r="R80" s="0" t="str">
        <f aca="false">IF(J80&lt;&gt;"No label",J80,Q80)</f>
        <v>Delays &amp; Processing</v>
      </c>
      <c r="S80" s="0" t="str">
        <f aca="false">INDEX(Answers!$B$2:$B$201,MATCH(A80,Answers!$A$2:$A$201,0))</f>
        <v>Delays &amp; Processing</v>
      </c>
      <c r="T80" s="4" t="b">
        <f aca="false">R80=S80</f>
        <v>1</v>
      </c>
    </row>
    <row r="81" customFormat="false" ht="15" hidden="false" customHeight="false" outlineLevel="0" collapsed="false">
      <c r="A81" s="0" t="str">
        <f aca="false">NewComplaints!A81</f>
        <v>N0080</v>
      </c>
      <c r="B81" s="0" t="str">
        <f aca="false">NewComplaints!B81</f>
        <v>I am writing to complain. The app crashes every time I try to open my statements. There was also a fee involved. lease escalate this.</v>
      </c>
      <c r="C81" s="0" t="str">
        <f aca="false">" "&amp;TRIM(SUBSTITUTE(SUBSTITUTE(SUBSTITUTE(SUBSTITUTE(SUBSTITUTE(SUBSTITUTE(SUBSTITUTE(SUBSTITUTE(SUBSTITUTE(SUBSTITUTE(SUBSTITUTE(SUBSTITUTE(SUBSTITUTE(SUBSTITUTE(SUBSTITUTE(SUBSTITUTE(LOWER(B81),"."," "),","," "),"'"," "),"’"," "),"!"," "),"?"," "),";"," "),":"," "),"-"," "),"("," "),")"," "),"""", " "),"£"," "),"&amp;"," "),"/"," "),"%"," "))&amp;" "</f>
        <v> i am writing to complain the app crashes every time i try to open my statements there was also a fee involved lease escalate this </v>
      </c>
      <c r="D81" s="0" t="n">
        <f aca="false">SUMPRODUCT((Rules!$A$2:$A$60=D$1)*Rules!$C$2:$C$60*ISNUMBER(SEARCH(Rules!$D$2:$D$60,$C81)))</f>
        <v>0</v>
      </c>
      <c r="E81" s="0" t="n">
        <f aca="false">SUMPRODUCT((Rules!$A$2:$A$60=E$1)*Rules!$C$2:$C$60*ISNUMBER(SEARCH(Rules!$D$2:$D$60,$C81)))</f>
        <v>0</v>
      </c>
      <c r="F81" s="0" t="n">
        <f aca="false">SUMPRODUCT((Rules!$A$2:$A$60=F$1)*Rules!$C$2:$C$60*ISNUMBER(SEARCH(Rules!$D$2:$D$60,$C81)))</f>
        <v>3</v>
      </c>
      <c r="G81" s="0" t="n">
        <f aca="false">SUMPRODUCT((Rules!$A$2:$A$60=G$1)*Rules!$C$2:$C$60*ISNUMBER(SEARCH(Rules!$D$2:$D$60,$C81)))</f>
        <v>2</v>
      </c>
      <c r="H81" s="0" t="n">
        <f aca="false">SUMPRODUCT((Rules!$A$2:$A$60=H$1)*Rules!$C$2:$C$60*ISNUMBER(SEARCH(Rules!$D$2:$D$60,$C81)))</f>
        <v>0</v>
      </c>
      <c r="I81" s="0" t="n">
        <f aca="false">SUMPRODUCT((Rules!$A$2:$A$60=I$1)*Rules!$C$2:$C$60*ISNUMBER(SEARCH(Rules!$D$2:$D$60,$C81)))</f>
        <v>0</v>
      </c>
      <c r="J81" s="0" t="str">
        <f aca="false">IF(OR(MAX(D81:I81)&lt;Rules!$H$1,MAX(D81:I81)-LARGE(D81:I81,2)&lt;Rules!$H$2),"No label",INDEX($D$1:$I$1,MATCH(MAX(D81:I81),D81:I81,0)))</f>
        <v>No label</v>
      </c>
      <c r="K81" s="0" t="n">
        <f aca="false">SUMPRODUCT(ISNUMBER(SEARCH(" "&amp;Terms!$A$3:$A$821&amp;" ",$C81))*Terms!B$3:B$821)+Terms!B$2</f>
        <v>9.32380850897656</v>
      </c>
      <c r="L81" s="0" t="n">
        <f aca="false">SUMPRODUCT(ISNUMBER(SEARCH(" "&amp;Terms!$A$3:$A$821&amp;" ",$C81))*Terms!C$3:C$821)+Terms!C$2</f>
        <v>-1.09405826599742</v>
      </c>
      <c r="M81" s="0" t="n">
        <f aca="false">SUMPRODUCT(ISNUMBER(SEARCH(" "&amp;Terms!$A$3:$A$821&amp;" ",$C81))*Terms!D$3:D$821)+Terms!D$2</f>
        <v>-1.20846387781893</v>
      </c>
      <c r="N81" s="0" t="n">
        <f aca="false">SUMPRODUCT(ISNUMBER(SEARCH(" "&amp;Terms!$A$3:$A$821&amp;" ",$C81))*Terms!E$3:E$821)+Terms!E$2</f>
        <v>0.437434441901346</v>
      </c>
      <c r="O81" s="0" t="n">
        <f aca="false">SUMPRODUCT(ISNUMBER(SEARCH(" "&amp;Terms!$A$3:$A$821&amp;" ",$C81))*Terms!F$3:F$821)+Terms!F$2</f>
        <v>-4.66932873789389</v>
      </c>
      <c r="P81" s="0" t="n">
        <f aca="false">SUMPRODUCT(ISNUMBER(SEARCH(" "&amp;Terms!$A$3:$A$821&amp;" ",$C81))*Terms!G$3:G$821)+Terms!G$2</f>
        <v>-2.78939206916756</v>
      </c>
      <c r="Q81" s="0" t="str">
        <f aca="false">INDEX($K$1:$P$1,MATCH(MAX(K81:P81),K81:P81,0))</f>
        <v>Account Access</v>
      </c>
      <c r="R81" s="0" t="str">
        <f aca="false">IF(J81&lt;&gt;"No label",J81,Q81)</f>
        <v>Account Access</v>
      </c>
      <c r="S81" s="0" t="str">
        <f aca="false">INDEX(Answers!$B$2:$B$201,MATCH(A81,Answers!$A$2:$A$201,0))</f>
        <v>Account Access</v>
      </c>
      <c r="T81" s="4" t="b">
        <f aca="false">R81=S81</f>
        <v>1</v>
      </c>
    </row>
    <row r="82" customFormat="false" ht="15" hidden="false" customHeight="false" outlineLevel="0" collapsed="false">
      <c r="A82" s="0" t="str">
        <f aca="false">NewComplaints!A82</f>
        <v>N0081</v>
      </c>
      <c r="B82" s="0" t="str">
        <f aca="false">NewComplaints!B82</f>
        <v>Frankly, The closure of my old account has dragged on for months.</v>
      </c>
      <c r="C82" s="0" t="str">
        <f aca="false">" "&amp;TRIM(SUBSTITUTE(SUBSTITUTE(SUBSTITUTE(SUBSTITUTE(SUBSTITUTE(SUBSTITUTE(SUBSTITUTE(SUBSTITUTE(SUBSTITUTE(SUBSTITUTE(SUBSTITUTE(SUBSTITUTE(SUBSTITUTE(SUBSTITUTE(SUBSTITUTE(SUBSTITUTE(LOWER(B82),"."," "),","," "),"'"," "),"’"," "),"!"," "),"?"," "),";"," "),":"," "),"-"," "),"("," "),")"," "),"""", " "),"£"," "),"&amp;"," "),"/"," "),"%"," "))&amp;" "</f>
        <v> frankly the closure of my old account has dragged on for months </v>
      </c>
      <c r="D82" s="0" t="n">
        <f aca="false">SUMPRODUCT((Rules!$A$2:$A$60=D$1)*Rules!$C$2:$C$60*ISNUMBER(SEARCH(Rules!$D$2:$D$60,$C82)))</f>
        <v>0</v>
      </c>
      <c r="E82" s="0" t="n">
        <f aca="false">SUMPRODUCT((Rules!$A$2:$A$60=E$1)*Rules!$C$2:$C$60*ISNUMBER(SEARCH(Rules!$D$2:$D$60,$C82)))</f>
        <v>0</v>
      </c>
      <c r="F82" s="0" t="n">
        <f aca="false">SUMPRODUCT((Rules!$A$2:$A$60=F$1)*Rules!$C$2:$C$60*ISNUMBER(SEARCH(Rules!$D$2:$D$60,$C82)))</f>
        <v>0</v>
      </c>
      <c r="G82" s="0" t="n">
        <f aca="false">SUMPRODUCT((Rules!$A$2:$A$60=G$1)*Rules!$C$2:$C$60*ISNUMBER(SEARCH(Rules!$D$2:$D$60,$C82)))</f>
        <v>0</v>
      </c>
      <c r="H82" s="0" t="n">
        <f aca="false">SUMPRODUCT((Rules!$A$2:$A$60=H$1)*Rules!$C$2:$C$60*ISNUMBER(SEARCH(Rules!$D$2:$D$60,$C82)))</f>
        <v>2</v>
      </c>
      <c r="I82" s="0" t="n">
        <f aca="false">SUMPRODUCT((Rules!$A$2:$A$60=I$1)*Rules!$C$2:$C$60*ISNUMBER(SEARCH(Rules!$D$2:$D$60,$C82)))</f>
        <v>0</v>
      </c>
      <c r="J82" s="0" t="str">
        <f aca="false">IF(OR(MAX(D82:I82)&lt;Rules!$H$1,MAX(D82:I82)-LARGE(D82:I82,2)&lt;Rules!$H$2),"No label",INDEX($D$1:$I$1,MATCH(MAX(D82:I82),D82:I82,0)))</f>
        <v>No label</v>
      </c>
      <c r="K82" s="0" t="n">
        <f aca="false">SUMPRODUCT(ISNUMBER(SEARCH(" "&amp;Terms!$A$3:$A$821&amp;" ",$C82))*Terms!B$3:B$821)+Terms!B$2</f>
        <v>-1.15790529469219</v>
      </c>
      <c r="L82" s="0" t="n">
        <f aca="false">SUMPRODUCT(ISNUMBER(SEARCH(" "&amp;Terms!$A$3:$A$821&amp;" ",$C82))*Terms!C$3:C$821)+Terms!C$2</f>
        <v>-2.04145225204921</v>
      </c>
      <c r="M82" s="0" t="n">
        <f aca="false">SUMPRODUCT(ISNUMBER(SEARCH(" "&amp;Terms!$A$3:$A$821&amp;" ",$C82))*Terms!D$3:D$821)+Terms!D$2</f>
        <v>8.9378493970057</v>
      </c>
      <c r="N82" s="0" t="n">
        <f aca="false">SUMPRODUCT(ISNUMBER(SEARCH(" "&amp;Terms!$A$3:$A$821&amp;" ",$C82))*Terms!E$3:E$821)+Terms!E$2</f>
        <v>-2.16019711127815</v>
      </c>
      <c r="O82" s="0" t="n">
        <f aca="false">SUMPRODUCT(ISNUMBER(SEARCH(" "&amp;Terms!$A$3:$A$821&amp;" ",$C82))*Terms!F$3:F$821)+Terms!F$2</f>
        <v>-0.295702014205589</v>
      </c>
      <c r="P82" s="0" t="n">
        <f aca="false">SUMPRODUCT(ISNUMBER(SEARCH(" "&amp;Terms!$A$3:$A$821&amp;" ",$C82))*Terms!G$3:G$821)+Terms!G$2</f>
        <v>-3.28259272478044</v>
      </c>
      <c r="Q82" s="0" t="str">
        <f aca="false">INDEX($K$1:$P$1,MATCH(MAX(K82:P82),K82:P82,0))</f>
        <v>Delays &amp; Processing</v>
      </c>
      <c r="R82" s="0" t="str">
        <f aca="false">IF(J82&lt;&gt;"No label",J82,Q82)</f>
        <v>Delays &amp; Processing</v>
      </c>
      <c r="S82" s="0" t="str">
        <f aca="false">INDEX(Answers!$B$2:$B$201,MATCH(A82,Answers!$A$2:$A$201,0))</f>
        <v>Delays &amp; Processing</v>
      </c>
      <c r="T82" s="4" t="b">
        <f aca="false">R82=S82</f>
        <v>1</v>
      </c>
    </row>
    <row r="83" customFormat="false" ht="15" hidden="false" customHeight="false" outlineLevel="0" collapsed="false">
      <c r="A83" s="0" t="str">
        <f aca="false">NewComplaints!A83</f>
        <v>N0082</v>
      </c>
      <c r="B83" s="0" t="str">
        <f aca="false">NewComplaints!B83</f>
        <v>This is the second time I have raised this. The fraud team closed my case without investigating properly. Please escalate this.</v>
      </c>
      <c r="C83" s="0" t="str">
        <f aca="false">" "&amp;TRIM(SUBSTITUTE(SUBSTITUTE(SUBSTITUTE(SUBSTITUTE(SUBSTITUTE(SUBSTITUTE(SUBSTITUTE(SUBSTITUTE(SUBSTITUTE(SUBSTITUTE(SUBSTITUTE(SUBSTITUTE(SUBSTITUTE(SUBSTITUTE(SUBSTITUTE(SUBSTITUTE(LOWER(B83),"."," "),","," "),"'"," "),"’"," "),"!"," "),"?"," "),";"," "),":"," "),"-"," "),"("," "),")"," "),"""", " "),"£"," "),"&amp;"," "),"/"," "),"%"," "))&amp;" "</f>
        <v> this is the second time i have raised this the fraud team closed my case without investigating properly please escalate this </v>
      </c>
      <c r="D83" s="0" t="n">
        <f aca="false">SUMPRODUCT((Rules!$A$2:$A$60=D$1)*Rules!$C$2:$C$60*ISNUMBER(SEARCH(Rules!$D$2:$D$60,$C83)))</f>
        <v>3</v>
      </c>
      <c r="E83" s="0" t="n">
        <f aca="false">SUMPRODUCT((Rules!$A$2:$A$60=E$1)*Rules!$C$2:$C$60*ISNUMBER(SEARCH(Rules!$D$2:$D$60,$C83)))</f>
        <v>0</v>
      </c>
      <c r="F83" s="0" t="n">
        <f aca="false">SUMPRODUCT((Rules!$A$2:$A$60=F$1)*Rules!$C$2:$C$60*ISNUMBER(SEARCH(Rules!$D$2:$D$60,$C83)))</f>
        <v>0</v>
      </c>
      <c r="G83" s="0" t="n">
        <f aca="false">SUMPRODUCT((Rules!$A$2:$A$60=G$1)*Rules!$C$2:$C$60*ISNUMBER(SEARCH(Rules!$D$2:$D$60,$C83)))</f>
        <v>0</v>
      </c>
      <c r="H83" s="0" t="n">
        <f aca="false">SUMPRODUCT((Rules!$A$2:$A$60=H$1)*Rules!$C$2:$C$60*ISNUMBER(SEARCH(Rules!$D$2:$D$60,$C83)))</f>
        <v>0</v>
      </c>
      <c r="I83" s="0" t="n">
        <f aca="false">SUMPRODUCT((Rules!$A$2:$A$60=I$1)*Rules!$C$2:$C$60*ISNUMBER(SEARCH(Rules!$D$2:$D$60,$C83)))</f>
        <v>0</v>
      </c>
      <c r="J83" s="0" t="str">
        <f aca="false">IF(OR(MAX(D83:I83)&lt;Rules!$H$1,MAX(D83:I83)-LARGE(D83:I83,2)&lt;Rules!$H$2),"No label",INDEX($D$1:$I$1,MATCH(MAX(D83:I83),D83:I83,0)))</f>
        <v>Fraud &amp; Scams</v>
      </c>
      <c r="K83" s="0" t="n">
        <f aca="false">SUMPRODUCT(ISNUMBER(SEARCH(" "&amp;Terms!$A$3:$A$821&amp;" ",$C83))*Terms!B$3:B$821)+Terms!B$2</f>
        <v>-5.30759341012841</v>
      </c>
      <c r="L83" s="0" t="n">
        <f aca="false">SUMPRODUCT(ISNUMBER(SEARCH(" "&amp;Terms!$A$3:$A$821&amp;" ",$C83))*Terms!C$3:C$821)+Terms!C$2</f>
        <v>1.77952108037975</v>
      </c>
      <c r="M83" s="0" t="n">
        <f aca="false">SUMPRODUCT(ISNUMBER(SEARCH(" "&amp;Terms!$A$3:$A$821&amp;" ",$C83))*Terms!D$3:D$821)+Terms!D$2</f>
        <v>-3.27408381890977</v>
      </c>
      <c r="N83" s="0" t="n">
        <f aca="false">SUMPRODUCT(ISNUMBER(SEARCH(" "&amp;Terms!$A$3:$A$821&amp;" ",$C83))*Terms!E$3:E$821)+Terms!E$2</f>
        <v>-2.33593332539342</v>
      </c>
      <c r="O83" s="0" t="n">
        <f aca="false">SUMPRODUCT(ISNUMBER(SEARCH(" "&amp;Terms!$A$3:$A$821&amp;" ",$C83))*Terms!F$3:F$821)+Terms!F$2</f>
        <v>11.5789209698405</v>
      </c>
      <c r="P83" s="0" t="n">
        <f aca="false">SUMPRODUCT(ISNUMBER(SEARCH(" "&amp;Terms!$A$3:$A$821&amp;" ",$C83))*Terms!G$3:G$821)+Terms!G$2</f>
        <v>-2.44083149578858</v>
      </c>
      <c r="Q83" s="0" t="str">
        <f aca="false">INDEX($K$1:$P$1,MATCH(MAX(K83:P83),K83:P83,0))</f>
        <v>Fraud &amp; Scams</v>
      </c>
      <c r="R83" s="0" t="str">
        <f aca="false">IF(J83&lt;&gt;"No label",J83,Q83)</f>
        <v>Fraud &amp; Scams</v>
      </c>
      <c r="S83" s="0" t="str">
        <f aca="false">INDEX(Answers!$B$2:$B$201,MATCH(A83,Answers!$A$2:$A$201,0))</f>
        <v>Fraud &amp; Scams</v>
      </c>
      <c r="T83" s="4" t="b">
        <f aca="false">R83=S83</f>
        <v>1</v>
      </c>
    </row>
    <row r="84" customFormat="false" ht="15" hidden="false" customHeight="false" outlineLevel="0" collapsed="false">
      <c r="A84" s="0" t="str">
        <f aca="false">NewComplaints!A84</f>
        <v>N0083</v>
      </c>
      <c r="B84" s="0" t="str">
        <f aca="false">NewComplaints!B84</f>
        <v>A late payment fee appeared and I want it refunded. Also, my transfer has been pending for over a week. This is not acceptable.</v>
      </c>
      <c r="C84" s="0" t="str">
        <f aca="false">" "&amp;TRIM(SUBSTITUTE(SUBSTITUTE(SUBSTITUTE(SUBSTITUTE(SUBSTITUTE(SUBSTITUTE(SUBSTITUTE(SUBSTITUTE(SUBSTITUTE(SUBSTITUTE(SUBSTITUTE(SUBSTITUTE(SUBSTITUTE(SUBSTITUTE(SUBSTITUTE(SUBSTITUTE(LOWER(B84),"."," "),","," "),"'"," "),"’"," "),"!"," "),"?"," "),";"," "),":"," "),"-"," "),"("," "),")"," "),"""", " "),"£"," "),"&amp;"," "),"/"," "),"%"," "))&amp;" "</f>
        <v> a late payment fee appeared and i want it refunded also my transfer has been pending for over a week this is not acceptable </v>
      </c>
      <c r="D84" s="0" t="n">
        <f aca="false">SUMPRODUCT((Rules!$A$2:$A$60=D$1)*Rules!$C$2:$C$60*ISNUMBER(SEARCH(Rules!$D$2:$D$60,$C84)))</f>
        <v>0</v>
      </c>
      <c r="E84" s="0" t="n">
        <f aca="false">SUMPRODUCT((Rules!$A$2:$A$60=E$1)*Rules!$C$2:$C$60*ISNUMBER(SEARCH(Rules!$D$2:$D$60,$C84)))</f>
        <v>0</v>
      </c>
      <c r="F84" s="0" t="n">
        <f aca="false">SUMPRODUCT((Rules!$A$2:$A$60=F$1)*Rules!$C$2:$C$60*ISNUMBER(SEARCH(Rules!$D$2:$D$60,$C84)))</f>
        <v>0</v>
      </c>
      <c r="G84" s="0" t="n">
        <f aca="false">SUMPRODUCT((Rules!$A$2:$A$60=G$1)*Rules!$C$2:$C$60*ISNUMBER(SEARCH(Rules!$D$2:$D$60,$C84)))</f>
        <v>2</v>
      </c>
      <c r="H84" s="0" t="n">
        <f aca="false">SUMPRODUCT((Rules!$A$2:$A$60=H$1)*Rules!$C$2:$C$60*ISNUMBER(SEARCH(Rules!$D$2:$D$60,$C84)))</f>
        <v>2</v>
      </c>
      <c r="I84" s="0" t="n">
        <f aca="false">SUMPRODUCT((Rules!$A$2:$A$60=I$1)*Rules!$C$2:$C$60*ISNUMBER(SEARCH(Rules!$D$2:$D$60,$C84)))</f>
        <v>0</v>
      </c>
      <c r="J84" s="0" t="str">
        <f aca="false">IF(OR(MAX(D84:I84)&lt;Rules!$H$1,MAX(D84:I84)-LARGE(D84:I84,2)&lt;Rules!$H$2),"No label",INDEX($D$1:$I$1,MATCH(MAX(D84:I84),D84:I84,0)))</f>
        <v>No label</v>
      </c>
      <c r="K84" s="0" t="n">
        <f aca="false">SUMPRODUCT(ISNUMBER(SEARCH(" "&amp;Terms!$A$3:$A$821&amp;" ",$C84))*Terms!B$3:B$821)+Terms!B$2</f>
        <v>-4.7110761032454</v>
      </c>
      <c r="L84" s="0" t="n">
        <f aca="false">SUMPRODUCT(ISNUMBER(SEARCH(" "&amp;Terms!$A$3:$A$821&amp;" ",$C84))*Terms!C$3:C$821)+Terms!C$2</f>
        <v>-8.33653686720002</v>
      </c>
      <c r="M84" s="0" t="n">
        <f aca="false">SUMPRODUCT(ISNUMBER(SEARCH(" "&amp;Terms!$A$3:$A$821&amp;" ",$C84))*Terms!D$3:D$821)+Terms!D$2</f>
        <v>7.17141841566825</v>
      </c>
      <c r="N84" s="0" t="n">
        <f aca="false">SUMPRODUCT(ISNUMBER(SEARCH(" "&amp;Terms!$A$3:$A$821&amp;" ",$C84))*Terms!E$3:E$821)+Terms!E$2</f>
        <v>11.3179265865889</v>
      </c>
      <c r="O84" s="0" t="n">
        <f aca="false">SUMPRODUCT(ISNUMBER(SEARCH(" "&amp;Terms!$A$3:$A$821&amp;" ",$C84))*Terms!F$3:F$821)+Terms!F$2</f>
        <v>1.03165979198289</v>
      </c>
      <c r="P84" s="0" t="n">
        <f aca="false">SUMPRODUCT(ISNUMBER(SEARCH(" "&amp;Terms!$A$3:$A$821&amp;" ",$C84))*Terms!G$3:G$821)+Terms!G$2</f>
        <v>-6.47339182379451</v>
      </c>
      <c r="Q84" s="0" t="str">
        <f aca="false">INDEX($K$1:$P$1,MATCH(MAX(K84:P84),K84:P84,0))</f>
        <v>Fees &amp; Charges</v>
      </c>
      <c r="R84" s="0" t="str">
        <f aca="false">IF(J84&lt;&gt;"No label",J84,Q84)</f>
        <v>Fees &amp; Charges</v>
      </c>
      <c r="S84" s="0" t="str">
        <f aca="false">INDEX(Answers!$B$2:$B$201,MATCH(A84,Answers!$A$2:$A$201,0))</f>
        <v>Fees &amp; Charges</v>
      </c>
      <c r="T84" s="4" t="b">
        <f aca="false">R84=S84</f>
        <v>1</v>
      </c>
    </row>
    <row r="85" customFormat="false" ht="15" hidden="false" customHeight="false" outlineLevel="0" collapsed="false">
      <c r="A85" s="0" t="str">
        <f aca="false">NewComplaints!A85</f>
        <v>N0084</v>
      </c>
      <c r="B85" s="0" t="str">
        <f aca="false">NewComplaints!B85</f>
        <v>I am very unhappy with how this has been handled. Please escalate this.</v>
      </c>
      <c r="C85" s="0" t="str">
        <f aca="false">" "&amp;TRIM(SUBSTITUTE(SUBSTITUTE(SUBSTITUTE(SUBSTITUTE(SUBSTITUTE(SUBSTITUTE(SUBSTITUTE(SUBSTITUTE(SUBSTITUTE(SUBSTITUTE(SUBSTITUTE(SUBSTITUTE(SUBSTITUTE(SUBSTITUTE(SUBSTITUTE(SUBSTITUTE(LOWER(B85),"."," "),","," "),"'"," "),"’"," "),"!"," "),"?"," "),";"," "),":"," "),"-"," "),"("," "),")"," "),"""", " "),"£"," "),"&amp;"," "),"/"," "),"%"," "))&amp;" "</f>
        <v> i am very unhappy with how this has been handled please escalate this </v>
      </c>
      <c r="D85" s="0" t="n">
        <f aca="false">SUMPRODUCT((Rules!$A$2:$A$60=D$1)*Rules!$C$2:$C$60*ISNUMBER(SEARCH(Rules!$D$2:$D$60,$C85)))</f>
        <v>0</v>
      </c>
      <c r="E85" s="0" t="n">
        <f aca="false">SUMPRODUCT((Rules!$A$2:$A$60=E$1)*Rules!$C$2:$C$60*ISNUMBER(SEARCH(Rules!$D$2:$D$60,$C85)))</f>
        <v>0</v>
      </c>
      <c r="F85" s="0" t="n">
        <f aca="false">SUMPRODUCT((Rules!$A$2:$A$60=F$1)*Rules!$C$2:$C$60*ISNUMBER(SEARCH(Rules!$D$2:$D$60,$C85)))</f>
        <v>0</v>
      </c>
      <c r="G85" s="0" t="n">
        <f aca="false">SUMPRODUCT((Rules!$A$2:$A$60=G$1)*Rules!$C$2:$C$60*ISNUMBER(SEARCH(Rules!$D$2:$D$60,$C85)))</f>
        <v>0</v>
      </c>
      <c r="H85" s="0" t="n">
        <f aca="false">SUMPRODUCT((Rules!$A$2:$A$60=H$1)*Rules!$C$2:$C$60*ISNUMBER(SEARCH(Rules!$D$2:$D$60,$C85)))</f>
        <v>0</v>
      </c>
      <c r="I85" s="0" t="n">
        <f aca="false">SUMPRODUCT((Rules!$A$2:$A$60=I$1)*Rules!$C$2:$C$60*ISNUMBER(SEARCH(Rules!$D$2:$D$60,$C85)))</f>
        <v>0</v>
      </c>
      <c r="J85" s="0" t="str">
        <f aca="false">IF(OR(MAX(D85:I85)&lt;Rules!$H$1,MAX(D85:I85)-LARGE(D85:I85,2)&lt;Rules!$H$2),"No label",INDEX($D$1:$I$1,MATCH(MAX(D85:I85),D85:I85,0)))</f>
        <v>No label</v>
      </c>
      <c r="K85" s="0" t="n">
        <f aca="false">SUMPRODUCT(ISNUMBER(SEARCH(" "&amp;Terms!$A$3:$A$821&amp;" ",$C85))*Terms!B$3:B$821)+Terms!B$2</f>
        <v>3.03204473560952</v>
      </c>
      <c r="L85" s="0" t="n">
        <f aca="false">SUMPRODUCT(ISNUMBER(SEARCH(" "&amp;Terms!$A$3:$A$821&amp;" ",$C85))*Terms!C$3:C$821)+Terms!C$2</f>
        <v>-1.33158913322357</v>
      </c>
      <c r="M85" s="0" t="n">
        <f aca="false">SUMPRODUCT(ISNUMBER(SEARCH(" "&amp;Terms!$A$3:$A$821&amp;" ",$C85))*Terms!D$3:D$821)+Terms!D$2</f>
        <v>1.40984334017188</v>
      </c>
      <c r="N85" s="0" t="n">
        <f aca="false">SUMPRODUCT(ISNUMBER(SEARCH(" "&amp;Terms!$A$3:$A$821&amp;" ",$C85))*Terms!E$3:E$821)+Terms!E$2</f>
        <v>0.599805068958971</v>
      </c>
      <c r="O85" s="0" t="n">
        <f aca="false">SUMPRODUCT(ISNUMBER(SEARCH(" "&amp;Terms!$A$3:$A$821&amp;" ",$C85))*Terms!F$3:F$821)+Terms!F$2</f>
        <v>-2.39597188759428</v>
      </c>
      <c r="P85" s="0" t="n">
        <f aca="false">SUMPRODUCT(ISNUMBER(SEARCH(" "&amp;Terms!$A$3:$A$821&amp;" ",$C85))*Terms!G$3:G$821)+Terms!G$2</f>
        <v>-1.31413212392243</v>
      </c>
      <c r="Q85" s="0" t="str">
        <f aca="false">INDEX($K$1:$P$1,MATCH(MAX(K85:P85),K85:P85,0))</f>
        <v>Account Access</v>
      </c>
      <c r="R85" s="0" t="str">
        <f aca="false">IF(J85&lt;&gt;"No label",J85,Q85)</f>
        <v>Account Access</v>
      </c>
      <c r="S85" s="0" t="str">
        <f aca="false">INDEX(Answers!$B$2:$B$201,MATCH(A85,Answers!$A$2:$A$201,0))</f>
        <v>Account Access</v>
      </c>
      <c r="T85" s="4" t="b">
        <f aca="false">R85=S85</f>
        <v>1</v>
      </c>
    </row>
    <row r="86" customFormat="false" ht="15" hidden="false" customHeight="false" outlineLevel="0" collapsed="false">
      <c r="A86" s="0" t="str">
        <f aca="false">NewComplaints!A86</f>
        <v>N0085</v>
      </c>
      <c r="B86" s="0" t="str">
        <f aca="false">NewComplaints!B86</f>
        <v>Frankly, My mortgage switch is taking far longer than you said it would. There was also a fee involved. This is not acceptable.</v>
      </c>
      <c r="C86" s="0" t="str">
        <f aca="false">" "&amp;TRIM(SUBSTITUTE(SUBSTITUTE(SUBSTITUTE(SUBSTITUTE(SUBSTITUTE(SUBSTITUTE(SUBSTITUTE(SUBSTITUTE(SUBSTITUTE(SUBSTITUTE(SUBSTITUTE(SUBSTITUTE(SUBSTITUTE(SUBSTITUTE(SUBSTITUTE(SUBSTITUTE(LOWER(B86),"."," "),","," "),"'"," "),"’"," "),"!"," "),"?"," "),";"," "),":"," "),"-"," "),"("," "),")"," "),"""", " "),"£"," "),"&amp;"," "),"/"," "),"%"," "))&amp;" "</f>
        <v> frankly my mortgage switch is taking far longer than you said it would there was also a fee involved this is not acceptable </v>
      </c>
      <c r="D86" s="0" t="n">
        <f aca="false">SUMPRODUCT((Rules!$A$2:$A$60=D$1)*Rules!$C$2:$C$60*ISNUMBER(SEARCH(Rules!$D$2:$D$60,$C86)))</f>
        <v>0</v>
      </c>
      <c r="E86" s="0" t="n">
        <f aca="false">SUMPRODUCT((Rules!$A$2:$A$60=E$1)*Rules!$C$2:$C$60*ISNUMBER(SEARCH(Rules!$D$2:$D$60,$C86)))</f>
        <v>0</v>
      </c>
      <c r="F86" s="0" t="n">
        <f aca="false">SUMPRODUCT((Rules!$A$2:$A$60=F$1)*Rules!$C$2:$C$60*ISNUMBER(SEARCH(Rules!$D$2:$D$60,$C86)))</f>
        <v>0</v>
      </c>
      <c r="G86" s="0" t="n">
        <f aca="false">SUMPRODUCT((Rules!$A$2:$A$60=G$1)*Rules!$C$2:$C$60*ISNUMBER(SEARCH(Rules!$D$2:$D$60,$C86)))</f>
        <v>2</v>
      </c>
      <c r="H86" s="0" t="n">
        <f aca="false">SUMPRODUCT((Rules!$A$2:$A$60=H$1)*Rules!$C$2:$C$60*ISNUMBER(SEARCH(Rules!$D$2:$D$60,$C86)))</f>
        <v>2</v>
      </c>
      <c r="I86" s="0" t="n">
        <f aca="false">SUMPRODUCT((Rules!$A$2:$A$60=I$1)*Rules!$C$2:$C$60*ISNUMBER(SEARCH(Rules!$D$2:$D$60,$C86)))</f>
        <v>0</v>
      </c>
      <c r="J86" s="0" t="str">
        <f aca="false">IF(OR(MAX(D86:I86)&lt;Rules!$H$1,MAX(D86:I86)-LARGE(D86:I86,2)&lt;Rules!$H$2),"No label",INDEX($D$1:$I$1,MATCH(MAX(D86:I86),D86:I86,0)))</f>
        <v>No label</v>
      </c>
      <c r="K86" s="0" t="n">
        <f aca="false">SUMPRODUCT(ISNUMBER(SEARCH(" "&amp;Terms!$A$3:$A$821&amp;" ",$C86))*Terms!B$3:B$821)+Terms!B$2</f>
        <v>-2.95366146374051</v>
      </c>
      <c r="L86" s="0" t="n">
        <f aca="false">SUMPRODUCT(ISNUMBER(SEARCH(" "&amp;Terms!$A$3:$A$821&amp;" ",$C86))*Terms!C$3:C$821)+Terms!C$2</f>
        <v>-2.96864229860608</v>
      </c>
      <c r="M86" s="0" t="n">
        <f aca="false">SUMPRODUCT(ISNUMBER(SEARCH(" "&amp;Terms!$A$3:$A$821&amp;" ",$C86))*Terms!D$3:D$821)+Terms!D$2</f>
        <v>10.129669166304</v>
      </c>
      <c r="N86" s="0" t="n">
        <f aca="false">SUMPRODUCT(ISNUMBER(SEARCH(" "&amp;Terms!$A$3:$A$821&amp;" ",$C86))*Terms!E$3:E$821)+Terms!E$2</f>
        <v>-0.199657879114839</v>
      </c>
      <c r="O86" s="0" t="n">
        <f aca="false">SUMPRODUCT(ISNUMBER(SEARCH(" "&amp;Terms!$A$3:$A$821&amp;" ",$C86))*Terms!F$3:F$821)+Terms!F$2</f>
        <v>-2.07019412415206</v>
      </c>
      <c r="P86" s="0" t="n">
        <f aca="false">SUMPRODUCT(ISNUMBER(SEARCH(" "&amp;Terms!$A$3:$A$821&amp;" ",$C86))*Terms!G$3:G$821)+Terms!G$2</f>
        <v>-1.93751340069042</v>
      </c>
      <c r="Q86" s="0" t="str">
        <f aca="false">INDEX($K$1:$P$1,MATCH(MAX(K86:P86),K86:P86,0))</f>
        <v>Delays &amp; Processing</v>
      </c>
      <c r="R86" s="0" t="str">
        <f aca="false">IF(J86&lt;&gt;"No label",J86,Q86)</f>
        <v>Delays &amp; Processing</v>
      </c>
      <c r="S86" s="0" t="str">
        <f aca="false">INDEX(Answers!$B$2:$B$201,MATCH(A86,Answers!$A$2:$A$201,0))</f>
        <v>Delays &amp; Processing</v>
      </c>
      <c r="T86" s="4" t="b">
        <f aca="false">R86=S86</f>
        <v>1</v>
      </c>
    </row>
    <row r="87" customFormat="false" ht="15" hidden="false" customHeight="false" outlineLevel="0" collapsed="false">
      <c r="A87" s="0" t="str">
        <f aca="false">NewComplaints!A87</f>
        <v>N0086</v>
      </c>
      <c r="B87" s="0" t="str">
        <f aca="false">NewComplaints!B87</f>
        <v>I am very unhappy with how this as been handled. I expect compensation.</v>
      </c>
      <c r="C87" s="0" t="str">
        <f aca="false">" "&amp;TRIM(SUBSTITUTE(SUBSTITUTE(SUBSTITUTE(SUBSTITUTE(SUBSTITUTE(SUBSTITUTE(SUBSTITUTE(SUBSTITUTE(SUBSTITUTE(SUBSTITUTE(SUBSTITUTE(SUBSTITUTE(SUBSTITUTE(SUBSTITUTE(SUBSTITUTE(SUBSTITUTE(LOWER(B87),"."," "),","," "),"'"," "),"’"," "),"!"," "),"?"," "),";"," "),":"," "),"-"," "),"("," "),")"," "),"""", " "),"£"," "),"&amp;"," "),"/"," "),"%"," "))&amp;" "</f>
        <v> i am very unhappy with how this as been handled i expect compensation </v>
      </c>
      <c r="D87" s="0" t="n">
        <f aca="false">SUMPRODUCT((Rules!$A$2:$A$60=D$1)*Rules!$C$2:$C$60*ISNUMBER(SEARCH(Rules!$D$2:$D$60,$C87)))</f>
        <v>0</v>
      </c>
      <c r="E87" s="0" t="n">
        <f aca="false">SUMPRODUCT((Rules!$A$2:$A$60=E$1)*Rules!$C$2:$C$60*ISNUMBER(SEARCH(Rules!$D$2:$D$60,$C87)))</f>
        <v>0</v>
      </c>
      <c r="F87" s="0" t="n">
        <f aca="false">SUMPRODUCT((Rules!$A$2:$A$60=F$1)*Rules!$C$2:$C$60*ISNUMBER(SEARCH(Rules!$D$2:$D$60,$C87)))</f>
        <v>0</v>
      </c>
      <c r="G87" s="0" t="n">
        <f aca="false">SUMPRODUCT((Rules!$A$2:$A$60=G$1)*Rules!$C$2:$C$60*ISNUMBER(SEARCH(Rules!$D$2:$D$60,$C87)))</f>
        <v>0</v>
      </c>
      <c r="H87" s="0" t="n">
        <f aca="false">SUMPRODUCT((Rules!$A$2:$A$60=H$1)*Rules!$C$2:$C$60*ISNUMBER(SEARCH(Rules!$D$2:$D$60,$C87)))</f>
        <v>0</v>
      </c>
      <c r="I87" s="0" t="n">
        <f aca="false">SUMPRODUCT((Rules!$A$2:$A$60=I$1)*Rules!$C$2:$C$60*ISNUMBER(SEARCH(Rules!$D$2:$D$60,$C87)))</f>
        <v>0</v>
      </c>
      <c r="J87" s="0" t="str">
        <f aca="false">IF(OR(MAX(D87:I87)&lt;Rules!$H$1,MAX(D87:I87)-LARGE(D87:I87,2)&lt;Rules!$H$2),"No label",INDEX($D$1:$I$1,MATCH(MAX(D87:I87),D87:I87,0)))</f>
        <v>No label</v>
      </c>
      <c r="K87" s="0" t="n">
        <f aca="false">SUMPRODUCT(ISNUMBER(SEARCH(" "&amp;Terms!$A$3:$A$821&amp;" ",$C87))*Terms!B$3:B$821)+Terms!B$2</f>
        <v>5.42289788447638</v>
      </c>
      <c r="L87" s="0" t="n">
        <f aca="false">SUMPRODUCT(ISNUMBER(SEARCH(" "&amp;Terms!$A$3:$A$821&amp;" ",$C87))*Terms!C$3:C$821)+Terms!C$2</f>
        <v>-2.23075369203014</v>
      </c>
      <c r="M87" s="0" t="n">
        <f aca="false">SUMPRODUCT(ISNUMBER(SEARCH(" "&amp;Terms!$A$3:$A$821&amp;" ",$C87))*Terms!D$3:D$821)+Terms!D$2</f>
        <v>0.655777280574913</v>
      </c>
      <c r="N87" s="0" t="n">
        <f aca="false">SUMPRODUCT(ISNUMBER(SEARCH(" "&amp;Terms!$A$3:$A$821&amp;" ",$C87))*Terms!E$3:E$821)+Terms!E$2</f>
        <v>-0.410706093625315</v>
      </c>
      <c r="O87" s="0" t="n">
        <f aca="false">SUMPRODUCT(ISNUMBER(SEARCH(" "&amp;Terms!$A$3:$A$821&amp;" ",$C87))*Terms!F$3:F$821)+Terms!F$2</f>
        <v>-0.438972799165492</v>
      </c>
      <c r="P87" s="0" t="n">
        <f aca="false">SUMPRODUCT(ISNUMBER(SEARCH(" "&amp;Terms!$A$3:$A$821&amp;" ",$C87))*Terms!G$3:G$821)+Terms!G$2</f>
        <v>-2.99824258023025</v>
      </c>
      <c r="Q87" s="0" t="str">
        <f aca="false">INDEX($K$1:$P$1,MATCH(MAX(K87:P87),K87:P87,0))</f>
        <v>Account Access</v>
      </c>
      <c r="R87" s="0" t="str">
        <f aca="false">IF(J87&lt;&gt;"No label",J87,Q87)</f>
        <v>Account Access</v>
      </c>
      <c r="S87" s="0" t="str">
        <f aca="false">INDEX(Answers!$B$2:$B$201,MATCH(A87,Answers!$A$2:$A$201,0))</f>
        <v>Account Access</v>
      </c>
      <c r="T87" s="4" t="b">
        <f aca="false">R87=S87</f>
        <v>1</v>
      </c>
    </row>
    <row r="88" customFormat="false" ht="15" hidden="false" customHeight="false" outlineLevel="0" collapsed="false">
      <c r="A88" s="0" t="str">
        <f aca="false">NewComplaints!A88</f>
        <v>N0087</v>
      </c>
      <c r="B88" s="0" t="str">
        <f aca="false">NewComplaints!B88</f>
        <v>I have been billed an annual fee I never agreed to. Also, my transfer has been pending for over a week.</v>
      </c>
      <c r="C88" s="0" t="str">
        <f aca="false">" "&amp;TRIM(SUBSTITUTE(SUBSTITUTE(SUBSTITUTE(SUBSTITUTE(SUBSTITUTE(SUBSTITUTE(SUBSTITUTE(SUBSTITUTE(SUBSTITUTE(SUBSTITUTE(SUBSTITUTE(SUBSTITUTE(SUBSTITUTE(SUBSTITUTE(SUBSTITUTE(SUBSTITUTE(LOWER(B88),"."," "),","," "),"'"," "),"’"," "),"!"," "),"?"," "),";"," "),":"," "),"-"," "),"("," "),")"," "),"""", " "),"£"," "),"&amp;"," "),"/"," "),"%"," "))&amp;" "</f>
        <v> i have been billed an annual fee i never agreed to also my transfer has been pending for over a week </v>
      </c>
      <c r="D88" s="0" t="n">
        <f aca="false">SUMPRODUCT((Rules!$A$2:$A$60=D$1)*Rules!$C$2:$C$60*ISNUMBER(SEARCH(Rules!$D$2:$D$60,$C88)))</f>
        <v>0</v>
      </c>
      <c r="E88" s="0" t="n">
        <f aca="false">SUMPRODUCT((Rules!$A$2:$A$60=E$1)*Rules!$C$2:$C$60*ISNUMBER(SEARCH(Rules!$D$2:$D$60,$C88)))</f>
        <v>0</v>
      </c>
      <c r="F88" s="0" t="n">
        <f aca="false">SUMPRODUCT((Rules!$A$2:$A$60=F$1)*Rules!$C$2:$C$60*ISNUMBER(SEARCH(Rules!$D$2:$D$60,$C88)))</f>
        <v>0</v>
      </c>
      <c r="G88" s="0" t="n">
        <f aca="false">SUMPRODUCT((Rules!$A$2:$A$60=G$1)*Rules!$C$2:$C$60*ISNUMBER(SEARCH(Rules!$D$2:$D$60,$C88)))</f>
        <v>4</v>
      </c>
      <c r="H88" s="0" t="n">
        <f aca="false">SUMPRODUCT((Rules!$A$2:$A$60=H$1)*Rules!$C$2:$C$60*ISNUMBER(SEARCH(Rules!$D$2:$D$60,$C88)))</f>
        <v>2</v>
      </c>
      <c r="I88" s="0" t="n">
        <f aca="false">SUMPRODUCT((Rules!$A$2:$A$60=I$1)*Rules!$C$2:$C$60*ISNUMBER(SEARCH(Rules!$D$2:$D$60,$C88)))</f>
        <v>0</v>
      </c>
      <c r="J88" s="0" t="str">
        <f aca="false">IF(OR(MAX(D88:I88)&lt;Rules!$H$1,MAX(D88:I88)-LARGE(D88:I88,2)&lt;Rules!$H$2),"No label",INDEX($D$1:$I$1,MATCH(MAX(D88:I88),D88:I88,0)))</f>
        <v>Fees &amp; Charges</v>
      </c>
      <c r="K88" s="0" t="n">
        <f aca="false">SUMPRODUCT(ISNUMBER(SEARCH(" "&amp;Terms!$A$3:$A$821&amp;" ",$C88))*Terms!B$3:B$821)+Terms!B$2</f>
        <v>-2.54439421481439</v>
      </c>
      <c r="L88" s="0" t="n">
        <f aca="false">SUMPRODUCT(ISNUMBER(SEARCH(" "&amp;Terms!$A$3:$A$821&amp;" ",$C88))*Terms!C$3:C$821)+Terms!C$2</f>
        <v>-2.49324146138188</v>
      </c>
      <c r="M88" s="0" t="n">
        <f aca="false">SUMPRODUCT(ISNUMBER(SEARCH(" "&amp;Terms!$A$3:$A$821&amp;" ",$C88))*Terms!D$3:D$821)+Terms!D$2</f>
        <v>4.54918383034594</v>
      </c>
      <c r="N88" s="0" t="n">
        <f aca="false">SUMPRODUCT(ISNUMBER(SEARCH(" "&amp;Terms!$A$3:$A$821&amp;" ",$C88))*Terms!E$3:E$821)+Terms!E$2</f>
        <v>8.63749914795487</v>
      </c>
      <c r="O88" s="0" t="n">
        <f aca="false">SUMPRODUCT(ISNUMBER(SEARCH(" "&amp;Terms!$A$3:$A$821&amp;" ",$C88))*Terms!F$3:F$821)+Terms!F$2</f>
        <v>-4.81812570566709</v>
      </c>
      <c r="P88" s="0" t="n">
        <f aca="false">SUMPRODUCT(ISNUMBER(SEARCH(" "&amp;Terms!$A$3:$A$821&amp;" ",$C88))*Terms!G$3:G$821)+Terms!G$2</f>
        <v>-3.33092159643735</v>
      </c>
      <c r="Q88" s="0" t="str">
        <f aca="false">INDEX($K$1:$P$1,MATCH(MAX(K88:P88),K88:P88,0))</f>
        <v>Fees &amp; Charges</v>
      </c>
      <c r="R88" s="0" t="str">
        <f aca="false">IF(J88&lt;&gt;"No label",J88,Q88)</f>
        <v>Fees &amp; Charges</v>
      </c>
      <c r="S88" s="0" t="str">
        <f aca="false">INDEX(Answers!$B$2:$B$201,MATCH(A88,Answers!$A$2:$A$201,0))</f>
        <v>Fees &amp; Charges</v>
      </c>
      <c r="T88" s="4" t="b">
        <f aca="false">R88=S88</f>
        <v>1</v>
      </c>
    </row>
    <row r="89" customFormat="false" ht="15" hidden="false" customHeight="false" outlineLevel="0" collapsed="false">
      <c r="A89" s="0" t="str">
        <f aca="false">NewComplaints!A89</f>
        <v>N0088</v>
      </c>
      <c r="B89" s="0" t="str">
        <f aca="false">NewComplaints!B89</f>
        <v>To whom it may concern, The terms were very different from what I was promised at the time of sale. Also, my mortgage switch is taking far longer than you said it would. This is not acceptable.</v>
      </c>
      <c r="C89" s="0" t="str">
        <f aca="false">" "&amp;TRIM(SUBSTITUTE(SUBSTITUTE(SUBSTITUTE(SUBSTITUTE(SUBSTITUTE(SUBSTITUTE(SUBSTITUTE(SUBSTITUTE(SUBSTITUTE(SUBSTITUTE(SUBSTITUTE(SUBSTITUTE(SUBSTITUTE(SUBSTITUTE(SUBSTITUTE(SUBSTITUTE(LOWER(B89),"."," "),","," "),"'"," "),"’"," "),"!"," "),"?"," "),";"," "),":"," "),"-"," "),"("," "),")"," "),"""", " "),"£"," "),"&amp;"," "),"/"," "),"%"," "))&amp;" "</f>
        <v> to whom it may concern the terms were very different from what i was promised at the time of sale also my mortgage switch is taking far longer than you said it would this is not acceptable </v>
      </c>
      <c r="D89" s="0" t="n">
        <f aca="false">SUMPRODUCT((Rules!$A$2:$A$60=D$1)*Rules!$C$2:$C$60*ISNUMBER(SEARCH(Rules!$D$2:$D$60,$C89)))</f>
        <v>0</v>
      </c>
      <c r="E89" s="0" t="n">
        <f aca="false">SUMPRODUCT((Rules!$A$2:$A$60=E$1)*Rules!$C$2:$C$60*ISNUMBER(SEARCH(Rules!$D$2:$D$60,$C89)))</f>
        <v>1</v>
      </c>
      <c r="F89" s="0" t="n">
        <f aca="false">SUMPRODUCT((Rules!$A$2:$A$60=F$1)*Rules!$C$2:$C$60*ISNUMBER(SEARCH(Rules!$D$2:$D$60,$C89)))</f>
        <v>0</v>
      </c>
      <c r="G89" s="0" t="n">
        <f aca="false">SUMPRODUCT((Rules!$A$2:$A$60=G$1)*Rules!$C$2:$C$60*ISNUMBER(SEARCH(Rules!$D$2:$D$60,$C89)))</f>
        <v>0</v>
      </c>
      <c r="H89" s="0" t="n">
        <f aca="false">SUMPRODUCT((Rules!$A$2:$A$60=H$1)*Rules!$C$2:$C$60*ISNUMBER(SEARCH(Rules!$D$2:$D$60,$C89)))</f>
        <v>2</v>
      </c>
      <c r="I89" s="0" t="n">
        <f aca="false">SUMPRODUCT((Rules!$A$2:$A$60=I$1)*Rules!$C$2:$C$60*ISNUMBER(SEARCH(Rules!$D$2:$D$60,$C89)))</f>
        <v>0</v>
      </c>
      <c r="J89" s="0" t="str">
        <f aca="false">IF(OR(MAX(D89:I89)&lt;Rules!$H$1,MAX(D89:I89)-LARGE(D89:I89,2)&lt;Rules!$H$2),"No label",INDEX($D$1:$I$1,MATCH(MAX(D89:I89),D89:I89,0)))</f>
        <v>No label</v>
      </c>
      <c r="K89" s="0" t="n">
        <f aca="false">SUMPRODUCT(ISNUMBER(SEARCH(" "&amp;Terms!$A$3:$A$821&amp;" ",$C89))*Terms!B$3:B$821)+Terms!B$2</f>
        <v>-4.73646914710579</v>
      </c>
      <c r="L89" s="0" t="n">
        <f aca="false">SUMPRODUCT(ISNUMBER(SEARCH(" "&amp;Terms!$A$3:$A$821&amp;" ",$C89))*Terms!C$3:C$821)+Terms!C$2</f>
        <v>-3.32888958604243</v>
      </c>
      <c r="M89" s="0" t="n">
        <f aca="false">SUMPRODUCT(ISNUMBER(SEARCH(" "&amp;Terms!$A$3:$A$821&amp;" ",$C89))*Terms!D$3:D$821)+Terms!D$2</f>
        <v>12.5604843080936</v>
      </c>
      <c r="N89" s="0" t="n">
        <f aca="false">SUMPRODUCT(ISNUMBER(SEARCH(" "&amp;Terms!$A$3:$A$821&amp;" ",$C89))*Terms!E$3:E$821)+Terms!E$2</f>
        <v>-3.66704679744865</v>
      </c>
      <c r="O89" s="0" t="n">
        <f aca="false">SUMPRODUCT(ISNUMBER(SEARCH(" "&amp;Terms!$A$3:$A$821&amp;" ",$C89))*Terms!F$3:F$821)+Terms!F$2</f>
        <v>-5.69637395365523</v>
      </c>
      <c r="P89" s="0" t="n">
        <f aca="false">SUMPRODUCT(ISNUMBER(SEARCH(" "&amp;Terms!$A$3:$A$821&amp;" ",$C89))*Terms!G$3:G$821)+Terms!G$2</f>
        <v>4.86829517615859</v>
      </c>
      <c r="Q89" s="0" t="str">
        <f aca="false">INDEX($K$1:$P$1,MATCH(MAX(K89:P89),K89:P89,0))</f>
        <v>Delays &amp; Processing</v>
      </c>
      <c r="R89" s="0" t="str">
        <f aca="false">IF(J89&lt;&gt;"No label",J89,Q89)</f>
        <v>Delays &amp; Processing</v>
      </c>
      <c r="S89" s="0" t="str">
        <f aca="false">INDEX(Answers!$B$2:$B$201,MATCH(A89,Answers!$A$2:$A$201,0))</f>
        <v>Mis-selling</v>
      </c>
      <c r="T89" s="4" t="b">
        <f aca="false">R89=S89</f>
        <v>0</v>
      </c>
    </row>
    <row r="90" customFormat="false" ht="15" hidden="false" customHeight="false" outlineLevel="0" collapsed="false">
      <c r="A90" s="0" t="str">
        <f aca="false">NewComplaints!A90</f>
        <v>N0089</v>
      </c>
      <c r="B90" s="0" t="str">
        <f aca="false">NewComplaints!B90</f>
        <v>To whom it may concern, A late payment fee appeared and I wat it refunded. This is not acceptable.</v>
      </c>
      <c r="C90" s="0" t="str">
        <f aca="false">" "&amp;TRIM(SUBSTITUTE(SUBSTITUTE(SUBSTITUTE(SUBSTITUTE(SUBSTITUTE(SUBSTITUTE(SUBSTITUTE(SUBSTITUTE(SUBSTITUTE(SUBSTITUTE(SUBSTITUTE(SUBSTITUTE(SUBSTITUTE(SUBSTITUTE(SUBSTITUTE(SUBSTITUTE(LOWER(B90),"."," "),","," "),"'"," "),"’"," "),"!"," "),"?"," "),";"," "),":"," "),"-"," "),"("," "),")"," "),"""", " "),"£"," "),"&amp;"," "),"/"," "),"%"," "))&amp;" "</f>
        <v> to whom it may concern a late payment fee appeared and i wat it refunded this is not acceptable </v>
      </c>
      <c r="D90" s="0" t="n">
        <f aca="false">SUMPRODUCT((Rules!$A$2:$A$60=D$1)*Rules!$C$2:$C$60*ISNUMBER(SEARCH(Rules!$D$2:$D$60,$C90)))</f>
        <v>0</v>
      </c>
      <c r="E90" s="0" t="n">
        <f aca="false">SUMPRODUCT((Rules!$A$2:$A$60=E$1)*Rules!$C$2:$C$60*ISNUMBER(SEARCH(Rules!$D$2:$D$60,$C90)))</f>
        <v>0</v>
      </c>
      <c r="F90" s="0" t="n">
        <f aca="false">SUMPRODUCT((Rules!$A$2:$A$60=F$1)*Rules!$C$2:$C$60*ISNUMBER(SEARCH(Rules!$D$2:$D$60,$C90)))</f>
        <v>0</v>
      </c>
      <c r="G90" s="0" t="n">
        <f aca="false">SUMPRODUCT((Rules!$A$2:$A$60=G$1)*Rules!$C$2:$C$60*ISNUMBER(SEARCH(Rules!$D$2:$D$60,$C90)))</f>
        <v>2</v>
      </c>
      <c r="H90" s="0" t="n">
        <f aca="false">SUMPRODUCT((Rules!$A$2:$A$60=H$1)*Rules!$C$2:$C$60*ISNUMBER(SEARCH(Rules!$D$2:$D$60,$C90)))</f>
        <v>0</v>
      </c>
      <c r="I90" s="0" t="n">
        <f aca="false">SUMPRODUCT((Rules!$A$2:$A$60=I$1)*Rules!$C$2:$C$60*ISNUMBER(SEARCH(Rules!$D$2:$D$60,$C90)))</f>
        <v>0</v>
      </c>
      <c r="J90" s="0" t="str">
        <f aca="false">IF(OR(MAX(D90:I90)&lt;Rules!$H$1,MAX(D90:I90)-LARGE(D90:I90,2)&lt;Rules!$H$2),"No label",INDEX($D$1:$I$1,MATCH(MAX(D90:I90),D90:I90,0)))</f>
        <v>No label</v>
      </c>
      <c r="K90" s="0" t="n">
        <f aca="false">SUMPRODUCT(ISNUMBER(SEARCH(" "&amp;Terms!$A$3:$A$821&amp;" ",$C90))*Terms!B$3:B$821)+Terms!B$2</f>
        <v>-2.32869174647594</v>
      </c>
      <c r="L90" s="0" t="n">
        <f aca="false">SUMPRODUCT(ISNUMBER(SEARCH(" "&amp;Terms!$A$3:$A$821&amp;" ",$C90))*Terms!C$3:C$821)+Terms!C$2</f>
        <v>-6.34958154760106</v>
      </c>
      <c r="M90" s="0" t="n">
        <f aca="false">SUMPRODUCT(ISNUMBER(SEARCH(" "&amp;Terms!$A$3:$A$821&amp;" ",$C90))*Terms!D$3:D$821)+Terms!D$2</f>
        <v>0.646999894874398</v>
      </c>
      <c r="N90" s="0" t="n">
        <f aca="false">SUMPRODUCT(ISNUMBER(SEARCH(" "&amp;Terms!$A$3:$A$821&amp;" ",$C90))*Terms!E$3:E$821)+Terms!E$2</f>
        <v>14.1177562590791</v>
      </c>
      <c r="O90" s="0" t="n">
        <f aca="false">SUMPRODUCT(ISNUMBER(SEARCH(" "&amp;Terms!$A$3:$A$821&amp;" ",$C90))*Terms!F$3:F$821)+Terms!F$2</f>
        <v>-0.770102822498347</v>
      </c>
      <c r="P90" s="0" t="n">
        <f aca="false">SUMPRODUCT(ISNUMBER(SEARCH(" "&amp;Terms!$A$3:$A$821&amp;" ",$C90))*Terms!G$3:G$821)+Terms!G$2</f>
        <v>-5.3163800373781</v>
      </c>
      <c r="Q90" s="0" t="str">
        <f aca="false">INDEX($K$1:$P$1,MATCH(MAX(K90:P90),K90:P90,0))</f>
        <v>Fees &amp; Charges</v>
      </c>
      <c r="R90" s="0" t="str">
        <f aca="false">IF(J90&lt;&gt;"No label",J90,Q90)</f>
        <v>Fees &amp; Charges</v>
      </c>
      <c r="S90" s="0" t="str">
        <f aca="false">INDEX(Answers!$B$2:$B$201,MATCH(A90,Answers!$A$2:$A$201,0))</f>
        <v>Fees &amp; Charges</v>
      </c>
      <c r="T90" s="4" t="b">
        <f aca="false">R90=S90</f>
        <v>1</v>
      </c>
    </row>
    <row r="91" customFormat="false" ht="15" hidden="false" customHeight="false" outlineLevel="0" collapsed="false">
      <c r="A91" s="0" t="str">
        <f aca="false">NewComplaints!A91</f>
        <v>N0090</v>
      </c>
      <c r="B91" s="0" t="str">
        <f aca="false">NewComplaints!B91</f>
        <v>There is an unexpected charge on my statement of £25. This is not acceptable.</v>
      </c>
      <c r="C91" s="0" t="str">
        <f aca="false">" "&amp;TRIM(SUBSTITUTE(SUBSTITUTE(SUBSTITUTE(SUBSTITUTE(SUBSTITUTE(SUBSTITUTE(SUBSTITUTE(SUBSTITUTE(SUBSTITUTE(SUBSTITUTE(SUBSTITUTE(SUBSTITUTE(SUBSTITUTE(SUBSTITUTE(SUBSTITUTE(SUBSTITUTE(LOWER(B91),"."," "),","," "),"'"," "),"’"," "),"!"," "),"?"," "),";"," "),":"," "),"-"," "),"("," "),")"," "),"""", " "),"£"," "),"&amp;"," "),"/"," "),"%"," "))&amp;" "</f>
        <v> there is an unexpected charge on my statement of 25 this is not acceptable </v>
      </c>
      <c r="D91" s="0" t="n">
        <f aca="false">SUMPRODUCT((Rules!$A$2:$A$60=D$1)*Rules!$C$2:$C$60*ISNUMBER(SEARCH(Rules!$D$2:$D$60,$C91)))</f>
        <v>0</v>
      </c>
      <c r="E91" s="0" t="n">
        <f aca="false">SUMPRODUCT((Rules!$A$2:$A$60=E$1)*Rules!$C$2:$C$60*ISNUMBER(SEARCH(Rules!$D$2:$D$60,$C91)))</f>
        <v>0</v>
      </c>
      <c r="F91" s="0" t="n">
        <f aca="false">SUMPRODUCT((Rules!$A$2:$A$60=F$1)*Rules!$C$2:$C$60*ISNUMBER(SEARCH(Rules!$D$2:$D$60,$C91)))</f>
        <v>0</v>
      </c>
      <c r="G91" s="0" t="n">
        <f aca="false">SUMPRODUCT((Rules!$A$2:$A$60=G$1)*Rules!$C$2:$C$60*ISNUMBER(SEARCH(Rules!$D$2:$D$60,$C91)))</f>
        <v>3</v>
      </c>
      <c r="H91" s="0" t="n">
        <f aca="false">SUMPRODUCT((Rules!$A$2:$A$60=H$1)*Rules!$C$2:$C$60*ISNUMBER(SEARCH(Rules!$D$2:$D$60,$C91)))</f>
        <v>0</v>
      </c>
      <c r="I91" s="0" t="n">
        <f aca="false">SUMPRODUCT((Rules!$A$2:$A$60=I$1)*Rules!$C$2:$C$60*ISNUMBER(SEARCH(Rules!$D$2:$D$60,$C91)))</f>
        <v>0</v>
      </c>
      <c r="J91" s="0" t="str">
        <f aca="false">IF(OR(MAX(D91:I91)&lt;Rules!$H$1,MAX(D91:I91)-LARGE(D91:I91,2)&lt;Rules!$H$2),"No label",INDEX($D$1:$I$1,MATCH(MAX(D91:I91),D91:I91,0)))</f>
        <v>Fees &amp; Charges</v>
      </c>
      <c r="K91" s="0" t="n">
        <f aca="false">SUMPRODUCT(ISNUMBER(SEARCH(" "&amp;Terms!$A$3:$A$821&amp;" ",$C91))*Terms!B$3:B$821)+Terms!B$2</f>
        <v>-2.46702905081853</v>
      </c>
      <c r="L91" s="0" t="n">
        <f aca="false">SUMPRODUCT(ISNUMBER(SEARCH(" "&amp;Terms!$A$3:$A$821&amp;" ",$C91))*Terms!C$3:C$821)+Terms!C$2</f>
        <v>-3.02802671533845</v>
      </c>
      <c r="M91" s="0" t="n">
        <f aca="false">SUMPRODUCT(ISNUMBER(SEARCH(" "&amp;Terms!$A$3:$A$821&amp;" ",$C91))*Terms!D$3:D$821)+Terms!D$2</f>
        <v>-1.79137823024751</v>
      </c>
      <c r="N91" s="0" t="n">
        <f aca="false">SUMPRODUCT(ISNUMBER(SEARCH(" "&amp;Terms!$A$3:$A$821&amp;" ",$C91))*Terms!E$3:E$821)+Terms!E$2</f>
        <v>8.86096004129296</v>
      </c>
      <c r="O91" s="0" t="n">
        <f aca="false">SUMPRODUCT(ISNUMBER(SEARCH(" "&amp;Terms!$A$3:$A$821&amp;" ",$C91))*Terms!F$3:F$821)+Terms!F$2</f>
        <v>-0.387313527562704</v>
      </c>
      <c r="P91" s="0" t="n">
        <f aca="false">SUMPRODUCT(ISNUMBER(SEARCH(" "&amp;Terms!$A$3:$A$821&amp;" ",$C91))*Terms!G$3:G$821)+Terms!G$2</f>
        <v>-1.18721251732568</v>
      </c>
      <c r="Q91" s="0" t="str">
        <f aca="false">INDEX($K$1:$P$1,MATCH(MAX(K91:P91),K91:P91,0))</f>
        <v>Fees &amp; Charges</v>
      </c>
      <c r="R91" s="0" t="str">
        <f aca="false">IF(J91&lt;&gt;"No label",J91,Q91)</f>
        <v>Fees &amp; Charges</v>
      </c>
      <c r="S91" s="0" t="str">
        <f aca="false">INDEX(Answers!$B$2:$B$201,MATCH(A91,Answers!$A$2:$A$201,0))</f>
        <v>Fees &amp; Charges</v>
      </c>
      <c r="T91" s="4" t="b">
        <f aca="false">R91=S91</f>
        <v>1</v>
      </c>
    </row>
    <row r="92" customFormat="false" ht="15" hidden="false" customHeight="false" outlineLevel="0" collapsed="false">
      <c r="A92" s="0" t="str">
        <f aca="false">NewComplaints!A92</f>
        <v>N0091</v>
      </c>
      <c r="B92" s="0" t="str">
        <f aca="false">NewComplaints!B92</f>
        <v>This is the second time I have raised this. The pension transfer advice I received was poor and I have lost out.</v>
      </c>
      <c r="C92" s="0" t="str">
        <f aca="false">" "&amp;TRIM(SUBSTITUTE(SUBSTITUTE(SUBSTITUTE(SUBSTITUTE(SUBSTITUTE(SUBSTITUTE(SUBSTITUTE(SUBSTITUTE(SUBSTITUTE(SUBSTITUTE(SUBSTITUTE(SUBSTITUTE(SUBSTITUTE(SUBSTITUTE(SUBSTITUTE(SUBSTITUTE(LOWER(B92),"."," "),","," "),"'"," "),"’"," "),"!"," "),"?"," "),";"," "),":"," "),"-"," "),"("," "),")"," "),"""", " "),"£"," "),"&amp;"," "),"/"," "),"%"," "))&amp;" "</f>
        <v> this is the second time i have raised this the pension transfer advice i received was poor and i have lost out </v>
      </c>
      <c r="D92" s="0" t="n">
        <f aca="false">SUMPRODUCT((Rules!$A$2:$A$60=D$1)*Rules!$C$2:$C$60*ISNUMBER(SEARCH(Rules!$D$2:$D$60,$C92)))</f>
        <v>0</v>
      </c>
      <c r="E92" s="0" t="n">
        <f aca="false">SUMPRODUCT((Rules!$A$2:$A$60=E$1)*Rules!$C$2:$C$60*ISNUMBER(SEARCH(Rules!$D$2:$D$60,$C92)))</f>
        <v>2</v>
      </c>
      <c r="F92" s="0" t="n">
        <f aca="false">SUMPRODUCT((Rules!$A$2:$A$60=F$1)*Rules!$C$2:$C$60*ISNUMBER(SEARCH(Rules!$D$2:$D$60,$C92)))</f>
        <v>0</v>
      </c>
      <c r="G92" s="0" t="n">
        <f aca="false">SUMPRODUCT((Rules!$A$2:$A$60=G$1)*Rules!$C$2:$C$60*ISNUMBER(SEARCH(Rules!$D$2:$D$60,$C92)))</f>
        <v>0</v>
      </c>
      <c r="H92" s="0" t="n">
        <f aca="false">SUMPRODUCT((Rules!$A$2:$A$60=H$1)*Rules!$C$2:$C$60*ISNUMBER(SEARCH(Rules!$D$2:$D$60,$C92)))</f>
        <v>0</v>
      </c>
      <c r="I92" s="0" t="n">
        <f aca="false">SUMPRODUCT((Rules!$A$2:$A$60=I$1)*Rules!$C$2:$C$60*ISNUMBER(SEARCH(Rules!$D$2:$D$60,$C92)))</f>
        <v>0</v>
      </c>
      <c r="J92" s="0" t="str">
        <f aca="false">IF(OR(MAX(D92:I92)&lt;Rules!$H$1,MAX(D92:I92)-LARGE(D92:I92,2)&lt;Rules!$H$2),"No label",INDEX($D$1:$I$1,MATCH(MAX(D92:I92),D92:I92,0)))</f>
        <v>No label</v>
      </c>
      <c r="K92" s="0" t="n">
        <f aca="false">SUMPRODUCT(ISNUMBER(SEARCH(" "&amp;Terms!$A$3:$A$821&amp;" ",$C92))*Terms!B$3:B$821)+Terms!B$2</f>
        <v>-5.0024100110447</v>
      </c>
      <c r="L92" s="0" t="n">
        <f aca="false">SUMPRODUCT(ISNUMBER(SEARCH(" "&amp;Terms!$A$3:$A$821&amp;" ",$C92))*Terms!C$3:C$821)+Terms!C$2</f>
        <v>-1.0248792068615</v>
      </c>
      <c r="M92" s="0" t="n">
        <f aca="false">SUMPRODUCT(ISNUMBER(SEARCH(" "&amp;Terms!$A$3:$A$821&amp;" ",$C92))*Terms!D$3:D$821)+Terms!D$2</f>
        <v>1.44992835764352</v>
      </c>
      <c r="N92" s="0" t="n">
        <f aca="false">SUMPRODUCT(ISNUMBER(SEARCH(" "&amp;Terms!$A$3:$A$821&amp;" ",$C92))*Terms!E$3:E$821)+Terms!E$2</f>
        <v>-2.13896918081576</v>
      </c>
      <c r="O92" s="0" t="n">
        <f aca="false">SUMPRODUCT(ISNUMBER(SEARCH(" "&amp;Terms!$A$3:$A$821&amp;" ",$C92))*Terms!F$3:F$821)+Terms!F$2</f>
        <v>-2.03628756032723</v>
      </c>
      <c r="P92" s="0" t="n">
        <f aca="false">SUMPRODUCT(ISNUMBER(SEARCH(" "&amp;Terms!$A$3:$A$821&amp;" ",$C92))*Terms!G$3:G$821)+Terms!G$2</f>
        <v>8.75261760140577</v>
      </c>
      <c r="Q92" s="0" t="str">
        <f aca="false">INDEX($K$1:$P$1,MATCH(MAX(K92:P92),K92:P92,0))</f>
        <v>Mis-selling</v>
      </c>
      <c r="R92" s="0" t="str">
        <f aca="false">IF(J92&lt;&gt;"No label",J92,Q92)</f>
        <v>Mis-selling</v>
      </c>
      <c r="S92" s="0" t="str">
        <f aca="false">INDEX(Answers!$B$2:$B$201,MATCH(A92,Answers!$A$2:$A$201,0))</f>
        <v>Mis-selling</v>
      </c>
      <c r="T92" s="4" t="b">
        <f aca="false">R92=S92</f>
        <v>1</v>
      </c>
    </row>
    <row r="93" customFormat="false" ht="15" hidden="false" customHeight="false" outlineLevel="0" collapsed="false">
      <c r="A93" s="0" t="str">
        <f aca="false">NewComplaints!A93</f>
        <v>N0092</v>
      </c>
      <c r="B93" s="0" t="str">
        <f aca="false">NewComplaints!B93</f>
        <v>This is the second time I have raised this. My mortgage switch is taking far longer than you said it would.</v>
      </c>
      <c r="C93" s="0" t="str">
        <f aca="false">" "&amp;TRIM(SUBSTITUTE(SUBSTITUTE(SUBSTITUTE(SUBSTITUTE(SUBSTITUTE(SUBSTITUTE(SUBSTITUTE(SUBSTITUTE(SUBSTITUTE(SUBSTITUTE(SUBSTITUTE(SUBSTITUTE(SUBSTITUTE(SUBSTITUTE(SUBSTITUTE(SUBSTITUTE(LOWER(B93),"."," "),","," "),"'"," "),"’"," "),"!"," "),"?"," "),";"," "),":"," "),"-"," "),"("," "),")"," "),"""", " "),"£"," "),"&amp;"," "),"/"," "),"%"," "))&amp;" "</f>
        <v> this is the second time i have raised this my mortgage switch is taking far longer than you said it would </v>
      </c>
      <c r="D93" s="0" t="n">
        <f aca="false">SUMPRODUCT((Rules!$A$2:$A$60=D$1)*Rules!$C$2:$C$60*ISNUMBER(SEARCH(Rules!$D$2:$D$60,$C93)))</f>
        <v>0</v>
      </c>
      <c r="E93" s="0" t="n">
        <f aca="false">SUMPRODUCT((Rules!$A$2:$A$60=E$1)*Rules!$C$2:$C$60*ISNUMBER(SEARCH(Rules!$D$2:$D$60,$C93)))</f>
        <v>0</v>
      </c>
      <c r="F93" s="0" t="n">
        <f aca="false">SUMPRODUCT((Rules!$A$2:$A$60=F$1)*Rules!$C$2:$C$60*ISNUMBER(SEARCH(Rules!$D$2:$D$60,$C93)))</f>
        <v>0</v>
      </c>
      <c r="G93" s="0" t="n">
        <f aca="false">SUMPRODUCT((Rules!$A$2:$A$60=G$1)*Rules!$C$2:$C$60*ISNUMBER(SEARCH(Rules!$D$2:$D$60,$C93)))</f>
        <v>0</v>
      </c>
      <c r="H93" s="0" t="n">
        <f aca="false">SUMPRODUCT((Rules!$A$2:$A$60=H$1)*Rules!$C$2:$C$60*ISNUMBER(SEARCH(Rules!$D$2:$D$60,$C93)))</f>
        <v>2</v>
      </c>
      <c r="I93" s="0" t="n">
        <f aca="false">SUMPRODUCT((Rules!$A$2:$A$60=I$1)*Rules!$C$2:$C$60*ISNUMBER(SEARCH(Rules!$D$2:$D$60,$C93)))</f>
        <v>0</v>
      </c>
      <c r="J93" s="0" t="str">
        <f aca="false">IF(OR(MAX(D93:I93)&lt;Rules!$H$1,MAX(D93:I93)-LARGE(D93:I93,2)&lt;Rules!$H$2),"No label",INDEX($D$1:$I$1,MATCH(MAX(D93:I93),D93:I93,0)))</f>
        <v>No label</v>
      </c>
      <c r="K93" s="0" t="n">
        <f aca="false">SUMPRODUCT(ISNUMBER(SEARCH(" "&amp;Terms!$A$3:$A$821&amp;" ",$C93))*Terms!B$3:B$821)+Terms!B$2</f>
        <v>-5.87701639870611</v>
      </c>
      <c r="L93" s="0" t="n">
        <f aca="false">SUMPRODUCT(ISNUMBER(SEARCH(" "&amp;Terms!$A$3:$A$821&amp;" ",$C93))*Terms!C$3:C$821)+Terms!C$2</f>
        <v>1.61018484418243</v>
      </c>
      <c r="M93" s="0" t="n">
        <f aca="false">SUMPRODUCT(ISNUMBER(SEARCH(" "&amp;Terms!$A$3:$A$821&amp;" ",$C93))*Terms!D$3:D$821)+Terms!D$2</f>
        <v>9.56342877181053</v>
      </c>
      <c r="N93" s="0" t="n">
        <f aca="false">SUMPRODUCT(ISNUMBER(SEARCH(" "&amp;Terms!$A$3:$A$821&amp;" ",$C93))*Terms!E$3:E$821)+Terms!E$2</f>
        <v>-1.40391264716001</v>
      </c>
      <c r="O93" s="0" t="n">
        <f aca="false">SUMPRODUCT(ISNUMBER(SEARCH(" "&amp;Terms!$A$3:$A$821&amp;" ",$C93))*Terms!F$3:F$821)+Terms!F$2</f>
        <v>-1.22226014321543</v>
      </c>
      <c r="P93" s="0" t="n">
        <f aca="false">SUMPRODUCT(ISNUMBER(SEARCH(" "&amp;Terms!$A$3:$A$821&amp;" ",$C93))*Terms!G$3:G$821)+Terms!G$2</f>
        <v>-2.67042442691131</v>
      </c>
      <c r="Q93" s="0" t="str">
        <f aca="false">INDEX($K$1:$P$1,MATCH(MAX(K93:P93),K93:P93,0))</f>
        <v>Delays &amp; Processing</v>
      </c>
      <c r="R93" s="0" t="str">
        <f aca="false">IF(J93&lt;&gt;"No label",J93,Q93)</f>
        <v>Delays &amp; Processing</v>
      </c>
      <c r="S93" s="0" t="str">
        <f aca="false">INDEX(Answers!$B$2:$B$201,MATCH(A93,Answers!$A$2:$A$201,0))</f>
        <v>Delays &amp; Processing</v>
      </c>
      <c r="T93" s="4" t="b">
        <f aca="false">R93=S93</f>
        <v>1</v>
      </c>
    </row>
    <row r="94" customFormat="false" ht="15" hidden="false" customHeight="false" outlineLevel="0" collapsed="false">
      <c r="A94" s="0" t="str">
        <f aca="false">NewComplaints!A94</f>
        <v>N0093</v>
      </c>
      <c r="B94" s="0" t="str">
        <f aca="false">NewComplaints!B94</f>
        <v>To whom it may concern, Nobody has responded to my emails despite three reminders. Also, there are transactions on my card I do not recognise.</v>
      </c>
      <c r="C94" s="0" t="str">
        <f aca="false">" "&amp;TRIM(SUBSTITUTE(SUBSTITUTE(SUBSTITUTE(SUBSTITUTE(SUBSTITUTE(SUBSTITUTE(SUBSTITUTE(SUBSTITUTE(SUBSTITUTE(SUBSTITUTE(SUBSTITUTE(SUBSTITUTE(SUBSTITUTE(SUBSTITUTE(SUBSTITUTE(SUBSTITUTE(LOWER(B94),"."," "),","," "),"'"," "),"’"," "),"!"," "),"?"," "),";"," "),":"," "),"-"," "),"("," "),")"," "),"""", " "),"£"," "),"&amp;"," "),"/"," "),"%"," "))&amp;" "</f>
        <v> to whom it may concern nobody has responded to my emails despite three reminders also there are transactions on my card i do not recognise </v>
      </c>
      <c r="D94" s="0" t="n">
        <f aca="false">SUMPRODUCT((Rules!$A$2:$A$60=D$1)*Rules!$C$2:$C$60*ISNUMBER(SEARCH(Rules!$D$2:$D$60,$C94)))</f>
        <v>2</v>
      </c>
      <c r="E94" s="0" t="n">
        <f aca="false">SUMPRODUCT((Rules!$A$2:$A$60=E$1)*Rules!$C$2:$C$60*ISNUMBER(SEARCH(Rules!$D$2:$D$60,$C94)))</f>
        <v>0</v>
      </c>
      <c r="F94" s="0" t="n">
        <f aca="false">SUMPRODUCT((Rules!$A$2:$A$60=F$1)*Rules!$C$2:$C$60*ISNUMBER(SEARCH(Rules!$D$2:$D$60,$C94)))</f>
        <v>0</v>
      </c>
      <c r="G94" s="0" t="n">
        <f aca="false">SUMPRODUCT((Rules!$A$2:$A$60=G$1)*Rules!$C$2:$C$60*ISNUMBER(SEARCH(Rules!$D$2:$D$60,$C94)))</f>
        <v>0</v>
      </c>
      <c r="H94" s="0" t="n">
        <f aca="false">SUMPRODUCT((Rules!$A$2:$A$60=H$1)*Rules!$C$2:$C$60*ISNUMBER(SEARCH(Rules!$D$2:$D$60,$C94)))</f>
        <v>0</v>
      </c>
      <c r="I94" s="0" t="n">
        <f aca="false">SUMPRODUCT((Rules!$A$2:$A$60=I$1)*Rules!$C$2:$C$60*ISNUMBER(SEARCH(Rules!$D$2:$D$60,$C94)))</f>
        <v>2</v>
      </c>
      <c r="J94" s="0" t="str">
        <f aca="false">IF(OR(MAX(D94:I94)&lt;Rules!$H$1,MAX(D94:I94)-LARGE(D94:I94,2)&lt;Rules!$H$2),"No label",INDEX($D$1:$I$1,MATCH(MAX(D94:I94),D94:I94,0)))</f>
        <v>No label</v>
      </c>
      <c r="K94" s="0" t="n">
        <f aca="false">SUMPRODUCT(ISNUMBER(SEARCH(" "&amp;Terms!$A$3:$A$821&amp;" ",$C94))*Terms!B$3:B$821)+Terms!B$2</f>
        <v>-3.04082889983777</v>
      </c>
      <c r="L94" s="0" t="n">
        <f aca="false">SUMPRODUCT(ISNUMBER(SEARCH(" "&amp;Terms!$A$3:$A$821&amp;" ",$C94))*Terms!C$3:C$821)+Terms!C$2</f>
        <v>9.05349548194267</v>
      </c>
      <c r="M94" s="0" t="n">
        <f aca="false">SUMPRODUCT(ISNUMBER(SEARCH(" "&amp;Terms!$A$3:$A$821&amp;" ",$C94))*Terms!D$3:D$821)+Terms!D$2</f>
        <v>-3.80921454918344</v>
      </c>
      <c r="N94" s="0" t="n">
        <f aca="false">SUMPRODUCT(ISNUMBER(SEARCH(" "&amp;Terms!$A$3:$A$821&amp;" ",$C94))*Terms!E$3:E$821)+Terms!E$2</f>
        <v>-2.37982723489743</v>
      </c>
      <c r="O94" s="0" t="n">
        <f aca="false">SUMPRODUCT(ISNUMBER(SEARCH(" "&amp;Terms!$A$3:$A$821&amp;" ",$C94))*Terms!F$3:F$821)+Terms!F$2</f>
        <v>3.79408870467008</v>
      </c>
      <c r="P94" s="0" t="n">
        <f aca="false">SUMPRODUCT(ISNUMBER(SEARCH(" "&amp;Terms!$A$3:$A$821&amp;" ",$C94))*Terms!G$3:G$821)+Terms!G$2</f>
        <v>-3.61771350269403</v>
      </c>
      <c r="Q94" s="0" t="str">
        <f aca="false">INDEX($K$1:$P$1,MATCH(MAX(K94:P94),K94:P94,0))</f>
        <v>Customer Service</v>
      </c>
      <c r="R94" s="0" t="str">
        <f aca="false">IF(J94&lt;&gt;"No label",J94,Q94)</f>
        <v>Customer Service</v>
      </c>
      <c r="S94" s="0" t="str">
        <f aca="false">INDEX(Answers!$B$2:$B$201,MATCH(A94,Answers!$A$2:$A$201,0))</f>
        <v>Customer Service</v>
      </c>
      <c r="T94" s="4" t="b">
        <f aca="false">R94=S94</f>
        <v>1</v>
      </c>
    </row>
    <row r="95" customFormat="false" ht="15" hidden="false" customHeight="false" outlineLevel="0" collapsed="false">
      <c r="A95" s="0" t="str">
        <f aca="false">NewComplaints!A95</f>
        <v>N0094</v>
      </c>
      <c r="B95" s="0" t="str">
        <f aca="false">NewComplaints!B95</f>
        <v>A person pretending to be from your bank phoned me and I gave them details. I also spent ages on hold when I called about it.</v>
      </c>
      <c r="C95" s="0" t="str">
        <f aca="false">" "&amp;TRIM(SUBSTITUTE(SUBSTITUTE(SUBSTITUTE(SUBSTITUTE(SUBSTITUTE(SUBSTITUTE(SUBSTITUTE(SUBSTITUTE(SUBSTITUTE(SUBSTITUTE(SUBSTITUTE(SUBSTITUTE(SUBSTITUTE(SUBSTITUTE(SUBSTITUTE(SUBSTITUTE(LOWER(B95),"."," "),","," "),"'"," "),"’"," "),"!"," "),"?"," "),";"," "),":"," "),"-"," "),"("," "),")"," "),"""", " "),"£"," "),"&amp;"," "),"/"," "),"%"," "))&amp;" "</f>
        <v> a person pretending to be from your bank phoned me and i gave them details i also spent ages on hold when i called about it </v>
      </c>
      <c r="D95" s="0" t="n">
        <f aca="false">SUMPRODUCT((Rules!$A$2:$A$60=D$1)*Rules!$C$2:$C$60*ISNUMBER(SEARCH(Rules!$D$2:$D$60,$C95)))</f>
        <v>0</v>
      </c>
      <c r="E95" s="0" t="n">
        <f aca="false">SUMPRODUCT((Rules!$A$2:$A$60=E$1)*Rules!$C$2:$C$60*ISNUMBER(SEARCH(Rules!$D$2:$D$60,$C95)))</f>
        <v>0</v>
      </c>
      <c r="F95" s="0" t="n">
        <f aca="false">SUMPRODUCT((Rules!$A$2:$A$60=F$1)*Rules!$C$2:$C$60*ISNUMBER(SEARCH(Rules!$D$2:$D$60,$C95)))</f>
        <v>0</v>
      </c>
      <c r="G95" s="0" t="n">
        <f aca="false">SUMPRODUCT((Rules!$A$2:$A$60=G$1)*Rules!$C$2:$C$60*ISNUMBER(SEARCH(Rules!$D$2:$D$60,$C95)))</f>
        <v>0</v>
      </c>
      <c r="H95" s="0" t="n">
        <f aca="false">SUMPRODUCT((Rules!$A$2:$A$60=H$1)*Rules!$C$2:$C$60*ISNUMBER(SEARCH(Rules!$D$2:$D$60,$C95)))</f>
        <v>0</v>
      </c>
      <c r="I95" s="0" t="n">
        <f aca="false">SUMPRODUCT((Rules!$A$2:$A$60=I$1)*Rules!$C$2:$C$60*ISNUMBER(SEARCH(Rules!$D$2:$D$60,$C95)))</f>
        <v>3</v>
      </c>
      <c r="J95" s="0" t="str">
        <f aca="false">IF(OR(MAX(D95:I95)&lt;Rules!$H$1,MAX(D95:I95)-LARGE(D95:I95,2)&lt;Rules!$H$2),"No label",INDEX($D$1:$I$1,MATCH(MAX(D95:I95),D95:I95,0)))</f>
        <v>Customer Service</v>
      </c>
      <c r="K95" s="0" t="n">
        <f aca="false">SUMPRODUCT(ISNUMBER(SEARCH(" "&amp;Terms!$A$3:$A$821&amp;" ",$C95))*Terms!B$3:B$821)+Terms!B$2</f>
        <v>-0.801086985382868</v>
      </c>
      <c r="L95" s="0" t="n">
        <f aca="false">SUMPRODUCT(ISNUMBER(SEARCH(" "&amp;Terms!$A$3:$A$821&amp;" ",$C95))*Terms!C$3:C$821)+Terms!C$2</f>
        <v>-1.16998257165144</v>
      </c>
      <c r="M95" s="0" t="n">
        <f aca="false">SUMPRODUCT(ISNUMBER(SEARCH(" "&amp;Terms!$A$3:$A$821&amp;" ",$C95))*Terms!D$3:D$821)+Terms!D$2</f>
        <v>-5.16782146914949</v>
      </c>
      <c r="N95" s="0" t="n">
        <f aca="false">SUMPRODUCT(ISNUMBER(SEARCH(" "&amp;Terms!$A$3:$A$821&amp;" ",$C95))*Terms!E$3:E$821)+Terms!E$2</f>
        <v>-3.07237860984847</v>
      </c>
      <c r="O95" s="0" t="n">
        <f aca="false">SUMPRODUCT(ISNUMBER(SEARCH(" "&amp;Terms!$A$3:$A$821&amp;" ",$C95))*Terms!F$3:F$821)+Terms!F$2</f>
        <v>9.62017796141293</v>
      </c>
      <c r="P95" s="0" t="n">
        <f aca="false">SUMPRODUCT(ISNUMBER(SEARCH(" "&amp;Terms!$A$3:$A$821&amp;" ",$C95))*Terms!G$3:G$821)+Terms!G$2</f>
        <v>0.591091674619415</v>
      </c>
      <c r="Q95" s="0" t="str">
        <f aca="false">INDEX($K$1:$P$1,MATCH(MAX(K95:P95),K95:P95,0))</f>
        <v>Fraud &amp; Scams</v>
      </c>
      <c r="R95" s="0" t="str">
        <f aca="false">IF(J95&lt;&gt;"No label",J95,Q95)</f>
        <v>Customer Service</v>
      </c>
      <c r="S95" s="0" t="str">
        <f aca="false">INDEX(Answers!$B$2:$B$201,MATCH(A95,Answers!$A$2:$A$201,0))</f>
        <v>Fraud &amp; Scams</v>
      </c>
      <c r="T95" s="4" t="b">
        <f aca="false">R95=S95</f>
        <v>0</v>
      </c>
    </row>
    <row r="96" customFormat="false" ht="15" hidden="false" customHeight="false" outlineLevel="0" collapsed="false">
      <c r="A96" s="0" t="str">
        <f aca="false">NewComplaints!A96</f>
        <v>N0095</v>
      </c>
      <c r="B96" s="0" t="str">
        <f aca="false">NewComplaints!B96</f>
        <v>I am writing to complain. My identity was stolen and a loan was taken out in my name.</v>
      </c>
      <c r="C96" s="0" t="str">
        <f aca="false">" "&amp;TRIM(SUBSTITUTE(SUBSTITUTE(SUBSTITUTE(SUBSTITUTE(SUBSTITUTE(SUBSTITUTE(SUBSTITUTE(SUBSTITUTE(SUBSTITUTE(SUBSTITUTE(SUBSTITUTE(SUBSTITUTE(SUBSTITUTE(SUBSTITUTE(SUBSTITUTE(SUBSTITUTE(LOWER(B96),"."," "),","," "),"'"," "),"’"," "),"!"," "),"?"," "),";"," "),":"," "),"-"," "),"("," "),")"," "),"""", " "),"£"," "),"&amp;"," "),"/"," "),"%"," "))&amp;" "</f>
        <v> i am writing to complain my identity was stolen and a loan was taken out in my name </v>
      </c>
      <c r="D96" s="0" t="n">
        <f aca="false">SUMPRODUCT((Rules!$A$2:$A$60=D$1)*Rules!$C$2:$C$60*ISNUMBER(SEARCH(Rules!$D$2:$D$60,$C96)))</f>
        <v>2</v>
      </c>
      <c r="E96" s="0" t="n">
        <f aca="false">SUMPRODUCT((Rules!$A$2:$A$60=E$1)*Rules!$C$2:$C$60*ISNUMBER(SEARCH(Rules!$D$2:$D$60,$C96)))</f>
        <v>0</v>
      </c>
      <c r="F96" s="0" t="n">
        <f aca="false">SUMPRODUCT((Rules!$A$2:$A$60=F$1)*Rules!$C$2:$C$60*ISNUMBER(SEARCH(Rules!$D$2:$D$60,$C96)))</f>
        <v>0</v>
      </c>
      <c r="G96" s="0" t="n">
        <f aca="false">SUMPRODUCT((Rules!$A$2:$A$60=G$1)*Rules!$C$2:$C$60*ISNUMBER(SEARCH(Rules!$D$2:$D$60,$C96)))</f>
        <v>0</v>
      </c>
      <c r="H96" s="0" t="n">
        <f aca="false">SUMPRODUCT((Rules!$A$2:$A$60=H$1)*Rules!$C$2:$C$60*ISNUMBER(SEARCH(Rules!$D$2:$D$60,$C96)))</f>
        <v>0</v>
      </c>
      <c r="I96" s="0" t="n">
        <f aca="false">SUMPRODUCT((Rules!$A$2:$A$60=I$1)*Rules!$C$2:$C$60*ISNUMBER(SEARCH(Rules!$D$2:$D$60,$C96)))</f>
        <v>0</v>
      </c>
      <c r="J96" s="0" t="str">
        <f aca="false">IF(OR(MAX(D96:I96)&lt;Rules!$H$1,MAX(D96:I96)-LARGE(D96:I96,2)&lt;Rules!$H$2),"No label",INDEX($D$1:$I$1,MATCH(MAX(D96:I96),D96:I96,0)))</f>
        <v>No label</v>
      </c>
      <c r="K96" s="0" t="n">
        <f aca="false">SUMPRODUCT(ISNUMBER(SEARCH(" "&amp;Terms!$A$3:$A$821&amp;" ",$C96))*Terms!B$3:B$821)+Terms!B$2</f>
        <v>-1.20742918078204</v>
      </c>
      <c r="L96" s="0" t="n">
        <f aca="false">SUMPRODUCT(ISNUMBER(SEARCH(" "&amp;Terms!$A$3:$A$821&amp;" ",$C96))*Terms!C$3:C$821)+Terms!C$2</f>
        <v>-0.0936030184496536</v>
      </c>
      <c r="M96" s="0" t="n">
        <f aca="false">SUMPRODUCT(ISNUMBER(SEARCH(" "&amp;Terms!$A$3:$A$821&amp;" ",$C96))*Terms!D$3:D$821)+Terms!D$2</f>
        <v>-0.744448099362414</v>
      </c>
      <c r="N96" s="0" t="n">
        <f aca="false">SUMPRODUCT(ISNUMBER(SEARCH(" "&amp;Terms!$A$3:$A$821&amp;" ",$C96))*Terms!E$3:E$821)+Terms!E$2</f>
        <v>-1.58273651719056</v>
      </c>
      <c r="O96" s="0" t="n">
        <f aca="false">SUMPRODUCT(ISNUMBER(SEARCH(" "&amp;Terms!$A$3:$A$821&amp;" ",$C96))*Terms!F$3:F$821)+Terms!F$2</f>
        <v>5.90099873769325</v>
      </c>
      <c r="P96" s="0" t="n">
        <f aca="false">SUMPRODUCT(ISNUMBER(SEARCH(" "&amp;Terms!$A$3:$A$821&amp;" ",$C96))*Terms!G$3:G$821)+Terms!G$2</f>
        <v>-2.27278192190849</v>
      </c>
      <c r="Q96" s="0" t="str">
        <f aca="false">INDEX($K$1:$P$1,MATCH(MAX(K96:P96),K96:P96,0))</f>
        <v>Fraud &amp; Scams</v>
      </c>
      <c r="R96" s="0" t="str">
        <f aca="false">IF(J96&lt;&gt;"No label",J96,Q96)</f>
        <v>Fraud &amp; Scams</v>
      </c>
      <c r="S96" s="0" t="str">
        <f aca="false">INDEX(Answers!$B$2:$B$201,MATCH(A96,Answers!$A$2:$A$201,0))</f>
        <v>Fraud &amp; Scams</v>
      </c>
      <c r="T96" s="4" t="b">
        <f aca="false">R96=S96</f>
        <v>1</v>
      </c>
    </row>
    <row r="97" customFormat="false" ht="15" hidden="false" customHeight="false" outlineLevel="0" collapsed="false">
      <c r="A97" s="0" t="str">
        <f aca="false">NewComplaints!A97</f>
        <v>N0096</v>
      </c>
      <c r="B97" s="0" t="str">
        <f aca="false">NewComplaints!B97</f>
        <v>The branch manager would not listen to my concerns. It has also been taking far too long. I would like a response in writing.</v>
      </c>
      <c r="C97" s="0" t="str">
        <f aca="false">" "&amp;TRIM(SUBSTITUTE(SUBSTITUTE(SUBSTITUTE(SUBSTITUTE(SUBSTITUTE(SUBSTITUTE(SUBSTITUTE(SUBSTITUTE(SUBSTITUTE(SUBSTITUTE(SUBSTITUTE(SUBSTITUTE(SUBSTITUTE(SUBSTITUTE(SUBSTITUTE(SUBSTITUTE(LOWER(B97),"."," "),","," "),"'"," "),"’"," "),"!"," "),"?"," "),";"," "),":"," "),"-"," "),"("," "),")"," "),"""", " "),"£"," "),"&amp;"," "),"/"," "),"%"," "))&amp;" "</f>
        <v> the branch manager would not listen to my concerns it has also been taking far too long i would like a response in writing </v>
      </c>
      <c r="D97" s="0" t="n">
        <f aca="false">SUMPRODUCT((Rules!$A$2:$A$60=D$1)*Rules!$C$2:$C$60*ISNUMBER(SEARCH(Rules!$D$2:$D$60,$C97)))</f>
        <v>0</v>
      </c>
      <c r="E97" s="0" t="n">
        <f aca="false">SUMPRODUCT((Rules!$A$2:$A$60=E$1)*Rules!$C$2:$C$60*ISNUMBER(SEARCH(Rules!$D$2:$D$60,$C97)))</f>
        <v>0</v>
      </c>
      <c r="F97" s="0" t="n">
        <f aca="false">SUMPRODUCT((Rules!$A$2:$A$60=F$1)*Rules!$C$2:$C$60*ISNUMBER(SEARCH(Rules!$D$2:$D$60,$C97)))</f>
        <v>0</v>
      </c>
      <c r="G97" s="0" t="n">
        <f aca="false">SUMPRODUCT((Rules!$A$2:$A$60=G$1)*Rules!$C$2:$C$60*ISNUMBER(SEARCH(Rules!$D$2:$D$60,$C97)))</f>
        <v>0</v>
      </c>
      <c r="H97" s="0" t="n">
        <f aca="false">SUMPRODUCT((Rules!$A$2:$A$60=H$1)*Rules!$C$2:$C$60*ISNUMBER(SEARCH(Rules!$D$2:$D$60,$C97)))</f>
        <v>0</v>
      </c>
      <c r="I97" s="0" t="n">
        <f aca="false">SUMPRODUCT((Rules!$A$2:$A$60=I$1)*Rules!$C$2:$C$60*ISNUMBER(SEARCH(Rules!$D$2:$D$60,$C97)))</f>
        <v>0</v>
      </c>
      <c r="J97" s="0" t="str">
        <f aca="false">IF(OR(MAX(D97:I97)&lt;Rules!$H$1,MAX(D97:I97)-LARGE(D97:I97,2)&lt;Rules!$H$2),"No label",INDEX($D$1:$I$1,MATCH(MAX(D97:I97),D97:I97,0)))</f>
        <v>No label</v>
      </c>
      <c r="K97" s="0" t="n">
        <f aca="false">SUMPRODUCT(ISNUMBER(SEARCH(" "&amp;Terms!$A$3:$A$821&amp;" ",$C97))*Terms!B$3:B$821)+Terms!B$2</f>
        <v>-1.95424269094528</v>
      </c>
      <c r="L97" s="0" t="n">
        <f aca="false">SUMPRODUCT(ISNUMBER(SEARCH(" "&amp;Terms!$A$3:$A$821&amp;" ",$C97))*Terms!C$3:C$821)+Terms!C$2</f>
        <v>9.73604640298581</v>
      </c>
      <c r="M97" s="0" t="n">
        <f aca="false">SUMPRODUCT(ISNUMBER(SEARCH(" "&amp;Terms!$A$3:$A$821&amp;" ",$C97))*Terms!D$3:D$821)+Terms!D$2</f>
        <v>-2.43578764922437</v>
      </c>
      <c r="N97" s="0" t="n">
        <f aca="false">SUMPRODUCT(ISNUMBER(SEARCH(" "&amp;Terms!$A$3:$A$821&amp;" ",$C97))*Terms!E$3:E$821)+Terms!E$2</f>
        <v>-0.85403681219378</v>
      </c>
      <c r="O97" s="0" t="n">
        <f aca="false">SUMPRODUCT(ISNUMBER(SEARCH(" "&amp;Terms!$A$3:$A$821&amp;" ",$C97))*Terms!F$3:F$821)+Terms!F$2</f>
        <v>-3.71213276928628</v>
      </c>
      <c r="P97" s="0" t="n">
        <f aca="false">SUMPRODUCT(ISNUMBER(SEARCH(" "&amp;Terms!$A$3:$A$821&amp;" ",$C97))*Terms!G$3:G$821)+Terms!G$2</f>
        <v>-0.779846481336001</v>
      </c>
      <c r="Q97" s="0" t="str">
        <f aca="false">INDEX($K$1:$P$1,MATCH(MAX(K97:P97),K97:P97,0))</f>
        <v>Customer Service</v>
      </c>
      <c r="R97" s="0" t="str">
        <f aca="false">IF(J97&lt;&gt;"No label",J97,Q97)</f>
        <v>Customer Service</v>
      </c>
      <c r="S97" s="0" t="str">
        <f aca="false">INDEX(Answers!$B$2:$B$201,MATCH(A97,Answers!$A$2:$A$201,0))</f>
        <v>Customer Service</v>
      </c>
      <c r="T97" s="4" t="b">
        <f aca="false">R97=S97</f>
        <v>1</v>
      </c>
    </row>
    <row r="98" customFormat="false" ht="15" hidden="false" customHeight="false" outlineLevel="0" collapsed="false">
      <c r="A98" s="0" t="str">
        <f aca="false">NewComplaints!A98</f>
        <v>N0097</v>
      </c>
      <c r="B98" s="0" t="str">
        <f aca="false">NewComplaints!B98</f>
        <v>I am writing to complain. I reported the unauthorised payment but you refused to reimburse me. Also, i am unable to access my account to see my balance.</v>
      </c>
      <c r="C98" s="0" t="str">
        <f aca="false">" "&amp;TRIM(SUBSTITUTE(SUBSTITUTE(SUBSTITUTE(SUBSTITUTE(SUBSTITUTE(SUBSTITUTE(SUBSTITUTE(SUBSTITUTE(SUBSTITUTE(SUBSTITUTE(SUBSTITUTE(SUBSTITUTE(SUBSTITUTE(SUBSTITUTE(SUBSTITUTE(SUBSTITUTE(LOWER(B98),"."," "),","," "),"'"," "),"’"," "),"!"," "),"?"," "),";"," "),":"," "),"-"," "),"("," "),")"," "),"""", " "),"£"," "),"&amp;"," "),"/"," "),"%"," "))&amp;" "</f>
        <v> i am writing to complain i reported the unauthorised payment but you refused to reimburse me also i am unable to access my account to see my balance </v>
      </c>
      <c r="D98" s="0" t="n">
        <f aca="false">SUMPRODUCT((Rules!$A$2:$A$60=D$1)*Rules!$C$2:$C$60*ISNUMBER(SEARCH(Rules!$D$2:$D$60,$C98)))</f>
        <v>3</v>
      </c>
      <c r="E98" s="0" t="n">
        <f aca="false">SUMPRODUCT((Rules!$A$2:$A$60=E$1)*Rules!$C$2:$C$60*ISNUMBER(SEARCH(Rules!$D$2:$D$60,$C98)))</f>
        <v>0</v>
      </c>
      <c r="F98" s="0" t="n">
        <f aca="false">SUMPRODUCT((Rules!$A$2:$A$60=F$1)*Rules!$C$2:$C$60*ISNUMBER(SEARCH(Rules!$D$2:$D$60,$C98)))</f>
        <v>1</v>
      </c>
      <c r="G98" s="0" t="n">
        <f aca="false">SUMPRODUCT((Rules!$A$2:$A$60=G$1)*Rules!$C$2:$C$60*ISNUMBER(SEARCH(Rules!$D$2:$D$60,$C98)))</f>
        <v>0</v>
      </c>
      <c r="H98" s="0" t="n">
        <f aca="false">SUMPRODUCT((Rules!$A$2:$A$60=H$1)*Rules!$C$2:$C$60*ISNUMBER(SEARCH(Rules!$D$2:$D$60,$C98)))</f>
        <v>0</v>
      </c>
      <c r="I98" s="0" t="n">
        <f aca="false">SUMPRODUCT((Rules!$A$2:$A$60=I$1)*Rules!$C$2:$C$60*ISNUMBER(SEARCH(Rules!$D$2:$D$60,$C98)))</f>
        <v>0</v>
      </c>
      <c r="J98" s="0" t="str">
        <f aca="false">IF(OR(MAX(D98:I98)&lt;Rules!$H$1,MAX(D98:I98)-LARGE(D98:I98,2)&lt;Rules!$H$2),"No label",INDEX($D$1:$I$1,MATCH(MAX(D98:I98),D98:I98,0)))</f>
        <v>Fraud &amp; Scams</v>
      </c>
      <c r="K98" s="0" t="n">
        <f aca="false">SUMPRODUCT(ISNUMBER(SEARCH(" "&amp;Terms!$A$3:$A$821&amp;" ",$C98))*Terms!B$3:B$821)+Terms!B$2</f>
        <v>6.53367812068287</v>
      </c>
      <c r="L98" s="0" t="n">
        <f aca="false">SUMPRODUCT(ISNUMBER(SEARCH(" "&amp;Terms!$A$3:$A$821&amp;" ",$C98))*Terms!C$3:C$821)+Terms!C$2</f>
        <v>-7.25109592852355</v>
      </c>
      <c r="M98" s="0" t="n">
        <f aca="false">SUMPRODUCT(ISNUMBER(SEARCH(" "&amp;Terms!$A$3:$A$821&amp;" ",$C98))*Terms!D$3:D$821)+Terms!D$2</f>
        <v>2.52796183559565</v>
      </c>
      <c r="N98" s="0" t="n">
        <f aca="false">SUMPRODUCT(ISNUMBER(SEARCH(" "&amp;Terms!$A$3:$A$821&amp;" ",$C98))*Terms!E$3:E$821)+Terms!E$2</f>
        <v>-4.06705995646836</v>
      </c>
      <c r="O98" s="0" t="n">
        <f aca="false">SUMPRODUCT(ISNUMBER(SEARCH(" "&amp;Terms!$A$3:$A$821&amp;" ",$C98))*Terms!F$3:F$821)+Terms!F$2</f>
        <v>7.73874393203729</v>
      </c>
      <c r="P98" s="0" t="n">
        <f aca="false">SUMPRODUCT(ISNUMBER(SEARCH(" "&amp;Terms!$A$3:$A$821&amp;" ",$C98))*Terms!G$3:G$821)+Terms!G$2</f>
        <v>-5.48222800332384</v>
      </c>
      <c r="Q98" s="0" t="str">
        <f aca="false">INDEX($K$1:$P$1,MATCH(MAX(K98:P98),K98:P98,0))</f>
        <v>Fraud &amp; Scams</v>
      </c>
      <c r="R98" s="0" t="str">
        <f aca="false">IF(J98&lt;&gt;"No label",J98,Q98)</f>
        <v>Fraud &amp; Scams</v>
      </c>
      <c r="S98" s="0" t="str">
        <f aca="false">INDEX(Answers!$B$2:$B$201,MATCH(A98,Answers!$A$2:$A$201,0))</f>
        <v>Fraud &amp; Scams</v>
      </c>
      <c r="T98" s="4" t="b">
        <f aca="false">R98=S98</f>
        <v>1</v>
      </c>
    </row>
    <row r="99" customFormat="false" ht="15" hidden="false" customHeight="false" outlineLevel="0" collapsed="false">
      <c r="A99" s="0" t="str">
        <f aca="false">NewComplaints!A99</f>
        <v>N0098</v>
      </c>
      <c r="B99" s="0" t="str">
        <f aca="false">NewComplaints!B99</f>
        <v>A late payment fee appeared and I want it refunded.</v>
      </c>
      <c r="C99" s="0" t="str">
        <f aca="false">" "&amp;TRIM(SUBSTITUTE(SUBSTITUTE(SUBSTITUTE(SUBSTITUTE(SUBSTITUTE(SUBSTITUTE(SUBSTITUTE(SUBSTITUTE(SUBSTITUTE(SUBSTITUTE(SUBSTITUTE(SUBSTITUTE(SUBSTITUTE(SUBSTITUTE(SUBSTITUTE(SUBSTITUTE(LOWER(B99),"."," "),","," "),"'"," "),"’"," "),"!"," "),"?"," "),";"," "),":"," "),"-"," "),"("," "),")"," "),"""", " "),"£"," "),"&amp;"," "),"/"," "),"%"," "))&amp;" "</f>
        <v> a late payment fee appeared and i want it refunded </v>
      </c>
      <c r="D99" s="0" t="n">
        <f aca="false">SUMPRODUCT((Rules!$A$2:$A$60=D$1)*Rules!$C$2:$C$60*ISNUMBER(SEARCH(Rules!$D$2:$D$60,$C99)))</f>
        <v>0</v>
      </c>
      <c r="E99" s="0" t="n">
        <f aca="false">SUMPRODUCT((Rules!$A$2:$A$60=E$1)*Rules!$C$2:$C$60*ISNUMBER(SEARCH(Rules!$D$2:$D$60,$C99)))</f>
        <v>0</v>
      </c>
      <c r="F99" s="0" t="n">
        <f aca="false">SUMPRODUCT((Rules!$A$2:$A$60=F$1)*Rules!$C$2:$C$60*ISNUMBER(SEARCH(Rules!$D$2:$D$60,$C99)))</f>
        <v>0</v>
      </c>
      <c r="G99" s="0" t="n">
        <f aca="false">SUMPRODUCT((Rules!$A$2:$A$60=G$1)*Rules!$C$2:$C$60*ISNUMBER(SEARCH(Rules!$D$2:$D$60,$C99)))</f>
        <v>2</v>
      </c>
      <c r="H99" s="0" t="n">
        <f aca="false">SUMPRODUCT((Rules!$A$2:$A$60=H$1)*Rules!$C$2:$C$60*ISNUMBER(SEARCH(Rules!$D$2:$D$60,$C99)))</f>
        <v>0</v>
      </c>
      <c r="I99" s="0" t="n">
        <f aca="false">SUMPRODUCT((Rules!$A$2:$A$60=I$1)*Rules!$C$2:$C$60*ISNUMBER(SEARCH(Rules!$D$2:$D$60,$C99)))</f>
        <v>0</v>
      </c>
      <c r="J99" s="0" t="str">
        <f aca="false">IF(OR(MAX(D99:I99)&lt;Rules!$H$1,MAX(D99:I99)-LARGE(D99:I99,2)&lt;Rules!$H$2),"No label",INDEX($D$1:$I$1,MATCH(MAX(D99:I99),D99:I99,0)))</f>
        <v>No label</v>
      </c>
      <c r="K99" s="0" t="n">
        <f aca="false">SUMPRODUCT(ISNUMBER(SEARCH(" "&amp;Terms!$A$3:$A$821&amp;" ",$C99))*Terms!B$3:B$821)+Terms!B$2</f>
        <v>-3.66837614775666</v>
      </c>
      <c r="L99" s="0" t="n">
        <f aca="false">SUMPRODUCT(ISNUMBER(SEARCH(" "&amp;Terms!$A$3:$A$821&amp;" ",$C99))*Terms!C$3:C$821)+Terms!C$2</f>
        <v>-6.2772070166368</v>
      </c>
      <c r="M99" s="0" t="n">
        <f aca="false">SUMPRODUCT(ISNUMBER(SEARCH(" "&amp;Terms!$A$3:$A$821&amp;" ",$C99))*Terms!D$3:D$821)+Terms!D$2</f>
        <v>0.0529621750363837</v>
      </c>
      <c r="N99" s="0" t="n">
        <f aca="false">SUMPRODUCT(ISNUMBER(SEARCH(" "&amp;Terms!$A$3:$A$821&amp;" ",$C99))*Terms!E$3:E$821)+Terms!E$2</f>
        <v>14.6422308988756</v>
      </c>
      <c r="O99" s="0" t="n">
        <f aca="false">SUMPRODUCT(ISNUMBER(SEARCH(" "&amp;Terms!$A$3:$A$821&amp;" ",$C99))*Terms!F$3:F$821)+Terms!F$2</f>
        <v>0.53598389411292</v>
      </c>
      <c r="P99" s="0" t="n">
        <f aca="false">SUMPRODUCT(ISNUMBER(SEARCH(" "&amp;Terms!$A$3:$A$821&amp;" ",$C99))*Terms!G$3:G$821)+Terms!G$2</f>
        <v>-5.28559380363133</v>
      </c>
      <c r="Q99" s="0" t="str">
        <f aca="false">INDEX($K$1:$P$1,MATCH(MAX(K99:P99),K99:P99,0))</f>
        <v>Fees &amp; Charges</v>
      </c>
      <c r="R99" s="0" t="str">
        <f aca="false">IF(J99&lt;&gt;"No label",J99,Q99)</f>
        <v>Fees &amp; Charges</v>
      </c>
      <c r="S99" s="0" t="str">
        <f aca="false">INDEX(Answers!$B$2:$B$201,MATCH(A99,Answers!$A$2:$A$201,0))</f>
        <v>Fees &amp; Charges</v>
      </c>
      <c r="T99" s="4" t="b">
        <f aca="false">R99=S99</f>
        <v>1</v>
      </c>
    </row>
    <row r="100" customFormat="false" ht="15" hidden="false" customHeight="false" outlineLevel="0" collapsed="false">
      <c r="A100" s="0" t="str">
        <f aca="false">NewComplaints!A100</f>
        <v>N0099</v>
      </c>
      <c r="B100" s="0" t="str">
        <f aca="false">NewComplaints!B100</f>
        <v>The terms were very different from what I was promised at the time of sale. Also, i spent an hour on hold and then the call was cut off.</v>
      </c>
      <c r="C100" s="0" t="str">
        <f aca="false">" "&amp;TRIM(SUBSTITUTE(SUBSTITUTE(SUBSTITUTE(SUBSTITUTE(SUBSTITUTE(SUBSTITUTE(SUBSTITUTE(SUBSTITUTE(SUBSTITUTE(SUBSTITUTE(SUBSTITUTE(SUBSTITUTE(SUBSTITUTE(SUBSTITUTE(SUBSTITUTE(SUBSTITUTE(LOWER(B100),"."," "),","," "),"'"," "),"’"," "),"!"," "),"?"," "),";"," "),":"," "),"-"," "),"("," "),")"," "),"""", " "),"£"," "),"&amp;"," "),"/"," "),"%"," "))&amp;" "</f>
        <v> the terms were very different from what i was promised at the time of sale also i spent an hour on hold and then the call was cut off </v>
      </c>
      <c r="D100" s="0" t="n">
        <f aca="false">SUMPRODUCT((Rules!$A$2:$A$60=D$1)*Rules!$C$2:$C$60*ISNUMBER(SEARCH(Rules!$D$2:$D$60,$C100)))</f>
        <v>0</v>
      </c>
      <c r="E100" s="0" t="n">
        <f aca="false">SUMPRODUCT((Rules!$A$2:$A$60=E$1)*Rules!$C$2:$C$60*ISNUMBER(SEARCH(Rules!$D$2:$D$60,$C100)))</f>
        <v>1</v>
      </c>
      <c r="F100" s="0" t="n">
        <f aca="false">SUMPRODUCT((Rules!$A$2:$A$60=F$1)*Rules!$C$2:$C$60*ISNUMBER(SEARCH(Rules!$D$2:$D$60,$C100)))</f>
        <v>0</v>
      </c>
      <c r="G100" s="0" t="n">
        <f aca="false">SUMPRODUCT((Rules!$A$2:$A$60=G$1)*Rules!$C$2:$C$60*ISNUMBER(SEARCH(Rules!$D$2:$D$60,$C100)))</f>
        <v>0</v>
      </c>
      <c r="H100" s="0" t="n">
        <f aca="false">SUMPRODUCT((Rules!$A$2:$A$60=H$1)*Rules!$C$2:$C$60*ISNUMBER(SEARCH(Rules!$D$2:$D$60,$C100)))</f>
        <v>0</v>
      </c>
      <c r="I100" s="0" t="n">
        <f aca="false">SUMPRODUCT((Rules!$A$2:$A$60=I$1)*Rules!$C$2:$C$60*ISNUMBER(SEARCH(Rules!$D$2:$D$60,$C100)))</f>
        <v>3</v>
      </c>
      <c r="J100" s="0" t="str">
        <f aca="false">IF(OR(MAX(D100:I100)&lt;Rules!$H$1,MAX(D100:I100)-LARGE(D100:I100,2)&lt;Rules!$H$2),"No label",INDEX($D$1:$I$1,MATCH(MAX(D100:I100),D100:I100,0)))</f>
        <v>Customer Service</v>
      </c>
      <c r="K100" s="0" t="n">
        <f aca="false">SUMPRODUCT(ISNUMBER(SEARCH(" "&amp;Terms!$A$3:$A$821&amp;" ",$C100))*Terms!B$3:B$821)+Terms!B$2</f>
        <v>-2.55979060117023</v>
      </c>
      <c r="L100" s="0" t="n">
        <f aca="false">SUMPRODUCT(ISNUMBER(SEARCH(" "&amp;Terms!$A$3:$A$821&amp;" ",$C100))*Terms!C$3:C$821)+Terms!C$2</f>
        <v>4.68510738455297</v>
      </c>
      <c r="M100" s="0" t="n">
        <f aca="false">SUMPRODUCT(ISNUMBER(SEARCH(" "&amp;Terms!$A$3:$A$821&amp;" ",$C100))*Terms!D$3:D$821)+Terms!D$2</f>
        <v>0.648479129139179</v>
      </c>
      <c r="N100" s="0" t="n">
        <f aca="false">SUMPRODUCT(ISNUMBER(SEARCH(" "&amp;Terms!$A$3:$A$821&amp;" ",$C100))*Terms!E$3:E$821)+Terms!E$2</f>
        <v>-5.4678258636537</v>
      </c>
      <c r="O100" s="0" t="n">
        <f aca="false">SUMPRODUCT(ISNUMBER(SEARCH(" "&amp;Terms!$A$3:$A$821&amp;" ",$C100))*Terms!F$3:F$821)+Terms!F$2</f>
        <v>-4.13449823546455</v>
      </c>
      <c r="P100" s="0" t="n">
        <f aca="false">SUMPRODUCT(ISNUMBER(SEARCH(" "&amp;Terms!$A$3:$A$821&amp;" ",$C100))*Terms!G$3:G$821)+Terms!G$2</f>
        <v>6.82852818659644</v>
      </c>
      <c r="Q100" s="0" t="str">
        <f aca="false">INDEX($K$1:$P$1,MATCH(MAX(K100:P100),K100:P100,0))</f>
        <v>Mis-selling</v>
      </c>
      <c r="R100" s="0" t="str">
        <f aca="false">IF(J100&lt;&gt;"No label",J100,Q100)</f>
        <v>Customer Service</v>
      </c>
      <c r="S100" s="0" t="str">
        <f aca="false">INDEX(Answers!$B$2:$B$201,MATCH(A100,Answers!$A$2:$A$201,0))</f>
        <v>Mis-selling</v>
      </c>
      <c r="T100" s="4" t="b">
        <f aca="false">R100=S100</f>
        <v>0</v>
      </c>
    </row>
    <row r="101" customFormat="false" ht="15" hidden="false" customHeight="false" outlineLevel="0" collapsed="false">
      <c r="A101" s="0" t="str">
        <f aca="false">NewComplaints!A101</f>
        <v>N0100</v>
      </c>
      <c r="B101" s="0" t="str">
        <f aca="false">NewComplaints!B101</f>
        <v>I am writing to complain. The salesperson pushed me into a pla I did not need.</v>
      </c>
      <c r="C101" s="0" t="str">
        <f aca="false">" "&amp;TRIM(SUBSTITUTE(SUBSTITUTE(SUBSTITUTE(SUBSTITUTE(SUBSTITUTE(SUBSTITUTE(SUBSTITUTE(SUBSTITUTE(SUBSTITUTE(SUBSTITUTE(SUBSTITUTE(SUBSTITUTE(SUBSTITUTE(SUBSTITUTE(SUBSTITUTE(SUBSTITUTE(LOWER(B101),"."," "),","," "),"'"," "),"’"," "),"!"," "),"?"," "),";"," "),":"," "),"-"," "),"("," "),")"," "),"""", " "),"£"," "),"&amp;"," "),"/"," "),"%"," "))&amp;" "</f>
        <v> i am writing to complain the salesperson pushed me into a pla i did not need </v>
      </c>
      <c r="D101" s="0" t="n">
        <f aca="false">SUMPRODUCT((Rules!$A$2:$A$60=D$1)*Rules!$C$2:$C$60*ISNUMBER(SEARCH(Rules!$D$2:$D$60,$C101)))</f>
        <v>0</v>
      </c>
      <c r="E101" s="0" t="n">
        <f aca="false">SUMPRODUCT((Rules!$A$2:$A$60=E$1)*Rules!$C$2:$C$60*ISNUMBER(SEARCH(Rules!$D$2:$D$60,$C101)))</f>
        <v>2</v>
      </c>
      <c r="F101" s="0" t="n">
        <f aca="false">SUMPRODUCT((Rules!$A$2:$A$60=F$1)*Rules!$C$2:$C$60*ISNUMBER(SEARCH(Rules!$D$2:$D$60,$C101)))</f>
        <v>0</v>
      </c>
      <c r="G101" s="0" t="n">
        <f aca="false">SUMPRODUCT((Rules!$A$2:$A$60=G$1)*Rules!$C$2:$C$60*ISNUMBER(SEARCH(Rules!$D$2:$D$60,$C101)))</f>
        <v>0</v>
      </c>
      <c r="H101" s="0" t="n">
        <f aca="false">SUMPRODUCT((Rules!$A$2:$A$60=H$1)*Rules!$C$2:$C$60*ISNUMBER(SEARCH(Rules!$D$2:$D$60,$C101)))</f>
        <v>0</v>
      </c>
      <c r="I101" s="0" t="n">
        <f aca="false">SUMPRODUCT((Rules!$A$2:$A$60=I$1)*Rules!$C$2:$C$60*ISNUMBER(SEARCH(Rules!$D$2:$D$60,$C101)))</f>
        <v>0</v>
      </c>
      <c r="J101" s="0" t="str">
        <f aca="false">IF(OR(MAX(D101:I101)&lt;Rules!$H$1,MAX(D101:I101)-LARGE(D101:I101,2)&lt;Rules!$H$2),"No label",INDEX($D$1:$I$1,MATCH(MAX(D101:I101),D101:I101,0)))</f>
        <v>No label</v>
      </c>
      <c r="K101" s="0" t="n">
        <f aca="false">SUMPRODUCT(ISNUMBER(SEARCH(" "&amp;Terms!$A$3:$A$821&amp;" ",$C101))*Terms!B$3:B$821)+Terms!B$2</f>
        <v>-2.80093088392836</v>
      </c>
      <c r="L101" s="0" t="n">
        <f aca="false">SUMPRODUCT(ISNUMBER(SEARCH(" "&amp;Terms!$A$3:$A$821&amp;" ",$C101))*Terms!C$3:C$821)+Terms!C$2</f>
        <v>1.05211206899819</v>
      </c>
      <c r="M101" s="0" t="n">
        <f aca="false">SUMPRODUCT(ISNUMBER(SEARCH(" "&amp;Terms!$A$3:$A$821&amp;" ",$C101))*Terms!D$3:D$821)+Terms!D$2</f>
        <v>-1.88830394413255</v>
      </c>
      <c r="N101" s="0" t="n">
        <f aca="false">SUMPRODUCT(ISNUMBER(SEARCH(" "&amp;Terms!$A$3:$A$821&amp;" ",$C101))*Terms!E$3:E$821)+Terms!E$2</f>
        <v>-3.11570724935061</v>
      </c>
      <c r="O101" s="0" t="n">
        <f aca="false">SUMPRODUCT(ISNUMBER(SEARCH(" "&amp;Terms!$A$3:$A$821&amp;" ",$C101))*Terms!F$3:F$821)+Terms!F$2</f>
        <v>-0.168972658131714</v>
      </c>
      <c r="P101" s="0" t="n">
        <f aca="false">SUMPRODUCT(ISNUMBER(SEARCH(" "&amp;Terms!$A$3:$A$821&amp;" ",$C101))*Terms!G$3:G$821)+Terms!G$2</f>
        <v>6.92180266654513</v>
      </c>
      <c r="Q101" s="0" t="str">
        <f aca="false">INDEX($K$1:$P$1,MATCH(MAX(K101:P101),K101:P101,0))</f>
        <v>Mis-selling</v>
      </c>
      <c r="R101" s="0" t="str">
        <f aca="false">IF(J101&lt;&gt;"No label",J101,Q101)</f>
        <v>Mis-selling</v>
      </c>
      <c r="S101" s="0" t="str">
        <f aca="false">INDEX(Answers!$B$2:$B$201,MATCH(A101,Answers!$A$2:$A$201,0))</f>
        <v>Mis-selling</v>
      </c>
      <c r="T101" s="4" t="b">
        <f aca="false">R101=S101</f>
        <v>1</v>
      </c>
    </row>
    <row r="102" customFormat="false" ht="15" hidden="false" customHeight="false" outlineLevel="0" collapsed="false">
      <c r="A102" s="0" t="str">
        <f aca="false">NewComplaints!A102</f>
        <v>N0101</v>
      </c>
      <c r="B102" s="0" t="str">
        <f aca="false">NewComplaints!B102</f>
        <v>This is the second time I have raised this. I was told this policy covered me but my claim was rejected. I also spent ages on hold when I called about it.</v>
      </c>
      <c r="C102" s="0" t="str">
        <f aca="false">" "&amp;TRIM(SUBSTITUTE(SUBSTITUTE(SUBSTITUTE(SUBSTITUTE(SUBSTITUTE(SUBSTITUTE(SUBSTITUTE(SUBSTITUTE(SUBSTITUTE(SUBSTITUTE(SUBSTITUTE(SUBSTITUTE(SUBSTITUTE(SUBSTITUTE(SUBSTITUTE(SUBSTITUTE(LOWER(B102),"."," "),","," "),"'"," "),"’"," "),"!"," "),"?"," "),";"," "),":"," "),"-"," "),"("," "),")"," "),"""", " "),"£"," "),"&amp;"," "),"/"," "),"%"," "))&amp;" "</f>
        <v> this is the second time i have raised this i was told this policy covered me but my claim was rejected i also spent ages on hold when i called about it </v>
      </c>
      <c r="D102" s="0" t="n">
        <f aca="false">SUMPRODUCT((Rules!$A$2:$A$60=D$1)*Rules!$C$2:$C$60*ISNUMBER(SEARCH(Rules!$D$2:$D$60,$C102)))</f>
        <v>0</v>
      </c>
      <c r="E102" s="0" t="n">
        <f aca="false">SUMPRODUCT((Rules!$A$2:$A$60=E$1)*Rules!$C$2:$C$60*ISNUMBER(SEARCH(Rules!$D$2:$D$60,$C102)))</f>
        <v>1</v>
      </c>
      <c r="F102" s="0" t="n">
        <f aca="false">SUMPRODUCT((Rules!$A$2:$A$60=F$1)*Rules!$C$2:$C$60*ISNUMBER(SEARCH(Rules!$D$2:$D$60,$C102)))</f>
        <v>0</v>
      </c>
      <c r="G102" s="0" t="n">
        <f aca="false">SUMPRODUCT((Rules!$A$2:$A$60=G$1)*Rules!$C$2:$C$60*ISNUMBER(SEARCH(Rules!$D$2:$D$60,$C102)))</f>
        <v>0</v>
      </c>
      <c r="H102" s="0" t="n">
        <f aca="false">SUMPRODUCT((Rules!$A$2:$A$60=H$1)*Rules!$C$2:$C$60*ISNUMBER(SEARCH(Rules!$D$2:$D$60,$C102)))</f>
        <v>0</v>
      </c>
      <c r="I102" s="0" t="n">
        <f aca="false">SUMPRODUCT((Rules!$A$2:$A$60=I$1)*Rules!$C$2:$C$60*ISNUMBER(SEARCH(Rules!$D$2:$D$60,$C102)))</f>
        <v>3</v>
      </c>
      <c r="J102" s="0" t="str">
        <f aca="false">IF(OR(MAX(D102:I102)&lt;Rules!$H$1,MAX(D102:I102)-LARGE(D102:I102,2)&lt;Rules!$H$2),"No label",INDEX($D$1:$I$1,MATCH(MAX(D102:I102),D102:I102,0)))</f>
        <v>Customer Service</v>
      </c>
      <c r="K102" s="0" t="n">
        <f aca="false">SUMPRODUCT(ISNUMBER(SEARCH(" "&amp;Terms!$A$3:$A$821&amp;" ",$C102))*Terms!B$3:B$821)+Terms!B$2</f>
        <v>-4.27497458729974</v>
      </c>
      <c r="L102" s="0" t="n">
        <f aca="false">SUMPRODUCT(ISNUMBER(SEARCH(" "&amp;Terms!$A$3:$A$821&amp;" ",$C102))*Terms!C$3:C$821)+Terms!C$2</f>
        <v>-0.766530362305761</v>
      </c>
      <c r="M102" s="0" t="n">
        <f aca="false">SUMPRODUCT(ISNUMBER(SEARCH(" "&amp;Terms!$A$3:$A$821&amp;" ",$C102))*Terms!D$3:D$821)+Terms!D$2</f>
        <v>-0.619621240469765</v>
      </c>
      <c r="N102" s="0" t="n">
        <f aca="false">SUMPRODUCT(ISNUMBER(SEARCH(" "&amp;Terms!$A$3:$A$821&amp;" ",$C102))*Terms!E$3:E$821)+Terms!E$2</f>
        <v>-0.99183368367924</v>
      </c>
      <c r="O102" s="0" t="n">
        <f aca="false">SUMPRODUCT(ISNUMBER(SEARCH(" "&amp;Terms!$A$3:$A$821&amp;" ",$C102))*Terms!F$3:F$821)+Terms!F$2</f>
        <v>-1.94662982556019</v>
      </c>
      <c r="P102" s="0" t="n">
        <f aca="false">SUMPRODUCT(ISNUMBER(SEARCH(" "&amp;Terms!$A$3:$A$821&amp;" ",$C102))*Terms!G$3:G$821)+Terms!G$2</f>
        <v>8.5995896993148</v>
      </c>
      <c r="Q102" s="0" t="str">
        <f aca="false">INDEX($K$1:$P$1,MATCH(MAX(K102:P102),K102:P102,0))</f>
        <v>Mis-selling</v>
      </c>
      <c r="R102" s="0" t="str">
        <f aca="false">IF(J102&lt;&gt;"No label",J102,Q102)</f>
        <v>Customer Service</v>
      </c>
      <c r="S102" s="0" t="str">
        <f aca="false">INDEX(Answers!$B$2:$B$201,MATCH(A102,Answers!$A$2:$A$201,0))</f>
        <v>Mis-selling</v>
      </c>
      <c r="T102" s="4" t="b">
        <f aca="false">R102=S102</f>
        <v>0</v>
      </c>
    </row>
    <row r="103" customFormat="false" ht="15" hidden="false" customHeight="false" outlineLevel="0" collapsed="false">
      <c r="A103" s="0" t="str">
        <f aca="false">NewComplaints!A103</f>
        <v>N0102</v>
      </c>
      <c r="B103" s="0" t="str">
        <f aca="false">NewComplaints!B103</f>
        <v>I am writing to complain. The password reset keeps failing and I am locked out.</v>
      </c>
      <c r="C103" s="0" t="str">
        <f aca="false">" "&amp;TRIM(SUBSTITUTE(SUBSTITUTE(SUBSTITUTE(SUBSTITUTE(SUBSTITUTE(SUBSTITUTE(SUBSTITUTE(SUBSTITUTE(SUBSTITUTE(SUBSTITUTE(SUBSTITUTE(SUBSTITUTE(SUBSTITUTE(SUBSTITUTE(SUBSTITUTE(SUBSTITUTE(LOWER(B103),"."," "),","," "),"'"," "),"’"," "),"!"," "),"?"," "),";"," "),":"," "),"-"," "),"("," "),")"," "),"""", " "),"£"," "),"&amp;"," "),"/"," "),"%"," "))&amp;" "</f>
        <v> i am writing to complain the password reset keeps failing and i am locked out </v>
      </c>
      <c r="D103" s="0" t="n">
        <f aca="false">SUMPRODUCT((Rules!$A$2:$A$60=D$1)*Rules!$C$2:$C$60*ISNUMBER(SEARCH(Rules!$D$2:$D$60,$C103)))</f>
        <v>0</v>
      </c>
      <c r="E103" s="0" t="n">
        <f aca="false">SUMPRODUCT((Rules!$A$2:$A$60=E$1)*Rules!$C$2:$C$60*ISNUMBER(SEARCH(Rules!$D$2:$D$60,$C103)))</f>
        <v>0</v>
      </c>
      <c r="F103" s="0" t="n">
        <f aca="false">SUMPRODUCT((Rules!$A$2:$A$60=F$1)*Rules!$C$2:$C$60*ISNUMBER(SEARCH(Rules!$D$2:$D$60,$C103)))</f>
        <v>8</v>
      </c>
      <c r="G103" s="0" t="n">
        <f aca="false">SUMPRODUCT((Rules!$A$2:$A$60=G$1)*Rules!$C$2:$C$60*ISNUMBER(SEARCH(Rules!$D$2:$D$60,$C103)))</f>
        <v>0</v>
      </c>
      <c r="H103" s="0" t="n">
        <f aca="false">SUMPRODUCT((Rules!$A$2:$A$60=H$1)*Rules!$C$2:$C$60*ISNUMBER(SEARCH(Rules!$D$2:$D$60,$C103)))</f>
        <v>0</v>
      </c>
      <c r="I103" s="0" t="n">
        <f aca="false">SUMPRODUCT((Rules!$A$2:$A$60=I$1)*Rules!$C$2:$C$60*ISNUMBER(SEARCH(Rules!$D$2:$D$60,$C103)))</f>
        <v>0</v>
      </c>
      <c r="J103" s="0" t="str">
        <f aca="false">IF(OR(MAX(D103:I103)&lt;Rules!$H$1,MAX(D103:I103)-LARGE(D103:I103,2)&lt;Rules!$H$2),"No label",INDEX($D$1:$I$1,MATCH(MAX(D103:I103),D103:I103,0)))</f>
        <v>Account Access</v>
      </c>
      <c r="K103" s="0" t="n">
        <f aca="false">SUMPRODUCT(ISNUMBER(SEARCH(" "&amp;Terms!$A$3:$A$821&amp;" ",$C103))*Terms!B$3:B$821)+Terms!B$2</f>
        <v>11.0451813719165</v>
      </c>
      <c r="L103" s="0" t="n">
        <f aca="false">SUMPRODUCT(ISNUMBER(SEARCH(" "&amp;Terms!$A$3:$A$821&amp;" ",$C103))*Terms!C$3:C$821)+Terms!C$2</f>
        <v>-4.24765783781789</v>
      </c>
      <c r="M103" s="0" t="n">
        <f aca="false">SUMPRODUCT(ISNUMBER(SEARCH(" "&amp;Terms!$A$3:$A$821&amp;" ",$C103))*Terms!D$3:D$821)+Terms!D$2</f>
        <v>-0.597224864237173</v>
      </c>
      <c r="N103" s="0" t="n">
        <f aca="false">SUMPRODUCT(ISNUMBER(SEARCH(" "&amp;Terms!$A$3:$A$821&amp;" ",$C103))*Terms!E$3:E$821)+Terms!E$2</f>
        <v>-2.89135858352273</v>
      </c>
      <c r="O103" s="0" t="n">
        <f aca="false">SUMPRODUCT(ISNUMBER(SEARCH(" "&amp;Terms!$A$3:$A$821&amp;" ",$C103))*Terms!F$3:F$821)+Terms!F$2</f>
        <v>-2.80322607011676</v>
      </c>
      <c r="P103" s="0" t="n">
        <f aca="false">SUMPRODUCT(ISNUMBER(SEARCH(" "&amp;Terms!$A$3:$A$821&amp;" ",$C103))*Terms!G$3:G$821)+Terms!G$2</f>
        <v>-0.505714016221812</v>
      </c>
      <c r="Q103" s="0" t="str">
        <f aca="false">INDEX($K$1:$P$1,MATCH(MAX(K103:P103),K103:P103,0))</f>
        <v>Account Access</v>
      </c>
      <c r="R103" s="0" t="str">
        <f aca="false">IF(J103&lt;&gt;"No label",J103,Q103)</f>
        <v>Account Access</v>
      </c>
      <c r="S103" s="0" t="str">
        <f aca="false">INDEX(Answers!$B$2:$B$201,MATCH(A103,Answers!$A$2:$A$201,0))</f>
        <v>Account Access</v>
      </c>
      <c r="T103" s="4" t="b">
        <f aca="false">R103=S103</f>
        <v>1</v>
      </c>
    </row>
    <row r="104" customFormat="false" ht="15" hidden="false" customHeight="false" outlineLevel="0" collapsed="false">
      <c r="A104" s="0" t="str">
        <f aca="false">NewComplaints!A104</f>
        <v>N0103</v>
      </c>
      <c r="B104" s="0" t="str">
        <f aca="false">NewComplaints!B104</f>
        <v>I am writing to complain. My account was frozen and I cannot get in to move money. I do not think it was explained properly when I bought it.</v>
      </c>
      <c r="C104" s="0" t="str">
        <f aca="false">" "&amp;TRIM(SUBSTITUTE(SUBSTITUTE(SUBSTITUTE(SUBSTITUTE(SUBSTITUTE(SUBSTITUTE(SUBSTITUTE(SUBSTITUTE(SUBSTITUTE(SUBSTITUTE(SUBSTITUTE(SUBSTITUTE(SUBSTITUTE(SUBSTITUTE(SUBSTITUTE(SUBSTITUTE(LOWER(B104),"."," "),","," "),"'"," "),"’"," "),"!"," "),"?"," "),";"," "),":"," "),"-"," "),"("," "),")"," "),"""", " "),"£"," "),"&amp;"," "),"/"," "),"%"," "))&amp;" "</f>
        <v> i am writing to complain my account was frozen and i cannot get in to move money i do not think it was explained properly when i bought it </v>
      </c>
      <c r="D104" s="0" t="n">
        <f aca="false">SUMPRODUCT((Rules!$A$2:$A$60=D$1)*Rules!$C$2:$C$60*ISNUMBER(SEARCH(Rules!$D$2:$D$60,$C104)))</f>
        <v>0</v>
      </c>
      <c r="E104" s="0" t="n">
        <f aca="false">SUMPRODUCT((Rules!$A$2:$A$60=E$1)*Rules!$C$2:$C$60*ISNUMBER(SEARCH(Rules!$D$2:$D$60,$C104)))</f>
        <v>0</v>
      </c>
      <c r="F104" s="0" t="n">
        <f aca="false">SUMPRODUCT((Rules!$A$2:$A$60=F$1)*Rules!$C$2:$C$60*ISNUMBER(SEARCH(Rules!$D$2:$D$60,$C104)))</f>
        <v>0</v>
      </c>
      <c r="G104" s="0" t="n">
        <f aca="false">SUMPRODUCT((Rules!$A$2:$A$60=G$1)*Rules!$C$2:$C$60*ISNUMBER(SEARCH(Rules!$D$2:$D$60,$C104)))</f>
        <v>0</v>
      </c>
      <c r="H104" s="0" t="n">
        <f aca="false">SUMPRODUCT((Rules!$A$2:$A$60=H$1)*Rules!$C$2:$C$60*ISNUMBER(SEARCH(Rules!$D$2:$D$60,$C104)))</f>
        <v>0</v>
      </c>
      <c r="I104" s="0" t="n">
        <f aca="false">SUMPRODUCT((Rules!$A$2:$A$60=I$1)*Rules!$C$2:$C$60*ISNUMBER(SEARCH(Rules!$D$2:$D$60,$C104)))</f>
        <v>0</v>
      </c>
      <c r="J104" s="0" t="str">
        <f aca="false">IF(OR(MAX(D104:I104)&lt;Rules!$H$1,MAX(D104:I104)-LARGE(D104:I104,2)&lt;Rules!$H$2),"No label",INDEX($D$1:$I$1,MATCH(MAX(D104:I104),D104:I104,0)))</f>
        <v>No label</v>
      </c>
      <c r="K104" s="0" t="n">
        <f aca="false">SUMPRODUCT(ISNUMBER(SEARCH(" "&amp;Terms!$A$3:$A$821&amp;" ",$C104))*Terms!B$3:B$821)+Terms!B$2</f>
        <v>4.47314915726907</v>
      </c>
      <c r="L104" s="0" t="n">
        <f aca="false">SUMPRODUCT(ISNUMBER(SEARCH(" "&amp;Terms!$A$3:$A$821&amp;" ",$C104))*Terms!C$3:C$821)+Terms!C$2</f>
        <v>-2.94683870943899</v>
      </c>
      <c r="M104" s="0" t="n">
        <f aca="false">SUMPRODUCT(ISNUMBER(SEARCH(" "&amp;Terms!$A$3:$A$821&amp;" ",$C104))*Terms!D$3:D$821)+Terms!D$2</f>
        <v>1.1440145615622</v>
      </c>
      <c r="N104" s="0" t="n">
        <f aca="false">SUMPRODUCT(ISNUMBER(SEARCH(" "&amp;Terms!$A$3:$A$821&amp;" ",$C104))*Terms!E$3:E$821)+Terms!E$2</f>
        <v>-0.729211724627068</v>
      </c>
      <c r="O104" s="0" t="n">
        <f aca="false">SUMPRODUCT(ISNUMBER(SEARCH(" "&amp;Terms!$A$3:$A$821&amp;" ",$C104))*Terms!F$3:F$821)+Terms!F$2</f>
        <v>2.07428672357344</v>
      </c>
      <c r="P104" s="0" t="n">
        <f aca="false">SUMPRODUCT(ISNUMBER(SEARCH(" "&amp;Terms!$A$3:$A$821&amp;" ",$C104))*Terms!G$3:G$821)+Terms!G$2</f>
        <v>-4.01540000833858</v>
      </c>
      <c r="Q104" s="0" t="str">
        <f aca="false">INDEX($K$1:$P$1,MATCH(MAX(K104:P104),K104:P104,0))</f>
        <v>Account Access</v>
      </c>
      <c r="R104" s="0" t="str">
        <f aca="false">IF(J104&lt;&gt;"No label",J104,Q104)</f>
        <v>Account Access</v>
      </c>
      <c r="S104" s="0" t="str">
        <f aca="false">INDEX(Answers!$B$2:$B$201,MATCH(A104,Answers!$A$2:$A$201,0))</f>
        <v>Account Access</v>
      </c>
      <c r="T104" s="4" t="b">
        <f aca="false">R104=S104</f>
        <v>1</v>
      </c>
    </row>
    <row r="105" customFormat="false" ht="15" hidden="false" customHeight="false" outlineLevel="0" collapsed="false">
      <c r="A105" s="0" t="str">
        <f aca="false">NewComplaints!A105</f>
        <v>N0104</v>
      </c>
      <c r="B105" s="0" t="str">
        <f aca="false">NewComplaints!B105</f>
        <v>Hello, My online banking is locked and the reset link never arrives. Also, there is an unexpected charge on my statement of £25. I want this put right.</v>
      </c>
      <c r="C105" s="0" t="str">
        <f aca="false">" "&amp;TRIM(SUBSTITUTE(SUBSTITUTE(SUBSTITUTE(SUBSTITUTE(SUBSTITUTE(SUBSTITUTE(SUBSTITUTE(SUBSTITUTE(SUBSTITUTE(SUBSTITUTE(SUBSTITUTE(SUBSTITUTE(SUBSTITUTE(SUBSTITUTE(SUBSTITUTE(SUBSTITUTE(LOWER(B105),"."," "),","," "),"'"," "),"’"," "),"!"," "),"?"," "),";"," "),":"," "),"-"," "),"("," "),")"," "),"""", " "),"£"," "),"&amp;"," "),"/"," "),"%"," "))&amp;" "</f>
        <v> hello my online banking is locked and the reset link never arrives also there is an unexpected charge on my statement of 25 i want this put right </v>
      </c>
      <c r="D105" s="0" t="n">
        <f aca="false">SUMPRODUCT((Rules!$A$2:$A$60=D$1)*Rules!$C$2:$C$60*ISNUMBER(SEARCH(Rules!$D$2:$D$60,$C105)))</f>
        <v>0</v>
      </c>
      <c r="E105" s="0" t="n">
        <f aca="false">SUMPRODUCT((Rules!$A$2:$A$60=E$1)*Rules!$C$2:$C$60*ISNUMBER(SEARCH(Rules!$D$2:$D$60,$C105)))</f>
        <v>0</v>
      </c>
      <c r="F105" s="0" t="n">
        <f aca="false">SUMPRODUCT((Rules!$A$2:$A$60=F$1)*Rules!$C$2:$C$60*ISNUMBER(SEARCH(Rules!$D$2:$D$60,$C105)))</f>
        <v>5</v>
      </c>
      <c r="G105" s="0" t="n">
        <f aca="false">SUMPRODUCT((Rules!$A$2:$A$60=G$1)*Rules!$C$2:$C$60*ISNUMBER(SEARCH(Rules!$D$2:$D$60,$C105)))</f>
        <v>3</v>
      </c>
      <c r="H105" s="0" t="n">
        <f aca="false">SUMPRODUCT((Rules!$A$2:$A$60=H$1)*Rules!$C$2:$C$60*ISNUMBER(SEARCH(Rules!$D$2:$D$60,$C105)))</f>
        <v>0</v>
      </c>
      <c r="I105" s="0" t="n">
        <f aca="false">SUMPRODUCT((Rules!$A$2:$A$60=I$1)*Rules!$C$2:$C$60*ISNUMBER(SEARCH(Rules!$D$2:$D$60,$C105)))</f>
        <v>0</v>
      </c>
      <c r="J105" s="0" t="str">
        <f aca="false">IF(OR(MAX(D105:I105)&lt;Rules!$H$1,MAX(D105:I105)-LARGE(D105:I105,2)&lt;Rules!$H$2),"No label",INDEX($D$1:$I$1,MATCH(MAX(D105:I105),D105:I105,0)))</f>
        <v>Account Access</v>
      </c>
      <c r="K105" s="0" t="n">
        <f aca="false">SUMPRODUCT(ISNUMBER(SEARCH(" "&amp;Terms!$A$3:$A$821&amp;" ",$C105))*Terms!B$3:B$821)+Terms!B$2</f>
        <v>6.06432044514302</v>
      </c>
      <c r="L105" s="0" t="n">
        <f aca="false">SUMPRODUCT(ISNUMBER(SEARCH(" "&amp;Terms!$A$3:$A$821&amp;" ",$C105))*Terms!C$3:C$821)+Terms!C$2</f>
        <v>-8.50508194459109</v>
      </c>
      <c r="M105" s="0" t="n">
        <f aca="false">SUMPRODUCT(ISNUMBER(SEARCH(" "&amp;Terms!$A$3:$A$821&amp;" ",$C105))*Terms!D$3:D$821)+Terms!D$2</f>
        <v>-7.00794371743234</v>
      </c>
      <c r="N105" s="0" t="n">
        <f aca="false">SUMPRODUCT(ISNUMBER(SEARCH(" "&amp;Terms!$A$3:$A$821&amp;" ",$C105))*Terms!E$3:E$821)+Terms!E$2</f>
        <v>11.5337134939197</v>
      </c>
      <c r="O105" s="0" t="n">
        <f aca="false">SUMPRODUCT(ISNUMBER(SEARCH(" "&amp;Terms!$A$3:$A$821&amp;" ",$C105))*Terms!F$3:F$821)+Terms!F$2</f>
        <v>-0.982939443788985</v>
      </c>
      <c r="P105" s="0" t="n">
        <f aca="false">SUMPRODUCT(ISNUMBER(SEARCH(" "&amp;Terms!$A$3:$A$821&amp;" ",$C105))*Terms!G$3:G$821)+Terms!G$2</f>
        <v>-1.10206883325018</v>
      </c>
      <c r="Q105" s="0" t="str">
        <f aca="false">INDEX($K$1:$P$1,MATCH(MAX(K105:P105),K105:P105,0))</f>
        <v>Fees &amp; Charges</v>
      </c>
      <c r="R105" s="0" t="str">
        <f aca="false">IF(J105&lt;&gt;"No label",J105,Q105)</f>
        <v>Account Access</v>
      </c>
      <c r="S105" s="0" t="str">
        <f aca="false">INDEX(Answers!$B$2:$B$201,MATCH(A105,Answers!$A$2:$A$201,0))</f>
        <v>Account Access</v>
      </c>
      <c r="T105" s="4" t="b">
        <f aca="false">R105=S105</f>
        <v>1</v>
      </c>
    </row>
    <row r="106" customFormat="false" ht="15" hidden="false" customHeight="false" outlineLevel="0" collapsed="false">
      <c r="A106" s="0" t="str">
        <f aca="false">NewComplaints!A106</f>
        <v>N0105</v>
      </c>
      <c r="B106" s="0" t="str">
        <f aca="false">NewComplaints!B106</f>
        <v>To whom it may concern, I spent an hour on hold and then the call was cut off. Also, the account maintenance fee was taken twice this month. This is not acceptable.</v>
      </c>
      <c r="C106" s="0" t="str">
        <f aca="false">" "&amp;TRIM(SUBSTITUTE(SUBSTITUTE(SUBSTITUTE(SUBSTITUTE(SUBSTITUTE(SUBSTITUTE(SUBSTITUTE(SUBSTITUTE(SUBSTITUTE(SUBSTITUTE(SUBSTITUTE(SUBSTITUTE(SUBSTITUTE(SUBSTITUTE(SUBSTITUTE(SUBSTITUTE(LOWER(B106),"."," "),","," "),"'"," "),"’"," "),"!"," "),"?"," "),";"," "),":"," "),"-"," "),"("," "),")"," "),"""", " "),"£"," "),"&amp;"," "),"/"," "),"%"," "))&amp;" "</f>
        <v> to whom it may concern i spent an hour on hold and then the call was cut off also the account maintenance fee was taken twice this month this is not acceptable </v>
      </c>
      <c r="D106" s="0" t="n">
        <f aca="false">SUMPRODUCT((Rules!$A$2:$A$60=D$1)*Rules!$C$2:$C$60*ISNUMBER(SEARCH(Rules!$D$2:$D$60,$C106)))</f>
        <v>0</v>
      </c>
      <c r="E106" s="0" t="n">
        <f aca="false">SUMPRODUCT((Rules!$A$2:$A$60=E$1)*Rules!$C$2:$C$60*ISNUMBER(SEARCH(Rules!$D$2:$D$60,$C106)))</f>
        <v>0</v>
      </c>
      <c r="F106" s="0" t="n">
        <f aca="false">SUMPRODUCT((Rules!$A$2:$A$60=F$1)*Rules!$C$2:$C$60*ISNUMBER(SEARCH(Rules!$D$2:$D$60,$C106)))</f>
        <v>0</v>
      </c>
      <c r="G106" s="0" t="n">
        <f aca="false">SUMPRODUCT((Rules!$A$2:$A$60=G$1)*Rules!$C$2:$C$60*ISNUMBER(SEARCH(Rules!$D$2:$D$60,$C106)))</f>
        <v>2</v>
      </c>
      <c r="H106" s="0" t="n">
        <f aca="false">SUMPRODUCT((Rules!$A$2:$A$60=H$1)*Rules!$C$2:$C$60*ISNUMBER(SEARCH(Rules!$D$2:$D$60,$C106)))</f>
        <v>0</v>
      </c>
      <c r="I106" s="0" t="n">
        <f aca="false">SUMPRODUCT((Rules!$A$2:$A$60=I$1)*Rules!$C$2:$C$60*ISNUMBER(SEARCH(Rules!$D$2:$D$60,$C106)))</f>
        <v>3</v>
      </c>
      <c r="J106" s="0" t="str">
        <f aca="false">IF(OR(MAX(D106:I106)&lt;Rules!$H$1,MAX(D106:I106)-LARGE(D106:I106,2)&lt;Rules!$H$2),"No label",INDEX($D$1:$I$1,MATCH(MAX(D106:I106),D106:I106,0)))</f>
        <v>No label</v>
      </c>
      <c r="K106" s="0" t="n">
        <f aca="false">SUMPRODUCT(ISNUMBER(SEARCH(" "&amp;Terms!$A$3:$A$821&amp;" ",$C106))*Terms!B$3:B$821)+Terms!B$2</f>
        <v>-1.46593987796765</v>
      </c>
      <c r="L106" s="0" t="n">
        <f aca="false">SUMPRODUCT(ISNUMBER(SEARCH(" "&amp;Terms!$A$3:$A$821&amp;" ",$C106))*Terms!C$3:C$821)+Terms!C$2</f>
        <v>2.80669568691196</v>
      </c>
      <c r="M106" s="0" t="n">
        <f aca="false">SUMPRODUCT(ISNUMBER(SEARCH(" "&amp;Terms!$A$3:$A$821&amp;" ",$C106))*Terms!D$3:D$821)+Terms!D$2</f>
        <v>-1.0726204418705</v>
      </c>
      <c r="N106" s="0" t="n">
        <f aca="false">SUMPRODUCT(ISNUMBER(SEARCH(" "&amp;Terms!$A$3:$A$821&amp;" ",$C106))*Terms!E$3:E$821)+Terms!E$2</f>
        <v>8.85635088567001</v>
      </c>
      <c r="O106" s="0" t="n">
        <f aca="false">SUMPRODUCT(ISNUMBER(SEARCH(" "&amp;Terms!$A$3:$A$821&amp;" ",$C106))*Terms!F$3:F$821)+Terms!F$2</f>
        <v>-3.13143653861209</v>
      </c>
      <c r="P106" s="0" t="n">
        <f aca="false">SUMPRODUCT(ISNUMBER(SEARCH(" "&amp;Terms!$A$3:$A$821&amp;" ",$C106))*Terms!G$3:G$821)+Terms!G$2</f>
        <v>-5.99304971413165</v>
      </c>
      <c r="Q106" s="0" t="str">
        <f aca="false">INDEX($K$1:$P$1,MATCH(MAX(K106:P106),K106:P106,0))</f>
        <v>Fees &amp; Charges</v>
      </c>
      <c r="R106" s="0" t="str">
        <f aca="false">IF(J106&lt;&gt;"No label",J106,Q106)</f>
        <v>Fees &amp; Charges</v>
      </c>
      <c r="S106" s="0" t="str">
        <f aca="false">INDEX(Answers!$B$2:$B$201,MATCH(A106,Answers!$A$2:$A$201,0))</f>
        <v>Customer Service</v>
      </c>
      <c r="T106" s="4" t="b">
        <f aca="false">R106=S106</f>
        <v>0</v>
      </c>
    </row>
    <row r="107" customFormat="false" ht="15" hidden="false" customHeight="false" outlineLevel="0" collapsed="false">
      <c r="A107" s="0" t="str">
        <f aca="false">NewComplaints!A107</f>
        <v>N0106</v>
      </c>
      <c r="B107" s="0" t="str">
        <f aca="false">NewComplaints!B107</f>
        <v>I am unable to access my account to see my balance. Please escalate this.</v>
      </c>
      <c r="C107" s="0" t="str">
        <f aca="false">" "&amp;TRIM(SUBSTITUTE(SUBSTITUTE(SUBSTITUTE(SUBSTITUTE(SUBSTITUTE(SUBSTITUTE(SUBSTITUTE(SUBSTITUTE(SUBSTITUTE(SUBSTITUTE(SUBSTITUTE(SUBSTITUTE(SUBSTITUTE(SUBSTITUTE(SUBSTITUTE(SUBSTITUTE(LOWER(B107),"."," "),","," "),"'"," "),"’"," "),"!"," "),"?"," "),";"," "),":"," "),"-"," "),"("," "),")"," "),"""", " "),"£"," "),"&amp;"," "),"/"," "),"%"," "))&amp;" "</f>
        <v> i am unable to access my account to see my balance please escalate this </v>
      </c>
      <c r="D107" s="0" t="n">
        <f aca="false">SUMPRODUCT((Rules!$A$2:$A$60=D$1)*Rules!$C$2:$C$60*ISNUMBER(SEARCH(Rules!$D$2:$D$60,$C107)))</f>
        <v>0</v>
      </c>
      <c r="E107" s="0" t="n">
        <f aca="false">SUMPRODUCT((Rules!$A$2:$A$60=E$1)*Rules!$C$2:$C$60*ISNUMBER(SEARCH(Rules!$D$2:$D$60,$C107)))</f>
        <v>0</v>
      </c>
      <c r="F107" s="0" t="n">
        <f aca="false">SUMPRODUCT((Rules!$A$2:$A$60=F$1)*Rules!$C$2:$C$60*ISNUMBER(SEARCH(Rules!$D$2:$D$60,$C107)))</f>
        <v>1</v>
      </c>
      <c r="G107" s="0" t="n">
        <f aca="false">SUMPRODUCT((Rules!$A$2:$A$60=G$1)*Rules!$C$2:$C$60*ISNUMBER(SEARCH(Rules!$D$2:$D$60,$C107)))</f>
        <v>0</v>
      </c>
      <c r="H107" s="0" t="n">
        <f aca="false">SUMPRODUCT((Rules!$A$2:$A$60=H$1)*Rules!$C$2:$C$60*ISNUMBER(SEARCH(Rules!$D$2:$D$60,$C107)))</f>
        <v>0</v>
      </c>
      <c r="I107" s="0" t="n">
        <f aca="false">SUMPRODUCT((Rules!$A$2:$A$60=I$1)*Rules!$C$2:$C$60*ISNUMBER(SEARCH(Rules!$D$2:$D$60,$C107)))</f>
        <v>0</v>
      </c>
      <c r="J107" s="0" t="str">
        <f aca="false">IF(OR(MAX(D107:I107)&lt;Rules!$H$1,MAX(D107:I107)-LARGE(D107:I107,2)&lt;Rules!$H$2),"No label",INDEX($D$1:$I$1,MATCH(MAX(D107:I107),D107:I107,0)))</f>
        <v>No label</v>
      </c>
      <c r="K107" s="0" t="n">
        <f aca="false">SUMPRODUCT(ISNUMBER(SEARCH(" "&amp;Terms!$A$3:$A$821&amp;" ",$C107))*Terms!B$3:B$821)+Terms!B$2</f>
        <v>7.07022690489451</v>
      </c>
      <c r="L107" s="0" t="n">
        <f aca="false">SUMPRODUCT(ISNUMBER(SEARCH(" "&amp;Terms!$A$3:$A$821&amp;" ",$C107))*Terms!C$3:C$821)+Terms!C$2</f>
        <v>-3.6726586637121</v>
      </c>
      <c r="M107" s="0" t="n">
        <f aca="false">SUMPRODUCT(ISNUMBER(SEARCH(" "&amp;Terms!$A$3:$A$821&amp;" ",$C107))*Terms!D$3:D$821)+Terms!D$2</f>
        <v>1.37144845222976</v>
      </c>
      <c r="N107" s="0" t="n">
        <f aca="false">SUMPRODUCT(ISNUMBER(SEARCH(" "&amp;Terms!$A$3:$A$821&amp;" ",$C107))*Terms!E$3:E$821)+Terms!E$2</f>
        <v>-0.815349784776738</v>
      </c>
      <c r="O107" s="0" t="n">
        <f aca="false">SUMPRODUCT(ISNUMBER(SEARCH(" "&amp;Terms!$A$3:$A$821&amp;" ",$C107))*Terms!F$3:F$821)+Terms!F$2</f>
        <v>-1.48293389658022</v>
      </c>
      <c r="P107" s="0" t="n">
        <f aca="false">SUMPRODUCT(ISNUMBER(SEARCH(" "&amp;Terms!$A$3:$A$821&amp;" ",$C107))*Terms!G$3:G$821)+Terms!G$2</f>
        <v>-2.47073301205513</v>
      </c>
      <c r="Q107" s="0" t="str">
        <f aca="false">INDEX($K$1:$P$1,MATCH(MAX(K107:P107),K107:P107,0))</f>
        <v>Account Access</v>
      </c>
      <c r="R107" s="0" t="str">
        <f aca="false">IF(J107&lt;&gt;"No label",J107,Q107)</f>
        <v>Account Access</v>
      </c>
      <c r="S107" s="0" t="str">
        <f aca="false">INDEX(Answers!$B$2:$B$201,MATCH(A107,Answers!$A$2:$A$201,0))</f>
        <v>Account Access</v>
      </c>
      <c r="T107" s="4" t="b">
        <f aca="false">R107=S107</f>
        <v>1</v>
      </c>
    </row>
    <row r="108" customFormat="false" ht="15" hidden="false" customHeight="false" outlineLevel="0" collapsed="false">
      <c r="A108" s="0" t="str">
        <f aca="false">NewComplaints!A108</f>
        <v>N0107</v>
      </c>
      <c r="B108" s="0" t="str">
        <f aca="false">NewComplaints!B108</f>
        <v>You took an overdraft fee even though I was within my limit. Please escalate this.</v>
      </c>
      <c r="C108" s="0" t="str">
        <f aca="false">" "&amp;TRIM(SUBSTITUTE(SUBSTITUTE(SUBSTITUTE(SUBSTITUTE(SUBSTITUTE(SUBSTITUTE(SUBSTITUTE(SUBSTITUTE(SUBSTITUTE(SUBSTITUTE(SUBSTITUTE(SUBSTITUTE(SUBSTITUTE(SUBSTITUTE(SUBSTITUTE(SUBSTITUTE(LOWER(B108),"."," "),","," "),"'"," "),"’"," "),"!"," "),"?"," "),";"," "),":"," "),"-"," "),"("," "),")"," "),"""", " "),"£"," "),"&amp;"," "),"/"," "),"%"," "))&amp;" "</f>
        <v> you took an overdraft fee even though i was within my limit please escalate this </v>
      </c>
      <c r="D108" s="0" t="n">
        <f aca="false">SUMPRODUCT((Rules!$A$2:$A$60=D$1)*Rules!$C$2:$C$60*ISNUMBER(SEARCH(Rules!$D$2:$D$60,$C108)))</f>
        <v>0</v>
      </c>
      <c r="E108" s="0" t="n">
        <f aca="false">SUMPRODUCT((Rules!$A$2:$A$60=E$1)*Rules!$C$2:$C$60*ISNUMBER(SEARCH(Rules!$D$2:$D$60,$C108)))</f>
        <v>0</v>
      </c>
      <c r="F108" s="0" t="n">
        <f aca="false">SUMPRODUCT((Rules!$A$2:$A$60=F$1)*Rules!$C$2:$C$60*ISNUMBER(SEARCH(Rules!$D$2:$D$60,$C108)))</f>
        <v>0</v>
      </c>
      <c r="G108" s="0" t="n">
        <f aca="false">SUMPRODUCT((Rules!$A$2:$A$60=G$1)*Rules!$C$2:$C$60*ISNUMBER(SEARCH(Rules!$D$2:$D$60,$C108)))</f>
        <v>2</v>
      </c>
      <c r="H108" s="0" t="n">
        <f aca="false">SUMPRODUCT((Rules!$A$2:$A$60=H$1)*Rules!$C$2:$C$60*ISNUMBER(SEARCH(Rules!$D$2:$D$60,$C108)))</f>
        <v>0</v>
      </c>
      <c r="I108" s="0" t="n">
        <f aca="false">SUMPRODUCT((Rules!$A$2:$A$60=I$1)*Rules!$C$2:$C$60*ISNUMBER(SEARCH(Rules!$D$2:$D$60,$C108)))</f>
        <v>0</v>
      </c>
      <c r="J108" s="0" t="str">
        <f aca="false">IF(OR(MAX(D108:I108)&lt;Rules!$H$1,MAX(D108:I108)-LARGE(D108:I108,2)&lt;Rules!$H$2),"No label",INDEX($D$1:$I$1,MATCH(MAX(D108:I108),D108:I108,0)))</f>
        <v>No label</v>
      </c>
      <c r="K108" s="0" t="n">
        <f aca="false">SUMPRODUCT(ISNUMBER(SEARCH(" "&amp;Terms!$A$3:$A$821&amp;" ",$C108))*Terms!B$3:B$821)+Terms!B$2</f>
        <v>-2.48897401818499</v>
      </c>
      <c r="L108" s="0" t="n">
        <f aca="false">SUMPRODUCT(ISNUMBER(SEARCH(" "&amp;Terms!$A$3:$A$821&amp;" ",$C108))*Terms!C$3:C$821)+Terms!C$2</f>
        <v>-0.729588482744765</v>
      </c>
      <c r="M108" s="0" t="n">
        <f aca="false">SUMPRODUCT(ISNUMBER(SEARCH(" "&amp;Terms!$A$3:$A$821&amp;" ",$C108))*Terms!D$3:D$821)+Terms!D$2</f>
        <v>-3.76389399071415</v>
      </c>
      <c r="N108" s="0" t="n">
        <f aca="false">SUMPRODUCT(ISNUMBER(SEARCH(" "&amp;Terms!$A$3:$A$821&amp;" ",$C108))*Terms!E$3:E$821)+Terms!E$2</f>
        <v>10.9880174355313</v>
      </c>
      <c r="O108" s="0" t="n">
        <f aca="false">SUMPRODUCT(ISNUMBER(SEARCH(" "&amp;Terms!$A$3:$A$821&amp;" ",$C108))*Terms!F$3:F$821)+Terms!F$2</f>
        <v>-2.2344336810093</v>
      </c>
      <c r="P108" s="0" t="n">
        <f aca="false">SUMPRODUCT(ISNUMBER(SEARCH(" "&amp;Terms!$A$3:$A$821&amp;" ",$C108))*Terms!G$3:G$821)+Terms!G$2</f>
        <v>-1.771127262878</v>
      </c>
      <c r="Q108" s="0" t="str">
        <f aca="false">INDEX($K$1:$P$1,MATCH(MAX(K108:P108),K108:P108,0))</f>
        <v>Fees &amp; Charges</v>
      </c>
      <c r="R108" s="0" t="str">
        <f aca="false">IF(J108&lt;&gt;"No label",J108,Q108)</f>
        <v>Fees &amp; Charges</v>
      </c>
      <c r="S108" s="0" t="str">
        <f aca="false">INDEX(Answers!$B$2:$B$201,MATCH(A108,Answers!$A$2:$A$201,0))</f>
        <v>Fees &amp; Charges</v>
      </c>
      <c r="T108" s="4" t="b">
        <f aca="false">R108=S108</f>
        <v>1</v>
      </c>
    </row>
    <row r="109" customFormat="false" ht="15" hidden="false" customHeight="false" outlineLevel="0" collapsed="false">
      <c r="A109" s="0" t="str">
        <f aca="false">NewComplaints!A109</f>
        <v>N0108</v>
      </c>
      <c r="B109" s="0" t="str">
        <f aca="false">NewComplaints!B109</f>
        <v>I have been a cstomer for years. I was told this policy covered me but my claim was rejected.</v>
      </c>
      <c r="C109" s="0" t="str">
        <f aca="false">" "&amp;TRIM(SUBSTITUTE(SUBSTITUTE(SUBSTITUTE(SUBSTITUTE(SUBSTITUTE(SUBSTITUTE(SUBSTITUTE(SUBSTITUTE(SUBSTITUTE(SUBSTITUTE(SUBSTITUTE(SUBSTITUTE(SUBSTITUTE(SUBSTITUTE(SUBSTITUTE(SUBSTITUTE(LOWER(B109),"."," "),","," "),"'"," "),"’"," "),"!"," "),"?"," "),";"," "),":"," "),"-"," "),"("," "),")"," "),"""", " "),"£"," "),"&amp;"," "),"/"," "),"%"," "))&amp;" "</f>
        <v> i have been a cstomer for years i was told this policy covered me but my claim was rejected </v>
      </c>
      <c r="D109" s="0" t="n">
        <f aca="false">SUMPRODUCT((Rules!$A$2:$A$60=D$1)*Rules!$C$2:$C$60*ISNUMBER(SEARCH(Rules!$D$2:$D$60,$C109)))</f>
        <v>0</v>
      </c>
      <c r="E109" s="0" t="n">
        <f aca="false">SUMPRODUCT((Rules!$A$2:$A$60=E$1)*Rules!$C$2:$C$60*ISNUMBER(SEARCH(Rules!$D$2:$D$60,$C109)))</f>
        <v>1</v>
      </c>
      <c r="F109" s="0" t="n">
        <f aca="false">SUMPRODUCT((Rules!$A$2:$A$60=F$1)*Rules!$C$2:$C$60*ISNUMBER(SEARCH(Rules!$D$2:$D$60,$C109)))</f>
        <v>0</v>
      </c>
      <c r="G109" s="0" t="n">
        <f aca="false">SUMPRODUCT((Rules!$A$2:$A$60=G$1)*Rules!$C$2:$C$60*ISNUMBER(SEARCH(Rules!$D$2:$D$60,$C109)))</f>
        <v>0</v>
      </c>
      <c r="H109" s="0" t="n">
        <f aca="false">SUMPRODUCT((Rules!$A$2:$A$60=H$1)*Rules!$C$2:$C$60*ISNUMBER(SEARCH(Rules!$D$2:$D$60,$C109)))</f>
        <v>0</v>
      </c>
      <c r="I109" s="0" t="n">
        <f aca="false">SUMPRODUCT((Rules!$A$2:$A$60=I$1)*Rules!$C$2:$C$60*ISNUMBER(SEARCH(Rules!$D$2:$D$60,$C109)))</f>
        <v>0</v>
      </c>
      <c r="J109" s="0" t="str">
        <f aca="false">IF(OR(MAX(D109:I109)&lt;Rules!$H$1,MAX(D109:I109)-LARGE(D109:I109,2)&lt;Rules!$H$2),"No label",INDEX($D$1:$I$1,MATCH(MAX(D109:I109),D109:I109,0)))</f>
        <v>No label</v>
      </c>
      <c r="K109" s="0" t="n">
        <f aca="false">SUMPRODUCT(ISNUMBER(SEARCH(" "&amp;Terms!$A$3:$A$821&amp;" ",$C109))*Terms!B$3:B$821)+Terms!B$2</f>
        <v>-1.80476000545541</v>
      </c>
      <c r="L109" s="0" t="n">
        <f aca="false">SUMPRODUCT(ISNUMBER(SEARCH(" "&amp;Terms!$A$3:$A$821&amp;" ",$C109))*Terms!C$3:C$821)+Terms!C$2</f>
        <v>-3.70761351925701</v>
      </c>
      <c r="M109" s="0" t="n">
        <f aca="false">SUMPRODUCT(ISNUMBER(SEARCH(" "&amp;Terms!$A$3:$A$821&amp;" ",$C109))*Terms!D$3:D$821)+Terms!D$2</f>
        <v>0.943008820633191</v>
      </c>
      <c r="N109" s="0" t="n">
        <f aca="false">SUMPRODUCT(ISNUMBER(SEARCH(" "&amp;Terms!$A$3:$A$821&amp;" ",$C109))*Terms!E$3:E$821)+Terms!E$2</f>
        <v>-1.27710168677003</v>
      </c>
      <c r="O109" s="0" t="n">
        <f aca="false">SUMPRODUCT(ISNUMBER(SEARCH(" "&amp;Terms!$A$3:$A$821&amp;" ",$C109))*Terms!F$3:F$821)+Terms!F$2</f>
        <v>-2.55044029427343</v>
      </c>
      <c r="P109" s="0" t="n">
        <f aca="false">SUMPRODUCT(ISNUMBER(SEARCH(" "&amp;Terms!$A$3:$A$821&amp;" ",$C109))*Terms!G$3:G$821)+Terms!G$2</f>
        <v>8.3969066851228</v>
      </c>
      <c r="Q109" s="0" t="str">
        <f aca="false">INDEX($K$1:$P$1,MATCH(MAX(K109:P109),K109:P109,0))</f>
        <v>Mis-selling</v>
      </c>
      <c r="R109" s="0" t="str">
        <f aca="false">IF(J109&lt;&gt;"No label",J109,Q109)</f>
        <v>Mis-selling</v>
      </c>
      <c r="S109" s="0" t="str">
        <f aca="false">INDEX(Answers!$B$2:$B$201,MATCH(A109,Answers!$A$2:$A$201,0))</f>
        <v>Mis-selling</v>
      </c>
      <c r="T109" s="4" t="b">
        <f aca="false">R109=S109</f>
        <v>1</v>
      </c>
    </row>
    <row r="110" customFormat="false" ht="15" hidden="false" customHeight="false" outlineLevel="0" collapsed="false">
      <c r="A110" s="0" t="str">
        <f aca="false">NewComplaints!A110</f>
        <v>N0109</v>
      </c>
      <c r="B110" s="0" t="str">
        <f aca="false">NewComplaints!B110</f>
        <v>This has caused me a lot of stress and I want answers. This is not acceptable.</v>
      </c>
      <c r="C110" s="0" t="str">
        <f aca="false">" "&amp;TRIM(SUBSTITUTE(SUBSTITUTE(SUBSTITUTE(SUBSTITUTE(SUBSTITUTE(SUBSTITUTE(SUBSTITUTE(SUBSTITUTE(SUBSTITUTE(SUBSTITUTE(SUBSTITUTE(SUBSTITUTE(SUBSTITUTE(SUBSTITUTE(SUBSTITUTE(SUBSTITUTE(LOWER(B110),"."," "),","," "),"'"," "),"’"," "),"!"," "),"?"," "),";"," "),":"," "),"-"," "),"("," "),")"," "),"""", " "),"£"," "),"&amp;"," "),"/"," "),"%"," "))&amp;" "</f>
        <v> this has caused me a lot of stress and i want answers this is not acceptable </v>
      </c>
      <c r="D110" s="0" t="n">
        <f aca="false">SUMPRODUCT((Rules!$A$2:$A$60=D$1)*Rules!$C$2:$C$60*ISNUMBER(SEARCH(Rules!$D$2:$D$60,$C110)))</f>
        <v>0</v>
      </c>
      <c r="E110" s="0" t="n">
        <f aca="false">SUMPRODUCT((Rules!$A$2:$A$60=E$1)*Rules!$C$2:$C$60*ISNUMBER(SEARCH(Rules!$D$2:$D$60,$C110)))</f>
        <v>0</v>
      </c>
      <c r="F110" s="0" t="n">
        <f aca="false">SUMPRODUCT((Rules!$A$2:$A$60=F$1)*Rules!$C$2:$C$60*ISNUMBER(SEARCH(Rules!$D$2:$D$60,$C110)))</f>
        <v>0</v>
      </c>
      <c r="G110" s="0" t="n">
        <f aca="false">SUMPRODUCT((Rules!$A$2:$A$60=G$1)*Rules!$C$2:$C$60*ISNUMBER(SEARCH(Rules!$D$2:$D$60,$C110)))</f>
        <v>0</v>
      </c>
      <c r="H110" s="0" t="n">
        <f aca="false">SUMPRODUCT((Rules!$A$2:$A$60=H$1)*Rules!$C$2:$C$60*ISNUMBER(SEARCH(Rules!$D$2:$D$60,$C110)))</f>
        <v>0</v>
      </c>
      <c r="I110" s="0" t="n">
        <f aca="false">SUMPRODUCT((Rules!$A$2:$A$60=I$1)*Rules!$C$2:$C$60*ISNUMBER(SEARCH(Rules!$D$2:$D$60,$C110)))</f>
        <v>0</v>
      </c>
      <c r="J110" s="0" t="str">
        <f aca="false">IF(OR(MAX(D110:I110)&lt;Rules!$H$1,MAX(D110:I110)-LARGE(D110:I110,2)&lt;Rules!$H$2),"No label",INDEX($D$1:$I$1,MATCH(MAX(D110:I110),D110:I110,0)))</f>
        <v>No label</v>
      </c>
      <c r="K110" s="0" t="n">
        <f aca="false">SUMPRODUCT(ISNUMBER(SEARCH(" "&amp;Terms!$A$3:$A$821&amp;" ",$C110))*Terms!B$3:B$821)+Terms!B$2</f>
        <v>2.4243347441613</v>
      </c>
      <c r="L110" s="0" t="n">
        <f aca="false">SUMPRODUCT(ISNUMBER(SEARCH(" "&amp;Terms!$A$3:$A$821&amp;" ",$C110))*Terms!C$3:C$821)+Terms!C$2</f>
        <v>0.802834967356791</v>
      </c>
      <c r="M110" s="0" t="n">
        <f aca="false">SUMPRODUCT(ISNUMBER(SEARCH(" "&amp;Terms!$A$3:$A$821&amp;" ",$C110))*Terms!D$3:D$821)+Terms!D$2</f>
        <v>1.99918361751339</v>
      </c>
      <c r="N110" s="0" t="n">
        <f aca="false">SUMPRODUCT(ISNUMBER(SEARCH(" "&amp;Terms!$A$3:$A$821&amp;" ",$C110))*Terms!E$3:E$821)+Terms!E$2</f>
        <v>-2.23721711143135</v>
      </c>
      <c r="O110" s="0" t="n">
        <f aca="false">SUMPRODUCT(ISNUMBER(SEARCH(" "&amp;Terms!$A$3:$A$821&amp;" ",$C110))*Terms!F$3:F$821)+Terms!F$2</f>
        <v>-0.929259651329187</v>
      </c>
      <c r="P110" s="0" t="n">
        <f aca="false">SUMPRODUCT(ISNUMBER(SEARCH(" "&amp;Terms!$A$3:$A$821&amp;" ",$C110))*Terms!G$3:G$821)+Terms!G$2</f>
        <v>-2.05987656627084</v>
      </c>
      <c r="Q110" s="0" t="str">
        <f aca="false">INDEX($K$1:$P$1,MATCH(MAX(K110:P110),K110:P110,0))</f>
        <v>Account Access</v>
      </c>
      <c r="R110" s="0" t="str">
        <f aca="false">IF(J110&lt;&gt;"No label",J110,Q110)</f>
        <v>Account Access</v>
      </c>
      <c r="S110" s="0" t="str">
        <f aca="false">INDEX(Answers!$B$2:$B$201,MATCH(A110,Answers!$A$2:$A$201,0))</f>
        <v>Account Access</v>
      </c>
      <c r="T110" s="4" t="b">
        <f aca="false">R110=S110</f>
        <v>1</v>
      </c>
    </row>
    <row r="111" customFormat="false" ht="15" hidden="false" customHeight="false" outlineLevel="0" collapsed="false">
      <c r="A111" s="0" t="str">
        <f aca="false">NewComplaints!A111</f>
        <v>N0110</v>
      </c>
      <c r="B111" s="0" t="str">
        <f aca="false">NewComplaints!B111</f>
        <v>This is the second time I have raised this. I was passed between four departments and no one took ownership. I expect compensation.</v>
      </c>
      <c r="C111" s="0" t="str">
        <f aca="false">" "&amp;TRIM(SUBSTITUTE(SUBSTITUTE(SUBSTITUTE(SUBSTITUTE(SUBSTITUTE(SUBSTITUTE(SUBSTITUTE(SUBSTITUTE(SUBSTITUTE(SUBSTITUTE(SUBSTITUTE(SUBSTITUTE(SUBSTITUTE(SUBSTITUTE(SUBSTITUTE(SUBSTITUTE(LOWER(B111),"."," "),","," "),"'"," "),"’"," "),"!"," "),"?"," "),";"," "),":"," "),"-"," "),"("," "),")"," "),"""", " "),"£"," "),"&amp;"," "),"/"," "),"%"," "))&amp;" "</f>
        <v> this is the second time i have raised this i was passed between four departments and no one took ownership i expect compensation </v>
      </c>
      <c r="D111" s="0" t="n">
        <f aca="false">SUMPRODUCT((Rules!$A$2:$A$60=D$1)*Rules!$C$2:$C$60*ISNUMBER(SEARCH(Rules!$D$2:$D$60,$C111)))</f>
        <v>0</v>
      </c>
      <c r="E111" s="0" t="n">
        <f aca="false">SUMPRODUCT((Rules!$A$2:$A$60=E$1)*Rules!$C$2:$C$60*ISNUMBER(SEARCH(Rules!$D$2:$D$60,$C111)))</f>
        <v>0</v>
      </c>
      <c r="F111" s="0" t="n">
        <f aca="false">SUMPRODUCT((Rules!$A$2:$A$60=F$1)*Rules!$C$2:$C$60*ISNUMBER(SEARCH(Rules!$D$2:$D$60,$C111)))</f>
        <v>0</v>
      </c>
      <c r="G111" s="0" t="n">
        <f aca="false">SUMPRODUCT((Rules!$A$2:$A$60=G$1)*Rules!$C$2:$C$60*ISNUMBER(SEARCH(Rules!$D$2:$D$60,$C111)))</f>
        <v>0</v>
      </c>
      <c r="H111" s="0" t="n">
        <f aca="false">SUMPRODUCT((Rules!$A$2:$A$60=H$1)*Rules!$C$2:$C$60*ISNUMBER(SEARCH(Rules!$D$2:$D$60,$C111)))</f>
        <v>0</v>
      </c>
      <c r="I111" s="0" t="n">
        <f aca="false">SUMPRODUCT((Rules!$A$2:$A$60=I$1)*Rules!$C$2:$C$60*ISNUMBER(SEARCH(Rules!$D$2:$D$60,$C111)))</f>
        <v>2</v>
      </c>
      <c r="J111" s="0" t="str">
        <f aca="false">IF(OR(MAX(D111:I111)&lt;Rules!$H$1,MAX(D111:I111)-LARGE(D111:I111,2)&lt;Rules!$H$2),"No label",INDEX($D$1:$I$1,MATCH(MAX(D111:I111),D111:I111,0)))</f>
        <v>No label</v>
      </c>
      <c r="K111" s="0" t="n">
        <f aca="false">SUMPRODUCT(ISNUMBER(SEARCH(" "&amp;Terms!$A$3:$A$821&amp;" ",$C111))*Terms!B$3:B$821)+Terms!B$2</f>
        <v>-0.969395294538197</v>
      </c>
      <c r="L111" s="0" t="n">
        <f aca="false">SUMPRODUCT(ISNUMBER(SEARCH(" "&amp;Terms!$A$3:$A$821&amp;" ",$C111))*Terms!C$3:C$821)+Terms!C$2</f>
        <v>9.49862626029529</v>
      </c>
      <c r="M111" s="0" t="n">
        <f aca="false">SUMPRODUCT(ISNUMBER(SEARCH(" "&amp;Terms!$A$3:$A$821&amp;" ",$C111))*Terms!D$3:D$821)+Terms!D$2</f>
        <v>-3.27955919068357</v>
      </c>
      <c r="N111" s="0" t="n">
        <f aca="false">SUMPRODUCT(ISNUMBER(SEARCH(" "&amp;Terms!$A$3:$A$821&amp;" ",$C111))*Terms!E$3:E$821)+Terms!E$2</f>
        <v>-0.475858637477709</v>
      </c>
      <c r="O111" s="0" t="n">
        <f aca="false">SUMPRODUCT(ISNUMBER(SEARCH(" "&amp;Terms!$A$3:$A$821&amp;" ",$C111))*Terms!F$3:F$821)+Terms!F$2</f>
        <v>-0.195024231169407</v>
      </c>
      <c r="P111" s="0" t="n">
        <f aca="false">SUMPRODUCT(ISNUMBER(SEARCH(" "&amp;Terms!$A$3:$A$821&amp;" ",$C111))*Terms!G$3:G$821)+Terms!G$2</f>
        <v>-4.57878890642632</v>
      </c>
      <c r="Q111" s="0" t="str">
        <f aca="false">INDEX($K$1:$P$1,MATCH(MAX(K111:P111),K111:P111,0))</f>
        <v>Customer Service</v>
      </c>
      <c r="R111" s="0" t="str">
        <f aca="false">IF(J111&lt;&gt;"No label",J111,Q111)</f>
        <v>Customer Service</v>
      </c>
      <c r="S111" s="0" t="str">
        <f aca="false">INDEX(Answers!$B$2:$B$201,MATCH(A111,Answers!$A$2:$A$201,0))</f>
        <v>Customer Service</v>
      </c>
      <c r="T111" s="4" t="b">
        <f aca="false">R111=S111</f>
        <v>1</v>
      </c>
    </row>
    <row r="112" customFormat="false" ht="15" hidden="false" customHeight="false" outlineLevel="0" collapsed="false">
      <c r="A112" s="0" t="str">
        <f aca="false">NewComplaints!A112</f>
        <v>N0111</v>
      </c>
      <c r="B112" s="0" t="str">
        <f aca="false">NewComplaints!B112</f>
        <v>This is the second time I have raised this. My application has been stuck for weeks with no progress. Also, there are transactions on my card I do not recognise. Please sort this out.</v>
      </c>
      <c r="C112" s="0" t="str">
        <f aca="false">" "&amp;TRIM(SUBSTITUTE(SUBSTITUTE(SUBSTITUTE(SUBSTITUTE(SUBSTITUTE(SUBSTITUTE(SUBSTITUTE(SUBSTITUTE(SUBSTITUTE(SUBSTITUTE(SUBSTITUTE(SUBSTITUTE(SUBSTITUTE(SUBSTITUTE(SUBSTITUTE(SUBSTITUTE(LOWER(B112),"."," "),","," "),"'"," "),"’"," "),"!"," "),"?"," "),";"," "),":"," "),"-"," "),"("," "),")"," "),"""", " "),"£"," "),"&amp;"," "),"/"," "),"%"," "))&amp;" "</f>
        <v> this is the second time i have raised this my application has been stuck for weeks with no progress also there are transactions on my card i do not recognise please sort this out </v>
      </c>
      <c r="D112" s="0" t="n">
        <f aca="false">SUMPRODUCT((Rules!$A$2:$A$60=D$1)*Rules!$C$2:$C$60*ISNUMBER(SEARCH(Rules!$D$2:$D$60,$C112)))</f>
        <v>2</v>
      </c>
      <c r="E112" s="0" t="n">
        <f aca="false">SUMPRODUCT((Rules!$A$2:$A$60=E$1)*Rules!$C$2:$C$60*ISNUMBER(SEARCH(Rules!$D$2:$D$60,$C112)))</f>
        <v>0</v>
      </c>
      <c r="F112" s="0" t="n">
        <f aca="false">SUMPRODUCT((Rules!$A$2:$A$60=F$1)*Rules!$C$2:$C$60*ISNUMBER(SEARCH(Rules!$D$2:$D$60,$C112)))</f>
        <v>0</v>
      </c>
      <c r="G112" s="0" t="n">
        <f aca="false">SUMPRODUCT((Rules!$A$2:$A$60=G$1)*Rules!$C$2:$C$60*ISNUMBER(SEARCH(Rules!$D$2:$D$60,$C112)))</f>
        <v>0</v>
      </c>
      <c r="H112" s="0" t="n">
        <f aca="false">SUMPRODUCT((Rules!$A$2:$A$60=H$1)*Rules!$C$2:$C$60*ISNUMBER(SEARCH(Rules!$D$2:$D$60,$C112)))</f>
        <v>3</v>
      </c>
      <c r="I112" s="0" t="n">
        <f aca="false">SUMPRODUCT((Rules!$A$2:$A$60=I$1)*Rules!$C$2:$C$60*ISNUMBER(SEARCH(Rules!$D$2:$D$60,$C112)))</f>
        <v>0</v>
      </c>
      <c r="J112" s="0" t="str">
        <f aca="false">IF(OR(MAX(D112:I112)&lt;Rules!$H$1,MAX(D112:I112)-LARGE(D112:I112,2)&lt;Rules!$H$2),"No label",INDEX($D$1:$I$1,MATCH(MAX(D112:I112),D112:I112,0)))</f>
        <v>No label</v>
      </c>
      <c r="K112" s="0" t="n">
        <f aca="false">SUMPRODUCT(ISNUMBER(SEARCH(" "&amp;Terms!$A$3:$A$821&amp;" ",$C112))*Terms!B$3:B$821)+Terms!B$2</f>
        <v>-6.28853043614058</v>
      </c>
      <c r="L112" s="0" t="n">
        <f aca="false">SUMPRODUCT(ISNUMBER(SEARCH(" "&amp;Terms!$A$3:$A$821&amp;" ",$C112))*Terms!C$3:C$821)+Terms!C$2</f>
        <v>2.15997403486741</v>
      </c>
      <c r="M112" s="0" t="n">
        <f aca="false">SUMPRODUCT(ISNUMBER(SEARCH(" "&amp;Terms!$A$3:$A$821&amp;" ",$C112))*Terms!D$3:D$821)+Terms!D$2</f>
        <v>6.04439678480088</v>
      </c>
      <c r="N112" s="0" t="n">
        <f aca="false">SUMPRODUCT(ISNUMBER(SEARCH(" "&amp;Terms!$A$3:$A$821&amp;" ",$C112))*Terms!E$3:E$821)+Terms!E$2</f>
        <v>-1.77979422958973</v>
      </c>
      <c r="O112" s="0" t="n">
        <f aca="false">SUMPRODUCT(ISNUMBER(SEARCH(" "&amp;Terms!$A$3:$A$821&amp;" ",$C112))*Terms!F$3:F$821)+Terms!F$2</f>
        <v>4.35910271989542</v>
      </c>
      <c r="P112" s="0" t="n">
        <f aca="false">SUMPRODUCT(ISNUMBER(SEARCH(" "&amp;Terms!$A$3:$A$821&amp;" ",$C112))*Terms!G$3:G$821)+Terms!G$2</f>
        <v>-4.49514887383331</v>
      </c>
      <c r="Q112" s="0" t="str">
        <f aca="false">INDEX($K$1:$P$1,MATCH(MAX(K112:P112),K112:P112,0))</f>
        <v>Delays &amp; Processing</v>
      </c>
      <c r="R112" s="0" t="str">
        <f aca="false">IF(J112&lt;&gt;"No label",J112,Q112)</f>
        <v>Delays &amp; Processing</v>
      </c>
      <c r="S112" s="0" t="str">
        <f aca="false">INDEX(Answers!$B$2:$B$201,MATCH(A112,Answers!$A$2:$A$201,0))</f>
        <v>Delays &amp; Processing</v>
      </c>
      <c r="T112" s="4" t="b">
        <f aca="false">R112=S112</f>
        <v>1</v>
      </c>
    </row>
    <row r="113" customFormat="false" ht="15" hidden="false" customHeight="false" outlineLevel="0" collapsed="false">
      <c r="A113" s="0" t="str">
        <f aca="false">NewComplaints!A113</f>
        <v>N0112</v>
      </c>
      <c r="B113" s="0" t="str">
        <f aca="false">NewComplaints!B113</f>
        <v>The branch manager would not listen to my concerns. I would lie a response in writing.</v>
      </c>
      <c r="C113" s="0" t="str">
        <f aca="false">" "&amp;TRIM(SUBSTITUTE(SUBSTITUTE(SUBSTITUTE(SUBSTITUTE(SUBSTITUTE(SUBSTITUTE(SUBSTITUTE(SUBSTITUTE(SUBSTITUTE(SUBSTITUTE(SUBSTITUTE(SUBSTITUTE(SUBSTITUTE(SUBSTITUTE(SUBSTITUTE(SUBSTITUTE(LOWER(B113),"."," "),","," "),"'"," "),"’"," "),"!"," "),"?"," "),";"," "),":"," "),"-"," "),"("," "),")"," "),"""", " "),"£"," "),"&amp;"," "),"/"," "),"%"," "))&amp;" "</f>
        <v> the branch manager would not listen to my concerns i would lie a response in writing </v>
      </c>
      <c r="D113" s="0" t="n">
        <f aca="false">SUMPRODUCT((Rules!$A$2:$A$60=D$1)*Rules!$C$2:$C$60*ISNUMBER(SEARCH(Rules!$D$2:$D$60,$C113)))</f>
        <v>0</v>
      </c>
      <c r="E113" s="0" t="n">
        <f aca="false">SUMPRODUCT((Rules!$A$2:$A$60=E$1)*Rules!$C$2:$C$60*ISNUMBER(SEARCH(Rules!$D$2:$D$60,$C113)))</f>
        <v>0</v>
      </c>
      <c r="F113" s="0" t="n">
        <f aca="false">SUMPRODUCT((Rules!$A$2:$A$60=F$1)*Rules!$C$2:$C$60*ISNUMBER(SEARCH(Rules!$D$2:$D$60,$C113)))</f>
        <v>0</v>
      </c>
      <c r="G113" s="0" t="n">
        <f aca="false">SUMPRODUCT((Rules!$A$2:$A$60=G$1)*Rules!$C$2:$C$60*ISNUMBER(SEARCH(Rules!$D$2:$D$60,$C113)))</f>
        <v>0</v>
      </c>
      <c r="H113" s="0" t="n">
        <f aca="false">SUMPRODUCT((Rules!$A$2:$A$60=H$1)*Rules!$C$2:$C$60*ISNUMBER(SEARCH(Rules!$D$2:$D$60,$C113)))</f>
        <v>0</v>
      </c>
      <c r="I113" s="0" t="n">
        <f aca="false">SUMPRODUCT((Rules!$A$2:$A$60=I$1)*Rules!$C$2:$C$60*ISNUMBER(SEARCH(Rules!$D$2:$D$60,$C113)))</f>
        <v>0</v>
      </c>
      <c r="J113" s="0" t="str">
        <f aca="false">IF(OR(MAX(D113:I113)&lt;Rules!$H$1,MAX(D113:I113)-LARGE(D113:I113,2)&lt;Rules!$H$2),"No label",INDEX($D$1:$I$1,MATCH(MAX(D113:I113),D113:I113,0)))</f>
        <v>No label</v>
      </c>
      <c r="K113" s="0" t="n">
        <f aca="false">SUMPRODUCT(ISNUMBER(SEARCH(" "&amp;Terms!$A$3:$A$821&amp;" ",$C113))*Terms!B$3:B$821)+Terms!B$2</f>
        <v>-1.29686013974992</v>
      </c>
      <c r="L113" s="0" t="n">
        <f aca="false">SUMPRODUCT(ISNUMBER(SEARCH(" "&amp;Terms!$A$3:$A$821&amp;" ",$C113))*Terms!C$3:C$821)+Terms!C$2</f>
        <v>9.82996700737354</v>
      </c>
      <c r="M113" s="0" t="n">
        <f aca="false">SUMPRODUCT(ISNUMBER(SEARCH(" "&amp;Terms!$A$3:$A$821&amp;" ",$C113))*Terms!D$3:D$821)+Terms!D$2</f>
        <v>-2.6352183035565</v>
      </c>
      <c r="N113" s="0" t="n">
        <f aca="false">SUMPRODUCT(ISNUMBER(SEARCH(" "&amp;Terms!$A$3:$A$821&amp;" ",$C113))*Terms!E$3:E$821)+Terms!E$2</f>
        <v>-1.47520439383542</v>
      </c>
      <c r="O113" s="0" t="n">
        <f aca="false">SUMPRODUCT(ISNUMBER(SEARCH(" "&amp;Terms!$A$3:$A$821&amp;" ",$C113))*Terms!F$3:F$821)+Terms!F$2</f>
        <v>-3.27316145638421</v>
      </c>
      <c r="P113" s="0" t="n">
        <f aca="false">SUMPRODUCT(ISNUMBER(SEARCH(" "&amp;Terms!$A$3:$A$821&amp;" ",$C113))*Terms!G$3:G$821)+Terms!G$2</f>
        <v>-1.14952271384739</v>
      </c>
      <c r="Q113" s="0" t="str">
        <f aca="false">INDEX($K$1:$P$1,MATCH(MAX(K113:P113),K113:P113,0))</f>
        <v>Customer Service</v>
      </c>
      <c r="R113" s="0" t="str">
        <f aca="false">IF(J113&lt;&gt;"No label",J113,Q113)</f>
        <v>Customer Service</v>
      </c>
      <c r="S113" s="0" t="str">
        <f aca="false">INDEX(Answers!$B$2:$B$201,MATCH(A113,Answers!$A$2:$A$201,0))</f>
        <v>Customer Service</v>
      </c>
      <c r="T113" s="4" t="b">
        <f aca="false">R113=S113</f>
        <v>1</v>
      </c>
    </row>
    <row r="114" customFormat="false" ht="15" hidden="false" customHeight="false" outlineLevel="0" collapsed="false">
      <c r="A114" s="0" t="str">
        <f aca="false">NewComplaints!A114</f>
        <v>N0113</v>
      </c>
      <c r="B114" s="0" t="str">
        <f aca="false">NewComplaints!B114</f>
        <v>I have been a customer for years. I was passed between four deparments and no one took ownership.</v>
      </c>
      <c r="C114" s="0" t="str">
        <f aca="false">" "&amp;TRIM(SUBSTITUTE(SUBSTITUTE(SUBSTITUTE(SUBSTITUTE(SUBSTITUTE(SUBSTITUTE(SUBSTITUTE(SUBSTITUTE(SUBSTITUTE(SUBSTITUTE(SUBSTITUTE(SUBSTITUTE(SUBSTITUTE(SUBSTITUTE(SUBSTITUTE(SUBSTITUTE(LOWER(B114),"."," "),","," "),"'"," "),"’"," "),"!"," "),"?"," "),";"," "),":"," "),"-"," "),"("," "),")"," "),"""", " "),"£"," "),"&amp;"," "),"/"," "),"%"," "))&amp;" "</f>
        <v> i have been a customer for years i was passed between four deparments and no one took ownership </v>
      </c>
      <c r="D114" s="0" t="n">
        <f aca="false">SUMPRODUCT((Rules!$A$2:$A$60=D$1)*Rules!$C$2:$C$60*ISNUMBER(SEARCH(Rules!$D$2:$D$60,$C114)))</f>
        <v>0</v>
      </c>
      <c r="E114" s="0" t="n">
        <f aca="false">SUMPRODUCT((Rules!$A$2:$A$60=E$1)*Rules!$C$2:$C$60*ISNUMBER(SEARCH(Rules!$D$2:$D$60,$C114)))</f>
        <v>0</v>
      </c>
      <c r="F114" s="0" t="n">
        <f aca="false">SUMPRODUCT((Rules!$A$2:$A$60=F$1)*Rules!$C$2:$C$60*ISNUMBER(SEARCH(Rules!$D$2:$D$60,$C114)))</f>
        <v>0</v>
      </c>
      <c r="G114" s="0" t="n">
        <f aca="false">SUMPRODUCT((Rules!$A$2:$A$60=G$1)*Rules!$C$2:$C$60*ISNUMBER(SEARCH(Rules!$D$2:$D$60,$C114)))</f>
        <v>0</v>
      </c>
      <c r="H114" s="0" t="n">
        <f aca="false">SUMPRODUCT((Rules!$A$2:$A$60=H$1)*Rules!$C$2:$C$60*ISNUMBER(SEARCH(Rules!$D$2:$D$60,$C114)))</f>
        <v>0</v>
      </c>
      <c r="I114" s="0" t="n">
        <f aca="false">SUMPRODUCT((Rules!$A$2:$A$60=I$1)*Rules!$C$2:$C$60*ISNUMBER(SEARCH(Rules!$D$2:$D$60,$C114)))</f>
        <v>2</v>
      </c>
      <c r="J114" s="0" t="str">
        <f aca="false">IF(OR(MAX(D114:I114)&lt;Rules!$H$1,MAX(D114:I114)-LARGE(D114:I114,2)&lt;Rules!$H$2),"No label",INDEX($D$1:$I$1,MATCH(MAX(D114:I114),D114:I114,0)))</f>
        <v>No label</v>
      </c>
      <c r="K114" s="0" t="n">
        <f aca="false">SUMPRODUCT(ISNUMBER(SEARCH(" "&amp;Terms!$A$3:$A$821&amp;" ",$C114))*Terms!B$3:B$821)+Terms!B$2</f>
        <v>-0.613705989286367</v>
      </c>
      <c r="L114" s="0" t="n">
        <f aca="false">SUMPRODUCT(ISNUMBER(SEARCH(" "&amp;Terms!$A$3:$A$821&amp;" ",$C114))*Terms!C$3:C$821)+Terms!C$2</f>
        <v>7.73351993080524</v>
      </c>
      <c r="M114" s="0" t="n">
        <f aca="false">SUMPRODUCT(ISNUMBER(SEARCH(" "&amp;Terms!$A$3:$A$821&amp;" ",$C114))*Terms!D$3:D$821)+Terms!D$2</f>
        <v>-0.669469867470037</v>
      </c>
      <c r="N114" s="0" t="n">
        <f aca="false">SUMPRODUCT(ISNUMBER(SEARCH(" "&amp;Terms!$A$3:$A$821&amp;" ",$C114))*Terms!E$3:E$821)+Terms!E$2</f>
        <v>-0.818190906056427</v>
      </c>
      <c r="O114" s="0" t="n">
        <f aca="false">SUMPRODUCT(ISNUMBER(SEARCH(" "&amp;Terms!$A$3:$A$821&amp;" ",$C114))*Terms!F$3:F$821)+Terms!F$2</f>
        <v>-2.86560364751047</v>
      </c>
      <c r="P114" s="0" t="n">
        <f aca="false">SUMPRODUCT(ISNUMBER(SEARCH(" "&amp;Terms!$A$3:$A$821&amp;" ",$C114))*Terms!G$3:G$821)+Terms!G$2</f>
        <v>-2.76654952048185</v>
      </c>
      <c r="Q114" s="0" t="str">
        <f aca="false">INDEX($K$1:$P$1,MATCH(MAX(K114:P114),K114:P114,0))</f>
        <v>Customer Service</v>
      </c>
      <c r="R114" s="0" t="str">
        <f aca="false">IF(J114&lt;&gt;"No label",J114,Q114)</f>
        <v>Customer Service</v>
      </c>
      <c r="S114" s="0" t="str">
        <f aca="false">INDEX(Answers!$B$2:$B$201,MATCH(A114,Answers!$A$2:$A$201,0))</f>
        <v>Customer Service</v>
      </c>
      <c r="T114" s="4" t="b">
        <f aca="false">R114=S114</f>
        <v>1</v>
      </c>
    </row>
    <row r="115" customFormat="false" ht="15" hidden="false" customHeight="false" outlineLevel="0" collapsed="false">
      <c r="A115" s="0" t="str">
        <f aca="false">NewComplaints!A115</f>
        <v>N0114</v>
      </c>
      <c r="B115" s="0" t="str">
        <f aca="false">NewComplaints!B115</f>
        <v>Hello, The brochure said guaranteed returns and my money has lost value. It has also been taking far too long. I want this put right.</v>
      </c>
      <c r="C115" s="0" t="str">
        <f aca="false">" "&amp;TRIM(SUBSTITUTE(SUBSTITUTE(SUBSTITUTE(SUBSTITUTE(SUBSTITUTE(SUBSTITUTE(SUBSTITUTE(SUBSTITUTE(SUBSTITUTE(SUBSTITUTE(SUBSTITUTE(SUBSTITUTE(SUBSTITUTE(SUBSTITUTE(SUBSTITUTE(SUBSTITUTE(LOWER(B115),"."," "),","," "),"'"," "),"’"," "),"!"," "),"?"," "),";"," "),":"," "),"-"," "),"("," "),")"," "),"""", " "),"£"," "),"&amp;"," "),"/"," "),"%"," "))&amp;" "</f>
        <v> hello the brochure said guaranteed returns and my money has lost value it has also been taking far too long i want this put right </v>
      </c>
      <c r="D115" s="0" t="n">
        <f aca="false">SUMPRODUCT((Rules!$A$2:$A$60=D$1)*Rules!$C$2:$C$60*ISNUMBER(SEARCH(Rules!$D$2:$D$60,$C115)))</f>
        <v>0</v>
      </c>
      <c r="E115" s="0" t="n">
        <f aca="false">SUMPRODUCT((Rules!$A$2:$A$60=E$1)*Rules!$C$2:$C$60*ISNUMBER(SEARCH(Rules!$D$2:$D$60,$C115)))</f>
        <v>2</v>
      </c>
      <c r="F115" s="0" t="n">
        <f aca="false">SUMPRODUCT((Rules!$A$2:$A$60=F$1)*Rules!$C$2:$C$60*ISNUMBER(SEARCH(Rules!$D$2:$D$60,$C115)))</f>
        <v>0</v>
      </c>
      <c r="G115" s="0" t="n">
        <f aca="false">SUMPRODUCT((Rules!$A$2:$A$60=G$1)*Rules!$C$2:$C$60*ISNUMBER(SEARCH(Rules!$D$2:$D$60,$C115)))</f>
        <v>0</v>
      </c>
      <c r="H115" s="0" t="n">
        <f aca="false">SUMPRODUCT((Rules!$A$2:$A$60=H$1)*Rules!$C$2:$C$60*ISNUMBER(SEARCH(Rules!$D$2:$D$60,$C115)))</f>
        <v>0</v>
      </c>
      <c r="I115" s="0" t="n">
        <f aca="false">SUMPRODUCT((Rules!$A$2:$A$60=I$1)*Rules!$C$2:$C$60*ISNUMBER(SEARCH(Rules!$D$2:$D$60,$C115)))</f>
        <v>0</v>
      </c>
      <c r="J115" s="0" t="str">
        <f aca="false">IF(OR(MAX(D115:I115)&lt;Rules!$H$1,MAX(D115:I115)-LARGE(D115:I115,2)&lt;Rules!$H$2),"No label",INDEX($D$1:$I$1,MATCH(MAX(D115:I115),D115:I115,0)))</f>
        <v>No label</v>
      </c>
      <c r="K115" s="0" t="n">
        <f aca="false">SUMPRODUCT(ISNUMBER(SEARCH(" "&amp;Terms!$A$3:$A$821&amp;" ",$C115))*Terms!B$3:B$821)+Terms!B$2</f>
        <v>-5.67817228124905</v>
      </c>
      <c r="L115" s="0" t="n">
        <f aca="false">SUMPRODUCT(ISNUMBER(SEARCH(" "&amp;Terms!$A$3:$A$821&amp;" ",$C115))*Terms!C$3:C$821)+Terms!C$2</f>
        <v>-5.16755863803161</v>
      </c>
      <c r="M115" s="0" t="n">
        <f aca="false">SUMPRODUCT(ISNUMBER(SEARCH(" "&amp;Terms!$A$3:$A$821&amp;" ",$C115))*Terms!D$3:D$821)+Terms!D$2</f>
        <v>-2.09215491570122</v>
      </c>
      <c r="N115" s="0" t="n">
        <f aca="false">SUMPRODUCT(ISNUMBER(SEARCH(" "&amp;Terms!$A$3:$A$821&amp;" ",$C115))*Terms!E$3:E$821)+Terms!E$2</f>
        <v>-1.88880466357191</v>
      </c>
      <c r="O115" s="0" t="n">
        <f aca="false">SUMPRODUCT(ISNUMBER(SEARCH(" "&amp;Terms!$A$3:$A$821&amp;" ",$C115))*Terms!F$3:F$821)+Terms!F$2</f>
        <v>2.51113628180269</v>
      </c>
      <c r="P115" s="0" t="n">
        <f aca="false">SUMPRODUCT(ISNUMBER(SEARCH(" "&amp;Terms!$A$3:$A$821&amp;" ",$C115))*Terms!G$3:G$821)+Terms!G$2</f>
        <v>12.3155542167512</v>
      </c>
      <c r="Q115" s="0" t="str">
        <f aca="false">INDEX($K$1:$P$1,MATCH(MAX(K115:P115),K115:P115,0))</f>
        <v>Mis-selling</v>
      </c>
      <c r="R115" s="0" t="str">
        <f aca="false">IF(J115&lt;&gt;"No label",J115,Q115)</f>
        <v>Mis-selling</v>
      </c>
      <c r="S115" s="0" t="str">
        <f aca="false">INDEX(Answers!$B$2:$B$201,MATCH(A115,Answers!$A$2:$A$201,0))</f>
        <v>Mis-selling</v>
      </c>
      <c r="T115" s="4" t="b">
        <f aca="false">R115=S115</f>
        <v>1</v>
      </c>
    </row>
    <row r="116" customFormat="false" ht="15" hidden="false" customHeight="false" outlineLevel="0" collapsed="false">
      <c r="A116" s="0" t="str">
        <f aca="false">NewComplaints!A116</f>
        <v>N0115</v>
      </c>
      <c r="B116" s="0" t="str">
        <f aca="false">NewComplaints!B116</f>
        <v>I have been a customer for years. I think I was the victim of a scam and sent money to a fraudster.</v>
      </c>
      <c r="C116" s="0" t="str">
        <f aca="false">" "&amp;TRIM(SUBSTITUTE(SUBSTITUTE(SUBSTITUTE(SUBSTITUTE(SUBSTITUTE(SUBSTITUTE(SUBSTITUTE(SUBSTITUTE(SUBSTITUTE(SUBSTITUTE(SUBSTITUTE(SUBSTITUTE(SUBSTITUTE(SUBSTITUTE(SUBSTITUTE(SUBSTITUTE(LOWER(B116),"."," "),","," "),"'"," "),"’"," "),"!"," "),"?"," "),";"," "),":"," "),"-"," "),"("," "),")"," "),"""", " "),"£"," "),"&amp;"," "),"/"," "),"%"," "))&amp;" "</f>
        <v> i have been a customer for years i think i was the victim of a scam and sent money to a fraudster </v>
      </c>
      <c r="D116" s="0" t="n">
        <f aca="false">SUMPRODUCT((Rules!$A$2:$A$60=D$1)*Rules!$C$2:$C$60*ISNUMBER(SEARCH(Rules!$D$2:$D$60,$C116)))</f>
        <v>6</v>
      </c>
      <c r="E116" s="0" t="n">
        <f aca="false">SUMPRODUCT((Rules!$A$2:$A$60=E$1)*Rules!$C$2:$C$60*ISNUMBER(SEARCH(Rules!$D$2:$D$60,$C116)))</f>
        <v>0</v>
      </c>
      <c r="F116" s="0" t="n">
        <f aca="false">SUMPRODUCT((Rules!$A$2:$A$60=F$1)*Rules!$C$2:$C$60*ISNUMBER(SEARCH(Rules!$D$2:$D$60,$C116)))</f>
        <v>0</v>
      </c>
      <c r="G116" s="0" t="n">
        <f aca="false">SUMPRODUCT((Rules!$A$2:$A$60=G$1)*Rules!$C$2:$C$60*ISNUMBER(SEARCH(Rules!$D$2:$D$60,$C116)))</f>
        <v>0</v>
      </c>
      <c r="H116" s="0" t="n">
        <f aca="false">SUMPRODUCT((Rules!$A$2:$A$60=H$1)*Rules!$C$2:$C$60*ISNUMBER(SEARCH(Rules!$D$2:$D$60,$C116)))</f>
        <v>0</v>
      </c>
      <c r="I116" s="0" t="n">
        <f aca="false">SUMPRODUCT((Rules!$A$2:$A$60=I$1)*Rules!$C$2:$C$60*ISNUMBER(SEARCH(Rules!$D$2:$D$60,$C116)))</f>
        <v>0</v>
      </c>
      <c r="J116" s="0" t="str">
        <f aca="false">IF(OR(MAX(D116:I116)&lt;Rules!$H$1,MAX(D116:I116)-LARGE(D116:I116,2)&lt;Rules!$H$2),"No label",INDEX($D$1:$I$1,MATCH(MAX(D116:I116),D116:I116,0)))</f>
        <v>Fraud &amp; Scams</v>
      </c>
      <c r="K116" s="0" t="n">
        <f aca="false">SUMPRODUCT(ISNUMBER(SEARCH(" "&amp;Terms!$A$3:$A$821&amp;" ",$C116))*Terms!B$3:B$821)+Terms!B$2</f>
        <v>0.690514784305217</v>
      </c>
      <c r="L116" s="0" t="n">
        <f aca="false">SUMPRODUCT(ISNUMBER(SEARCH(" "&amp;Terms!$A$3:$A$821&amp;" ",$C116))*Terms!C$3:C$821)+Terms!C$2</f>
        <v>-3.20567277587872</v>
      </c>
      <c r="M116" s="0" t="n">
        <f aca="false">SUMPRODUCT(ISNUMBER(SEARCH(" "&amp;Terms!$A$3:$A$821&amp;" ",$C116))*Terms!D$3:D$821)+Terms!D$2</f>
        <v>0.319050084601093</v>
      </c>
      <c r="N116" s="0" t="n">
        <f aca="false">SUMPRODUCT(ISNUMBER(SEARCH(" "&amp;Terms!$A$3:$A$821&amp;" ",$C116))*Terms!E$3:E$821)+Terms!E$2</f>
        <v>-3.24025662052504</v>
      </c>
      <c r="O116" s="0" t="n">
        <f aca="false">SUMPRODUCT(ISNUMBER(SEARCH(" "&amp;Terms!$A$3:$A$821&amp;" ",$C116))*Terms!F$3:F$821)+Terms!F$2</f>
        <v>8.3749384930523</v>
      </c>
      <c r="P116" s="0" t="n">
        <f aca="false">SUMPRODUCT(ISNUMBER(SEARCH(" "&amp;Terms!$A$3:$A$821&amp;" ",$C116))*Terms!G$3:G$821)+Terms!G$2</f>
        <v>-2.93857396555475</v>
      </c>
      <c r="Q116" s="0" t="str">
        <f aca="false">INDEX($K$1:$P$1,MATCH(MAX(K116:P116),K116:P116,0))</f>
        <v>Fraud &amp; Scams</v>
      </c>
      <c r="R116" s="0" t="str">
        <f aca="false">IF(J116&lt;&gt;"No label",J116,Q116)</f>
        <v>Fraud &amp; Scams</v>
      </c>
      <c r="S116" s="0" t="str">
        <f aca="false">INDEX(Answers!$B$2:$B$201,MATCH(A116,Answers!$A$2:$A$201,0))</f>
        <v>Fraud &amp; Scams</v>
      </c>
      <c r="T116" s="4" t="b">
        <f aca="false">R116=S116</f>
        <v>1</v>
      </c>
    </row>
    <row r="117" customFormat="false" ht="15" hidden="false" customHeight="false" outlineLevel="0" collapsed="false">
      <c r="A117" s="0" t="str">
        <f aca="false">NewComplaints!A117</f>
        <v>N0116</v>
      </c>
      <c r="B117" s="0" t="str">
        <f aca="false">NewComplaints!B117</f>
        <v>Frankly, I was passed between four departments and no one took ownership. Also, the direct debit setup was delayed and I missed a bill because of it. Please escalate this.</v>
      </c>
      <c r="C117" s="0" t="str">
        <f aca="false">" "&amp;TRIM(SUBSTITUTE(SUBSTITUTE(SUBSTITUTE(SUBSTITUTE(SUBSTITUTE(SUBSTITUTE(SUBSTITUTE(SUBSTITUTE(SUBSTITUTE(SUBSTITUTE(SUBSTITUTE(SUBSTITUTE(SUBSTITUTE(SUBSTITUTE(SUBSTITUTE(SUBSTITUTE(LOWER(B117),"."," "),","," "),"'"," "),"’"," "),"!"," "),"?"," "),";"," "),":"," "),"-"," "),"("," "),")"," "),"""", " "),"£"," "),"&amp;"," "),"/"," "),"%"," "))&amp;" "</f>
        <v> frankly i was passed between four departments and no one took ownership also the direct debit setup was delayed and i missed a bill because of it please escalate this </v>
      </c>
      <c r="D117" s="0" t="n">
        <f aca="false">SUMPRODUCT((Rules!$A$2:$A$60=D$1)*Rules!$C$2:$C$60*ISNUMBER(SEARCH(Rules!$D$2:$D$60,$C117)))</f>
        <v>0</v>
      </c>
      <c r="E117" s="0" t="n">
        <f aca="false">SUMPRODUCT((Rules!$A$2:$A$60=E$1)*Rules!$C$2:$C$60*ISNUMBER(SEARCH(Rules!$D$2:$D$60,$C117)))</f>
        <v>0</v>
      </c>
      <c r="F117" s="0" t="n">
        <f aca="false">SUMPRODUCT((Rules!$A$2:$A$60=F$1)*Rules!$C$2:$C$60*ISNUMBER(SEARCH(Rules!$D$2:$D$60,$C117)))</f>
        <v>0</v>
      </c>
      <c r="G117" s="0" t="n">
        <f aca="false">SUMPRODUCT((Rules!$A$2:$A$60=G$1)*Rules!$C$2:$C$60*ISNUMBER(SEARCH(Rules!$D$2:$D$60,$C117)))</f>
        <v>0</v>
      </c>
      <c r="H117" s="0" t="n">
        <f aca="false">SUMPRODUCT((Rules!$A$2:$A$60=H$1)*Rules!$C$2:$C$60*ISNUMBER(SEARCH(Rules!$D$2:$D$60,$C117)))</f>
        <v>2</v>
      </c>
      <c r="I117" s="0" t="n">
        <f aca="false">SUMPRODUCT((Rules!$A$2:$A$60=I$1)*Rules!$C$2:$C$60*ISNUMBER(SEARCH(Rules!$D$2:$D$60,$C117)))</f>
        <v>2</v>
      </c>
      <c r="J117" s="0" t="str">
        <f aca="false">IF(OR(MAX(D117:I117)&lt;Rules!$H$1,MAX(D117:I117)-LARGE(D117:I117,2)&lt;Rules!$H$2),"No label",INDEX($D$1:$I$1,MATCH(MAX(D117:I117),D117:I117,0)))</f>
        <v>No label</v>
      </c>
      <c r="K117" s="0" t="n">
        <f aca="false">SUMPRODUCT(ISNUMBER(SEARCH(" "&amp;Terms!$A$3:$A$821&amp;" ",$C117))*Terms!B$3:B$821)+Terms!B$2</f>
        <v>-5.33651378985347</v>
      </c>
      <c r="L117" s="0" t="n">
        <f aca="false">SUMPRODUCT(ISNUMBER(SEARCH(" "&amp;Terms!$A$3:$A$821&amp;" ",$C117))*Terms!C$3:C$821)+Terms!C$2</f>
        <v>5.94724551119564</v>
      </c>
      <c r="M117" s="0" t="n">
        <f aca="false">SUMPRODUCT(ISNUMBER(SEARCH(" "&amp;Terms!$A$3:$A$821&amp;" ",$C117))*Terms!D$3:D$821)+Terms!D$2</f>
        <v>8.8497823947263</v>
      </c>
      <c r="N117" s="0" t="n">
        <f aca="false">SUMPRODUCT(ISNUMBER(SEARCH(" "&amp;Terms!$A$3:$A$821&amp;" ",$C117))*Terms!E$3:E$821)+Terms!E$2</f>
        <v>-2.49986568943351</v>
      </c>
      <c r="O117" s="0" t="n">
        <f aca="false">SUMPRODUCT(ISNUMBER(SEARCH(" "&amp;Terms!$A$3:$A$821&amp;" ",$C117))*Terms!F$3:F$821)+Terms!F$2</f>
        <v>-2.62540162244728</v>
      </c>
      <c r="P117" s="0" t="n">
        <f aca="false">SUMPRODUCT(ISNUMBER(SEARCH(" "&amp;Terms!$A$3:$A$821&amp;" ",$C117))*Terms!G$3:G$821)+Terms!G$2</f>
        <v>-4.33524680418758</v>
      </c>
      <c r="Q117" s="0" t="str">
        <f aca="false">INDEX($K$1:$P$1,MATCH(MAX(K117:P117),K117:P117,0))</f>
        <v>Delays &amp; Processing</v>
      </c>
      <c r="R117" s="0" t="str">
        <f aca="false">IF(J117&lt;&gt;"No label",J117,Q117)</f>
        <v>Delays &amp; Processing</v>
      </c>
      <c r="S117" s="0" t="str">
        <f aca="false">INDEX(Answers!$B$2:$B$201,MATCH(A117,Answers!$A$2:$A$201,0))</f>
        <v>Customer Service</v>
      </c>
      <c r="T117" s="4" t="b">
        <f aca="false">R117=S117</f>
        <v>0</v>
      </c>
    </row>
    <row r="118" customFormat="false" ht="15" hidden="false" customHeight="false" outlineLevel="0" collapsed="false">
      <c r="A118" s="0" t="str">
        <f aca="false">NewComplaints!A118</f>
        <v>N0117</v>
      </c>
      <c r="B118" s="0" t="str">
        <f aca="false">NewComplaints!B118</f>
        <v>I was misled about what the insurance actually included. Also, your advisor gave me different answers on two separate calls. I want this put right.</v>
      </c>
      <c r="C118" s="0" t="str">
        <f aca="false">" "&amp;TRIM(SUBSTITUTE(SUBSTITUTE(SUBSTITUTE(SUBSTITUTE(SUBSTITUTE(SUBSTITUTE(SUBSTITUTE(SUBSTITUTE(SUBSTITUTE(SUBSTITUTE(SUBSTITUTE(SUBSTITUTE(SUBSTITUTE(SUBSTITUTE(SUBSTITUTE(SUBSTITUTE(LOWER(B118),"."," "),","," "),"'"," "),"’"," "),"!"," "),"?"," "),";"," "),":"," "),"-"," "),"("," "),")"," "),"""", " "),"£"," "),"&amp;"," "),"/"," "),"%"," "))&amp;" "</f>
        <v> i was misled about what the insurance actually included also your advisor gave me different answers on two separate calls i want this put right </v>
      </c>
      <c r="D118" s="0" t="n">
        <f aca="false">SUMPRODUCT((Rules!$A$2:$A$60=D$1)*Rules!$C$2:$C$60*ISNUMBER(SEARCH(Rules!$D$2:$D$60,$C118)))</f>
        <v>0</v>
      </c>
      <c r="E118" s="0" t="n">
        <f aca="false">SUMPRODUCT((Rules!$A$2:$A$60=E$1)*Rules!$C$2:$C$60*ISNUMBER(SEARCH(Rules!$D$2:$D$60,$C118)))</f>
        <v>4</v>
      </c>
      <c r="F118" s="0" t="n">
        <f aca="false">SUMPRODUCT((Rules!$A$2:$A$60=F$1)*Rules!$C$2:$C$60*ISNUMBER(SEARCH(Rules!$D$2:$D$60,$C118)))</f>
        <v>0</v>
      </c>
      <c r="G118" s="0" t="n">
        <f aca="false">SUMPRODUCT((Rules!$A$2:$A$60=G$1)*Rules!$C$2:$C$60*ISNUMBER(SEARCH(Rules!$D$2:$D$60,$C118)))</f>
        <v>0</v>
      </c>
      <c r="H118" s="0" t="n">
        <f aca="false">SUMPRODUCT((Rules!$A$2:$A$60=H$1)*Rules!$C$2:$C$60*ISNUMBER(SEARCH(Rules!$D$2:$D$60,$C118)))</f>
        <v>0</v>
      </c>
      <c r="I118" s="0" t="n">
        <f aca="false">SUMPRODUCT((Rules!$A$2:$A$60=I$1)*Rules!$C$2:$C$60*ISNUMBER(SEARCH(Rules!$D$2:$D$60,$C118)))</f>
        <v>1</v>
      </c>
      <c r="J118" s="0" t="str">
        <f aca="false">IF(OR(MAX(D118:I118)&lt;Rules!$H$1,MAX(D118:I118)-LARGE(D118:I118,2)&lt;Rules!$H$2),"No label",INDEX($D$1:$I$1,MATCH(MAX(D118:I118),D118:I118,0)))</f>
        <v>Mis-selling</v>
      </c>
      <c r="K118" s="0" t="n">
        <f aca="false">SUMPRODUCT(ISNUMBER(SEARCH(" "&amp;Terms!$A$3:$A$821&amp;" ",$C118))*Terms!B$3:B$821)+Terms!B$2</f>
        <v>-3.2764319278064</v>
      </c>
      <c r="L118" s="0" t="n">
        <f aca="false">SUMPRODUCT(ISNUMBER(SEARCH(" "&amp;Terms!$A$3:$A$821&amp;" ",$C118))*Terms!C$3:C$821)+Terms!C$2</f>
        <v>6.5984108752745</v>
      </c>
      <c r="M118" s="0" t="n">
        <f aca="false">SUMPRODUCT(ISNUMBER(SEARCH(" "&amp;Terms!$A$3:$A$821&amp;" ",$C118))*Terms!D$3:D$821)+Terms!D$2</f>
        <v>-4.72262174334755</v>
      </c>
      <c r="N118" s="0" t="n">
        <f aca="false">SUMPRODUCT(ISNUMBER(SEARCH(" "&amp;Terms!$A$3:$A$821&amp;" ",$C118))*Terms!E$3:E$821)+Terms!E$2</f>
        <v>-4.26307929291019</v>
      </c>
      <c r="O118" s="0" t="n">
        <f aca="false">SUMPRODUCT(ISNUMBER(SEARCH(" "&amp;Terms!$A$3:$A$821&amp;" ",$C118))*Terms!F$3:F$821)+Terms!F$2</f>
        <v>-3.95360255094114</v>
      </c>
      <c r="P118" s="0" t="n">
        <f aca="false">SUMPRODUCT(ISNUMBER(SEARCH(" "&amp;Terms!$A$3:$A$821&amp;" ",$C118))*Terms!G$3:G$821)+Terms!G$2</f>
        <v>9.61732463973091</v>
      </c>
      <c r="Q118" s="0" t="str">
        <f aca="false">INDEX($K$1:$P$1,MATCH(MAX(K118:P118),K118:P118,0))</f>
        <v>Mis-selling</v>
      </c>
      <c r="R118" s="0" t="str">
        <f aca="false">IF(J118&lt;&gt;"No label",J118,Q118)</f>
        <v>Mis-selling</v>
      </c>
      <c r="S118" s="0" t="str">
        <f aca="false">INDEX(Answers!$B$2:$B$201,MATCH(A118,Answers!$A$2:$A$201,0))</f>
        <v>Mis-selling</v>
      </c>
      <c r="T118" s="4" t="b">
        <f aca="false">R118=S118</f>
        <v>1</v>
      </c>
    </row>
    <row r="119" customFormat="false" ht="15" hidden="false" customHeight="false" outlineLevel="0" collapsed="false">
      <c r="A119" s="0" t="str">
        <f aca="false">NewComplaints!A119</f>
        <v>N0118</v>
      </c>
      <c r="B119" s="0" t="str">
        <f aca="false">NewComplaints!B119</f>
        <v>This is the second time I have raised this. The paperwork was submitted a month ago and I am still waiting.</v>
      </c>
      <c r="C119" s="0" t="str">
        <f aca="false">" "&amp;TRIM(SUBSTITUTE(SUBSTITUTE(SUBSTITUTE(SUBSTITUTE(SUBSTITUTE(SUBSTITUTE(SUBSTITUTE(SUBSTITUTE(SUBSTITUTE(SUBSTITUTE(SUBSTITUTE(SUBSTITUTE(SUBSTITUTE(SUBSTITUTE(SUBSTITUTE(SUBSTITUTE(LOWER(B119),"."," "),","," "),"'"," "),"’"," "),"!"," "),"?"," "),";"," "),":"," "),"-"," "),"("," "),")"," "),"""", " "),"£"," "),"&amp;"," "),"/"," "),"%"," "))&amp;" "</f>
        <v> this is the second time i have raised this the paperwork was submitted a month ago and i am still waiting </v>
      </c>
      <c r="D119" s="0" t="n">
        <f aca="false">SUMPRODUCT((Rules!$A$2:$A$60=D$1)*Rules!$C$2:$C$60*ISNUMBER(SEARCH(Rules!$D$2:$D$60,$C119)))</f>
        <v>0</v>
      </c>
      <c r="E119" s="0" t="n">
        <f aca="false">SUMPRODUCT((Rules!$A$2:$A$60=E$1)*Rules!$C$2:$C$60*ISNUMBER(SEARCH(Rules!$D$2:$D$60,$C119)))</f>
        <v>0</v>
      </c>
      <c r="F119" s="0" t="n">
        <f aca="false">SUMPRODUCT((Rules!$A$2:$A$60=F$1)*Rules!$C$2:$C$60*ISNUMBER(SEARCH(Rules!$D$2:$D$60,$C119)))</f>
        <v>0</v>
      </c>
      <c r="G119" s="0" t="n">
        <f aca="false">SUMPRODUCT((Rules!$A$2:$A$60=G$1)*Rules!$C$2:$C$60*ISNUMBER(SEARCH(Rules!$D$2:$D$60,$C119)))</f>
        <v>0</v>
      </c>
      <c r="H119" s="0" t="n">
        <f aca="false">SUMPRODUCT((Rules!$A$2:$A$60=H$1)*Rules!$C$2:$C$60*ISNUMBER(SEARCH(Rules!$D$2:$D$60,$C119)))</f>
        <v>2</v>
      </c>
      <c r="I119" s="0" t="n">
        <f aca="false">SUMPRODUCT((Rules!$A$2:$A$60=I$1)*Rules!$C$2:$C$60*ISNUMBER(SEARCH(Rules!$D$2:$D$60,$C119)))</f>
        <v>0</v>
      </c>
      <c r="J119" s="0" t="str">
        <f aca="false">IF(OR(MAX(D119:I119)&lt;Rules!$H$1,MAX(D119:I119)-LARGE(D119:I119,2)&lt;Rules!$H$2),"No label",INDEX($D$1:$I$1,MATCH(MAX(D119:I119),D119:I119,0)))</f>
        <v>No label</v>
      </c>
      <c r="K119" s="0" t="n">
        <f aca="false">SUMPRODUCT(ISNUMBER(SEARCH(" "&amp;Terms!$A$3:$A$821&amp;" ",$C119))*Terms!B$3:B$821)+Terms!B$2</f>
        <v>-2.20241341958629</v>
      </c>
      <c r="L119" s="0" t="n">
        <f aca="false">SUMPRODUCT(ISNUMBER(SEARCH(" "&amp;Terms!$A$3:$A$821&amp;" ",$C119))*Terms!C$3:C$821)+Terms!C$2</f>
        <v>0.916386962432564</v>
      </c>
      <c r="M119" s="0" t="n">
        <f aca="false">SUMPRODUCT(ISNUMBER(SEARCH(" "&amp;Terms!$A$3:$A$821&amp;" ",$C119))*Terms!D$3:D$821)+Terms!D$2</f>
        <v>6.05298003198767</v>
      </c>
      <c r="N119" s="0" t="n">
        <f aca="false">SUMPRODUCT(ISNUMBER(SEARCH(" "&amp;Terms!$A$3:$A$821&amp;" ",$C119))*Terms!E$3:E$821)+Terms!E$2</f>
        <v>-0.0672670841434856</v>
      </c>
      <c r="O119" s="0" t="n">
        <f aca="false">SUMPRODUCT(ISNUMBER(SEARCH(" "&amp;Terms!$A$3:$A$821&amp;" ",$C119))*Terms!F$3:F$821)+Terms!F$2</f>
        <v>-2.56380786188266</v>
      </c>
      <c r="P119" s="0" t="n">
        <f aca="false">SUMPRODUCT(ISNUMBER(SEARCH(" "&amp;Terms!$A$3:$A$821&amp;" ",$C119))*Terms!G$3:G$821)+Terms!G$2</f>
        <v>-2.13587862880772</v>
      </c>
      <c r="Q119" s="0" t="str">
        <f aca="false">INDEX($K$1:$P$1,MATCH(MAX(K119:P119),K119:P119,0))</f>
        <v>Delays &amp; Processing</v>
      </c>
      <c r="R119" s="0" t="str">
        <f aca="false">IF(J119&lt;&gt;"No label",J119,Q119)</f>
        <v>Delays &amp; Processing</v>
      </c>
      <c r="S119" s="0" t="str">
        <f aca="false">INDEX(Answers!$B$2:$B$201,MATCH(A119,Answers!$A$2:$A$201,0))</f>
        <v>Delays &amp; Processing</v>
      </c>
      <c r="T119" s="4" t="b">
        <f aca="false">R119=S119</f>
        <v>1</v>
      </c>
    </row>
    <row r="120" customFormat="false" ht="15" hidden="false" customHeight="false" outlineLevel="0" collapsed="false">
      <c r="A120" s="0" t="str">
        <f aca="false">NewComplaints!A120</f>
        <v>N0119</v>
      </c>
      <c r="B120" s="0" t="str">
        <f aca="false">NewComplaints!B120</f>
        <v>To whom it may concern, My application has been stuck for weeks with no progress. I expect compensation.</v>
      </c>
      <c r="C120" s="0" t="str">
        <f aca="false">" "&amp;TRIM(SUBSTITUTE(SUBSTITUTE(SUBSTITUTE(SUBSTITUTE(SUBSTITUTE(SUBSTITUTE(SUBSTITUTE(SUBSTITUTE(SUBSTITUTE(SUBSTITUTE(SUBSTITUTE(SUBSTITUTE(SUBSTITUTE(SUBSTITUTE(SUBSTITUTE(SUBSTITUTE(LOWER(B120),"."," "),","," "),"'"," "),"’"," "),"!"," "),"?"," "),";"," "),":"," "),"-"," "),"("," "),")"," "),"""", " "),"£"," "),"&amp;"," "),"/"," "),"%"," "))&amp;" "</f>
        <v> to whom it may concern my application has been stuck for weeks with no progress i expect compensation </v>
      </c>
      <c r="D120" s="0" t="n">
        <f aca="false">SUMPRODUCT((Rules!$A$2:$A$60=D$1)*Rules!$C$2:$C$60*ISNUMBER(SEARCH(Rules!$D$2:$D$60,$C120)))</f>
        <v>0</v>
      </c>
      <c r="E120" s="0" t="n">
        <f aca="false">SUMPRODUCT((Rules!$A$2:$A$60=E$1)*Rules!$C$2:$C$60*ISNUMBER(SEARCH(Rules!$D$2:$D$60,$C120)))</f>
        <v>0</v>
      </c>
      <c r="F120" s="0" t="n">
        <f aca="false">SUMPRODUCT((Rules!$A$2:$A$60=F$1)*Rules!$C$2:$C$60*ISNUMBER(SEARCH(Rules!$D$2:$D$60,$C120)))</f>
        <v>0</v>
      </c>
      <c r="G120" s="0" t="n">
        <f aca="false">SUMPRODUCT((Rules!$A$2:$A$60=G$1)*Rules!$C$2:$C$60*ISNUMBER(SEARCH(Rules!$D$2:$D$60,$C120)))</f>
        <v>0</v>
      </c>
      <c r="H120" s="0" t="n">
        <f aca="false">SUMPRODUCT((Rules!$A$2:$A$60=H$1)*Rules!$C$2:$C$60*ISNUMBER(SEARCH(Rules!$D$2:$D$60,$C120)))</f>
        <v>3</v>
      </c>
      <c r="I120" s="0" t="n">
        <f aca="false">SUMPRODUCT((Rules!$A$2:$A$60=I$1)*Rules!$C$2:$C$60*ISNUMBER(SEARCH(Rules!$D$2:$D$60,$C120)))</f>
        <v>0</v>
      </c>
      <c r="J120" s="0" t="str">
        <f aca="false">IF(OR(MAX(D120:I120)&lt;Rules!$H$1,MAX(D120:I120)-LARGE(D120:I120,2)&lt;Rules!$H$2),"No label",INDEX($D$1:$I$1,MATCH(MAX(D120:I120),D120:I120,0)))</f>
        <v>Delays &amp; Processing</v>
      </c>
      <c r="K120" s="0" t="n">
        <f aca="false">SUMPRODUCT(ISNUMBER(SEARCH(" "&amp;Terms!$A$3:$A$821&amp;" ",$C120))*Terms!B$3:B$821)+Terms!B$2</f>
        <v>-0.363036930439148</v>
      </c>
      <c r="L120" s="0" t="n">
        <f aca="false">SUMPRODUCT(ISNUMBER(SEARCH(" "&amp;Terms!$A$3:$A$821&amp;" ",$C120))*Terms!C$3:C$821)+Terms!C$2</f>
        <v>-0.572599330991919</v>
      </c>
      <c r="M120" s="0" t="n">
        <f aca="false">SUMPRODUCT(ISNUMBER(SEARCH(" "&amp;Terms!$A$3:$A$821&amp;" ",$C120))*Terms!D$3:D$821)+Terms!D$2</f>
        <v>6.9572208001726</v>
      </c>
      <c r="N120" s="0" t="n">
        <f aca="false">SUMPRODUCT(ISNUMBER(SEARCH(" "&amp;Terms!$A$3:$A$821&amp;" ",$C120))*Terms!E$3:E$821)+Terms!E$2</f>
        <v>-0.989384192334108</v>
      </c>
      <c r="O120" s="0" t="n">
        <f aca="false">SUMPRODUCT(ISNUMBER(SEARCH(" "&amp;Terms!$A$3:$A$821&amp;" ",$C120))*Terms!F$3:F$821)+Terms!F$2</f>
        <v>-1.63538246584602</v>
      </c>
      <c r="P120" s="0" t="n">
        <f aca="false">SUMPRODUCT(ISNUMBER(SEARCH(" "&amp;Terms!$A$3:$A$821&amp;" ",$C120))*Terms!G$3:G$821)+Terms!G$2</f>
        <v>-3.39681788056132</v>
      </c>
      <c r="Q120" s="0" t="str">
        <f aca="false">INDEX($K$1:$P$1,MATCH(MAX(K120:P120),K120:P120,0))</f>
        <v>Delays &amp; Processing</v>
      </c>
      <c r="R120" s="0" t="str">
        <f aca="false">IF(J120&lt;&gt;"No label",J120,Q120)</f>
        <v>Delays &amp; Processing</v>
      </c>
      <c r="S120" s="0" t="str">
        <f aca="false">INDEX(Answers!$B$2:$B$201,MATCH(A120,Answers!$A$2:$A$201,0))</f>
        <v>Delays &amp; Processing</v>
      </c>
      <c r="T120" s="4" t="b">
        <f aca="false">R120=S120</f>
        <v>1</v>
      </c>
    </row>
    <row r="121" customFormat="false" ht="15" hidden="false" customHeight="false" outlineLevel="0" collapsed="false">
      <c r="A121" s="0" t="str">
        <f aca="false">NewComplaints!A121</f>
        <v>N0120</v>
      </c>
      <c r="B121" s="0" t="str">
        <f aca="false">NewComplaints!B121</f>
        <v>This is the second time I have raised this. The direct debit setup was delayed and I missed a bill because of it.</v>
      </c>
      <c r="C121" s="0" t="str">
        <f aca="false">" "&amp;TRIM(SUBSTITUTE(SUBSTITUTE(SUBSTITUTE(SUBSTITUTE(SUBSTITUTE(SUBSTITUTE(SUBSTITUTE(SUBSTITUTE(SUBSTITUTE(SUBSTITUTE(SUBSTITUTE(SUBSTITUTE(SUBSTITUTE(SUBSTITUTE(SUBSTITUTE(SUBSTITUTE(LOWER(B121),"."," "),","," "),"'"," "),"’"," "),"!"," "),"?"," "),";"," "),":"," "),"-"," "),"("," "),")"," "),"""", " "),"£"," "),"&amp;"," "),"/"," "),"%"," "))&amp;" "</f>
        <v> this is the second time i have raised this the direct debit setup was delayed and i missed a bill because of it </v>
      </c>
      <c r="D121" s="0" t="n">
        <f aca="false">SUMPRODUCT((Rules!$A$2:$A$60=D$1)*Rules!$C$2:$C$60*ISNUMBER(SEARCH(Rules!$D$2:$D$60,$C121)))</f>
        <v>0</v>
      </c>
      <c r="E121" s="0" t="n">
        <f aca="false">SUMPRODUCT((Rules!$A$2:$A$60=E$1)*Rules!$C$2:$C$60*ISNUMBER(SEARCH(Rules!$D$2:$D$60,$C121)))</f>
        <v>0</v>
      </c>
      <c r="F121" s="0" t="n">
        <f aca="false">SUMPRODUCT((Rules!$A$2:$A$60=F$1)*Rules!$C$2:$C$60*ISNUMBER(SEARCH(Rules!$D$2:$D$60,$C121)))</f>
        <v>0</v>
      </c>
      <c r="G121" s="0" t="n">
        <f aca="false">SUMPRODUCT((Rules!$A$2:$A$60=G$1)*Rules!$C$2:$C$60*ISNUMBER(SEARCH(Rules!$D$2:$D$60,$C121)))</f>
        <v>0</v>
      </c>
      <c r="H121" s="0" t="n">
        <f aca="false">SUMPRODUCT((Rules!$A$2:$A$60=H$1)*Rules!$C$2:$C$60*ISNUMBER(SEARCH(Rules!$D$2:$D$60,$C121)))</f>
        <v>2</v>
      </c>
      <c r="I121" s="0" t="n">
        <f aca="false">SUMPRODUCT((Rules!$A$2:$A$60=I$1)*Rules!$C$2:$C$60*ISNUMBER(SEARCH(Rules!$D$2:$D$60,$C121)))</f>
        <v>0</v>
      </c>
      <c r="J121" s="0" t="str">
        <f aca="false">IF(OR(MAX(D121:I121)&lt;Rules!$H$1,MAX(D121:I121)-LARGE(D121:I121,2)&lt;Rules!$H$2),"No label",INDEX($D$1:$I$1,MATCH(MAX(D121:I121),D121:I121,0)))</f>
        <v>No label</v>
      </c>
      <c r="K121" s="0" t="n">
        <f aca="false">SUMPRODUCT(ISNUMBER(SEARCH(" "&amp;Terms!$A$3:$A$821&amp;" ",$C121))*Terms!B$3:B$821)+Terms!B$2</f>
        <v>-5.08205513187778</v>
      </c>
      <c r="L121" s="0" t="n">
        <f aca="false">SUMPRODUCT(ISNUMBER(SEARCH(" "&amp;Terms!$A$3:$A$821&amp;" ",$C121))*Terms!C$3:C$821)+Terms!C$2</f>
        <v>-0.519017199464709</v>
      </c>
      <c r="M121" s="0" t="n">
        <f aca="false">SUMPRODUCT(ISNUMBER(SEARCH(" "&amp;Terms!$A$3:$A$821&amp;" ",$C121))*Terms!D$3:D$821)+Terms!D$2</f>
        <v>10.5976499008726</v>
      </c>
      <c r="N121" s="0" t="n">
        <f aca="false">SUMPRODUCT(ISNUMBER(SEARCH(" "&amp;Terms!$A$3:$A$821&amp;" ",$C121))*Terms!E$3:E$821)+Terms!E$2</f>
        <v>-2.76041966126927</v>
      </c>
      <c r="O121" s="0" t="n">
        <f aca="false">SUMPRODUCT(ISNUMBER(SEARCH(" "&amp;Terms!$A$3:$A$821&amp;" ",$C121))*Terms!F$3:F$821)+Terms!F$2</f>
        <v>0.675431614554604</v>
      </c>
      <c r="P121" s="0" t="n">
        <f aca="false">SUMPRODUCT(ISNUMBER(SEARCH(" "&amp;Terms!$A$3:$A$821&amp;" ",$C121))*Terms!G$3:G$821)+Terms!G$2</f>
        <v>-2.9115895228153</v>
      </c>
      <c r="Q121" s="0" t="str">
        <f aca="false">INDEX($K$1:$P$1,MATCH(MAX(K121:P121),K121:P121,0))</f>
        <v>Delays &amp; Processing</v>
      </c>
      <c r="R121" s="0" t="str">
        <f aca="false">IF(J121&lt;&gt;"No label",J121,Q121)</f>
        <v>Delays &amp; Processing</v>
      </c>
      <c r="S121" s="0" t="str">
        <f aca="false">INDEX(Answers!$B$2:$B$201,MATCH(A121,Answers!$A$2:$A$201,0))</f>
        <v>Delays &amp; Processing</v>
      </c>
      <c r="T121" s="4" t="b">
        <f aca="false">R121=S121</f>
        <v>1</v>
      </c>
    </row>
    <row r="122" customFormat="false" ht="15" hidden="false" customHeight="false" outlineLevel="0" collapsed="false">
      <c r="A122" s="0" t="str">
        <f aca="false">NewComplaints!A122</f>
        <v>N0121</v>
      </c>
      <c r="B122" s="0" t="str">
        <f aca="false">NewComplaints!B122</f>
        <v>I am writing to complain. Nobody explained the foreign transaction charges before my holiday. I am worried it might be fraud. Please escalate this.</v>
      </c>
      <c r="C122" s="0" t="str">
        <f aca="false">" "&amp;TRIM(SUBSTITUTE(SUBSTITUTE(SUBSTITUTE(SUBSTITUTE(SUBSTITUTE(SUBSTITUTE(SUBSTITUTE(SUBSTITUTE(SUBSTITUTE(SUBSTITUTE(SUBSTITUTE(SUBSTITUTE(SUBSTITUTE(SUBSTITUTE(SUBSTITUTE(SUBSTITUTE(LOWER(B122),"."," "),","," "),"'"," "),"’"," "),"!"," "),"?"," "),";"," "),":"," "),"-"," "),"("," "),")"," "),"""", " "),"£"," "),"&amp;"," "),"/"," "),"%"," "))&amp;" "</f>
        <v> i am writing to complain nobody explained the foreign transaction charges before my holiday i am worried it might be fraud please escalate this </v>
      </c>
      <c r="D122" s="0" t="n">
        <f aca="false">SUMPRODUCT((Rules!$A$2:$A$60=D$1)*Rules!$C$2:$C$60*ISNUMBER(SEARCH(Rules!$D$2:$D$60,$C122)))</f>
        <v>3</v>
      </c>
      <c r="E122" s="0" t="n">
        <f aca="false">SUMPRODUCT((Rules!$A$2:$A$60=E$1)*Rules!$C$2:$C$60*ISNUMBER(SEARCH(Rules!$D$2:$D$60,$C122)))</f>
        <v>0</v>
      </c>
      <c r="F122" s="0" t="n">
        <f aca="false">SUMPRODUCT((Rules!$A$2:$A$60=F$1)*Rules!$C$2:$C$60*ISNUMBER(SEARCH(Rules!$D$2:$D$60,$C122)))</f>
        <v>0</v>
      </c>
      <c r="G122" s="0" t="n">
        <f aca="false">SUMPRODUCT((Rules!$A$2:$A$60=G$1)*Rules!$C$2:$C$60*ISNUMBER(SEARCH(Rules!$D$2:$D$60,$C122)))</f>
        <v>0</v>
      </c>
      <c r="H122" s="0" t="n">
        <f aca="false">SUMPRODUCT((Rules!$A$2:$A$60=H$1)*Rules!$C$2:$C$60*ISNUMBER(SEARCH(Rules!$D$2:$D$60,$C122)))</f>
        <v>0</v>
      </c>
      <c r="I122" s="0" t="n">
        <f aca="false">SUMPRODUCT((Rules!$A$2:$A$60=I$1)*Rules!$C$2:$C$60*ISNUMBER(SEARCH(Rules!$D$2:$D$60,$C122)))</f>
        <v>0</v>
      </c>
      <c r="J122" s="0" t="str">
        <f aca="false">IF(OR(MAX(D122:I122)&lt;Rules!$H$1,MAX(D122:I122)-LARGE(D122:I122,2)&lt;Rules!$H$2),"No label",INDEX($D$1:$I$1,MATCH(MAX(D122:I122),D122:I122,0)))</f>
        <v>Fraud &amp; Scams</v>
      </c>
      <c r="K122" s="0" t="n">
        <f aca="false">SUMPRODUCT(ISNUMBER(SEARCH(" "&amp;Terms!$A$3:$A$821&amp;" ",$C122))*Terms!B$3:B$821)+Terms!B$2</f>
        <v>-0.788605816480769</v>
      </c>
      <c r="L122" s="0" t="n">
        <f aca="false">SUMPRODUCT(ISNUMBER(SEARCH(" "&amp;Terms!$A$3:$A$821&amp;" ",$C122))*Terms!C$3:C$821)+Terms!C$2</f>
        <v>-0.597058794878115</v>
      </c>
      <c r="M122" s="0" t="n">
        <f aca="false">SUMPRODUCT(ISNUMBER(SEARCH(" "&amp;Terms!$A$3:$A$821&amp;" ",$C122))*Terms!D$3:D$821)+Terms!D$2</f>
        <v>-1.23436243124735</v>
      </c>
      <c r="N122" s="0" t="n">
        <f aca="false">SUMPRODUCT(ISNUMBER(SEARCH(" "&amp;Terms!$A$3:$A$821&amp;" ",$C122))*Terms!E$3:E$821)+Terms!E$2</f>
        <v>10.6723721258913</v>
      </c>
      <c r="O122" s="0" t="n">
        <f aca="false">SUMPRODUCT(ISNUMBER(SEARCH(" "&amp;Terms!$A$3:$A$821&amp;" ",$C122))*Terms!F$3:F$821)+Terms!F$2</f>
        <v>-4.46046780174921</v>
      </c>
      <c r="P122" s="0" t="n">
        <f aca="false">SUMPRODUCT(ISNUMBER(SEARCH(" "&amp;Terms!$A$3:$A$821&amp;" ",$C122))*Terms!G$3:G$821)+Terms!G$2</f>
        <v>-3.59187728153582</v>
      </c>
      <c r="Q122" s="0" t="str">
        <f aca="false">INDEX($K$1:$P$1,MATCH(MAX(K122:P122),K122:P122,0))</f>
        <v>Fees &amp; Charges</v>
      </c>
      <c r="R122" s="0" t="str">
        <f aca="false">IF(J122&lt;&gt;"No label",J122,Q122)</f>
        <v>Fraud &amp; Scams</v>
      </c>
      <c r="S122" s="0" t="str">
        <f aca="false">INDEX(Answers!$B$2:$B$201,MATCH(A122,Answers!$A$2:$A$201,0))</f>
        <v>Fees &amp; Charges</v>
      </c>
      <c r="T122" s="4" t="b">
        <f aca="false">R122=S122</f>
        <v>0</v>
      </c>
    </row>
    <row r="123" customFormat="false" ht="15" hidden="false" customHeight="false" outlineLevel="0" collapsed="false">
      <c r="A123" s="0" t="str">
        <f aca="false">NewComplaints!A123</f>
        <v>N0122</v>
      </c>
      <c r="B123" s="0" t="str">
        <f aca="false">NewComplaints!B123</f>
        <v>This is the second time I have raised this. I was hit with a penalty charge for a payment I made on time. I could not log in to check either.</v>
      </c>
      <c r="C123" s="0" t="str">
        <f aca="false">" "&amp;TRIM(SUBSTITUTE(SUBSTITUTE(SUBSTITUTE(SUBSTITUTE(SUBSTITUTE(SUBSTITUTE(SUBSTITUTE(SUBSTITUTE(SUBSTITUTE(SUBSTITUTE(SUBSTITUTE(SUBSTITUTE(SUBSTITUTE(SUBSTITUTE(SUBSTITUTE(SUBSTITUTE(LOWER(B123),"."," "),","," "),"'"," "),"’"," "),"!"," "),"?"," "),";"," "),":"," "),"-"," "),"("," "),")"," "),"""", " "),"£"," "),"&amp;"," "),"/"," "),"%"," "))&amp;" "</f>
        <v> this is the second time i have raised this i was hit with a penalty charge for a payment i made on time i could not log in to check either </v>
      </c>
      <c r="D123" s="0" t="n">
        <f aca="false">SUMPRODUCT((Rules!$A$2:$A$60=D$1)*Rules!$C$2:$C$60*ISNUMBER(SEARCH(Rules!$D$2:$D$60,$C123)))</f>
        <v>0</v>
      </c>
      <c r="E123" s="0" t="n">
        <f aca="false">SUMPRODUCT((Rules!$A$2:$A$60=E$1)*Rules!$C$2:$C$60*ISNUMBER(SEARCH(Rules!$D$2:$D$60,$C123)))</f>
        <v>0</v>
      </c>
      <c r="F123" s="0" t="n">
        <f aca="false">SUMPRODUCT((Rules!$A$2:$A$60=F$1)*Rules!$C$2:$C$60*ISNUMBER(SEARCH(Rules!$D$2:$D$60,$C123)))</f>
        <v>3</v>
      </c>
      <c r="G123" s="0" t="n">
        <f aca="false">SUMPRODUCT((Rules!$A$2:$A$60=G$1)*Rules!$C$2:$C$60*ISNUMBER(SEARCH(Rules!$D$2:$D$60,$C123)))</f>
        <v>4</v>
      </c>
      <c r="H123" s="0" t="n">
        <f aca="false">SUMPRODUCT((Rules!$A$2:$A$60=H$1)*Rules!$C$2:$C$60*ISNUMBER(SEARCH(Rules!$D$2:$D$60,$C123)))</f>
        <v>0</v>
      </c>
      <c r="I123" s="0" t="n">
        <f aca="false">SUMPRODUCT((Rules!$A$2:$A$60=I$1)*Rules!$C$2:$C$60*ISNUMBER(SEARCH(Rules!$D$2:$D$60,$C123)))</f>
        <v>0</v>
      </c>
      <c r="J123" s="0" t="str">
        <f aca="false">IF(OR(MAX(D123:I123)&lt;Rules!$H$1,MAX(D123:I123)-LARGE(D123:I123,2)&lt;Rules!$H$2),"No label",INDEX($D$1:$I$1,MATCH(MAX(D123:I123),D123:I123,0)))</f>
        <v>No label</v>
      </c>
      <c r="K123" s="0" t="n">
        <f aca="false">SUMPRODUCT(ISNUMBER(SEARCH(" "&amp;Terms!$A$3:$A$821&amp;" ",$C123))*Terms!B$3:B$821)+Terms!B$2</f>
        <v>-5.91593536850371</v>
      </c>
      <c r="L123" s="0" t="n">
        <f aca="false">SUMPRODUCT(ISNUMBER(SEARCH(" "&amp;Terms!$A$3:$A$821&amp;" ",$C123))*Terms!C$3:C$821)+Terms!C$2</f>
        <v>1.50846954209455</v>
      </c>
      <c r="M123" s="0" t="n">
        <f aca="false">SUMPRODUCT(ISNUMBER(SEARCH(" "&amp;Terms!$A$3:$A$821&amp;" ",$C123))*Terms!D$3:D$821)+Terms!D$2</f>
        <v>-1.06415677434365</v>
      </c>
      <c r="N123" s="0" t="n">
        <f aca="false">SUMPRODUCT(ISNUMBER(SEARCH(" "&amp;Terms!$A$3:$A$821&amp;" ",$C123))*Terms!E$3:E$821)+Terms!E$2</f>
        <v>9.44273270835439</v>
      </c>
      <c r="O123" s="0" t="n">
        <f aca="false">SUMPRODUCT(ISNUMBER(SEARCH(" "&amp;Terms!$A$3:$A$821&amp;" ",$C123))*Terms!F$3:F$821)+Terms!F$2</f>
        <v>-0.661114056457535</v>
      </c>
      <c r="P123" s="0" t="n">
        <f aca="false">SUMPRODUCT(ISNUMBER(SEARCH(" "&amp;Terms!$A$3:$A$821&amp;" ",$C123))*Terms!G$3:G$821)+Terms!G$2</f>
        <v>-3.30999605114396</v>
      </c>
      <c r="Q123" s="0" t="str">
        <f aca="false">INDEX($K$1:$P$1,MATCH(MAX(K123:P123),K123:P123,0))</f>
        <v>Fees &amp; Charges</v>
      </c>
      <c r="R123" s="0" t="str">
        <f aca="false">IF(J123&lt;&gt;"No label",J123,Q123)</f>
        <v>Fees &amp; Charges</v>
      </c>
      <c r="S123" s="0" t="str">
        <f aca="false">INDEX(Answers!$B$2:$B$201,MATCH(A123,Answers!$A$2:$A$201,0))</f>
        <v>Fees &amp; Charges</v>
      </c>
      <c r="T123" s="4" t="b">
        <f aca="false">R123=S123</f>
        <v>1</v>
      </c>
    </row>
    <row r="124" customFormat="false" ht="15" hidden="false" customHeight="false" outlineLevel="0" collapsed="false">
      <c r="A124" s="0" t="str">
        <f aca="false">NewComplaints!A124</f>
        <v>N0123</v>
      </c>
      <c r="B124" s="0" t="str">
        <f aca="false">NewComplaints!B124</f>
        <v>The closure of my old account has dragged on for onths. Please escalate this.</v>
      </c>
      <c r="C124" s="0" t="str">
        <f aca="false">" "&amp;TRIM(SUBSTITUTE(SUBSTITUTE(SUBSTITUTE(SUBSTITUTE(SUBSTITUTE(SUBSTITUTE(SUBSTITUTE(SUBSTITUTE(SUBSTITUTE(SUBSTITUTE(SUBSTITUTE(SUBSTITUTE(SUBSTITUTE(SUBSTITUTE(SUBSTITUTE(SUBSTITUTE(LOWER(B124),"."," "),","," "),"'"," "),"’"," "),"!"," "),"?"," "),";"," "),":"," "),"-"," "),"("," "),")"," "),"""", " "),"£"," "),"&amp;"," "),"/"," "),"%"," "))&amp;" "</f>
        <v> the closure of my old account has dragged on for onths please escalate this </v>
      </c>
      <c r="D124" s="0" t="n">
        <f aca="false">SUMPRODUCT((Rules!$A$2:$A$60=D$1)*Rules!$C$2:$C$60*ISNUMBER(SEARCH(Rules!$D$2:$D$60,$C124)))</f>
        <v>0</v>
      </c>
      <c r="E124" s="0" t="n">
        <f aca="false">SUMPRODUCT((Rules!$A$2:$A$60=E$1)*Rules!$C$2:$C$60*ISNUMBER(SEARCH(Rules!$D$2:$D$60,$C124)))</f>
        <v>0</v>
      </c>
      <c r="F124" s="0" t="n">
        <f aca="false">SUMPRODUCT((Rules!$A$2:$A$60=F$1)*Rules!$C$2:$C$60*ISNUMBER(SEARCH(Rules!$D$2:$D$60,$C124)))</f>
        <v>0</v>
      </c>
      <c r="G124" s="0" t="n">
        <f aca="false">SUMPRODUCT((Rules!$A$2:$A$60=G$1)*Rules!$C$2:$C$60*ISNUMBER(SEARCH(Rules!$D$2:$D$60,$C124)))</f>
        <v>0</v>
      </c>
      <c r="H124" s="0" t="n">
        <f aca="false">SUMPRODUCT((Rules!$A$2:$A$60=H$1)*Rules!$C$2:$C$60*ISNUMBER(SEARCH(Rules!$D$2:$D$60,$C124)))</f>
        <v>2</v>
      </c>
      <c r="I124" s="0" t="n">
        <f aca="false">SUMPRODUCT((Rules!$A$2:$A$60=I$1)*Rules!$C$2:$C$60*ISNUMBER(SEARCH(Rules!$D$2:$D$60,$C124)))</f>
        <v>0</v>
      </c>
      <c r="J124" s="0" t="str">
        <f aca="false">IF(OR(MAX(D124:I124)&lt;Rules!$H$1,MAX(D124:I124)-LARGE(D124:I124,2)&lt;Rules!$H$2),"No label",INDEX($D$1:$I$1,MATCH(MAX(D124:I124),D124:I124,0)))</f>
        <v>No label</v>
      </c>
      <c r="K124" s="0" t="n">
        <f aca="false">SUMPRODUCT(ISNUMBER(SEARCH(" "&amp;Terms!$A$3:$A$821&amp;" ",$C124))*Terms!B$3:B$821)+Terms!B$2</f>
        <v>-0.232318938777568</v>
      </c>
      <c r="L124" s="0" t="n">
        <f aca="false">SUMPRODUCT(ISNUMBER(SEARCH(" "&amp;Terms!$A$3:$A$821&amp;" ",$C124))*Terms!C$3:C$821)+Terms!C$2</f>
        <v>-1.81501432937294</v>
      </c>
      <c r="M124" s="0" t="n">
        <f aca="false">SUMPRODUCT(ISNUMBER(SEARCH(" "&amp;Terms!$A$3:$A$821&amp;" ",$C124))*Terms!D$3:D$821)+Terms!D$2</f>
        <v>7.64452399023169</v>
      </c>
      <c r="N124" s="0" t="n">
        <f aca="false">SUMPRODUCT(ISNUMBER(SEARCH(" "&amp;Terms!$A$3:$A$821&amp;" ",$C124))*Terms!E$3:E$821)+Terms!E$2</f>
        <v>-1.9909995911145</v>
      </c>
      <c r="O124" s="0" t="n">
        <f aca="false">SUMPRODUCT(ISNUMBER(SEARCH(" "&amp;Terms!$A$3:$A$821&amp;" ",$C124))*Terms!F$3:F$821)+Terms!F$2</f>
        <v>-0.894283818313234</v>
      </c>
      <c r="P124" s="0" t="n">
        <f aca="false">SUMPRODUCT(ISNUMBER(SEARCH(" "&amp;Terms!$A$3:$A$821&amp;" ",$C124))*Terms!G$3:G$821)+Terms!G$2</f>
        <v>-2.71190731265335</v>
      </c>
      <c r="Q124" s="0" t="str">
        <f aca="false">INDEX($K$1:$P$1,MATCH(MAX(K124:P124),K124:P124,0))</f>
        <v>Delays &amp; Processing</v>
      </c>
      <c r="R124" s="0" t="str">
        <f aca="false">IF(J124&lt;&gt;"No label",J124,Q124)</f>
        <v>Delays &amp; Processing</v>
      </c>
      <c r="S124" s="0" t="str">
        <f aca="false">INDEX(Answers!$B$2:$B$201,MATCH(A124,Answers!$A$2:$A$201,0))</f>
        <v>Delays &amp; Processing</v>
      </c>
      <c r="T124" s="4" t="b">
        <f aca="false">R124=S124</f>
        <v>1</v>
      </c>
    </row>
    <row r="125" customFormat="false" ht="15" hidden="false" customHeight="false" outlineLevel="0" collapsed="false">
      <c r="A125" s="0" t="str">
        <f aca="false">NewComplaints!A125</f>
        <v>N0124</v>
      </c>
      <c r="B125" s="0" t="str">
        <f aca="false">NewComplaints!B125</f>
        <v>To whom it may concern, The fraud team closed my case without investigating properly. I want this put right.</v>
      </c>
      <c r="C125" s="0" t="str">
        <f aca="false">" "&amp;TRIM(SUBSTITUTE(SUBSTITUTE(SUBSTITUTE(SUBSTITUTE(SUBSTITUTE(SUBSTITUTE(SUBSTITUTE(SUBSTITUTE(SUBSTITUTE(SUBSTITUTE(SUBSTITUTE(SUBSTITUTE(SUBSTITUTE(SUBSTITUTE(SUBSTITUTE(SUBSTITUTE(LOWER(B125),"."," "),","," "),"'"," "),"’"," "),"!"," "),"?"," "),";"," "),":"," "),"-"," "),"("," "),")"," "),"""", " "),"£"," "),"&amp;"," "),"/"," "),"%"," "))&amp;" "</f>
        <v> to whom it may concern the fraud team closed my case without investigating properly i want this put right </v>
      </c>
      <c r="D125" s="0" t="n">
        <f aca="false">SUMPRODUCT((Rules!$A$2:$A$60=D$1)*Rules!$C$2:$C$60*ISNUMBER(SEARCH(Rules!$D$2:$D$60,$C125)))</f>
        <v>3</v>
      </c>
      <c r="E125" s="0" t="n">
        <f aca="false">SUMPRODUCT((Rules!$A$2:$A$60=E$1)*Rules!$C$2:$C$60*ISNUMBER(SEARCH(Rules!$D$2:$D$60,$C125)))</f>
        <v>0</v>
      </c>
      <c r="F125" s="0" t="n">
        <f aca="false">SUMPRODUCT((Rules!$A$2:$A$60=F$1)*Rules!$C$2:$C$60*ISNUMBER(SEARCH(Rules!$D$2:$D$60,$C125)))</f>
        <v>0</v>
      </c>
      <c r="G125" s="0" t="n">
        <f aca="false">SUMPRODUCT((Rules!$A$2:$A$60=G$1)*Rules!$C$2:$C$60*ISNUMBER(SEARCH(Rules!$D$2:$D$60,$C125)))</f>
        <v>0</v>
      </c>
      <c r="H125" s="0" t="n">
        <f aca="false">SUMPRODUCT((Rules!$A$2:$A$60=H$1)*Rules!$C$2:$C$60*ISNUMBER(SEARCH(Rules!$D$2:$D$60,$C125)))</f>
        <v>0</v>
      </c>
      <c r="I125" s="0" t="n">
        <f aca="false">SUMPRODUCT((Rules!$A$2:$A$60=I$1)*Rules!$C$2:$C$60*ISNUMBER(SEARCH(Rules!$D$2:$D$60,$C125)))</f>
        <v>0</v>
      </c>
      <c r="J125" s="0" t="str">
        <f aca="false">IF(OR(MAX(D125:I125)&lt;Rules!$H$1,MAX(D125:I125)-LARGE(D125:I125,2)&lt;Rules!$H$2),"No label",INDEX($D$1:$I$1,MATCH(MAX(D125:I125),D125:I125,0)))</f>
        <v>Fraud &amp; Scams</v>
      </c>
      <c r="K125" s="0" t="n">
        <f aca="false">SUMPRODUCT(ISNUMBER(SEARCH(" "&amp;Terms!$A$3:$A$821&amp;" ",$C125))*Terms!B$3:B$821)+Terms!B$2</f>
        <v>-4.60059548485538</v>
      </c>
      <c r="L125" s="0" t="n">
        <f aca="false">SUMPRODUCT(ISNUMBER(SEARCH(" "&amp;Terms!$A$3:$A$821&amp;" ",$C125))*Terms!C$3:C$821)+Terms!C$2</f>
        <v>-1.75178925597754</v>
      </c>
      <c r="M125" s="0" t="n">
        <f aca="false">SUMPRODUCT(ISNUMBER(SEARCH(" "&amp;Terms!$A$3:$A$821&amp;" ",$C125))*Terms!D$3:D$821)+Terms!D$2</f>
        <v>-3.48815423444797</v>
      </c>
      <c r="N125" s="0" t="n">
        <f aca="false">SUMPRODUCT(ISNUMBER(SEARCH(" "&amp;Terms!$A$3:$A$821&amp;" ",$C125))*Terms!E$3:E$821)+Terms!E$2</f>
        <v>-0.777895786303946</v>
      </c>
      <c r="O125" s="0" t="n">
        <f aca="false">SUMPRODUCT(ISNUMBER(SEARCH(" "&amp;Terms!$A$3:$A$821&amp;" ",$C125))*Terms!F$3:F$821)+Terms!F$2</f>
        <v>13.0290360123983</v>
      </c>
      <c r="P125" s="0" t="n">
        <f aca="false">SUMPRODUCT(ISNUMBER(SEARCH(" "&amp;Terms!$A$3:$A$821&amp;" ",$C125))*Terms!G$3:G$821)+Terms!G$2</f>
        <v>-2.41060125081339</v>
      </c>
      <c r="Q125" s="0" t="str">
        <f aca="false">INDEX($K$1:$P$1,MATCH(MAX(K125:P125),K125:P125,0))</f>
        <v>Fraud &amp; Scams</v>
      </c>
      <c r="R125" s="0" t="str">
        <f aca="false">IF(J125&lt;&gt;"No label",J125,Q125)</f>
        <v>Fraud &amp; Scams</v>
      </c>
      <c r="S125" s="0" t="str">
        <f aca="false">INDEX(Answers!$B$2:$B$201,MATCH(A125,Answers!$A$2:$A$201,0))</f>
        <v>Fraud &amp; Scams</v>
      </c>
      <c r="T125" s="4" t="b">
        <f aca="false">R125=S125</f>
        <v>1</v>
      </c>
    </row>
    <row r="126" customFormat="false" ht="15" hidden="false" customHeight="false" outlineLevel="0" collapsed="false">
      <c r="A126" s="0" t="str">
        <f aca="false">NewComplaints!A126</f>
        <v>N0125</v>
      </c>
      <c r="B126" s="0" t="str">
        <f aca="false">NewComplaints!B126</f>
        <v>I am writing to complain. The website will not let me register for online access. This is not acceptable.</v>
      </c>
      <c r="C126" s="0" t="str">
        <f aca="false">" "&amp;TRIM(SUBSTITUTE(SUBSTITUTE(SUBSTITUTE(SUBSTITUTE(SUBSTITUTE(SUBSTITUTE(SUBSTITUTE(SUBSTITUTE(SUBSTITUTE(SUBSTITUTE(SUBSTITUTE(SUBSTITUTE(SUBSTITUTE(SUBSTITUTE(SUBSTITUTE(SUBSTITUTE(LOWER(B126),"."," "),","," "),"'"," "),"’"," "),"!"," "),"?"," "),";"," "),":"," "),"-"," "),"("," "),")"," "),"""", " "),"£"," "),"&amp;"," "),"/"," "),"%"," "))&amp;" "</f>
        <v> i am writing to complain the website will not let me register for online access this is not acceptable </v>
      </c>
      <c r="D126" s="0" t="n">
        <f aca="false">SUMPRODUCT((Rules!$A$2:$A$60=D$1)*Rules!$C$2:$C$60*ISNUMBER(SEARCH(Rules!$D$2:$D$60,$C126)))</f>
        <v>0</v>
      </c>
      <c r="E126" s="0" t="n">
        <f aca="false">SUMPRODUCT((Rules!$A$2:$A$60=E$1)*Rules!$C$2:$C$60*ISNUMBER(SEARCH(Rules!$D$2:$D$60,$C126)))</f>
        <v>0</v>
      </c>
      <c r="F126" s="0" t="n">
        <f aca="false">SUMPRODUCT((Rules!$A$2:$A$60=F$1)*Rules!$C$2:$C$60*ISNUMBER(SEARCH(Rules!$D$2:$D$60,$C126)))</f>
        <v>1</v>
      </c>
      <c r="G126" s="0" t="n">
        <f aca="false">SUMPRODUCT((Rules!$A$2:$A$60=G$1)*Rules!$C$2:$C$60*ISNUMBER(SEARCH(Rules!$D$2:$D$60,$C126)))</f>
        <v>0</v>
      </c>
      <c r="H126" s="0" t="n">
        <f aca="false">SUMPRODUCT((Rules!$A$2:$A$60=H$1)*Rules!$C$2:$C$60*ISNUMBER(SEARCH(Rules!$D$2:$D$60,$C126)))</f>
        <v>0</v>
      </c>
      <c r="I126" s="0" t="n">
        <f aca="false">SUMPRODUCT((Rules!$A$2:$A$60=I$1)*Rules!$C$2:$C$60*ISNUMBER(SEARCH(Rules!$D$2:$D$60,$C126)))</f>
        <v>0</v>
      </c>
      <c r="J126" s="0" t="str">
        <f aca="false">IF(OR(MAX(D126:I126)&lt;Rules!$H$1,MAX(D126:I126)-LARGE(D126:I126,2)&lt;Rules!$H$2),"No label",INDEX($D$1:$I$1,MATCH(MAX(D126:I126),D126:I126,0)))</f>
        <v>No label</v>
      </c>
      <c r="K126" s="0" t="n">
        <f aca="false">SUMPRODUCT(ISNUMBER(SEARCH(" "&amp;Terms!$A$3:$A$821&amp;" ",$C126))*Terms!B$3:B$821)+Terms!B$2</f>
        <v>10.2767081700941</v>
      </c>
      <c r="L126" s="0" t="n">
        <f aca="false">SUMPRODUCT(ISNUMBER(SEARCH(" "&amp;Terms!$A$3:$A$821&amp;" ",$C126))*Terms!C$3:C$821)+Terms!C$2</f>
        <v>-4.54439677149358</v>
      </c>
      <c r="M126" s="0" t="n">
        <f aca="false">SUMPRODUCT(ISNUMBER(SEARCH(" "&amp;Terms!$A$3:$A$821&amp;" ",$C126))*Terms!D$3:D$821)+Terms!D$2</f>
        <v>0.460872745915186</v>
      </c>
      <c r="N126" s="0" t="n">
        <f aca="false">SUMPRODUCT(ISNUMBER(SEARCH(" "&amp;Terms!$A$3:$A$821&amp;" ",$C126))*Terms!E$3:E$821)+Terms!E$2</f>
        <v>-4.57444098533339</v>
      </c>
      <c r="O126" s="0" t="n">
        <f aca="false">SUMPRODUCT(ISNUMBER(SEARCH(" "&amp;Terms!$A$3:$A$821&amp;" ",$C126))*Terms!F$3:F$821)+Terms!F$2</f>
        <v>-1.99579894020088</v>
      </c>
      <c r="P126" s="0" t="n">
        <f aca="false">SUMPRODUCT(ISNUMBER(SEARCH(" "&amp;Terms!$A$3:$A$821&amp;" ",$C126))*Terms!G$3:G$821)+Terms!G$2</f>
        <v>0.377055781018697</v>
      </c>
      <c r="Q126" s="0" t="str">
        <f aca="false">INDEX($K$1:$P$1,MATCH(MAX(K126:P126),K126:P126,0))</f>
        <v>Account Access</v>
      </c>
      <c r="R126" s="0" t="str">
        <f aca="false">IF(J126&lt;&gt;"No label",J126,Q126)</f>
        <v>Account Access</v>
      </c>
      <c r="S126" s="0" t="str">
        <f aca="false">INDEX(Answers!$B$2:$B$201,MATCH(A126,Answers!$A$2:$A$201,0))</f>
        <v>Account Access</v>
      </c>
      <c r="T126" s="4" t="b">
        <f aca="false">R126=S126</f>
        <v>1</v>
      </c>
    </row>
    <row r="127" customFormat="false" ht="15" hidden="false" customHeight="false" outlineLevel="0" collapsed="false">
      <c r="A127" s="0" t="str">
        <f aca="false">NewComplaints!A127</f>
        <v>N0126</v>
      </c>
      <c r="B127" s="0" t="str">
        <f aca="false">NewComplaints!B127</f>
        <v>This is the second time I have raised this. I have been billed an annual fee I never agreed to.</v>
      </c>
      <c r="C127" s="0" t="str">
        <f aca="false">" "&amp;TRIM(SUBSTITUTE(SUBSTITUTE(SUBSTITUTE(SUBSTITUTE(SUBSTITUTE(SUBSTITUTE(SUBSTITUTE(SUBSTITUTE(SUBSTITUTE(SUBSTITUTE(SUBSTITUTE(SUBSTITUTE(SUBSTITUTE(SUBSTITUTE(SUBSTITUTE(SUBSTITUTE(LOWER(B127),"."," "),","," "),"'"," "),"’"," "),"!"," "),"?"," "),";"," "),":"," "),"-"," "),"("," "),")"," "),"""", " "),"£"," "),"&amp;"," "),"/"," "),"%"," "))&amp;" "</f>
        <v> this is the second time i have raised this i have been billed an annual fee i never agreed to </v>
      </c>
      <c r="D127" s="0" t="n">
        <f aca="false">SUMPRODUCT((Rules!$A$2:$A$60=D$1)*Rules!$C$2:$C$60*ISNUMBER(SEARCH(Rules!$D$2:$D$60,$C127)))</f>
        <v>0</v>
      </c>
      <c r="E127" s="0" t="n">
        <f aca="false">SUMPRODUCT((Rules!$A$2:$A$60=E$1)*Rules!$C$2:$C$60*ISNUMBER(SEARCH(Rules!$D$2:$D$60,$C127)))</f>
        <v>0</v>
      </c>
      <c r="F127" s="0" t="n">
        <f aca="false">SUMPRODUCT((Rules!$A$2:$A$60=F$1)*Rules!$C$2:$C$60*ISNUMBER(SEARCH(Rules!$D$2:$D$60,$C127)))</f>
        <v>0</v>
      </c>
      <c r="G127" s="0" t="n">
        <f aca="false">SUMPRODUCT((Rules!$A$2:$A$60=G$1)*Rules!$C$2:$C$60*ISNUMBER(SEARCH(Rules!$D$2:$D$60,$C127)))</f>
        <v>4</v>
      </c>
      <c r="H127" s="0" t="n">
        <f aca="false">SUMPRODUCT((Rules!$A$2:$A$60=H$1)*Rules!$C$2:$C$60*ISNUMBER(SEARCH(Rules!$D$2:$D$60,$C127)))</f>
        <v>0</v>
      </c>
      <c r="I127" s="0" t="n">
        <f aca="false">SUMPRODUCT((Rules!$A$2:$A$60=I$1)*Rules!$C$2:$C$60*ISNUMBER(SEARCH(Rules!$D$2:$D$60,$C127)))</f>
        <v>0</v>
      </c>
      <c r="J127" s="0" t="str">
        <f aca="false">IF(OR(MAX(D127:I127)&lt;Rules!$H$1,MAX(D127:I127)-LARGE(D127:I127,2)&lt;Rules!$H$2),"No label",INDEX($D$1:$I$1,MATCH(MAX(D127:I127),D127:I127,0)))</f>
        <v>Fees &amp; Charges</v>
      </c>
      <c r="K127" s="0" t="n">
        <f aca="false">SUMPRODUCT(ISNUMBER(SEARCH(" "&amp;Terms!$A$3:$A$821&amp;" ",$C127))*Terms!B$3:B$821)+Terms!B$2</f>
        <v>-2.37995914418615</v>
      </c>
      <c r="L127" s="0" t="n">
        <f aca="false">SUMPRODUCT(ISNUMBER(SEARCH(" "&amp;Terms!$A$3:$A$821&amp;" ",$C127))*Terms!C$3:C$821)+Terms!C$2</f>
        <v>0.300895238734885</v>
      </c>
      <c r="M127" s="0" t="n">
        <f aca="false">SUMPRODUCT(ISNUMBER(SEARCH(" "&amp;Terms!$A$3:$A$821&amp;" ",$C127))*Terms!D$3:D$821)+Terms!D$2</f>
        <v>-2.64443854060536</v>
      </c>
      <c r="N127" s="0" t="n">
        <f aca="false">SUMPRODUCT(ISNUMBER(SEARCH(" "&amp;Terms!$A$3:$A$821&amp;" ",$C127))*Terms!E$3:E$821)+Terms!E$2</f>
        <v>11.6649275271903</v>
      </c>
      <c r="O127" s="0" t="n">
        <f aca="false">SUMPRODUCT(ISNUMBER(SEARCH(" "&amp;Terms!$A$3:$A$821&amp;" ",$C127))*Terms!F$3:F$821)+Terms!F$2</f>
        <v>-4.31998548347602</v>
      </c>
      <c r="P127" s="0" t="n">
        <f aca="false">SUMPRODUCT(ISNUMBER(SEARCH(" "&amp;Terms!$A$3:$A$821&amp;" ",$C127))*Terms!G$3:G$821)+Terms!G$2</f>
        <v>-2.62143959765759</v>
      </c>
      <c r="Q127" s="0" t="str">
        <f aca="false">INDEX($K$1:$P$1,MATCH(MAX(K127:P127),K127:P127,0))</f>
        <v>Fees &amp; Charges</v>
      </c>
      <c r="R127" s="0" t="str">
        <f aca="false">IF(J127&lt;&gt;"No label",J127,Q127)</f>
        <v>Fees &amp; Charges</v>
      </c>
      <c r="S127" s="0" t="str">
        <f aca="false">INDEX(Answers!$B$2:$B$201,MATCH(A127,Answers!$A$2:$A$201,0))</f>
        <v>Fees &amp; Charges</v>
      </c>
      <c r="T127" s="4" t="b">
        <f aca="false">R127=S127</f>
        <v>1</v>
      </c>
    </row>
    <row r="128" customFormat="false" ht="15" hidden="false" customHeight="false" outlineLevel="0" collapsed="false">
      <c r="A128" s="0" t="str">
        <f aca="false">NewComplaints!A128</f>
        <v>N0127</v>
      </c>
      <c r="B128" s="0" t="str">
        <f aca="false">NewComplaints!B128</f>
        <v>You promised the money within three working days and it is stil outstanding. Also, i was advised to take out cover that duplicates what I already had. Please escalate this.</v>
      </c>
      <c r="C128" s="0" t="str">
        <f aca="false">" "&amp;TRIM(SUBSTITUTE(SUBSTITUTE(SUBSTITUTE(SUBSTITUTE(SUBSTITUTE(SUBSTITUTE(SUBSTITUTE(SUBSTITUTE(SUBSTITUTE(SUBSTITUTE(SUBSTITUTE(SUBSTITUTE(SUBSTITUTE(SUBSTITUTE(SUBSTITUTE(SUBSTITUTE(LOWER(B128),"."," "),","," "),"'"," "),"’"," "),"!"," "),"?"," "),";"," "),":"," "),"-"," "),"("," "),")"," "),"""", " "),"£"," "),"&amp;"," "),"/"," "),"%"," "))&amp;" "</f>
        <v> you promised the money within three working days and it is stil outstanding also i was advised to take out cover that duplicates what i already had please escalate this </v>
      </c>
      <c r="D128" s="0" t="n">
        <f aca="false">SUMPRODUCT((Rules!$A$2:$A$60=D$1)*Rules!$C$2:$C$60*ISNUMBER(SEARCH(Rules!$D$2:$D$60,$C128)))</f>
        <v>0</v>
      </c>
      <c r="E128" s="0" t="n">
        <f aca="false">SUMPRODUCT((Rules!$A$2:$A$60=E$1)*Rules!$C$2:$C$60*ISNUMBER(SEARCH(Rules!$D$2:$D$60,$C128)))</f>
        <v>1</v>
      </c>
      <c r="F128" s="0" t="n">
        <f aca="false">SUMPRODUCT((Rules!$A$2:$A$60=F$1)*Rules!$C$2:$C$60*ISNUMBER(SEARCH(Rules!$D$2:$D$60,$C128)))</f>
        <v>0</v>
      </c>
      <c r="G128" s="0" t="n">
        <f aca="false">SUMPRODUCT((Rules!$A$2:$A$60=G$1)*Rules!$C$2:$C$60*ISNUMBER(SEARCH(Rules!$D$2:$D$60,$C128)))</f>
        <v>0</v>
      </c>
      <c r="H128" s="0" t="n">
        <f aca="false">SUMPRODUCT((Rules!$A$2:$A$60=H$1)*Rules!$C$2:$C$60*ISNUMBER(SEARCH(Rules!$D$2:$D$60,$C128)))</f>
        <v>2</v>
      </c>
      <c r="I128" s="0" t="n">
        <f aca="false">SUMPRODUCT((Rules!$A$2:$A$60=I$1)*Rules!$C$2:$C$60*ISNUMBER(SEARCH(Rules!$D$2:$D$60,$C128)))</f>
        <v>0</v>
      </c>
      <c r="J128" s="0" t="str">
        <f aca="false">IF(OR(MAX(D128:I128)&lt;Rules!$H$1,MAX(D128:I128)-LARGE(D128:I128,2)&lt;Rules!$H$2),"No label",INDEX($D$1:$I$1,MATCH(MAX(D128:I128),D128:I128,0)))</f>
        <v>No label</v>
      </c>
      <c r="K128" s="0" t="n">
        <f aca="false">SUMPRODUCT(ISNUMBER(SEARCH(" "&amp;Terms!$A$3:$A$821&amp;" ",$C128))*Terms!B$3:B$821)+Terms!B$2</f>
        <v>0.420475666279346</v>
      </c>
      <c r="L128" s="0" t="n">
        <f aca="false">SUMPRODUCT(ISNUMBER(SEARCH(" "&amp;Terms!$A$3:$A$821&amp;" ",$C128))*Terms!C$3:C$821)+Terms!C$2</f>
        <v>-4.48397940452575</v>
      </c>
      <c r="M128" s="0" t="n">
        <f aca="false">SUMPRODUCT(ISNUMBER(SEARCH(" "&amp;Terms!$A$3:$A$821&amp;" ",$C128))*Terms!D$3:D$821)+Terms!D$2</f>
        <v>5.04499914630432</v>
      </c>
      <c r="N128" s="0" t="n">
        <f aca="false">SUMPRODUCT(ISNUMBER(SEARCH(" "&amp;Terms!$A$3:$A$821&amp;" ",$C128))*Terms!E$3:E$821)+Terms!E$2</f>
        <v>-2.94502798480569</v>
      </c>
      <c r="O128" s="0" t="n">
        <f aca="false">SUMPRODUCT(ISNUMBER(SEARCH(" "&amp;Terms!$A$3:$A$821&amp;" ",$C128))*Terms!F$3:F$821)+Terms!F$2</f>
        <v>-3.33147371092388</v>
      </c>
      <c r="P128" s="0" t="n">
        <f aca="false">SUMPRODUCT(ISNUMBER(SEARCH(" "&amp;Terms!$A$3:$A$821&amp;" ",$C128))*Terms!G$3:G$821)+Terms!G$2</f>
        <v>5.29500628767173</v>
      </c>
      <c r="Q128" s="0" t="str">
        <f aca="false">INDEX($K$1:$P$1,MATCH(MAX(K128:P128),K128:P128,0))</f>
        <v>Mis-selling</v>
      </c>
      <c r="R128" s="0" t="str">
        <f aca="false">IF(J128&lt;&gt;"No label",J128,Q128)</f>
        <v>Mis-selling</v>
      </c>
      <c r="S128" s="0" t="str">
        <f aca="false">INDEX(Answers!$B$2:$B$201,MATCH(A128,Answers!$A$2:$A$201,0))</f>
        <v>Delays &amp; Processing</v>
      </c>
      <c r="T128" s="4" t="b">
        <f aca="false">R128=S128</f>
        <v>0</v>
      </c>
    </row>
    <row r="129" customFormat="false" ht="15" hidden="false" customHeight="false" outlineLevel="0" collapsed="false">
      <c r="A129" s="0" t="str">
        <f aca="false">NewComplaints!A129</f>
        <v>N0128</v>
      </c>
      <c r="B129" s="0" t="str">
        <f aca="false">NewComplaints!B129</f>
        <v>A person pretending to be from your bank phoned me and I gave them details. Please escalate this.</v>
      </c>
      <c r="C129" s="0" t="str">
        <f aca="false">" "&amp;TRIM(SUBSTITUTE(SUBSTITUTE(SUBSTITUTE(SUBSTITUTE(SUBSTITUTE(SUBSTITUTE(SUBSTITUTE(SUBSTITUTE(SUBSTITUTE(SUBSTITUTE(SUBSTITUTE(SUBSTITUTE(SUBSTITUTE(SUBSTITUTE(SUBSTITUTE(SUBSTITUTE(LOWER(B129),"."," "),","," "),"'"," "),"’"," "),"!"," "),"?"," "),";"," "),":"," "),"-"," "),"("," "),")"," "),"""", " "),"£"," "),"&amp;"," "),"/"," "),"%"," "))&amp;" "</f>
        <v> a person pretending to be from your bank phoned me and i gave them details please escalate this </v>
      </c>
      <c r="D129" s="0" t="n">
        <f aca="false">SUMPRODUCT((Rules!$A$2:$A$60=D$1)*Rules!$C$2:$C$60*ISNUMBER(SEARCH(Rules!$D$2:$D$60,$C129)))</f>
        <v>0</v>
      </c>
      <c r="E129" s="0" t="n">
        <f aca="false">SUMPRODUCT((Rules!$A$2:$A$60=E$1)*Rules!$C$2:$C$60*ISNUMBER(SEARCH(Rules!$D$2:$D$60,$C129)))</f>
        <v>0</v>
      </c>
      <c r="F129" s="0" t="n">
        <f aca="false">SUMPRODUCT((Rules!$A$2:$A$60=F$1)*Rules!$C$2:$C$60*ISNUMBER(SEARCH(Rules!$D$2:$D$60,$C129)))</f>
        <v>0</v>
      </c>
      <c r="G129" s="0" t="n">
        <f aca="false">SUMPRODUCT((Rules!$A$2:$A$60=G$1)*Rules!$C$2:$C$60*ISNUMBER(SEARCH(Rules!$D$2:$D$60,$C129)))</f>
        <v>0</v>
      </c>
      <c r="H129" s="0" t="n">
        <f aca="false">SUMPRODUCT((Rules!$A$2:$A$60=H$1)*Rules!$C$2:$C$60*ISNUMBER(SEARCH(Rules!$D$2:$D$60,$C129)))</f>
        <v>0</v>
      </c>
      <c r="I129" s="0" t="n">
        <f aca="false">SUMPRODUCT((Rules!$A$2:$A$60=I$1)*Rules!$C$2:$C$60*ISNUMBER(SEARCH(Rules!$D$2:$D$60,$C129)))</f>
        <v>0</v>
      </c>
      <c r="J129" s="0" t="str">
        <f aca="false">IF(OR(MAX(D129:I129)&lt;Rules!$H$1,MAX(D129:I129)-LARGE(D129:I129,2)&lt;Rules!$H$2),"No label",INDEX($D$1:$I$1,MATCH(MAX(D129:I129),D129:I129,0)))</f>
        <v>No label</v>
      </c>
      <c r="K129" s="0" t="n">
        <f aca="false">SUMPRODUCT(ISNUMBER(SEARCH(" "&amp;Terms!$A$3:$A$821&amp;" ",$C129))*Terms!B$3:B$821)+Terms!B$2</f>
        <v>-0.485968584896695</v>
      </c>
      <c r="L129" s="0" t="n">
        <f aca="false">SUMPRODUCT(ISNUMBER(SEARCH(" "&amp;Terms!$A$3:$A$821&amp;" ",$C129))*Terms!C$3:C$821)+Terms!C$2</f>
        <v>-2.52901820937738</v>
      </c>
      <c r="M129" s="0" t="n">
        <f aca="false">SUMPRODUCT(ISNUMBER(SEARCH(" "&amp;Terms!$A$3:$A$821&amp;" ",$C129))*Terms!D$3:D$821)+Terms!D$2</f>
        <v>-4.88852586775036</v>
      </c>
      <c r="N129" s="0" t="n">
        <f aca="false">SUMPRODUCT(ISNUMBER(SEARCH(" "&amp;Terms!$A$3:$A$821&amp;" ",$C129))*Terms!E$3:E$821)+Terms!E$2</f>
        <v>-2.10266923068923</v>
      </c>
      <c r="O129" s="0" t="n">
        <f aca="false">SUMPRODUCT(ISNUMBER(SEARCH(" "&amp;Terms!$A$3:$A$821&amp;" ",$C129))*Terms!F$3:F$821)+Terms!F$2</f>
        <v>9.72179431179338</v>
      </c>
      <c r="P129" s="0" t="n">
        <f aca="false">SUMPRODUCT(ISNUMBER(SEARCH(" "&amp;Terms!$A$3:$A$821&amp;" ",$C129))*Terms!G$3:G$821)+Terms!G$2</f>
        <v>0.284387580920368</v>
      </c>
      <c r="Q129" s="0" t="str">
        <f aca="false">INDEX($K$1:$P$1,MATCH(MAX(K129:P129),K129:P129,0))</f>
        <v>Fraud &amp; Scams</v>
      </c>
      <c r="R129" s="0" t="str">
        <f aca="false">IF(J129&lt;&gt;"No label",J129,Q129)</f>
        <v>Fraud &amp; Scams</v>
      </c>
      <c r="S129" s="0" t="str">
        <f aca="false">INDEX(Answers!$B$2:$B$201,MATCH(A129,Answers!$A$2:$A$201,0))</f>
        <v>Fraud &amp; Scams</v>
      </c>
      <c r="T129" s="4" t="b">
        <f aca="false">R129=S129</f>
        <v>1</v>
      </c>
    </row>
    <row r="130" customFormat="false" ht="15" hidden="false" customHeight="false" outlineLevel="0" collapsed="false">
      <c r="A130" s="0" t="str">
        <f aca="false">NewComplaints!A130</f>
        <v>N0129</v>
      </c>
      <c r="B130" s="0" t="str">
        <f aca="false">NewComplaints!B130</f>
        <v>I am writing to complain. Nobody explained the foreign transaction charges before my holiday. This is not acceptable.</v>
      </c>
      <c r="C130" s="0" t="str">
        <f aca="false">" "&amp;TRIM(SUBSTITUTE(SUBSTITUTE(SUBSTITUTE(SUBSTITUTE(SUBSTITUTE(SUBSTITUTE(SUBSTITUTE(SUBSTITUTE(SUBSTITUTE(SUBSTITUTE(SUBSTITUTE(SUBSTITUTE(SUBSTITUTE(SUBSTITUTE(SUBSTITUTE(SUBSTITUTE(LOWER(B130),"."," "),","," "),"'"," "),"’"," "),"!"," "),"?"," "),";"," "),":"," "),"-"," "),"("," "),")"," "),"""", " "),"£"," "),"&amp;"," "),"/"," "),"%"," "))&amp;" "</f>
        <v> i am writing to complain nobody explained the foreign transaction charges before my holiday this is not acceptable </v>
      </c>
      <c r="D130" s="0" t="n">
        <f aca="false">SUMPRODUCT((Rules!$A$2:$A$60=D$1)*Rules!$C$2:$C$60*ISNUMBER(SEARCH(Rules!$D$2:$D$60,$C130)))</f>
        <v>0</v>
      </c>
      <c r="E130" s="0" t="n">
        <f aca="false">SUMPRODUCT((Rules!$A$2:$A$60=E$1)*Rules!$C$2:$C$60*ISNUMBER(SEARCH(Rules!$D$2:$D$60,$C130)))</f>
        <v>0</v>
      </c>
      <c r="F130" s="0" t="n">
        <f aca="false">SUMPRODUCT((Rules!$A$2:$A$60=F$1)*Rules!$C$2:$C$60*ISNUMBER(SEARCH(Rules!$D$2:$D$60,$C130)))</f>
        <v>0</v>
      </c>
      <c r="G130" s="0" t="n">
        <f aca="false">SUMPRODUCT((Rules!$A$2:$A$60=G$1)*Rules!$C$2:$C$60*ISNUMBER(SEARCH(Rules!$D$2:$D$60,$C130)))</f>
        <v>0</v>
      </c>
      <c r="H130" s="0" t="n">
        <f aca="false">SUMPRODUCT((Rules!$A$2:$A$60=H$1)*Rules!$C$2:$C$60*ISNUMBER(SEARCH(Rules!$D$2:$D$60,$C130)))</f>
        <v>0</v>
      </c>
      <c r="I130" s="0" t="n">
        <f aca="false">SUMPRODUCT((Rules!$A$2:$A$60=I$1)*Rules!$C$2:$C$60*ISNUMBER(SEARCH(Rules!$D$2:$D$60,$C130)))</f>
        <v>0</v>
      </c>
      <c r="J130" s="0" t="str">
        <f aca="false">IF(OR(MAX(D130:I130)&lt;Rules!$H$1,MAX(D130:I130)-LARGE(D130:I130,2)&lt;Rules!$H$2),"No label",INDEX($D$1:$I$1,MATCH(MAX(D130:I130),D130:I130,0)))</f>
        <v>No label</v>
      </c>
      <c r="K130" s="0" t="n">
        <f aca="false">SUMPRODUCT(ISNUMBER(SEARCH(" "&amp;Terms!$A$3:$A$821&amp;" ",$C130))*Terms!B$3:B$821)+Terms!B$2</f>
        <v>-0.425046569739816</v>
      </c>
      <c r="L130" s="0" t="n">
        <f aca="false">SUMPRODUCT(ISNUMBER(SEARCH(" "&amp;Terms!$A$3:$A$821&amp;" ",$C130))*Terms!C$3:C$821)+Terms!C$2</f>
        <v>-1.62752918034582</v>
      </c>
      <c r="M130" s="0" t="n">
        <f aca="false">SUMPRODUCT(ISNUMBER(SEARCH(" "&amp;Terms!$A$3:$A$821&amp;" ",$C130))*Terms!D$3:D$821)+Terms!D$2</f>
        <v>-0.553046289596324</v>
      </c>
      <c r="N130" s="0" t="n">
        <f aca="false">SUMPRODUCT(ISNUMBER(SEARCH(" "&amp;Terms!$A$3:$A$821&amp;" ",$C130))*Terms!E$3:E$821)+Terms!E$2</f>
        <v>9.48475393912497</v>
      </c>
      <c r="O130" s="0" t="n">
        <f aca="false">SUMPRODUCT(ISNUMBER(SEARCH(" "&amp;Terms!$A$3:$A$821&amp;" ",$C130))*Terms!F$3:F$821)+Terms!F$2</f>
        <v>-3.7927985603493</v>
      </c>
      <c r="P130" s="0" t="n">
        <f aca="false">SUMPRODUCT(ISNUMBER(SEARCH(" "&amp;Terms!$A$3:$A$821&amp;" ",$C130))*Terms!G$3:G$821)+Terms!G$2</f>
        <v>-3.08633333909363</v>
      </c>
      <c r="Q130" s="0" t="str">
        <f aca="false">INDEX($K$1:$P$1,MATCH(MAX(K130:P130),K130:P130,0))</f>
        <v>Fees &amp; Charges</v>
      </c>
      <c r="R130" s="0" t="str">
        <f aca="false">IF(J130&lt;&gt;"No label",J130,Q130)</f>
        <v>Fees &amp; Charges</v>
      </c>
      <c r="S130" s="0" t="str">
        <f aca="false">INDEX(Answers!$B$2:$B$201,MATCH(A130,Answers!$A$2:$A$201,0))</f>
        <v>Fees &amp; Charges</v>
      </c>
      <c r="T130" s="4" t="b">
        <f aca="false">R130=S130</f>
        <v>1</v>
      </c>
    </row>
    <row r="131" customFormat="false" ht="15" hidden="false" customHeight="false" outlineLevel="0" collapsed="false">
      <c r="A131" s="0" t="str">
        <f aca="false">NewComplaints!A131</f>
        <v>N0130</v>
      </c>
      <c r="B131" s="0" t="str">
        <f aca="false">NewComplaints!B131</f>
        <v>This is the second time I have raised this. The direct debit setup was delayed and I missed a bill because of it. Also, i was charged a monthly fee that nobody told me about.</v>
      </c>
      <c r="C131" s="0" t="str">
        <f aca="false">" "&amp;TRIM(SUBSTITUTE(SUBSTITUTE(SUBSTITUTE(SUBSTITUTE(SUBSTITUTE(SUBSTITUTE(SUBSTITUTE(SUBSTITUTE(SUBSTITUTE(SUBSTITUTE(SUBSTITUTE(SUBSTITUTE(SUBSTITUTE(SUBSTITUTE(SUBSTITUTE(SUBSTITUTE(LOWER(B131),"."," "),","," "),"'"," "),"’"," "),"!"," "),"?"," "),";"," "),":"," "),"-"," "),"("," "),")"," "),"""", " "),"£"," "),"&amp;"," "),"/"," "),"%"," "))&amp;" "</f>
        <v> this is the second time i have raised this the direct debit setup was delayed and i missed a bill because of it also i was charged a monthly fee that nobody told me about </v>
      </c>
      <c r="D131" s="0" t="n">
        <f aca="false">SUMPRODUCT((Rules!$A$2:$A$60=D$1)*Rules!$C$2:$C$60*ISNUMBER(SEARCH(Rules!$D$2:$D$60,$C131)))</f>
        <v>0</v>
      </c>
      <c r="E131" s="0" t="n">
        <f aca="false">SUMPRODUCT((Rules!$A$2:$A$60=E$1)*Rules!$C$2:$C$60*ISNUMBER(SEARCH(Rules!$D$2:$D$60,$C131)))</f>
        <v>0</v>
      </c>
      <c r="F131" s="0" t="n">
        <f aca="false">SUMPRODUCT((Rules!$A$2:$A$60=F$1)*Rules!$C$2:$C$60*ISNUMBER(SEARCH(Rules!$D$2:$D$60,$C131)))</f>
        <v>0</v>
      </c>
      <c r="G131" s="0" t="n">
        <f aca="false">SUMPRODUCT((Rules!$A$2:$A$60=G$1)*Rules!$C$2:$C$60*ISNUMBER(SEARCH(Rules!$D$2:$D$60,$C131)))</f>
        <v>4</v>
      </c>
      <c r="H131" s="0" t="n">
        <f aca="false">SUMPRODUCT((Rules!$A$2:$A$60=H$1)*Rules!$C$2:$C$60*ISNUMBER(SEARCH(Rules!$D$2:$D$60,$C131)))</f>
        <v>2</v>
      </c>
      <c r="I131" s="0" t="n">
        <f aca="false">SUMPRODUCT((Rules!$A$2:$A$60=I$1)*Rules!$C$2:$C$60*ISNUMBER(SEARCH(Rules!$D$2:$D$60,$C131)))</f>
        <v>0</v>
      </c>
      <c r="J131" s="0" t="str">
        <f aca="false">IF(OR(MAX(D131:I131)&lt;Rules!$H$1,MAX(D131:I131)-LARGE(D131:I131,2)&lt;Rules!$H$2),"No label",INDEX($D$1:$I$1,MATCH(MAX(D131:I131),D131:I131,0)))</f>
        <v>Fees &amp; Charges</v>
      </c>
      <c r="K131" s="0" t="n">
        <f aca="false">SUMPRODUCT(ISNUMBER(SEARCH(" "&amp;Terms!$A$3:$A$821&amp;" ",$C131))*Terms!B$3:B$821)+Terms!B$2</f>
        <v>-7.12171577307754</v>
      </c>
      <c r="L131" s="0" t="n">
        <f aca="false">SUMPRODUCT(ISNUMBER(SEARCH(" "&amp;Terms!$A$3:$A$821&amp;" ",$C131))*Terms!C$3:C$821)+Terms!C$2</f>
        <v>-5.06586402086362</v>
      </c>
      <c r="M131" s="0" t="n">
        <f aca="false">SUMPRODUCT(ISNUMBER(SEARCH(" "&amp;Terms!$A$3:$A$821&amp;" ",$C131))*Terms!D$3:D$821)+Terms!D$2</f>
        <v>8.52681742466039</v>
      </c>
      <c r="N131" s="0" t="n">
        <f aca="false">SUMPRODUCT(ISNUMBER(SEARCH(" "&amp;Terms!$A$3:$A$821&amp;" ",$C131))*Terms!E$3:E$821)+Terms!E$2</f>
        <v>8.3813315865461</v>
      </c>
      <c r="O131" s="0" t="n">
        <f aca="false">SUMPRODUCT(ISNUMBER(SEARCH(" "&amp;Terms!$A$3:$A$821&amp;" ",$C131))*Terms!F$3:F$821)+Terms!F$2</f>
        <v>-1.49265496098767</v>
      </c>
      <c r="P131" s="0" t="n">
        <f aca="false">SUMPRODUCT(ISNUMBER(SEARCH(" "&amp;Terms!$A$3:$A$821&amp;" ",$C131))*Terms!G$3:G$821)+Terms!G$2</f>
        <v>-3.22791425627756</v>
      </c>
      <c r="Q131" s="0" t="str">
        <f aca="false">INDEX($K$1:$P$1,MATCH(MAX(K131:P131),K131:P131,0))</f>
        <v>Delays &amp; Processing</v>
      </c>
      <c r="R131" s="0" t="str">
        <f aca="false">IF(J131&lt;&gt;"No label",J131,Q131)</f>
        <v>Fees &amp; Charges</v>
      </c>
      <c r="S131" s="0" t="str">
        <f aca="false">INDEX(Answers!$B$2:$B$201,MATCH(A131,Answers!$A$2:$A$201,0))</f>
        <v>Delays &amp; Processing</v>
      </c>
      <c r="T131" s="4" t="b">
        <f aca="false">R131=S131</f>
        <v>0</v>
      </c>
    </row>
    <row r="132" customFormat="false" ht="15" hidden="false" customHeight="false" outlineLevel="0" collapsed="false">
      <c r="A132" s="0" t="str">
        <f aca="false">NewComplaints!A132</f>
        <v>N0131</v>
      </c>
      <c r="B132" s="0" t="str">
        <f aca="false">NewComplaints!B132</f>
        <v>This is the second time I have raised this. It has taken six weeks to process my claim and nobody has updated me. I would like a response in writing.</v>
      </c>
      <c r="C132" s="0" t="str">
        <f aca="false">" "&amp;TRIM(SUBSTITUTE(SUBSTITUTE(SUBSTITUTE(SUBSTITUTE(SUBSTITUTE(SUBSTITUTE(SUBSTITUTE(SUBSTITUTE(SUBSTITUTE(SUBSTITUTE(SUBSTITUTE(SUBSTITUTE(SUBSTITUTE(SUBSTITUTE(SUBSTITUTE(SUBSTITUTE(LOWER(B132),"."," "),","," "),"'"," "),"’"," "),"!"," "),"?"," "),";"," "),":"," "),"-"," "),"("," "),")"," "),"""", " "),"£"," "),"&amp;"," "),"/"," "),"%"," "))&amp;" "</f>
        <v> this is the second time i have raised this it has taken six weeks to process my claim and nobody has updated me i would like a response in writing </v>
      </c>
      <c r="D132" s="0" t="n">
        <f aca="false">SUMPRODUCT((Rules!$A$2:$A$60=D$1)*Rules!$C$2:$C$60*ISNUMBER(SEARCH(Rules!$D$2:$D$60,$C132)))</f>
        <v>0</v>
      </c>
      <c r="E132" s="0" t="n">
        <f aca="false">SUMPRODUCT((Rules!$A$2:$A$60=E$1)*Rules!$C$2:$C$60*ISNUMBER(SEARCH(Rules!$D$2:$D$60,$C132)))</f>
        <v>0</v>
      </c>
      <c r="F132" s="0" t="n">
        <f aca="false">SUMPRODUCT((Rules!$A$2:$A$60=F$1)*Rules!$C$2:$C$60*ISNUMBER(SEARCH(Rules!$D$2:$D$60,$C132)))</f>
        <v>0</v>
      </c>
      <c r="G132" s="0" t="n">
        <f aca="false">SUMPRODUCT((Rules!$A$2:$A$60=G$1)*Rules!$C$2:$C$60*ISNUMBER(SEARCH(Rules!$D$2:$D$60,$C132)))</f>
        <v>0</v>
      </c>
      <c r="H132" s="0" t="n">
        <f aca="false">SUMPRODUCT((Rules!$A$2:$A$60=H$1)*Rules!$C$2:$C$60*ISNUMBER(SEARCH(Rules!$D$2:$D$60,$C132)))</f>
        <v>2</v>
      </c>
      <c r="I132" s="0" t="n">
        <f aca="false">SUMPRODUCT((Rules!$A$2:$A$60=I$1)*Rules!$C$2:$C$60*ISNUMBER(SEARCH(Rules!$D$2:$D$60,$C132)))</f>
        <v>0</v>
      </c>
      <c r="J132" s="0" t="str">
        <f aca="false">IF(OR(MAX(D132:I132)&lt;Rules!$H$1,MAX(D132:I132)-LARGE(D132:I132,2)&lt;Rules!$H$2),"No label",INDEX($D$1:$I$1,MATCH(MAX(D132:I132),D132:I132,0)))</f>
        <v>No label</v>
      </c>
      <c r="K132" s="0" t="n">
        <f aca="false">SUMPRODUCT(ISNUMBER(SEARCH(" "&amp;Terms!$A$3:$A$821&amp;" ",$C132))*Terms!B$3:B$821)+Terms!B$2</f>
        <v>-3.8178052271521</v>
      </c>
      <c r="L132" s="0" t="n">
        <f aca="false">SUMPRODUCT(ISNUMBER(SEARCH(" "&amp;Terms!$A$3:$A$821&amp;" ",$C132))*Terms!C$3:C$821)+Terms!C$2</f>
        <v>-1.25798135607378</v>
      </c>
      <c r="M132" s="0" t="n">
        <f aca="false">SUMPRODUCT(ISNUMBER(SEARCH(" "&amp;Terms!$A$3:$A$821&amp;" ",$C132))*Terms!D$3:D$821)+Terms!D$2</f>
        <v>6.7336424277723</v>
      </c>
      <c r="N132" s="0" t="n">
        <f aca="false">SUMPRODUCT(ISNUMBER(SEARCH(" "&amp;Terms!$A$3:$A$821&amp;" ",$C132))*Terms!E$3:E$821)+Terms!E$2</f>
        <v>-1.25663816174029</v>
      </c>
      <c r="O132" s="0" t="n">
        <f aca="false">SUMPRODUCT(ISNUMBER(SEARCH(" "&amp;Terms!$A$3:$A$821&amp;" ",$C132))*Terms!F$3:F$821)+Terms!F$2</f>
        <v>-1.06750937211739</v>
      </c>
      <c r="P132" s="0" t="n">
        <f aca="false">SUMPRODUCT(ISNUMBER(SEARCH(" "&amp;Terms!$A$3:$A$821&amp;" ",$C132))*Terms!G$3:G$821)+Terms!G$2</f>
        <v>0.666291689311361</v>
      </c>
      <c r="Q132" s="0" t="str">
        <f aca="false">INDEX($K$1:$P$1,MATCH(MAX(K132:P132),K132:P132,0))</f>
        <v>Delays &amp; Processing</v>
      </c>
      <c r="R132" s="0" t="str">
        <f aca="false">IF(J132&lt;&gt;"No label",J132,Q132)</f>
        <v>Delays &amp; Processing</v>
      </c>
      <c r="S132" s="0" t="str">
        <f aca="false">INDEX(Answers!$B$2:$B$201,MATCH(A132,Answers!$A$2:$A$201,0))</f>
        <v>Delays &amp; Processing</v>
      </c>
      <c r="T132" s="4" t="b">
        <f aca="false">R132=S132</f>
        <v>1</v>
      </c>
    </row>
    <row r="133" customFormat="false" ht="15" hidden="false" customHeight="false" outlineLevel="0" collapsed="false">
      <c r="A133" s="0" t="str">
        <f aca="false">NewComplaints!A133</f>
        <v>N0132</v>
      </c>
      <c r="B133" s="0" t="str">
        <f aca="false">NewComplaints!B133</f>
        <v>I spent an hour on hold and then the call was cut off.</v>
      </c>
      <c r="C133" s="0" t="str">
        <f aca="false">" "&amp;TRIM(SUBSTITUTE(SUBSTITUTE(SUBSTITUTE(SUBSTITUTE(SUBSTITUTE(SUBSTITUTE(SUBSTITUTE(SUBSTITUTE(SUBSTITUTE(SUBSTITUTE(SUBSTITUTE(SUBSTITUTE(SUBSTITUTE(SUBSTITUTE(SUBSTITUTE(SUBSTITUTE(LOWER(B133),"."," "),","," "),"'"," "),"’"," "),"!"," "),"?"," "),";"," "),":"," "),"-"," "),"("," "),")"," "),"""", " "),"£"," "),"&amp;"," "),"/"," "),"%"," "))&amp;" "</f>
        <v> i spent an hour on hold and then the call was cut off </v>
      </c>
      <c r="D133" s="0" t="n">
        <f aca="false">SUMPRODUCT((Rules!$A$2:$A$60=D$1)*Rules!$C$2:$C$60*ISNUMBER(SEARCH(Rules!$D$2:$D$60,$C133)))</f>
        <v>0</v>
      </c>
      <c r="E133" s="0" t="n">
        <f aca="false">SUMPRODUCT((Rules!$A$2:$A$60=E$1)*Rules!$C$2:$C$60*ISNUMBER(SEARCH(Rules!$D$2:$D$60,$C133)))</f>
        <v>0</v>
      </c>
      <c r="F133" s="0" t="n">
        <f aca="false">SUMPRODUCT((Rules!$A$2:$A$60=F$1)*Rules!$C$2:$C$60*ISNUMBER(SEARCH(Rules!$D$2:$D$60,$C133)))</f>
        <v>0</v>
      </c>
      <c r="G133" s="0" t="n">
        <f aca="false">SUMPRODUCT((Rules!$A$2:$A$60=G$1)*Rules!$C$2:$C$60*ISNUMBER(SEARCH(Rules!$D$2:$D$60,$C133)))</f>
        <v>0</v>
      </c>
      <c r="H133" s="0" t="n">
        <f aca="false">SUMPRODUCT((Rules!$A$2:$A$60=H$1)*Rules!$C$2:$C$60*ISNUMBER(SEARCH(Rules!$D$2:$D$60,$C133)))</f>
        <v>0</v>
      </c>
      <c r="I133" s="0" t="n">
        <f aca="false">SUMPRODUCT((Rules!$A$2:$A$60=I$1)*Rules!$C$2:$C$60*ISNUMBER(SEARCH(Rules!$D$2:$D$60,$C133)))</f>
        <v>3</v>
      </c>
      <c r="J133" s="0" t="str">
        <f aca="false">IF(OR(MAX(D133:I133)&lt;Rules!$H$1,MAX(D133:I133)-LARGE(D133:I133,2)&lt;Rules!$H$2),"No label",INDEX($D$1:$I$1,MATCH(MAX(D133:I133),D133:I133,0)))</f>
        <v>Customer Service</v>
      </c>
      <c r="K133" s="0" t="n">
        <f aca="false">SUMPRODUCT(ISNUMBER(SEARCH(" "&amp;Terms!$A$3:$A$821&amp;" ",$C133))*Terms!B$3:B$821)+Terms!B$2</f>
        <v>-1.02362931085277</v>
      </c>
      <c r="L133" s="0" t="n">
        <f aca="false">SUMPRODUCT(ISNUMBER(SEARCH(" "&amp;Terms!$A$3:$A$821&amp;" ",$C133))*Terms!C$3:C$821)+Terms!C$2</f>
        <v>6.78321403147038</v>
      </c>
      <c r="M133" s="0" t="n">
        <f aca="false">SUMPRODUCT(ISNUMBER(SEARCH(" "&amp;Terms!$A$3:$A$821&amp;" ",$C133))*Terms!D$3:D$821)+Terms!D$2</f>
        <v>-1.4921573083156</v>
      </c>
      <c r="N133" s="0" t="n">
        <f aca="false">SUMPRODUCT(ISNUMBER(SEARCH(" "&amp;Terms!$A$3:$A$821&amp;" ",$C133))*Terms!E$3:E$821)+Terms!E$2</f>
        <v>-3.34478059013885</v>
      </c>
      <c r="O133" s="0" t="n">
        <f aca="false">SUMPRODUCT(ISNUMBER(SEARCH(" "&amp;Terms!$A$3:$A$821&amp;" ",$C133))*Terms!F$3:F$821)+Terms!F$2</f>
        <v>-0.742074212007386</v>
      </c>
      <c r="P133" s="0" t="n">
        <f aca="false">SUMPRODUCT(ISNUMBER(SEARCH(" "&amp;Terms!$A$3:$A$821&amp;" ",$C133))*Terms!G$3:G$821)+Terms!G$2</f>
        <v>-0.180572610155666</v>
      </c>
      <c r="Q133" s="0" t="str">
        <f aca="false">INDEX($K$1:$P$1,MATCH(MAX(K133:P133),K133:P133,0))</f>
        <v>Customer Service</v>
      </c>
      <c r="R133" s="0" t="str">
        <f aca="false">IF(J133&lt;&gt;"No label",J133,Q133)</f>
        <v>Customer Service</v>
      </c>
      <c r="S133" s="0" t="str">
        <f aca="false">INDEX(Answers!$B$2:$B$201,MATCH(A133,Answers!$A$2:$A$201,0))</f>
        <v>Customer Service</v>
      </c>
      <c r="T133" s="4" t="b">
        <f aca="false">R133=S133</f>
        <v>1</v>
      </c>
    </row>
    <row r="134" customFormat="false" ht="15" hidden="false" customHeight="false" outlineLevel="0" collapsed="false">
      <c r="A134" s="0" t="str">
        <f aca="false">NewComplaints!A134</f>
        <v>N0133</v>
      </c>
      <c r="B134" s="0" t="str">
        <f aca="false">NewComplaints!B134</f>
        <v>This is the second time I have raised this. I reported the unauthorised payment but you refused to reimburse me. I would like a response in writing.</v>
      </c>
      <c r="C134" s="0" t="str">
        <f aca="false">" "&amp;TRIM(SUBSTITUTE(SUBSTITUTE(SUBSTITUTE(SUBSTITUTE(SUBSTITUTE(SUBSTITUTE(SUBSTITUTE(SUBSTITUTE(SUBSTITUTE(SUBSTITUTE(SUBSTITUTE(SUBSTITUTE(SUBSTITUTE(SUBSTITUTE(SUBSTITUTE(SUBSTITUTE(LOWER(B134),"."," "),","," "),"'"," "),"’"," "),"!"," "),"?"," "),";"," "),":"," "),"-"," "),"("," "),")"," "),"""", " "),"£"," "),"&amp;"," "),"/"," "),"%"," "))&amp;" "</f>
        <v> this is the second time i have raised this i reported the unauthorised payment but you refused to reimburse me i would like a response in writing </v>
      </c>
      <c r="D134" s="0" t="n">
        <f aca="false">SUMPRODUCT((Rules!$A$2:$A$60=D$1)*Rules!$C$2:$C$60*ISNUMBER(SEARCH(Rules!$D$2:$D$60,$C134)))</f>
        <v>3</v>
      </c>
      <c r="E134" s="0" t="n">
        <f aca="false">SUMPRODUCT((Rules!$A$2:$A$60=E$1)*Rules!$C$2:$C$60*ISNUMBER(SEARCH(Rules!$D$2:$D$60,$C134)))</f>
        <v>0</v>
      </c>
      <c r="F134" s="0" t="n">
        <f aca="false">SUMPRODUCT((Rules!$A$2:$A$60=F$1)*Rules!$C$2:$C$60*ISNUMBER(SEARCH(Rules!$D$2:$D$60,$C134)))</f>
        <v>0</v>
      </c>
      <c r="G134" s="0" t="n">
        <f aca="false">SUMPRODUCT((Rules!$A$2:$A$60=G$1)*Rules!$C$2:$C$60*ISNUMBER(SEARCH(Rules!$D$2:$D$60,$C134)))</f>
        <v>0</v>
      </c>
      <c r="H134" s="0" t="n">
        <f aca="false">SUMPRODUCT((Rules!$A$2:$A$60=H$1)*Rules!$C$2:$C$60*ISNUMBER(SEARCH(Rules!$D$2:$D$60,$C134)))</f>
        <v>0</v>
      </c>
      <c r="I134" s="0" t="n">
        <f aca="false">SUMPRODUCT((Rules!$A$2:$A$60=I$1)*Rules!$C$2:$C$60*ISNUMBER(SEARCH(Rules!$D$2:$D$60,$C134)))</f>
        <v>0</v>
      </c>
      <c r="J134" s="0" t="str">
        <f aca="false">IF(OR(MAX(D134:I134)&lt;Rules!$H$1,MAX(D134:I134)-LARGE(D134:I134,2)&lt;Rules!$H$2),"No label",INDEX($D$1:$I$1,MATCH(MAX(D134:I134),D134:I134,0)))</f>
        <v>Fraud &amp; Scams</v>
      </c>
      <c r="K134" s="0" t="n">
        <f aca="false">SUMPRODUCT(ISNUMBER(SEARCH(" "&amp;Terms!$A$3:$A$821&amp;" ",$C134))*Terms!B$3:B$821)+Terms!B$2</f>
        <v>-1.87467601157832</v>
      </c>
      <c r="L134" s="0" t="n">
        <f aca="false">SUMPRODUCT(ISNUMBER(SEARCH(" "&amp;Terms!$A$3:$A$821&amp;" ",$C134))*Terms!C$3:C$821)+Terms!C$2</f>
        <v>-2.47557643933074</v>
      </c>
      <c r="M134" s="0" t="n">
        <f aca="false">SUMPRODUCT(ISNUMBER(SEARCH(" "&amp;Terms!$A$3:$A$821&amp;" ",$C134))*Terms!D$3:D$821)+Terms!D$2</f>
        <v>-1.36424651696851</v>
      </c>
      <c r="N134" s="0" t="n">
        <f aca="false">SUMPRODUCT(ISNUMBER(SEARCH(" "&amp;Terms!$A$3:$A$821&amp;" ",$C134))*Terms!E$3:E$821)+Terms!E$2</f>
        <v>-2.02314778755757</v>
      </c>
      <c r="O134" s="0" t="n">
        <f aca="false">SUMPRODUCT(ISNUMBER(SEARCH(" "&amp;Terms!$A$3:$A$821&amp;" ",$C134))*Terms!F$3:F$821)+Terms!F$2</f>
        <v>8.76949906915586</v>
      </c>
      <c r="P134" s="0" t="n">
        <f aca="false">SUMPRODUCT(ISNUMBER(SEARCH(" "&amp;Terms!$A$3:$A$821&amp;" ",$C134))*Terms!G$3:G$821)+Terms!G$2</f>
        <v>-1.03185231372064</v>
      </c>
      <c r="Q134" s="0" t="str">
        <f aca="false">INDEX($K$1:$P$1,MATCH(MAX(K134:P134),K134:P134,0))</f>
        <v>Fraud &amp; Scams</v>
      </c>
      <c r="R134" s="0" t="str">
        <f aca="false">IF(J134&lt;&gt;"No label",J134,Q134)</f>
        <v>Fraud &amp; Scams</v>
      </c>
      <c r="S134" s="0" t="str">
        <f aca="false">INDEX(Answers!$B$2:$B$201,MATCH(A134,Answers!$A$2:$A$201,0))</f>
        <v>Fraud &amp; Scams</v>
      </c>
      <c r="T134" s="4" t="b">
        <f aca="false">R134=S134</f>
        <v>1</v>
      </c>
    </row>
    <row r="135" customFormat="false" ht="15" hidden="false" customHeight="false" outlineLevel="0" collapsed="false">
      <c r="A135" s="0" t="str">
        <f aca="false">NewComplaints!A135</f>
        <v>N0134</v>
      </c>
      <c r="B135" s="0" t="str">
        <f aca="false">NewComplaints!B135</f>
        <v>The fraud team closed my case without investigating properly.</v>
      </c>
      <c r="C135" s="0" t="str">
        <f aca="false">" "&amp;TRIM(SUBSTITUTE(SUBSTITUTE(SUBSTITUTE(SUBSTITUTE(SUBSTITUTE(SUBSTITUTE(SUBSTITUTE(SUBSTITUTE(SUBSTITUTE(SUBSTITUTE(SUBSTITUTE(SUBSTITUTE(SUBSTITUTE(SUBSTITUTE(SUBSTITUTE(SUBSTITUTE(LOWER(B135),"."," "),","," "),"'"," "),"’"," "),"!"," "),"?"," "),";"," "),":"," "),"-"," "),"("," "),")"," "),"""", " "),"£"," "),"&amp;"," "),"/"," "),"%"," "))&amp;" "</f>
        <v> the fraud team closed my case without investigating properly </v>
      </c>
      <c r="D135" s="0" t="n">
        <f aca="false">SUMPRODUCT((Rules!$A$2:$A$60=D$1)*Rules!$C$2:$C$60*ISNUMBER(SEARCH(Rules!$D$2:$D$60,$C135)))</f>
        <v>3</v>
      </c>
      <c r="E135" s="0" t="n">
        <f aca="false">SUMPRODUCT((Rules!$A$2:$A$60=E$1)*Rules!$C$2:$C$60*ISNUMBER(SEARCH(Rules!$D$2:$D$60,$C135)))</f>
        <v>0</v>
      </c>
      <c r="F135" s="0" t="n">
        <f aca="false">SUMPRODUCT((Rules!$A$2:$A$60=F$1)*Rules!$C$2:$C$60*ISNUMBER(SEARCH(Rules!$D$2:$D$60,$C135)))</f>
        <v>0</v>
      </c>
      <c r="G135" s="0" t="n">
        <f aca="false">SUMPRODUCT((Rules!$A$2:$A$60=G$1)*Rules!$C$2:$C$60*ISNUMBER(SEARCH(Rules!$D$2:$D$60,$C135)))</f>
        <v>0</v>
      </c>
      <c r="H135" s="0" t="n">
        <f aca="false">SUMPRODUCT((Rules!$A$2:$A$60=H$1)*Rules!$C$2:$C$60*ISNUMBER(SEARCH(Rules!$D$2:$D$60,$C135)))</f>
        <v>0</v>
      </c>
      <c r="I135" s="0" t="n">
        <f aca="false">SUMPRODUCT((Rules!$A$2:$A$60=I$1)*Rules!$C$2:$C$60*ISNUMBER(SEARCH(Rules!$D$2:$D$60,$C135)))</f>
        <v>0</v>
      </c>
      <c r="J135" s="0" t="str">
        <f aca="false">IF(OR(MAX(D135:I135)&lt;Rules!$H$1,MAX(D135:I135)-LARGE(D135:I135,2)&lt;Rules!$H$2),"No label",INDEX($D$1:$I$1,MATCH(MAX(D135:I135),D135:I135,0)))</f>
        <v>Fraud &amp; Scams</v>
      </c>
      <c r="K135" s="0" t="n">
        <f aca="false">SUMPRODUCT(ISNUMBER(SEARCH(" "&amp;Terms!$A$3:$A$821&amp;" ",$C135))*Terms!B$3:B$821)+Terms!B$2</f>
        <v>-3.53102563593492</v>
      </c>
      <c r="L135" s="0" t="n">
        <f aca="false">SUMPRODUCT(ISNUMBER(SEARCH(" "&amp;Terms!$A$3:$A$821&amp;" ",$C135))*Terms!C$3:C$821)+Terms!C$2</f>
        <v>-0.210761650661387</v>
      </c>
      <c r="M135" s="0" t="n">
        <f aca="false">SUMPRODUCT(ISNUMBER(SEARCH(" "&amp;Terms!$A$3:$A$821&amp;" ",$C135))*Terms!D$3:D$821)+Terms!D$2</f>
        <v>-2.42634121046363</v>
      </c>
      <c r="N135" s="0" t="n">
        <f aca="false">SUMPRODUCT(ISNUMBER(SEARCH(" "&amp;Terms!$A$3:$A$821&amp;" ",$C135))*Terms!E$3:E$821)+Terms!E$2</f>
        <v>-3.19813887655415</v>
      </c>
      <c r="O135" s="0" t="n">
        <f aca="false">SUMPRODUCT(ISNUMBER(SEARCH(" "&amp;Terms!$A$3:$A$821&amp;" ",$C135))*Terms!F$3:F$821)+Terms!F$2</f>
        <v>11.2972917402436</v>
      </c>
      <c r="P135" s="0" t="n">
        <f aca="false">SUMPRODUCT(ISNUMBER(SEARCH(" "&amp;Terms!$A$3:$A$821&amp;" ",$C135))*Terms!G$3:G$821)+Terms!G$2</f>
        <v>-1.9310243666294</v>
      </c>
      <c r="Q135" s="0" t="str">
        <f aca="false">INDEX($K$1:$P$1,MATCH(MAX(K135:P135),K135:P135,0))</f>
        <v>Fraud &amp; Scams</v>
      </c>
      <c r="R135" s="0" t="str">
        <f aca="false">IF(J135&lt;&gt;"No label",J135,Q135)</f>
        <v>Fraud &amp; Scams</v>
      </c>
      <c r="S135" s="0" t="str">
        <f aca="false">INDEX(Answers!$B$2:$B$201,MATCH(A135,Answers!$A$2:$A$201,0))</f>
        <v>Fraud &amp; Scams</v>
      </c>
      <c r="T135" s="4" t="b">
        <f aca="false">R135=S135</f>
        <v>1</v>
      </c>
    </row>
    <row r="136" customFormat="false" ht="15" hidden="false" customHeight="false" outlineLevel="0" collapsed="false">
      <c r="A136" s="0" t="str">
        <f aca="false">NewComplaints!A136</f>
        <v>N0135</v>
      </c>
      <c r="B136" s="0" t="str">
        <f aca="false">NewComplaints!B136</f>
        <v>I am witing to complain. I feel I was treated badly because of my age. Also, there is an unexpected charge on my statement of £35. Please escalate this.</v>
      </c>
      <c r="C136" s="0" t="str">
        <f aca="false">" "&amp;TRIM(SUBSTITUTE(SUBSTITUTE(SUBSTITUTE(SUBSTITUTE(SUBSTITUTE(SUBSTITUTE(SUBSTITUTE(SUBSTITUTE(SUBSTITUTE(SUBSTITUTE(SUBSTITUTE(SUBSTITUTE(SUBSTITUTE(SUBSTITUTE(SUBSTITUTE(SUBSTITUTE(LOWER(B136),"."," "),","," "),"'"," "),"’"," "),"!"," "),"?"," "),";"," "),":"," "),"-"," "),"("," "),")"," "),"""", " "),"£"," "),"&amp;"," "),"/"," "),"%"," "))&amp;" "</f>
        <v> i am witing to complain i feel i was treated badly because of my age also there is an unexpected charge on my statement of 35 please escalate this </v>
      </c>
      <c r="D136" s="0" t="n">
        <f aca="false">SUMPRODUCT((Rules!$A$2:$A$60=D$1)*Rules!$C$2:$C$60*ISNUMBER(SEARCH(Rules!$D$2:$D$60,$C136)))</f>
        <v>0</v>
      </c>
      <c r="E136" s="0" t="n">
        <f aca="false">SUMPRODUCT((Rules!$A$2:$A$60=E$1)*Rules!$C$2:$C$60*ISNUMBER(SEARCH(Rules!$D$2:$D$60,$C136)))</f>
        <v>0</v>
      </c>
      <c r="F136" s="0" t="n">
        <f aca="false">SUMPRODUCT((Rules!$A$2:$A$60=F$1)*Rules!$C$2:$C$60*ISNUMBER(SEARCH(Rules!$D$2:$D$60,$C136)))</f>
        <v>0</v>
      </c>
      <c r="G136" s="0" t="n">
        <f aca="false">SUMPRODUCT((Rules!$A$2:$A$60=G$1)*Rules!$C$2:$C$60*ISNUMBER(SEARCH(Rules!$D$2:$D$60,$C136)))</f>
        <v>3</v>
      </c>
      <c r="H136" s="0" t="n">
        <f aca="false">SUMPRODUCT((Rules!$A$2:$A$60=H$1)*Rules!$C$2:$C$60*ISNUMBER(SEARCH(Rules!$D$2:$D$60,$C136)))</f>
        <v>0</v>
      </c>
      <c r="I136" s="0" t="n">
        <f aca="false">SUMPRODUCT((Rules!$A$2:$A$60=I$1)*Rules!$C$2:$C$60*ISNUMBER(SEARCH(Rules!$D$2:$D$60,$C136)))</f>
        <v>3</v>
      </c>
      <c r="J136" s="0" t="str">
        <f aca="false">IF(OR(MAX(D136:I136)&lt;Rules!$H$1,MAX(D136:I136)-LARGE(D136:I136,2)&lt;Rules!$H$2),"No label",INDEX($D$1:$I$1,MATCH(MAX(D136:I136),D136:I136,0)))</f>
        <v>No label</v>
      </c>
      <c r="K136" s="0" t="n">
        <f aca="false">SUMPRODUCT(ISNUMBER(SEARCH(" "&amp;Terms!$A$3:$A$821&amp;" ",$C136))*Terms!B$3:B$821)+Terms!B$2</f>
        <v>-3.20256965233284</v>
      </c>
      <c r="L136" s="0" t="n">
        <f aca="false">SUMPRODUCT(ISNUMBER(SEARCH(" "&amp;Terms!$A$3:$A$821&amp;" ",$C136))*Terms!C$3:C$821)+Terms!C$2</f>
        <v>7.70983801423357</v>
      </c>
      <c r="M136" s="0" t="n">
        <f aca="false">SUMPRODUCT(ISNUMBER(SEARCH(" "&amp;Terms!$A$3:$A$821&amp;" ",$C136))*Terms!D$3:D$821)+Terms!D$2</f>
        <v>-4.58985162641877</v>
      </c>
      <c r="N136" s="0" t="n">
        <f aca="false">SUMPRODUCT(ISNUMBER(SEARCH(" "&amp;Terms!$A$3:$A$821&amp;" ",$C136))*Terms!E$3:E$821)+Terms!E$2</f>
        <v>5.70526092889161</v>
      </c>
      <c r="O136" s="0" t="n">
        <f aca="false">SUMPRODUCT(ISNUMBER(SEARCH(" "&amp;Terms!$A$3:$A$821&amp;" ",$C136))*Terms!F$3:F$821)+Terms!F$2</f>
        <v>-2.92289053690751</v>
      </c>
      <c r="P136" s="0" t="n">
        <f aca="false">SUMPRODUCT(ISNUMBER(SEARCH(" "&amp;Terms!$A$3:$A$821&amp;" ",$C136))*Terms!G$3:G$821)+Terms!G$2</f>
        <v>-2.69978712746596</v>
      </c>
      <c r="Q136" s="0" t="str">
        <f aca="false">INDEX($K$1:$P$1,MATCH(MAX(K136:P136),K136:P136,0))</f>
        <v>Customer Service</v>
      </c>
      <c r="R136" s="0" t="str">
        <f aca="false">IF(J136&lt;&gt;"No label",J136,Q136)</f>
        <v>Customer Service</v>
      </c>
      <c r="S136" s="0" t="str">
        <f aca="false">INDEX(Answers!$B$2:$B$201,MATCH(A136,Answers!$A$2:$A$201,0))</f>
        <v>Customer Service</v>
      </c>
      <c r="T136" s="4" t="b">
        <f aca="false">R136=S136</f>
        <v>1</v>
      </c>
    </row>
    <row r="137" customFormat="false" ht="15" hidden="false" customHeight="false" outlineLevel="0" collapsed="false">
      <c r="A137" s="0" t="str">
        <f aca="false">NewComplaints!A137</f>
        <v>N0136</v>
      </c>
      <c r="B137" s="0" t="str">
        <f aca="false">NewComplaints!B137</f>
        <v>This is the second time I have raised this. I have been billed an annual fee I never agreed to. Also, the adviser did not explain the risks of the investment. This is not acceptable.</v>
      </c>
      <c r="C137" s="0" t="str">
        <f aca="false">" "&amp;TRIM(SUBSTITUTE(SUBSTITUTE(SUBSTITUTE(SUBSTITUTE(SUBSTITUTE(SUBSTITUTE(SUBSTITUTE(SUBSTITUTE(SUBSTITUTE(SUBSTITUTE(SUBSTITUTE(SUBSTITUTE(SUBSTITUTE(SUBSTITUTE(SUBSTITUTE(SUBSTITUTE(LOWER(B137),"."," "),","," "),"'"," "),"’"," "),"!"," "),"?"," "),";"," "),":"," "),"-"," "),"("," "),")"," "),"""", " "),"£"," "),"&amp;"," "),"/"," "),"%"," "))&amp;" "</f>
        <v> this is the second time i have raised this i have been billed an annual fee i never agreed to also the adviser did not explain the risks of the investment this is not acceptable </v>
      </c>
      <c r="D137" s="0" t="n">
        <f aca="false">SUMPRODUCT((Rules!$A$2:$A$60=D$1)*Rules!$C$2:$C$60*ISNUMBER(SEARCH(Rules!$D$2:$D$60,$C137)))</f>
        <v>0</v>
      </c>
      <c r="E137" s="0" t="n">
        <f aca="false">SUMPRODUCT((Rules!$A$2:$A$60=E$1)*Rules!$C$2:$C$60*ISNUMBER(SEARCH(Rules!$D$2:$D$60,$C137)))</f>
        <v>4</v>
      </c>
      <c r="F137" s="0" t="n">
        <f aca="false">SUMPRODUCT((Rules!$A$2:$A$60=F$1)*Rules!$C$2:$C$60*ISNUMBER(SEARCH(Rules!$D$2:$D$60,$C137)))</f>
        <v>0</v>
      </c>
      <c r="G137" s="0" t="n">
        <f aca="false">SUMPRODUCT((Rules!$A$2:$A$60=G$1)*Rules!$C$2:$C$60*ISNUMBER(SEARCH(Rules!$D$2:$D$60,$C137)))</f>
        <v>4</v>
      </c>
      <c r="H137" s="0" t="n">
        <f aca="false">SUMPRODUCT((Rules!$A$2:$A$60=H$1)*Rules!$C$2:$C$60*ISNUMBER(SEARCH(Rules!$D$2:$D$60,$C137)))</f>
        <v>0</v>
      </c>
      <c r="I137" s="0" t="n">
        <f aca="false">SUMPRODUCT((Rules!$A$2:$A$60=I$1)*Rules!$C$2:$C$60*ISNUMBER(SEARCH(Rules!$D$2:$D$60,$C137)))</f>
        <v>0</v>
      </c>
      <c r="J137" s="0" t="str">
        <f aca="false">IF(OR(MAX(D137:I137)&lt;Rules!$H$1,MAX(D137:I137)-LARGE(D137:I137,2)&lt;Rules!$H$2),"No label",INDEX($D$1:$I$1,MATCH(MAX(D137:I137),D137:I137,0)))</f>
        <v>No label</v>
      </c>
      <c r="K137" s="0" t="n">
        <f aca="false">SUMPRODUCT(ISNUMBER(SEARCH(" "&amp;Terms!$A$3:$A$821&amp;" ",$C137))*Terms!B$3:B$821)+Terms!B$2</f>
        <v>-4.6908841227298</v>
      </c>
      <c r="L137" s="0" t="n">
        <f aca="false">SUMPRODUCT(ISNUMBER(SEARCH(" "&amp;Terms!$A$3:$A$821&amp;" ",$C137))*Terms!C$3:C$821)+Terms!C$2</f>
        <v>-1.48533056086534</v>
      </c>
      <c r="M137" s="0" t="n">
        <f aca="false">SUMPRODUCT(ISNUMBER(SEARCH(" "&amp;Terms!$A$3:$A$821&amp;" ",$C137))*Terms!D$3:D$821)+Terms!D$2</f>
        <v>-6.26196378046908</v>
      </c>
      <c r="N137" s="0" t="n">
        <f aca="false">SUMPRODUCT(ISNUMBER(SEARCH(" "&amp;Terms!$A$3:$A$821&amp;" ",$C137))*Terms!E$3:E$821)+Terms!E$2</f>
        <v>10.9903979379316</v>
      </c>
      <c r="O137" s="0" t="n">
        <f aca="false">SUMPRODUCT(ISNUMBER(SEARCH(" "&amp;Terms!$A$3:$A$821&amp;" ",$C137))*Terms!F$3:F$821)+Terms!F$2</f>
        <v>-5.02846431021397</v>
      </c>
      <c r="P137" s="0" t="n">
        <f aca="false">SUMPRODUCT(ISNUMBER(SEARCH(" "&amp;Terms!$A$3:$A$821&amp;" ",$C137))*Terms!G$3:G$821)+Terms!G$2</f>
        <v>6.47624483634672</v>
      </c>
      <c r="Q137" s="0" t="str">
        <f aca="false">INDEX($K$1:$P$1,MATCH(MAX(K137:P137),K137:P137,0))</f>
        <v>Fees &amp; Charges</v>
      </c>
      <c r="R137" s="0" t="str">
        <f aca="false">IF(J137&lt;&gt;"No label",J137,Q137)</f>
        <v>Fees &amp; Charges</v>
      </c>
      <c r="S137" s="0" t="str">
        <f aca="false">INDEX(Answers!$B$2:$B$201,MATCH(A137,Answers!$A$2:$A$201,0))</f>
        <v>Fees &amp; Charges</v>
      </c>
      <c r="T137" s="4" t="b">
        <f aca="false">R137=S137</f>
        <v>1</v>
      </c>
    </row>
    <row r="138" customFormat="false" ht="15" hidden="false" customHeight="false" outlineLevel="0" collapsed="false">
      <c r="A138" s="0" t="str">
        <f aca="false">NewComplaints!A138</f>
        <v>N0137</v>
      </c>
      <c r="B138" s="0" t="str">
        <f aca="false">NewComplaints!B138</f>
        <v>This is the second time I have raised this. My application has been stuck for weeks with no progress. I want this put right.</v>
      </c>
      <c r="C138" s="0" t="str">
        <f aca="false">" "&amp;TRIM(SUBSTITUTE(SUBSTITUTE(SUBSTITUTE(SUBSTITUTE(SUBSTITUTE(SUBSTITUTE(SUBSTITUTE(SUBSTITUTE(SUBSTITUTE(SUBSTITUTE(SUBSTITUTE(SUBSTITUTE(SUBSTITUTE(SUBSTITUTE(SUBSTITUTE(SUBSTITUTE(LOWER(B138),"."," "),","," "),"'"," "),"’"," "),"!"," "),"?"," "),";"," "),":"," "),"-"," "),"("," "),")"," "),"""", " "),"£"," "),"&amp;"," "),"/"," "),"%"," "))&amp;" "</f>
        <v> this is the second time i have raised this my application has been stuck for weeks with no progress i want this put right </v>
      </c>
      <c r="D138" s="0" t="n">
        <f aca="false">SUMPRODUCT((Rules!$A$2:$A$60=D$1)*Rules!$C$2:$C$60*ISNUMBER(SEARCH(Rules!$D$2:$D$60,$C138)))</f>
        <v>0</v>
      </c>
      <c r="E138" s="0" t="n">
        <f aca="false">SUMPRODUCT((Rules!$A$2:$A$60=E$1)*Rules!$C$2:$C$60*ISNUMBER(SEARCH(Rules!$D$2:$D$60,$C138)))</f>
        <v>0</v>
      </c>
      <c r="F138" s="0" t="n">
        <f aca="false">SUMPRODUCT((Rules!$A$2:$A$60=F$1)*Rules!$C$2:$C$60*ISNUMBER(SEARCH(Rules!$D$2:$D$60,$C138)))</f>
        <v>0</v>
      </c>
      <c r="G138" s="0" t="n">
        <f aca="false">SUMPRODUCT((Rules!$A$2:$A$60=G$1)*Rules!$C$2:$C$60*ISNUMBER(SEARCH(Rules!$D$2:$D$60,$C138)))</f>
        <v>0</v>
      </c>
      <c r="H138" s="0" t="n">
        <f aca="false">SUMPRODUCT((Rules!$A$2:$A$60=H$1)*Rules!$C$2:$C$60*ISNUMBER(SEARCH(Rules!$D$2:$D$60,$C138)))</f>
        <v>3</v>
      </c>
      <c r="I138" s="0" t="n">
        <f aca="false">SUMPRODUCT((Rules!$A$2:$A$60=I$1)*Rules!$C$2:$C$60*ISNUMBER(SEARCH(Rules!$D$2:$D$60,$C138)))</f>
        <v>0</v>
      </c>
      <c r="J138" s="0" t="str">
        <f aca="false">IF(OR(MAX(D138:I138)&lt;Rules!$H$1,MAX(D138:I138)-LARGE(D138:I138,2)&lt;Rules!$H$2),"No label",INDEX($D$1:$I$1,MATCH(MAX(D138:I138),D138:I138,0)))</f>
        <v>Delays &amp; Processing</v>
      </c>
      <c r="K138" s="0" t="n">
        <f aca="false">SUMPRODUCT(ISNUMBER(SEARCH(" "&amp;Terms!$A$3:$A$821&amp;" ",$C138))*Terms!B$3:B$821)+Terms!B$2</f>
        <v>-5.53252081327322</v>
      </c>
      <c r="L138" s="0" t="n">
        <f aca="false">SUMPRODUCT(ISNUMBER(SEARCH(" "&amp;Terms!$A$3:$A$821&amp;" ",$C138))*Terms!C$3:C$821)+Terms!C$2</f>
        <v>0.18298965682963</v>
      </c>
      <c r="M138" s="0" t="n">
        <f aca="false">SUMPRODUCT(ISNUMBER(SEARCH(" "&amp;Terms!$A$3:$A$821&amp;" ",$C138))*Terms!D$3:D$821)+Terms!D$2</f>
        <v>6.8867660883682</v>
      </c>
      <c r="N138" s="0" t="n">
        <f aca="false">SUMPRODUCT(ISNUMBER(SEARCH(" "&amp;Terms!$A$3:$A$821&amp;" ",$C138))*Terms!E$3:E$821)+Terms!E$2</f>
        <v>0.275924948877593</v>
      </c>
      <c r="O138" s="0" t="n">
        <f aca="false">SUMPRODUCT(ISNUMBER(SEARCH(" "&amp;Terms!$A$3:$A$821&amp;" ",$C138))*Terms!F$3:F$821)+Terms!F$2</f>
        <v>0.390208720777594</v>
      </c>
      <c r="P138" s="0" t="n">
        <f aca="false">SUMPRODUCT(ISNUMBER(SEARCH(" "&amp;Terms!$A$3:$A$821&amp;" ",$C138))*Terms!G$3:G$821)+Terms!G$2</f>
        <v>-2.2033686015797</v>
      </c>
      <c r="Q138" s="0" t="str">
        <f aca="false">INDEX($K$1:$P$1,MATCH(MAX(K138:P138),K138:P138,0))</f>
        <v>Delays &amp; Processing</v>
      </c>
      <c r="R138" s="0" t="str">
        <f aca="false">IF(J138&lt;&gt;"No label",J138,Q138)</f>
        <v>Delays &amp; Processing</v>
      </c>
      <c r="S138" s="0" t="str">
        <f aca="false">INDEX(Answers!$B$2:$B$201,MATCH(A138,Answers!$A$2:$A$201,0))</f>
        <v>Delays &amp; Processing</v>
      </c>
      <c r="T138" s="4" t="b">
        <f aca="false">R138=S138</f>
        <v>1</v>
      </c>
    </row>
    <row r="139" customFormat="false" ht="15" hidden="false" customHeight="false" outlineLevel="0" collapsed="false">
      <c r="A139" s="0" t="str">
        <f aca="false">NewComplaints!A139</f>
        <v>N0138</v>
      </c>
      <c r="B139" s="0" t="str">
        <f aca="false">NewComplaints!B139</f>
        <v>To whom it may concern, My application has been stuck for weeks with no progress. Please escalate this.</v>
      </c>
      <c r="C139" s="0" t="str">
        <f aca="false">" "&amp;TRIM(SUBSTITUTE(SUBSTITUTE(SUBSTITUTE(SUBSTITUTE(SUBSTITUTE(SUBSTITUTE(SUBSTITUTE(SUBSTITUTE(SUBSTITUTE(SUBSTITUTE(SUBSTITUTE(SUBSTITUTE(SUBSTITUTE(SUBSTITUTE(SUBSTITUTE(SUBSTITUTE(LOWER(B139),"."," "),","," "),"'"," "),"’"," "),"!"," "),"?"," "),";"," "),":"," "),"-"," "),"("," "),")"," "),"""", " "),"£"," "),"&amp;"," "),"/"," "),"%"," "))&amp;" "</f>
        <v> to whom it may concern my application has been stuck for weeks with no progress please escalate this </v>
      </c>
      <c r="D139" s="0" t="n">
        <f aca="false">SUMPRODUCT((Rules!$A$2:$A$60=D$1)*Rules!$C$2:$C$60*ISNUMBER(SEARCH(Rules!$D$2:$D$60,$C139)))</f>
        <v>0</v>
      </c>
      <c r="E139" s="0" t="n">
        <f aca="false">SUMPRODUCT((Rules!$A$2:$A$60=E$1)*Rules!$C$2:$C$60*ISNUMBER(SEARCH(Rules!$D$2:$D$60,$C139)))</f>
        <v>0</v>
      </c>
      <c r="F139" s="0" t="n">
        <f aca="false">SUMPRODUCT((Rules!$A$2:$A$60=F$1)*Rules!$C$2:$C$60*ISNUMBER(SEARCH(Rules!$D$2:$D$60,$C139)))</f>
        <v>0</v>
      </c>
      <c r="G139" s="0" t="n">
        <f aca="false">SUMPRODUCT((Rules!$A$2:$A$60=G$1)*Rules!$C$2:$C$60*ISNUMBER(SEARCH(Rules!$D$2:$D$60,$C139)))</f>
        <v>0</v>
      </c>
      <c r="H139" s="0" t="n">
        <f aca="false">SUMPRODUCT((Rules!$A$2:$A$60=H$1)*Rules!$C$2:$C$60*ISNUMBER(SEARCH(Rules!$D$2:$D$60,$C139)))</f>
        <v>3</v>
      </c>
      <c r="I139" s="0" t="n">
        <f aca="false">SUMPRODUCT((Rules!$A$2:$A$60=I$1)*Rules!$C$2:$C$60*ISNUMBER(SEARCH(Rules!$D$2:$D$60,$C139)))</f>
        <v>0</v>
      </c>
      <c r="J139" s="0" t="str">
        <f aca="false">IF(OR(MAX(D139:I139)&lt;Rules!$H$1,MAX(D139:I139)-LARGE(D139:I139,2)&lt;Rules!$H$2),"No label",INDEX($D$1:$I$1,MATCH(MAX(D139:I139),D139:I139,0)))</f>
        <v>Delays &amp; Processing</v>
      </c>
      <c r="K139" s="0" t="n">
        <f aca="false">SUMPRODUCT(ISNUMBER(SEARCH(" "&amp;Terms!$A$3:$A$821&amp;" ",$C139))*Terms!B$3:B$821)+Terms!B$2</f>
        <v>-2.75389007930601</v>
      </c>
      <c r="L139" s="0" t="n">
        <f aca="false">SUMPRODUCT(ISNUMBER(SEARCH(" "&amp;Terms!$A$3:$A$821&amp;" ",$C139))*Terms!C$3:C$821)+Terms!C$2</f>
        <v>0.326565227814646</v>
      </c>
      <c r="M139" s="0" t="n">
        <f aca="false">SUMPRODUCT(ISNUMBER(SEARCH(" "&amp;Terms!$A$3:$A$821&amp;" ",$C139))*Terms!D$3:D$821)+Terms!D$2</f>
        <v>7.71128685976957</v>
      </c>
      <c r="N139" s="0" t="n">
        <f aca="false">SUMPRODUCT(ISNUMBER(SEARCH(" "&amp;Terms!$A$3:$A$821&amp;" ",$C139))*Terms!E$3:E$821)+Terms!E$2</f>
        <v>0.0211269702501782</v>
      </c>
      <c r="O139" s="0" t="n">
        <f aca="false">SUMPRODUCT(ISNUMBER(SEARCH(" "&amp;Terms!$A$3:$A$821&amp;" ",$C139))*Terms!F$3:F$821)+Terms!F$2</f>
        <v>-3.5923815542748</v>
      </c>
      <c r="P139" s="0" t="n">
        <f aca="false">SUMPRODUCT(ISNUMBER(SEARCH(" "&amp;Terms!$A$3:$A$821&amp;" ",$C139))*Terms!G$3:G$821)+Terms!G$2</f>
        <v>-1.7127074242535</v>
      </c>
      <c r="Q139" s="0" t="str">
        <f aca="false">INDEX($K$1:$P$1,MATCH(MAX(K139:P139),K139:P139,0))</f>
        <v>Delays &amp; Processing</v>
      </c>
      <c r="R139" s="0" t="str">
        <f aca="false">IF(J139&lt;&gt;"No label",J139,Q139)</f>
        <v>Delays &amp; Processing</v>
      </c>
      <c r="S139" s="0" t="str">
        <f aca="false">INDEX(Answers!$B$2:$B$201,MATCH(A139,Answers!$A$2:$A$201,0))</f>
        <v>Delays &amp; Processing</v>
      </c>
      <c r="T139" s="4" t="b">
        <f aca="false">R139=S139</f>
        <v>1</v>
      </c>
    </row>
    <row r="140" customFormat="false" ht="15" hidden="false" customHeight="false" outlineLevel="0" collapsed="false">
      <c r="A140" s="0" t="str">
        <f aca="false">NewComplaints!A140</f>
        <v>N0139</v>
      </c>
      <c r="B140" s="0" t="str">
        <f aca="false">NewComplaints!B140</f>
        <v>To whom it may concern, I was hit with a penalty charge for a payment I made on time. I could not log in to check either. This is not acceptable.</v>
      </c>
      <c r="C140" s="0" t="str">
        <f aca="false">" "&amp;TRIM(SUBSTITUTE(SUBSTITUTE(SUBSTITUTE(SUBSTITUTE(SUBSTITUTE(SUBSTITUTE(SUBSTITUTE(SUBSTITUTE(SUBSTITUTE(SUBSTITUTE(SUBSTITUTE(SUBSTITUTE(SUBSTITUTE(SUBSTITUTE(SUBSTITUTE(SUBSTITUTE(LOWER(B140),"."," "),","," "),"'"," "),"’"," "),"!"," "),"?"," "),";"," "),":"," "),"-"," "),"("," "),")"," "),"""", " "),"£"," "),"&amp;"," "),"/"," "),"%"," "))&amp;" "</f>
        <v> to whom it may concern i was hit with a penalty charge for a payment i made on time i could not log in to check either this is not acceptable </v>
      </c>
      <c r="D140" s="0" t="n">
        <f aca="false">SUMPRODUCT((Rules!$A$2:$A$60=D$1)*Rules!$C$2:$C$60*ISNUMBER(SEARCH(Rules!$D$2:$D$60,$C140)))</f>
        <v>0</v>
      </c>
      <c r="E140" s="0" t="n">
        <f aca="false">SUMPRODUCT((Rules!$A$2:$A$60=E$1)*Rules!$C$2:$C$60*ISNUMBER(SEARCH(Rules!$D$2:$D$60,$C140)))</f>
        <v>0</v>
      </c>
      <c r="F140" s="0" t="n">
        <f aca="false">SUMPRODUCT((Rules!$A$2:$A$60=F$1)*Rules!$C$2:$C$60*ISNUMBER(SEARCH(Rules!$D$2:$D$60,$C140)))</f>
        <v>3</v>
      </c>
      <c r="G140" s="0" t="n">
        <f aca="false">SUMPRODUCT((Rules!$A$2:$A$60=G$1)*Rules!$C$2:$C$60*ISNUMBER(SEARCH(Rules!$D$2:$D$60,$C140)))</f>
        <v>4</v>
      </c>
      <c r="H140" s="0" t="n">
        <f aca="false">SUMPRODUCT((Rules!$A$2:$A$60=H$1)*Rules!$C$2:$C$60*ISNUMBER(SEARCH(Rules!$D$2:$D$60,$C140)))</f>
        <v>0</v>
      </c>
      <c r="I140" s="0" t="n">
        <f aca="false">SUMPRODUCT((Rules!$A$2:$A$60=I$1)*Rules!$C$2:$C$60*ISNUMBER(SEARCH(Rules!$D$2:$D$60,$C140)))</f>
        <v>0</v>
      </c>
      <c r="J140" s="0" t="str">
        <f aca="false">IF(OR(MAX(D140:I140)&lt;Rules!$H$1,MAX(D140:I140)-LARGE(D140:I140,2)&lt;Rules!$H$2),"No label",INDEX($D$1:$I$1,MATCH(MAX(D140:I140),D140:I140,0)))</f>
        <v>No label</v>
      </c>
      <c r="K140" s="0" t="n">
        <f aca="false">SUMPRODUCT(ISNUMBER(SEARCH(" "&amp;Terms!$A$3:$A$821&amp;" ",$C140))*Terms!B$3:B$821)+Terms!B$2</f>
        <v>-3.50331641100445</v>
      </c>
      <c r="L140" s="0" t="n">
        <f aca="false">SUMPRODUCT(ISNUMBER(SEARCH(" "&amp;Terms!$A$3:$A$821&amp;" ",$C140))*Terms!C$3:C$821)+Terms!C$2</f>
        <v>-1.23093505671178</v>
      </c>
      <c r="M140" s="0" t="n">
        <f aca="false">SUMPRODUCT(ISNUMBER(SEARCH(" "&amp;Terms!$A$3:$A$821&amp;" ",$C140))*Terms!D$3:D$821)+Terms!D$2</f>
        <v>-0.526134984704158</v>
      </c>
      <c r="N140" s="0" t="n">
        <f aca="false">SUMPRODUCT(ISNUMBER(SEARCH(" "&amp;Terms!$A$3:$A$821&amp;" ",$C140))*Terms!E$3:E$821)+Terms!E$2</f>
        <v>9.86987826737067</v>
      </c>
      <c r="O140" s="0" t="n">
        <f aca="false">SUMPRODUCT(ISNUMBER(SEARCH(" "&amp;Terms!$A$3:$A$821&amp;" ",$C140))*Terms!F$3:F$821)+Terms!F$2</f>
        <v>-2.19460250473678</v>
      </c>
      <c r="P140" s="0" t="n">
        <f aca="false">SUMPRODUCT(ISNUMBER(SEARCH(" "&amp;Terms!$A$3:$A$821&amp;" ",$C140))*Terms!G$3:G$821)+Terms!G$2</f>
        <v>-2.41488931021343</v>
      </c>
      <c r="Q140" s="0" t="str">
        <f aca="false">INDEX($K$1:$P$1,MATCH(MAX(K140:P140),K140:P140,0))</f>
        <v>Fees &amp; Charges</v>
      </c>
      <c r="R140" s="0" t="str">
        <f aca="false">IF(J140&lt;&gt;"No label",J140,Q140)</f>
        <v>Fees &amp; Charges</v>
      </c>
      <c r="S140" s="0" t="str">
        <f aca="false">INDEX(Answers!$B$2:$B$201,MATCH(A140,Answers!$A$2:$A$201,0))</f>
        <v>Fees &amp; Charges</v>
      </c>
      <c r="T140" s="4" t="b">
        <f aca="false">R140=S140</f>
        <v>1</v>
      </c>
    </row>
    <row r="141" customFormat="false" ht="15" hidden="false" customHeight="false" outlineLevel="0" collapsed="false">
      <c r="A141" s="0" t="str">
        <f aca="false">NewComplaints!A141</f>
        <v>N0140</v>
      </c>
      <c r="B141" s="0" t="str">
        <f aca="false">NewComplaints!B141</f>
        <v>I am writing to complain. A late payment fee appeared and I want it refunded. I also spent ages on hold when I called about it. Please escalate this.</v>
      </c>
      <c r="C141" s="0" t="str">
        <f aca="false">" "&amp;TRIM(SUBSTITUTE(SUBSTITUTE(SUBSTITUTE(SUBSTITUTE(SUBSTITUTE(SUBSTITUTE(SUBSTITUTE(SUBSTITUTE(SUBSTITUTE(SUBSTITUTE(SUBSTITUTE(SUBSTITUTE(SUBSTITUTE(SUBSTITUTE(SUBSTITUTE(SUBSTITUTE(LOWER(B141),"."," "),","," "),"'"," "),"’"," "),"!"," "),"?"," "),";"," "),":"," "),"-"," "),"("," "),")"," "),"""", " "),"£"," "),"&amp;"," "),"/"," "),"%"," "))&amp;" "</f>
        <v> i am writing to complain a late payment fee appeared and i want it refunded i also spent ages on hold when i called about it please escalate this </v>
      </c>
      <c r="D141" s="0" t="n">
        <f aca="false">SUMPRODUCT((Rules!$A$2:$A$60=D$1)*Rules!$C$2:$C$60*ISNUMBER(SEARCH(Rules!$D$2:$D$60,$C141)))</f>
        <v>0</v>
      </c>
      <c r="E141" s="0" t="n">
        <f aca="false">SUMPRODUCT((Rules!$A$2:$A$60=E$1)*Rules!$C$2:$C$60*ISNUMBER(SEARCH(Rules!$D$2:$D$60,$C141)))</f>
        <v>0</v>
      </c>
      <c r="F141" s="0" t="n">
        <f aca="false">SUMPRODUCT((Rules!$A$2:$A$60=F$1)*Rules!$C$2:$C$60*ISNUMBER(SEARCH(Rules!$D$2:$D$60,$C141)))</f>
        <v>0</v>
      </c>
      <c r="G141" s="0" t="n">
        <f aca="false">SUMPRODUCT((Rules!$A$2:$A$60=G$1)*Rules!$C$2:$C$60*ISNUMBER(SEARCH(Rules!$D$2:$D$60,$C141)))</f>
        <v>2</v>
      </c>
      <c r="H141" s="0" t="n">
        <f aca="false">SUMPRODUCT((Rules!$A$2:$A$60=H$1)*Rules!$C$2:$C$60*ISNUMBER(SEARCH(Rules!$D$2:$D$60,$C141)))</f>
        <v>0</v>
      </c>
      <c r="I141" s="0" t="n">
        <f aca="false">SUMPRODUCT((Rules!$A$2:$A$60=I$1)*Rules!$C$2:$C$60*ISNUMBER(SEARCH(Rules!$D$2:$D$60,$C141)))</f>
        <v>3</v>
      </c>
      <c r="J141" s="0" t="str">
        <f aca="false">IF(OR(MAX(D141:I141)&lt;Rules!$H$1,MAX(D141:I141)-LARGE(D141:I141,2)&lt;Rules!$H$2),"No label",INDEX($D$1:$I$1,MATCH(MAX(D141:I141),D141:I141,0)))</f>
        <v>No label</v>
      </c>
      <c r="K141" s="0" t="n">
        <f aca="false">SUMPRODUCT(ISNUMBER(SEARCH(" "&amp;Terms!$A$3:$A$821&amp;" ",$C141))*Terms!B$3:B$821)+Terms!B$2</f>
        <v>-4.06831253984512</v>
      </c>
      <c r="L141" s="0" t="n">
        <f aca="false">SUMPRODUCT(ISNUMBER(SEARCH(" "&amp;Terms!$A$3:$A$821&amp;" ",$C141))*Terms!C$3:C$821)+Terms!C$2</f>
        <v>-4.01256951940444</v>
      </c>
      <c r="M141" s="0" t="n">
        <f aca="false">SUMPRODUCT(ISNUMBER(SEARCH(" "&amp;Terms!$A$3:$A$821&amp;" ",$C141))*Terms!D$3:D$821)+Terms!D$2</f>
        <v>0.92143579353647</v>
      </c>
      <c r="N141" s="0" t="n">
        <f aca="false">SUMPRODUCT(ISNUMBER(SEARCH(" "&amp;Terms!$A$3:$A$821&amp;" ",$C141))*Terms!E$3:E$821)+Terms!E$2</f>
        <v>13.2357148840305</v>
      </c>
      <c r="O141" s="0" t="n">
        <f aca="false">SUMPRODUCT(ISNUMBER(SEARCH(" "&amp;Terms!$A$3:$A$821&amp;" ",$C141))*Terms!F$3:F$821)+Terms!F$2</f>
        <v>-1.26485199548149</v>
      </c>
      <c r="P141" s="0" t="n">
        <f aca="false">SUMPRODUCT(ISNUMBER(SEARCH(" "&amp;Terms!$A$3:$A$821&amp;" ",$C141))*Terms!G$3:G$821)+Terms!G$2</f>
        <v>-4.81141662283582</v>
      </c>
      <c r="Q141" s="0" t="str">
        <f aca="false">INDEX($K$1:$P$1,MATCH(MAX(K141:P141),K141:P141,0))</f>
        <v>Fees &amp; Charges</v>
      </c>
      <c r="R141" s="0" t="str">
        <f aca="false">IF(J141&lt;&gt;"No label",J141,Q141)</f>
        <v>Fees &amp; Charges</v>
      </c>
      <c r="S141" s="0" t="str">
        <f aca="false">INDEX(Answers!$B$2:$B$201,MATCH(A141,Answers!$A$2:$A$201,0))</f>
        <v>Fees &amp; Charges</v>
      </c>
      <c r="T141" s="4" t="b">
        <f aca="false">R141=S141</f>
        <v>1</v>
      </c>
    </row>
    <row r="142" customFormat="false" ht="15" hidden="false" customHeight="false" outlineLevel="0" collapsed="false">
      <c r="A142" s="0" t="str">
        <f aca="false">NewComplaints!A142</f>
        <v>N0141</v>
      </c>
      <c r="B142" s="0" t="str">
        <f aca="false">NewComplaints!B142</f>
        <v>This is the second time I have raised this. Your advisor gave me different answers on two separate calls. It has also been taking far too long. I would like a response in writing.</v>
      </c>
      <c r="C142" s="0" t="str">
        <f aca="false">" "&amp;TRIM(SUBSTITUTE(SUBSTITUTE(SUBSTITUTE(SUBSTITUTE(SUBSTITUTE(SUBSTITUTE(SUBSTITUTE(SUBSTITUTE(SUBSTITUTE(SUBSTITUTE(SUBSTITUTE(SUBSTITUTE(SUBSTITUTE(SUBSTITUTE(SUBSTITUTE(SUBSTITUTE(LOWER(B142),"."," "),","," "),"'"," "),"’"," "),"!"," "),"?"," "),";"," "),":"," "),"-"," "),"("," "),")"," "),"""", " "),"£"," "),"&amp;"," "),"/"," "),"%"," "))&amp;" "</f>
        <v> this is the second time i have raised this your advisor gave me different answers on two separate calls it has also been taking far too long i would like a response in writing </v>
      </c>
      <c r="D142" s="0" t="n">
        <f aca="false">SUMPRODUCT((Rules!$A$2:$A$60=D$1)*Rules!$C$2:$C$60*ISNUMBER(SEARCH(Rules!$D$2:$D$60,$C142)))</f>
        <v>0</v>
      </c>
      <c r="E142" s="0" t="n">
        <f aca="false">SUMPRODUCT((Rules!$A$2:$A$60=E$1)*Rules!$C$2:$C$60*ISNUMBER(SEARCH(Rules!$D$2:$D$60,$C142)))</f>
        <v>0</v>
      </c>
      <c r="F142" s="0" t="n">
        <f aca="false">SUMPRODUCT((Rules!$A$2:$A$60=F$1)*Rules!$C$2:$C$60*ISNUMBER(SEARCH(Rules!$D$2:$D$60,$C142)))</f>
        <v>0</v>
      </c>
      <c r="G142" s="0" t="n">
        <f aca="false">SUMPRODUCT((Rules!$A$2:$A$60=G$1)*Rules!$C$2:$C$60*ISNUMBER(SEARCH(Rules!$D$2:$D$60,$C142)))</f>
        <v>0</v>
      </c>
      <c r="H142" s="0" t="n">
        <f aca="false">SUMPRODUCT((Rules!$A$2:$A$60=H$1)*Rules!$C$2:$C$60*ISNUMBER(SEARCH(Rules!$D$2:$D$60,$C142)))</f>
        <v>0</v>
      </c>
      <c r="I142" s="0" t="n">
        <f aca="false">SUMPRODUCT((Rules!$A$2:$A$60=I$1)*Rules!$C$2:$C$60*ISNUMBER(SEARCH(Rules!$D$2:$D$60,$C142)))</f>
        <v>1</v>
      </c>
      <c r="J142" s="0" t="str">
        <f aca="false">IF(OR(MAX(D142:I142)&lt;Rules!$H$1,MAX(D142:I142)-LARGE(D142:I142,2)&lt;Rules!$H$2),"No label",INDEX($D$1:$I$1,MATCH(MAX(D142:I142),D142:I142,0)))</f>
        <v>No label</v>
      </c>
      <c r="K142" s="0" t="n">
        <f aca="false">SUMPRODUCT(ISNUMBER(SEARCH(" "&amp;Terms!$A$3:$A$821&amp;" ",$C142))*Terms!B$3:B$821)+Terms!B$2</f>
        <v>-2.38397037834645</v>
      </c>
      <c r="L142" s="0" t="n">
        <f aca="false">SUMPRODUCT(ISNUMBER(SEARCH(" "&amp;Terms!$A$3:$A$821&amp;" ",$C142))*Terms!C$3:C$821)+Terms!C$2</f>
        <v>13.9095185311032</v>
      </c>
      <c r="M142" s="0" t="n">
        <f aca="false">SUMPRODUCT(ISNUMBER(SEARCH(" "&amp;Terms!$A$3:$A$821&amp;" ",$C142))*Terms!D$3:D$821)+Terms!D$2</f>
        <v>-3.14748912894502</v>
      </c>
      <c r="N142" s="0" t="n">
        <f aca="false">SUMPRODUCT(ISNUMBER(SEARCH(" "&amp;Terms!$A$3:$A$821&amp;" ",$C142))*Terms!E$3:E$821)+Terms!E$2</f>
        <v>-4.68116182069087</v>
      </c>
      <c r="O142" s="0" t="n">
        <f aca="false">SUMPRODUCT(ISNUMBER(SEARCH(" "&amp;Terms!$A$3:$A$821&amp;" ",$C142))*Terms!F$3:F$821)+Terms!F$2</f>
        <v>-2.27134330322595</v>
      </c>
      <c r="P142" s="0" t="n">
        <f aca="false">SUMPRODUCT(ISNUMBER(SEARCH(" "&amp;Terms!$A$3:$A$821&amp;" ",$C142))*Terms!G$3:G$821)+Terms!G$2</f>
        <v>-1.4255538998948</v>
      </c>
      <c r="Q142" s="0" t="str">
        <f aca="false">INDEX($K$1:$P$1,MATCH(MAX(K142:P142),K142:P142,0))</f>
        <v>Customer Service</v>
      </c>
      <c r="R142" s="0" t="str">
        <f aca="false">IF(J142&lt;&gt;"No label",J142,Q142)</f>
        <v>Customer Service</v>
      </c>
      <c r="S142" s="0" t="str">
        <f aca="false">INDEX(Answers!$B$2:$B$201,MATCH(A142,Answers!$A$2:$A$201,0))</f>
        <v>Customer Service</v>
      </c>
      <c r="T142" s="4" t="b">
        <f aca="false">R142=S142</f>
        <v>1</v>
      </c>
    </row>
    <row r="143" customFormat="false" ht="15" hidden="false" customHeight="false" outlineLevel="0" collapsed="false">
      <c r="A143" s="0" t="str">
        <f aca="false">NewComplaints!A143</f>
        <v>N0142</v>
      </c>
      <c r="B143" s="0" t="str">
        <f aca="false">NewComplaints!B143</f>
        <v>This is the second time I have raised this. It has taken six weeks to process my claim and nobody has updated me.</v>
      </c>
      <c r="C143" s="0" t="str">
        <f aca="false">" "&amp;TRIM(SUBSTITUTE(SUBSTITUTE(SUBSTITUTE(SUBSTITUTE(SUBSTITUTE(SUBSTITUTE(SUBSTITUTE(SUBSTITUTE(SUBSTITUTE(SUBSTITUTE(SUBSTITUTE(SUBSTITUTE(SUBSTITUTE(SUBSTITUTE(SUBSTITUTE(SUBSTITUTE(LOWER(B143),"."," "),","," "),"'"," "),"’"," "),"!"," "),"?"," "),";"," "),":"," "),"-"," "),"("," "),")"," "),"""", " "),"£"," "),"&amp;"," "),"/"," "),"%"," "))&amp;" "</f>
        <v> this is the second time i have raised this it has taken six weeks to process my claim and nobody has updated me </v>
      </c>
      <c r="D143" s="0" t="n">
        <f aca="false">SUMPRODUCT((Rules!$A$2:$A$60=D$1)*Rules!$C$2:$C$60*ISNUMBER(SEARCH(Rules!$D$2:$D$60,$C143)))</f>
        <v>0</v>
      </c>
      <c r="E143" s="0" t="n">
        <f aca="false">SUMPRODUCT((Rules!$A$2:$A$60=E$1)*Rules!$C$2:$C$60*ISNUMBER(SEARCH(Rules!$D$2:$D$60,$C143)))</f>
        <v>0</v>
      </c>
      <c r="F143" s="0" t="n">
        <f aca="false">SUMPRODUCT((Rules!$A$2:$A$60=F$1)*Rules!$C$2:$C$60*ISNUMBER(SEARCH(Rules!$D$2:$D$60,$C143)))</f>
        <v>0</v>
      </c>
      <c r="G143" s="0" t="n">
        <f aca="false">SUMPRODUCT((Rules!$A$2:$A$60=G$1)*Rules!$C$2:$C$60*ISNUMBER(SEARCH(Rules!$D$2:$D$60,$C143)))</f>
        <v>0</v>
      </c>
      <c r="H143" s="0" t="n">
        <f aca="false">SUMPRODUCT((Rules!$A$2:$A$60=H$1)*Rules!$C$2:$C$60*ISNUMBER(SEARCH(Rules!$D$2:$D$60,$C143)))</f>
        <v>2</v>
      </c>
      <c r="I143" s="0" t="n">
        <f aca="false">SUMPRODUCT((Rules!$A$2:$A$60=I$1)*Rules!$C$2:$C$60*ISNUMBER(SEARCH(Rules!$D$2:$D$60,$C143)))</f>
        <v>0</v>
      </c>
      <c r="J143" s="0" t="str">
        <f aca="false">IF(OR(MAX(D143:I143)&lt;Rules!$H$1,MAX(D143:I143)-LARGE(D143:I143,2)&lt;Rules!$H$2),"No label",INDEX($D$1:$I$1,MATCH(MAX(D143:I143),D143:I143,0)))</f>
        <v>No label</v>
      </c>
      <c r="K143" s="0" t="n">
        <f aca="false">SUMPRODUCT(ISNUMBER(SEARCH(" "&amp;Terms!$A$3:$A$821&amp;" ",$C143))*Terms!B$3:B$821)+Terms!B$2</f>
        <v>-3.98711175523863</v>
      </c>
      <c r="L143" s="0" t="n">
        <f aca="false">SUMPRODUCT(ISNUMBER(SEARCH(" "&amp;Terms!$A$3:$A$821&amp;" ",$C143))*Terms!C$3:C$821)+Terms!C$2</f>
        <v>-0.939106011789069</v>
      </c>
      <c r="M143" s="0" t="n">
        <f aca="false">SUMPRODUCT(ISNUMBER(SEARCH(" "&amp;Terms!$A$3:$A$821&amp;" ",$C143))*Terms!D$3:D$821)+Terms!D$2</f>
        <v>6.88370493852945</v>
      </c>
      <c r="N143" s="0" t="n">
        <f aca="false">SUMPRODUCT(ISNUMBER(SEARCH(" "&amp;Terms!$A$3:$A$821&amp;" ",$C143))*Terms!E$3:E$821)+Terms!E$2</f>
        <v>-0.56293165321283</v>
      </c>
      <c r="O143" s="0" t="n">
        <f aca="false">SUMPRODUCT(ISNUMBER(SEARCH(" "&amp;Terms!$A$3:$A$821&amp;" ",$C143))*Terms!F$3:F$821)+Terms!F$2</f>
        <v>0.0775805184088542</v>
      </c>
      <c r="P143" s="0" t="n">
        <f aca="false">SUMPRODUCT(ISNUMBER(SEARCH(" "&amp;Terms!$A$3:$A$821&amp;" ",$C143))*Terms!G$3:G$821)+Terms!G$2</f>
        <v>-1.47213603669768</v>
      </c>
      <c r="Q143" s="0" t="str">
        <f aca="false">INDEX($K$1:$P$1,MATCH(MAX(K143:P143),K143:P143,0))</f>
        <v>Delays &amp; Processing</v>
      </c>
      <c r="R143" s="0" t="str">
        <f aca="false">IF(J143&lt;&gt;"No label",J143,Q143)</f>
        <v>Delays &amp; Processing</v>
      </c>
      <c r="S143" s="0" t="str">
        <f aca="false">INDEX(Answers!$B$2:$B$201,MATCH(A143,Answers!$A$2:$A$201,0))</f>
        <v>Delays &amp; Processing</v>
      </c>
      <c r="T143" s="4" t="b">
        <f aca="false">R143=S143</f>
        <v>1</v>
      </c>
    </row>
    <row r="144" customFormat="false" ht="15" hidden="false" customHeight="false" outlineLevel="0" collapsed="false">
      <c r="A144" s="0" t="str">
        <f aca="false">NewComplaints!A144</f>
        <v>N0143</v>
      </c>
      <c r="B144" s="0" t="str">
        <f aca="false">NewComplaints!B144</f>
        <v>The direct debit setup was delayed and I missed a bill because of it. I am worried it might be fraud.</v>
      </c>
      <c r="C144" s="0" t="str">
        <f aca="false">" "&amp;TRIM(SUBSTITUTE(SUBSTITUTE(SUBSTITUTE(SUBSTITUTE(SUBSTITUTE(SUBSTITUTE(SUBSTITUTE(SUBSTITUTE(SUBSTITUTE(SUBSTITUTE(SUBSTITUTE(SUBSTITUTE(SUBSTITUTE(SUBSTITUTE(SUBSTITUTE(SUBSTITUTE(LOWER(B144),"."," "),","," "),"'"," "),"’"," "),"!"," "),"?"," "),";"," "),":"," "),"-"," "),"("," "),")"," "),"""", " "),"£"," "),"&amp;"," "),"/"," "),"%"," "))&amp;" "</f>
        <v> the direct debit setup was delayed and i missed a bill because of it i am worried it might be fraud </v>
      </c>
      <c r="D144" s="0" t="n">
        <f aca="false">SUMPRODUCT((Rules!$A$2:$A$60=D$1)*Rules!$C$2:$C$60*ISNUMBER(SEARCH(Rules!$D$2:$D$60,$C144)))</f>
        <v>3</v>
      </c>
      <c r="E144" s="0" t="n">
        <f aca="false">SUMPRODUCT((Rules!$A$2:$A$60=E$1)*Rules!$C$2:$C$60*ISNUMBER(SEARCH(Rules!$D$2:$D$60,$C144)))</f>
        <v>0</v>
      </c>
      <c r="F144" s="0" t="n">
        <f aca="false">SUMPRODUCT((Rules!$A$2:$A$60=F$1)*Rules!$C$2:$C$60*ISNUMBER(SEARCH(Rules!$D$2:$D$60,$C144)))</f>
        <v>0</v>
      </c>
      <c r="G144" s="0" t="n">
        <f aca="false">SUMPRODUCT((Rules!$A$2:$A$60=G$1)*Rules!$C$2:$C$60*ISNUMBER(SEARCH(Rules!$D$2:$D$60,$C144)))</f>
        <v>0</v>
      </c>
      <c r="H144" s="0" t="n">
        <f aca="false">SUMPRODUCT((Rules!$A$2:$A$60=H$1)*Rules!$C$2:$C$60*ISNUMBER(SEARCH(Rules!$D$2:$D$60,$C144)))</f>
        <v>2</v>
      </c>
      <c r="I144" s="0" t="n">
        <f aca="false">SUMPRODUCT((Rules!$A$2:$A$60=I$1)*Rules!$C$2:$C$60*ISNUMBER(SEARCH(Rules!$D$2:$D$60,$C144)))</f>
        <v>0</v>
      </c>
      <c r="J144" s="0" t="str">
        <f aca="false">IF(OR(MAX(D144:I144)&lt;Rules!$H$1,MAX(D144:I144)-LARGE(D144:I144,2)&lt;Rules!$H$2),"No label",INDEX($D$1:$I$1,MATCH(MAX(D144:I144),D144:I144,0)))</f>
        <v>No label</v>
      </c>
      <c r="K144" s="0" t="n">
        <f aca="false">SUMPRODUCT(ISNUMBER(SEARCH(" "&amp;Terms!$A$3:$A$821&amp;" ",$C144))*Terms!B$3:B$821)+Terms!B$2</f>
        <v>-2.73515239212758</v>
      </c>
      <c r="L144" s="0" t="n">
        <f aca="false">SUMPRODUCT(ISNUMBER(SEARCH(" "&amp;Terms!$A$3:$A$821&amp;" ",$C144))*Terms!C$3:C$821)+Terms!C$2</f>
        <v>-2.62592994565945</v>
      </c>
      <c r="M144" s="0" t="n">
        <f aca="false">SUMPRODUCT(ISNUMBER(SEARCH(" "&amp;Terms!$A$3:$A$821&amp;" ",$C144))*Terms!D$3:D$821)+Terms!D$2</f>
        <v>11.3152702885644</v>
      </c>
      <c r="N144" s="0" t="n">
        <f aca="false">SUMPRODUCT(ISNUMBER(SEARCH(" "&amp;Terms!$A$3:$A$821&amp;" ",$C144))*Terms!E$3:E$821)+Terms!E$2</f>
        <v>-3.22671568266845</v>
      </c>
      <c r="O144" s="0" t="n">
        <f aca="false">SUMPRODUCT(ISNUMBER(SEARCH(" "&amp;Terms!$A$3:$A$821&amp;" ",$C144))*Terms!F$3:F$821)+Terms!F$2</f>
        <v>-0.0893190271775924</v>
      </c>
      <c r="P144" s="0" t="n">
        <f aca="false">SUMPRODUCT(ISNUMBER(SEARCH(" "&amp;Terms!$A$3:$A$821&amp;" ",$C144))*Terms!G$3:G$821)+Terms!G$2</f>
        <v>-2.63815324093121</v>
      </c>
      <c r="Q144" s="0" t="str">
        <f aca="false">INDEX($K$1:$P$1,MATCH(MAX(K144:P144),K144:P144,0))</f>
        <v>Delays &amp; Processing</v>
      </c>
      <c r="R144" s="0" t="str">
        <f aca="false">IF(J144&lt;&gt;"No label",J144,Q144)</f>
        <v>Delays &amp; Processing</v>
      </c>
      <c r="S144" s="0" t="str">
        <f aca="false">INDEX(Answers!$B$2:$B$201,MATCH(A144,Answers!$A$2:$A$201,0))</f>
        <v>Delays &amp; Processing</v>
      </c>
      <c r="T144" s="4" t="b">
        <f aca="false">R144=S144</f>
        <v>1</v>
      </c>
    </row>
    <row r="145" customFormat="false" ht="15" hidden="false" customHeight="false" outlineLevel="0" collapsed="false">
      <c r="A145" s="0" t="str">
        <f aca="false">NewComplaints!A145</f>
        <v>N0144</v>
      </c>
      <c r="B145" s="0" t="str">
        <f aca="false">NewComplaints!B145</f>
        <v>I have been a customer for years. My transfer has been pending for over a week. I am worried it might be fraud. Please escalate this.</v>
      </c>
      <c r="C145" s="0" t="str">
        <f aca="false">" "&amp;TRIM(SUBSTITUTE(SUBSTITUTE(SUBSTITUTE(SUBSTITUTE(SUBSTITUTE(SUBSTITUTE(SUBSTITUTE(SUBSTITUTE(SUBSTITUTE(SUBSTITUTE(SUBSTITUTE(SUBSTITUTE(SUBSTITUTE(SUBSTITUTE(SUBSTITUTE(SUBSTITUTE(LOWER(B145),"."," "),","," "),"'"," "),"’"," "),"!"," "),"?"," "),";"," "),":"," "),"-"," "),"("," "),")"," "),"""", " "),"£"," "),"&amp;"," "),"/"," "),"%"," "))&amp;" "</f>
        <v> i have been a customer for years my transfer has been pending for over a week i am worried it might be fraud please escalate this </v>
      </c>
      <c r="D145" s="0" t="n">
        <f aca="false">SUMPRODUCT((Rules!$A$2:$A$60=D$1)*Rules!$C$2:$C$60*ISNUMBER(SEARCH(Rules!$D$2:$D$60,$C145)))</f>
        <v>3</v>
      </c>
      <c r="E145" s="0" t="n">
        <f aca="false">SUMPRODUCT((Rules!$A$2:$A$60=E$1)*Rules!$C$2:$C$60*ISNUMBER(SEARCH(Rules!$D$2:$D$60,$C145)))</f>
        <v>0</v>
      </c>
      <c r="F145" s="0" t="n">
        <f aca="false">SUMPRODUCT((Rules!$A$2:$A$60=F$1)*Rules!$C$2:$C$60*ISNUMBER(SEARCH(Rules!$D$2:$D$60,$C145)))</f>
        <v>0</v>
      </c>
      <c r="G145" s="0" t="n">
        <f aca="false">SUMPRODUCT((Rules!$A$2:$A$60=G$1)*Rules!$C$2:$C$60*ISNUMBER(SEARCH(Rules!$D$2:$D$60,$C145)))</f>
        <v>0</v>
      </c>
      <c r="H145" s="0" t="n">
        <f aca="false">SUMPRODUCT((Rules!$A$2:$A$60=H$1)*Rules!$C$2:$C$60*ISNUMBER(SEARCH(Rules!$D$2:$D$60,$C145)))</f>
        <v>2</v>
      </c>
      <c r="I145" s="0" t="n">
        <f aca="false">SUMPRODUCT((Rules!$A$2:$A$60=I$1)*Rules!$C$2:$C$60*ISNUMBER(SEARCH(Rules!$D$2:$D$60,$C145)))</f>
        <v>0</v>
      </c>
      <c r="J145" s="0" t="str">
        <f aca="false">IF(OR(MAX(D145:I145)&lt;Rules!$H$1,MAX(D145:I145)-LARGE(D145:I145,2)&lt;Rules!$H$2),"No label",INDEX($D$1:$I$1,MATCH(MAX(D145:I145),D145:I145,0)))</f>
        <v>No label</v>
      </c>
      <c r="K145" s="0" t="n">
        <f aca="false">SUMPRODUCT(ISNUMBER(SEARCH(" "&amp;Terms!$A$3:$A$821&amp;" ",$C145))*Terms!B$3:B$821)+Terms!B$2</f>
        <v>-0.527223105537752</v>
      </c>
      <c r="L145" s="0" t="n">
        <f aca="false">SUMPRODUCT(ISNUMBER(SEARCH(" "&amp;Terms!$A$3:$A$821&amp;" ",$C145))*Terms!C$3:C$821)+Terms!C$2</f>
        <v>-0.0665723716579516</v>
      </c>
      <c r="M145" s="0" t="n">
        <f aca="false">SUMPRODUCT(ISNUMBER(SEARCH(" "&amp;Terms!$A$3:$A$821&amp;" ",$C145))*Terms!D$3:D$821)+Terms!D$2</f>
        <v>7.32188079130528</v>
      </c>
      <c r="N145" s="0" t="n">
        <f aca="false">SUMPRODUCT(ISNUMBER(SEARCH(" "&amp;Terms!$A$3:$A$821&amp;" ",$C145))*Terms!E$3:E$821)+Terms!E$2</f>
        <v>-3.02600357292968</v>
      </c>
      <c r="O145" s="0" t="n">
        <f aca="false">SUMPRODUCT(ISNUMBER(SEARCH(" "&amp;Terms!$A$3:$A$821&amp;" ",$C145))*Terms!F$3:F$821)+Terms!F$2</f>
        <v>-1.24800438519584</v>
      </c>
      <c r="P145" s="0" t="n">
        <f aca="false">SUMPRODUCT(ISNUMBER(SEARCH(" "&amp;Terms!$A$3:$A$821&amp;" ",$C145))*Terms!G$3:G$821)+Terms!G$2</f>
        <v>-2.45407735598396</v>
      </c>
      <c r="Q145" s="0" t="str">
        <f aca="false">INDEX($K$1:$P$1,MATCH(MAX(K145:P145),K145:P145,0))</f>
        <v>Delays &amp; Processing</v>
      </c>
      <c r="R145" s="0" t="str">
        <f aca="false">IF(J145&lt;&gt;"No label",J145,Q145)</f>
        <v>Delays &amp; Processing</v>
      </c>
      <c r="S145" s="0" t="str">
        <f aca="false">INDEX(Answers!$B$2:$B$201,MATCH(A145,Answers!$A$2:$A$201,0))</f>
        <v>Delays &amp; Processing</v>
      </c>
      <c r="T145" s="4" t="b">
        <f aca="false">R145=S145</f>
        <v>1</v>
      </c>
    </row>
    <row r="146" customFormat="false" ht="15" hidden="false" customHeight="false" outlineLevel="0" collapsed="false">
      <c r="A146" s="0" t="str">
        <f aca="false">NewComplaints!A146</f>
        <v>N0145</v>
      </c>
      <c r="B146" s="0" t="str">
        <f aca="false">NewComplaints!B146</f>
        <v>I have been a customer for years. The webchat agent ended the conversation without solving anything. Also, my application has been stuck for weeks with no progress. This is not acceptable.</v>
      </c>
      <c r="C146" s="0" t="str">
        <f aca="false">" "&amp;TRIM(SUBSTITUTE(SUBSTITUTE(SUBSTITUTE(SUBSTITUTE(SUBSTITUTE(SUBSTITUTE(SUBSTITUTE(SUBSTITUTE(SUBSTITUTE(SUBSTITUTE(SUBSTITUTE(SUBSTITUTE(SUBSTITUTE(SUBSTITUTE(SUBSTITUTE(SUBSTITUTE(LOWER(B146),"."," "),","," "),"'"," "),"’"," "),"!"," "),"?"," "),";"," "),":"," "),"-"," "),"("," "),")"," "),"""", " "),"£"," "),"&amp;"," "),"/"," "),"%"," "))&amp;" "</f>
        <v> i have been a customer for years the webchat agent ended the conversation without solving anything also my application has been stuck for weeks with no progress this is not acceptable </v>
      </c>
      <c r="D146" s="0" t="n">
        <f aca="false">SUMPRODUCT((Rules!$A$2:$A$60=D$1)*Rules!$C$2:$C$60*ISNUMBER(SEARCH(Rules!$D$2:$D$60,$C146)))</f>
        <v>0</v>
      </c>
      <c r="E146" s="0" t="n">
        <f aca="false">SUMPRODUCT((Rules!$A$2:$A$60=E$1)*Rules!$C$2:$C$60*ISNUMBER(SEARCH(Rules!$D$2:$D$60,$C146)))</f>
        <v>0</v>
      </c>
      <c r="F146" s="0" t="n">
        <f aca="false">SUMPRODUCT((Rules!$A$2:$A$60=F$1)*Rules!$C$2:$C$60*ISNUMBER(SEARCH(Rules!$D$2:$D$60,$C146)))</f>
        <v>0</v>
      </c>
      <c r="G146" s="0" t="n">
        <f aca="false">SUMPRODUCT((Rules!$A$2:$A$60=G$1)*Rules!$C$2:$C$60*ISNUMBER(SEARCH(Rules!$D$2:$D$60,$C146)))</f>
        <v>0</v>
      </c>
      <c r="H146" s="0" t="n">
        <f aca="false">SUMPRODUCT((Rules!$A$2:$A$60=H$1)*Rules!$C$2:$C$60*ISNUMBER(SEARCH(Rules!$D$2:$D$60,$C146)))</f>
        <v>3</v>
      </c>
      <c r="I146" s="0" t="n">
        <f aca="false">SUMPRODUCT((Rules!$A$2:$A$60=I$1)*Rules!$C$2:$C$60*ISNUMBER(SEARCH(Rules!$D$2:$D$60,$C146)))</f>
        <v>2</v>
      </c>
      <c r="J146" s="0" t="str">
        <f aca="false">IF(OR(MAX(D146:I146)&lt;Rules!$H$1,MAX(D146:I146)-LARGE(D146:I146,2)&lt;Rules!$H$2),"No label",INDEX($D$1:$I$1,MATCH(MAX(D146:I146),D146:I146,0)))</f>
        <v>No label</v>
      </c>
      <c r="K146" s="0" t="n">
        <f aca="false">SUMPRODUCT(ISNUMBER(SEARCH(" "&amp;Terms!$A$3:$A$821&amp;" ",$C146))*Terms!B$3:B$821)+Terms!B$2</f>
        <v>-2.47036423295765</v>
      </c>
      <c r="L146" s="0" t="n">
        <f aca="false">SUMPRODUCT(ISNUMBER(SEARCH(" "&amp;Terms!$A$3:$A$821&amp;" ",$C146))*Terms!C$3:C$821)+Terms!C$2</f>
        <v>9.41775198064274</v>
      </c>
      <c r="M146" s="0" t="n">
        <f aca="false">SUMPRODUCT(ISNUMBER(SEARCH(" "&amp;Terms!$A$3:$A$821&amp;" ",$C146))*Terms!D$3:D$821)+Terms!D$2</f>
        <v>7.16468215177392</v>
      </c>
      <c r="N146" s="0" t="n">
        <f aca="false">SUMPRODUCT(ISNUMBER(SEARCH(" "&amp;Terms!$A$3:$A$821&amp;" ",$C146))*Terms!E$3:E$821)+Terms!E$2</f>
        <v>-5.28871072552105</v>
      </c>
      <c r="O146" s="0" t="n">
        <f aca="false">SUMPRODUCT(ISNUMBER(SEARCH(" "&amp;Terms!$A$3:$A$821&amp;" ",$C146))*Terms!F$3:F$821)+Terms!F$2</f>
        <v>-5.09037287686759</v>
      </c>
      <c r="P146" s="0" t="n">
        <f aca="false">SUMPRODUCT(ISNUMBER(SEARCH(" "&amp;Terms!$A$3:$A$821&amp;" ",$C146))*Terms!G$3:G$821)+Terms!G$2</f>
        <v>-3.73298629707027</v>
      </c>
      <c r="Q146" s="0" t="str">
        <f aca="false">INDEX($K$1:$P$1,MATCH(MAX(K146:P146),K146:P146,0))</f>
        <v>Customer Service</v>
      </c>
      <c r="R146" s="0" t="str">
        <f aca="false">IF(J146&lt;&gt;"No label",J146,Q146)</f>
        <v>Customer Service</v>
      </c>
      <c r="S146" s="0" t="str">
        <f aca="false">INDEX(Answers!$B$2:$B$201,MATCH(A146,Answers!$A$2:$A$201,0))</f>
        <v>Customer Service</v>
      </c>
      <c r="T146" s="4" t="b">
        <f aca="false">R146=S146</f>
        <v>1</v>
      </c>
    </row>
    <row r="147" customFormat="false" ht="15" hidden="false" customHeight="false" outlineLevel="0" collapsed="false">
      <c r="A147" s="0" t="str">
        <f aca="false">NewComplaints!A147</f>
        <v>N0146</v>
      </c>
      <c r="B147" s="0" t="str">
        <f aca="false">NewComplaints!B147</f>
        <v>My online banking is locked and the reset link never arrives. I would like a response in writing.</v>
      </c>
      <c r="C147" s="0" t="str">
        <f aca="false">" "&amp;TRIM(SUBSTITUTE(SUBSTITUTE(SUBSTITUTE(SUBSTITUTE(SUBSTITUTE(SUBSTITUTE(SUBSTITUTE(SUBSTITUTE(SUBSTITUTE(SUBSTITUTE(SUBSTITUTE(SUBSTITUTE(SUBSTITUTE(SUBSTITUTE(SUBSTITUTE(SUBSTITUTE(LOWER(B147),"."," "),","," "),"'"," "),"’"," "),"!"," "),"?"," "),";"," "),":"," "),"-"," "),"("," "),")"," "),"""", " "),"£"," "),"&amp;"," "),"/"," "),"%"," "))&amp;" "</f>
        <v> my online banking is locked and the reset link never arrives i would like a response in writing </v>
      </c>
      <c r="D147" s="0" t="n">
        <f aca="false">SUMPRODUCT((Rules!$A$2:$A$60=D$1)*Rules!$C$2:$C$60*ISNUMBER(SEARCH(Rules!$D$2:$D$60,$C147)))</f>
        <v>0</v>
      </c>
      <c r="E147" s="0" t="n">
        <f aca="false">SUMPRODUCT((Rules!$A$2:$A$60=E$1)*Rules!$C$2:$C$60*ISNUMBER(SEARCH(Rules!$D$2:$D$60,$C147)))</f>
        <v>0</v>
      </c>
      <c r="F147" s="0" t="n">
        <f aca="false">SUMPRODUCT((Rules!$A$2:$A$60=F$1)*Rules!$C$2:$C$60*ISNUMBER(SEARCH(Rules!$D$2:$D$60,$C147)))</f>
        <v>5</v>
      </c>
      <c r="G147" s="0" t="n">
        <f aca="false">SUMPRODUCT((Rules!$A$2:$A$60=G$1)*Rules!$C$2:$C$60*ISNUMBER(SEARCH(Rules!$D$2:$D$60,$C147)))</f>
        <v>0</v>
      </c>
      <c r="H147" s="0" t="n">
        <f aca="false">SUMPRODUCT((Rules!$A$2:$A$60=H$1)*Rules!$C$2:$C$60*ISNUMBER(SEARCH(Rules!$D$2:$D$60,$C147)))</f>
        <v>0</v>
      </c>
      <c r="I147" s="0" t="n">
        <f aca="false">SUMPRODUCT((Rules!$A$2:$A$60=I$1)*Rules!$C$2:$C$60*ISNUMBER(SEARCH(Rules!$D$2:$D$60,$C147)))</f>
        <v>0</v>
      </c>
      <c r="J147" s="0" t="str">
        <f aca="false">IF(OR(MAX(D147:I147)&lt;Rules!$H$1,MAX(D147:I147)-LARGE(D147:I147,2)&lt;Rules!$H$2),"No label",INDEX($D$1:$I$1,MATCH(MAX(D147:I147),D147:I147,0)))</f>
        <v>Account Access</v>
      </c>
      <c r="K147" s="0" t="n">
        <f aca="false">SUMPRODUCT(ISNUMBER(SEARCH(" "&amp;Terms!$A$3:$A$821&amp;" ",$C147))*Terms!B$3:B$821)+Terms!B$2</f>
        <v>10.3010733717603</v>
      </c>
      <c r="L147" s="0" t="n">
        <f aca="false">SUMPRODUCT(ISNUMBER(SEARCH(" "&amp;Terms!$A$3:$A$821&amp;" ",$C147))*Terms!C$3:C$821)+Terms!C$2</f>
        <v>-5.54148422945578</v>
      </c>
      <c r="M147" s="0" t="n">
        <f aca="false">SUMPRODUCT(ISNUMBER(SEARCH(" "&amp;Terms!$A$3:$A$821&amp;" ",$C147))*Terms!D$3:D$821)+Terms!D$2</f>
        <v>-2.75655266811693</v>
      </c>
      <c r="N147" s="0" t="n">
        <f aca="false">SUMPRODUCT(ISNUMBER(SEARCH(" "&amp;Terms!$A$3:$A$821&amp;" ",$C147))*Terms!E$3:E$821)+Terms!E$2</f>
        <v>-0.660282948548543</v>
      </c>
      <c r="O147" s="0" t="n">
        <f aca="false">SUMPRODUCT(ISNUMBER(SEARCH(" "&amp;Terms!$A$3:$A$821&amp;" ",$C147))*Terms!F$3:F$821)+Terms!F$2</f>
        <v>-3.78114503541099</v>
      </c>
      <c r="P147" s="0" t="n">
        <f aca="false">SUMPRODUCT(ISNUMBER(SEARCH(" "&amp;Terms!$A$3:$A$821&amp;" ",$C147))*Terms!G$3:G$821)+Terms!G$2</f>
        <v>2.43839150977205</v>
      </c>
      <c r="Q147" s="0" t="str">
        <f aca="false">INDEX($K$1:$P$1,MATCH(MAX(K147:P147),K147:P147,0))</f>
        <v>Account Access</v>
      </c>
      <c r="R147" s="0" t="str">
        <f aca="false">IF(J147&lt;&gt;"No label",J147,Q147)</f>
        <v>Account Access</v>
      </c>
      <c r="S147" s="0" t="str">
        <f aca="false">INDEX(Answers!$B$2:$B$201,MATCH(A147,Answers!$A$2:$A$201,0))</f>
        <v>Account Access</v>
      </c>
      <c r="T147" s="4" t="b">
        <f aca="false">R147=S147</f>
        <v>1</v>
      </c>
    </row>
    <row r="148" customFormat="false" ht="15" hidden="false" customHeight="false" outlineLevel="0" collapsed="false">
      <c r="A148" s="0" t="str">
        <f aca="false">NewComplaints!A148</f>
        <v>N0147</v>
      </c>
      <c r="B148" s="0" t="str">
        <f aca="false">NewComplaints!B148</f>
        <v>I have been a customer for years. The paperwork was submitted a month ago and I am still waiting. I am worried it might be fraud. This is not acceptable.</v>
      </c>
      <c r="C148" s="0" t="str">
        <f aca="false">" "&amp;TRIM(SUBSTITUTE(SUBSTITUTE(SUBSTITUTE(SUBSTITUTE(SUBSTITUTE(SUBSTITUTE(SUBSTITUTE(SUBSTITUTE(SUBSTITUTE(SUBSTITUTE(SUBSTITUTE(SUBSTITUTE(SUBSTITUTE(SUBSTITUTE(SUBSTITUTE(SUBSTITUTE(LOWER(B148),"."," "),","," "),"'"," "),"’"," "),"!"," "),"?"," "),";"," "),":"," "),"-"," "),"("," "),")"," "),"""", " "),"£"," "),"&amp;"," "),"/"," "),"%"," "))&amp;" "</f>
        <v> i have been a customer for years the paperwork was submitted a month ago and i am still waiting i am worried it might be fraud this is not acceptable </v>
      </c>
      <c r="D148" s="0" t="n">
        <f aca="false">SUMPRODUCT((Rules!$A$2:$A$60=D$1)*Rules!$C$2:$C$60*ISNUMBER(SEARCH(Rules!$D$2:$D$60,$C148)))</f>
        <v>3</v>
      </c>
      <c r="E148" s="0" t="n">
        <f aca="false">SUMPRODUCT((Rules!$A$2:$A$60=E$1)*Rules!$C$2:$C$60*ISNUMBER(SEARCH(Rules!$D$2:$D$60,$C148)))</f>
        <v>0</v>
      </c>
      <c r="F148" s="0" t="n">
        <f aca="false">SUMPRODUCT((Rules!$A$2:$A$60=F$1)*Rules!$C$2:$C$60*ISNUMBER(SEARCH(Rules!$D$2:$D$60,$C148)))</f>
        <v>0</v>
      </c>
      <c r="G148" s="0" t="n">
        <f aca="false">SUMPRODUCT((Rules!$A$2:$A$60=G$1)*Rules!$C$2:$C$60*ISNUMBER(SEARCH(Rules!$D$2:$D$60,$C148)))</f>
        <v>0</v>
      </c>
      <c r="H148" s="0" t="n">
        <f aca="false">SUMPRODUCT((Rules!$A$2:$A$60=H$1)*Rules!$C$2:$C$60*ISNUMBER(SEARCH(Rules!$D$2:$D$60,$C148)))</f>
        <v>2</v>
      </c>
      <c r="I148" s="0" t="n">
        <f aca="false">SUMPRODUCT((Rules!$A$2:$A$60=I$1)*Rules!$C$2:$C$60*ISNUMBER(SEARCH(Rules!$D$2:$D$60,$C148)))</f>
        <v>0</v>
      </c>
      <c r="J148" s="0" t="str">
        <f aca="false">IF(OR(MAX(D148:I148)&lt;Rules!$H$1,MAX(D148:I148)-LARGE(D148:I148,2)&lt;Rules!$H$2),"No label",INDEX($D$1:$I$1,MATCH(MAX(D148:I148),D148:I148,0)))</f>
        <v>No label</v>
      </c>
      <c r="K148" s="0" t="n">
        <f aca="false">SUMPRODUCT(ISNUMBER(SEARCH(" "&amp;Terms!$A$3:$A$821&amp;" ",$C148))*Terms!B$3:B$821)+Terms!B$2</f>
        <v>1.84428624794482</v>
      </c>
      <c r="L148" s="0" t="n">
        <f aca="false">SUMPRODUCT(ISNUMBER(SEARCH(" "&amp;Terms!$A$3:$A$821&amp;" ",$C148))*Terms!C$3:C$821)+Terms!C$2</f>
        <v>-1.49564342744405</v>
      </c>
      <c r="M148" s="0" t="n">
        <f aca="false">SUMPRODUCT(ISNUMBER(SEARCH(" "&amp;Terms!$A$3:$A$821&amp;" ",$C148))*Terms!D$3:D$821)+Terms!D$2</f>
        <v>8.13895547967249</v>
      </c>
      <c r="N148" s="0" t="n">
        <f aca="false">SUMPRODUCT(ISNUMBER(SEARCH(" "&amp;Terms!$A$3:$A$821&amp;" ",$C148))*Terms!E$3:E$821)+Terms!E$2</f>
        <v>-2.10310026135746</v>
      </c>
      <c r="O148" s="0" t="n">
        <f aca="false">SUMPRODUCT(ISNUMBER(SEARCH(" "&amp;Terms!$A$3:$A$821&amp;" ",$C148))*Terms!F$3:F$821)+Terms!F$2</f>
        <v>-3.98736220066862</v>
      </c>
      <c r="P148" s="0" t="n">
        <f aca="false">SUMPRODUCT(ISNUMBER(SEARCH(" "&amp;Terms!$A$3:$A$821&amp;" ",$C148))*Terms!G$3:G$821)+Terms!G$2</f>
        <v>-2.3971358381471</v>
      </c>
      <c r="Q148" s="0" t="str">
        <f aca="false">INDEX($K$1:$P$1,MATCH(MAX(K148:P148),K148:P148,0))</f>
        <v>Delays &amp; Processing</v>
      </c>
      <c r="R148" s="0" t="str">
        <f aca="false">IF(J148&lt;&gt;"No label",J148,Q148)</f>
        <v>Delays &amp; Processing</v>
      </c>
      <c r="S148" s="0" t="str">
        <f aca="false">INDEX(Answers!$B$2:$B$201,MATCH(A148,Answers!$A$2:$A$201,0))</f>
        <v>Delays &amp; Processing</v>
      </c>
      <c r="T148" s="4" t="b">
        <f aca="false">R148=S148</f>
        <v>1</v>
      </c>
    </row>
    <row r="149" customFormat="false" ht="15" hidden="false" customHeight="false" outlineLevel="0" collapsed="false">
      <c r="A149" s="0" t="str">
        <f aca="false">NewComplaints!A149</f>
        <v>N0148</v>
      </c>
      <c r="B149" s="0" t="str">
        <f aca="false">NewComplaints!B149</f>
        <v>I reported the unauthorised payment but you refused to reimburse me. Also, the adviser did not explain the risks of the investment. This is not acceptable.</v>
      </c>
      <c r="C149" s="0" t="str">
        <f aca="false">" "&amp;TRIM(SUBSTITUTE(SUBSTITUTE(SUBSTITUTE(SUBSTITUTE(SUBSTITUTE(SUBSTITUTE(SUBSTITUTE(SUBSTITUTE(SUBSTITUTE(SUBSTITUTE(SUBSTITUTE(SUBSTITUTE(SUBSTITUTE(SUBSTITUTE(SUBSTITUTE(SUBSTITUTE(LOWER(B149),"."," "),","," "),"'"," "),"’"," "),"!"," "),"?"," "),";"," "),":"," "),"-"," "),"("," "),")"," "),"""", " "),"£"," "),"&amp;"," "),"/"," "),"%"," "))&amp;" "</f>
        <v> i reported the unauthorised payment but you refused to reimburse me also the adviser did not explain the risks of the investment this is not acceptable </v>
      </c>
      <c r="D149" s="0" t="n">
        <f aca="false">SUMPRODUCT((Rules!$A$2:$A$60=D$1)*Rules!$C$2:$C$60*ISNUMBER(SEARCH(Rules!$D$2:$D$60,$C149)))</f>
        <v>3</v>
      </c>
      <c r="E149" s="0" t="n">
        <f aca="false">SUMPRODUCT((Rules!$A$2:$A$60=E$1)*Rules!$C$2:$C$60*ISNUMBER(SEARCH(Rules!$D$2:$D$60,$C149)))</f>
        <v>4</v>
      </c>
      <c r="F149" s="0" t="n">
        <f aca="false">SUMPRODUCT((Rules!$A$2:$A$60=F$1)*Rules!$C$2:$C$60*ISNUMBER(SEARCH(Rules!$D$2:$D$60,$C149)))</f>
        <v>0</v>
      </c>
      <c r="G149" s="0" t="n">
        <f aca="false">SUMPRODUCT((Rules!$A$2:$A$60=G$1)*Rules!$C$2:$C$60*ISNUMBER(SEARCH(Rules!$D$2:$D$60,$C149)))</f>
        <v>0</v>
      </c>
      <c r="H149" s="0" t="n">
        <f aca="false">SUMPRODUCT((Rules!$A$2:$A$60=H$1)*Rules!$C$2:$C$60*ISNUMBER(SEARCH(Rules!$D$2:$D$60,$C149)))</f>
        <v>0</v>
      </c>
      <c r="I149" s="0" t="n">
        <f aca="false">SUMPRODUCT((Rules!$A$2:$A$60=I$1)*Rules!$C$2:$C$60*ISNUMBER(SEARCH(Rules!$D$2:$D$60,$C149)))</f>
        <v>0</v>
      </c>
      <c r="J149" s="0" t="str">
        <f aca="false">IF(OR(MAX(D149:I149)&lt;Rules!$H$1,MAX(D149:I149)-LARGE(D149:I149,2)&lt;Rules!$H$2),"No label",INDEX($D$1:$I$1,MATCH(MAX(D149:I149),D149:I149,0)))</f>
        <v>No label</v>
      </c>
      <c r="K149" s="0" t="n">
        <f aca="false">SUMPRODUCT(ISNUMBER(SEARCH(" "&amp;Terms!$A$3:$A$821&amp;" ",$C149))*Terms!B$3:B$821)+Terms!B$2</f>
        <v>-2.54274842105035</v>
      </c>
      <c r="L149" s="0" t="n">
        <f aca="false">SUMPRODUCT(ISNUMBER(SEARCH(" "&amp;Terms!$A$3:$A$821&amp;" ",$C149))*Terms!C$3:C$821)+Terms!C$2</f>
        <v>-5.8248341448211</v>
      </c>
      <c r="M149" s="0" t="n">
        <f aca="false">SUMPRODUCT(ISNUMBER(SEARCH(" "&amp;Terms!$A$3:$A$821&amp;" ",$C149))*Terms!D$3:D$821)+Terms!D$2</f>
        <v>-4.20534919485895</v>
      </c>
      <c r="N149" s="0" t="n">
        <f aca="false">SUMPRODUCT(ISNUMBER(SEARCH(" "&amp;Terms!$A$3:$A$821&amp;" ",$C149))*Terms!E$3:E$821)+Terms!E$2</f>
        <v>-2.49880359224246</v>
      </c>
      <c r="O149" s="0" t="n">
        <f aca="false">SUMPRODUCT(ISNUMBER(SEARCH(" "&amp;Terms!$A$3:$A$821&amp;" ",$C149))*Terms!F$3:F$821)+Terms!F$2</f>
        <v>8.39684184214777</v>
      </c>
      <c r="P149" s="0" t="n">
        <f aca="false">SUMPRODUCT(ISNUMBER(SEARCH(" "&amp;Terms!$A$3:$A$821&amp;" ",$C149))*Terms!G$3:G$821)+Terms!G$2</f>
        <v>6.67489351082515</v>
      </c>
      <c r="Q149" s="0" t="str">
        <f aca="false">INDEX($K$1:$P$1,MATCH(MAX(K149:P149),K149:P149,0))</f>
        <v>Fraud &amp; Scams</v>
      </c>
      <c r="R149" s="0" t="str">
        <f aca="false">IF(J149&lt;&gt;"No label",J149,Q149)</f>
        <v>Fraud &amp; Scams</v>
      </c>
      <c r="S149" s="0" t="str">
        <f aca="false">INDEX(Answers!$B$2:$B$201,MATCH(A149,Answers!$A$2:$A$201,0))</f>
        <v>Fraud &amp; Scams</v>
      </c>
      <c r="T149" s="4" t="b">
        <f aca="false">R149=S149</f>
        <v>1</v>
      </c>
    </row>
    <row r="150" customFormat="false" ht="15" hidden="false" customHeight="false" outlineLevel="0" collapsed="false">
      <c r="A150" s="0" t="str">
        <f aca="false">NewComplaints!A150</f>
        <v>N0149</v>
      </c>
      <c r="B150" s="0" t="str">
        <f aca="false">NewComplaints!B150</f>
        <v>I have been a customer for years. The account maintenance fee was taken twice this month. I would like a response in writing.</v>
      </c>
      <c r="C150" s="0" t="str">
        <f aca="false">" "&amp;TRIM(SUBSTITUTE(SUBSTITUTE(SUBSTITUTE(SUBSTITUTE(SUBSTITUTE(SUBSTITUTE(SUBSTITUTE(SUBSTITUTE(SUBSTITUTE(SUBSTITUTE(SUBSTITUTE(SUBSTITUTE(SUBSTITUTE(SUBSTITUTE(SUBSTITUTE(SUBSTITUTE(LOWER(B150),"."," "),","," "),"'"," "),"’"," "),"!"," "),"?"," "),";"," "),":"," "),"-"," "),"("," "),")"," "),"""", " "),"£"," "),"&amp;"," "),"/"," "),"%"," "))&amp;" "</f>
        <v> i have been a customer for years the account maintenance fee was taken twice this month i would like a response in writing </v>
      </c>
      <c r="D150" s="0" t="n">
        <f aca="false">SUMPRODUCT((Rules!$A$2:$A$60=D$1)*Rules!$C$2:$C$60*ISNUMBER(SEARCH(Rules!$D$2:$D$60,$C150)))</f>
        <v>0</v>
      </c>
      <c r="E150" s="0" t="n">
        <f aca="false">SUMPRODUCT((Rules!$A$2:$A$60=E$1)*Rules!$C$2:$C$60*ISNUMBER(SEARCH(Rules!$D$2:$D$60,$C150)))</f>
        <v>0</v>
      </c>
      <c r="F150" s="0" t="n">
        <f aca="false">SUMPRODUCT((Rules!$A$2:$A$60=F$1)*Rules!$C$2:$C$60*ISNUMBER(SEARCH(Rules!$D$2:$D$60,$C150)))</f>
        <v>0</v>
      </c>
      <c r="G150" s="0" t="n">
        <f aca="false">SUMPRODUCT((Rules!$A$2:$A$60=G$1)*Rules!$C$2:$C$60*ISNUMBER(SEARCH(Rules!$D$2:$D$60,$C150)))</f>
        <v>2</v>
      </c>
      <c r="H150" s="0" t="n">
        <f aca="false">SUMPRODUCT((Rules!$A$2:$A$60=H$1)*Rules!$C$2:$C$60*ISNUMBER(SEARCH(Rules!$D$2:$D$60,$C150)))</f>
        <v>0</v>
      </c>
      <c r="I150" s="0" t="n">
        <f aca="false">SUMPRODUCT((Rules!$A$2:$A$60=I$1)*Rules!$C$2:$C$60*ISNUMBER(SEARCH(Rules!$D$2:$D$60,$C150)))</f>
        <v>0</v>
      </c>
      <c r="J150" s="0" t="str">
        <f aca="false">IF(OR(MAX(D150:I150)&lt;Rules!$H$1,MAX(D150:I150)-LARGE(D150:I150,2)&lt;Rules!$H$2),"No label",INDEX($D$1:$I$1,MATCH(MAX(D150:I150),D150:I150,0)))</f>
        <v>No label</v>
      </c>
      <c r="K150" s="0" t="n">
        <f aca="false">SUMPRODUCT(ISNUMBER(SEARCH(" "&amp;Terms!$A$3:$A$821&amp;" ",$C150))*Terms!B$3:B$821)+Terms!B$2</f>
        <v>-0.25851738709604</v>
      </c>
      <c r="L150" s="0" t="n">
        <f aca="false">SUMPRODUCT(ISNUMBER(SEARCH(" "&amp;Terms!$A$3:$A$821&amp;" ",$C150))*Terms!C$3:C$821)+Terms!C$2</f>
        <v>-2.37404606227296</v>
      </c>
      <c r="M150" s="0" t="n">
        <f aca="false">SUMPRODUCT(ISNUMBER(SEARCH(" "&amp;Terms!$A$3:$A$821&amp;" ",$C150))*Terms!D$3:D$821)+Terms!D$2</f>
        <v>0.924156000400221</v>
      </c>
      <c r="N150" s="0" t="n">
        <f aca="false">SUMPRODUCT(ISNUMBER(SEARCH(" "&amp;Terms!$A$3:$A$821&amp;" ",$C150))*Terms!E$3:E$821)+Terms!E$2</f>
        <v>10.2633636726923</v>
      </c>
      <c r="O150" s="0" t="n">
        <f aca="false">SUMPRODUCT(ISNUMBER(SEARCH(" "&amp;Terms!$A$3:$A$821&amp;" ",$C150))*Terms!F$3:F$821)+Terms!F$2</f>
        <v>-4.33804176261059</v>
      </c>
      <c r="P150" s="0" t="n">
        <f aca="false">SUMPRODUCT(ISNUMBER(SEARCH(" "&amp;Terms!$A$3:$A$821&amp;" ",$C150))*Terms!G$3:G$821)+Terms!G$2</f>
        <v>-4.21691446111281</v>
      </c>
      <c r="Q150" s="0" t="str">
        <f aca="false">INDEX($K$1:$P$1,MATCH(MAX(K150:P150),K150:P150,0))</f>
        <v>Fees &amp; Charges</v>
      </c>
      <c r="R150" s="0" t="str">
        <f aca="false">IF(J150&lt;&gt;"No label",J150,Q150)</f>
        <v>Fees &amp; Charges</v>
      </c>
      <c r="S150" s="0" t="str">
        <f aca="false">INDEX(Answers!$B$2:$B$201,MATCH(A150,Answers!$A$2:$A$201,0))</f>
        <v>Fees &amp; Charges</v>
      </c>
      <c r="T150" s="4" t="b">
        <f aca="false">R150=S150</f>
        <v>1</v>
      </c>
    </row>
    <row r="151" customFormat="false" ht="15" hidden="false" customHeight="false" outlineLevel="0" collapsed="false">
      <c r="A151" s="0" t="str">
        <f aca="false">NewComplaints!A151</f>
        <v>N0150</v>
      </c>
      <c r="B151" s="0" t="str">
        <f aca="false">NewComplaints!B151</f>
        <v>Hello, I was told this policy covered me but my claim was rejected. Also, someone has made payments from my account that I did not authorise. I expect compensation.</v>
      </c>
      <c r="C151" s="0" t="str">
        <f aca="false">" "&amp;TRIM(SUBSTITUTE(SUBSTITUTE(SUBSTITUTE(SUBSTITUTE(SUBSTITUTE(SUBSTITUTE(SUBSTITUTE(SUBSTITUTE(SUBSTITUTE(SUBSTITUTE(SUBSTITUTE(SUBSTITUTE(SUBSTITUTE(SUBSTITUTE(SUBSTITUTE(SUBSTITUTE(LOWER(B151),"."," "),","," "),"'"," "),"’"," "),"!"," "),"?"," "),";"," "),":"," "),"-"," "),"("," "),")"," "),"""", " "),"£"," "),"&amp;"," "),"/"," "),"%"," "))&amp;" "</f>
        <v> hello i was told this policy covered me but my claim was rejected also someone has made payments from my account that i did not authorise i expect compensation </v>
      </c>
      <c r="D151" s="0" t="n">
        <f aca="false">SUMPRODUCT((Rules!$A$2:$A$60=D$1)*Rules!$C$2:$C$60*ISNUMBER(SEARCH(Rules!$D$2:$D$60,$C151)))</f>
        <v>3</v>
      </c>
      <c r="E151" s="0" t="n">
        <f aca="false">SUMPRODUCT((Rules!$A$2:$A$60=E$1)*Rules!$C$2:$C$60*ISNUMBER(SEARCH(Rules!$D$2:$D$60,$C151)))</f>
        <v>1</v>
      </c>
      <c r="F151" s="0" t="n">
        <f aca="false">SUMPRODUCT((Rules!$A$2:$A$60=F$1)*Rules!$C$2:$C$60*ISNUMBER(SEARCH(Rules!$D$2:$D$60,$C151)))</f>
        <v>0</v>
      </c>
      <c r="G151" s="0" t="n">
        <f aca="false">SUMPRODUCT((Rules!$A$2:$A$60=G$1)*Rules!$C$2:$C$60*ISNUMBER(SEARCH(Rules!$D$2:$D$60,$C151)))</f>
        <v>0</v>
      </c>
      <c r="H151" s="0" t="n">
        <f aca="false">SUMPRODUCT((Rules!$A$2:$A$60=H$1)*Rules!$C$2:$C$60*ISNUMBER(SEARCH(Rules!$D$2:$D$60,$C151)))</f>
        <v>0</v>
      </c>
      <c r="I151" s="0" t="n">
        <f aca="false">SUMPRODUCT((Rules!$A$2:$A$60=I$1)*Rules!$C$2:$C$60*ISNUMBER(SEARCH(Rules!$D$2:$D$60,$C151)))</f>
        <v>0</v>
      </c>
      <c r="J151" s="0" t="str">
        <f aca="false">IF(OR(MAX(D151:I151)&lt;Rules!$H$1,MAX(D151:I151)-LARGE(D151:I151,2)&lt;Rules!$H$2),"No label",INDEX($D$1:$I$1,MATCH(MAX(D151:I151),D151:I151,0)))</f>
        <v>Fraud &amp; Scams</v>
      </c>
      <c r="K151" s="0" t="n">
        <f aca="false">SUMPRODUCT(ISNUMBER(SEARCH(" "&amp;Terms!$A$3:$A$821&amp;" ",$C151))*Terms!B$3:B$821)+Terms!B$2</f>
        <v>1.80656124959947</v>
      </c>
      <c r="L151" s="0" t="n">
        <f aca="false">SUMPRODUCT(ISNUMBER(SEARCH(" "&amp;Terms!$A$3:$A$821&amp;" ",$C151))*Terms!C$3:C$821)+Terms!C$2</f>
        <v>-6.48633871412478</v>
      </c>
      <c r="M151" s="0" t="n">
        <f aca="false">SUMPRODUCT(ISNUMBER(SEARCH(" "&amp;Terms!$A$3:$A$821&amp;" ",$C151))*Terms!D$3:D$821)+Terms!D$2</f>
        <v>-1.74289828544782</v>
      </c>
      <c r="N151" s="0" t="n">
        <f aca="false">SUMPRODUCT(ISNUMBER(SEARCH(" "&amp;Terms!$A$3:$A$821&amp;" ",$C151))*Terms!E$3:E$821)+Terms!E$2</f>
        <v>-3.15707801020228</v>
      </c>
      <c r="O151" s="0" t="n">
        <f aca="false">SUMPRODUCT(ISNUMBER(SEARCH(" "&amp;Terms!$A$3:$A$821&amp;" ",$C151))*Terms!F$3:F$821)+Terms!F$2</f>
        <v>4.01809298014863</v>
      </c>
      <c r="P151" s="0" t="n">
        <f aca="false">SUMPRODUCT(ISNUMBER(SEARCH(" "&amp;Terms!$A$3:$A$821&amp;" ",$C151))*Terms!G$3:G$821)+Terms!G$2</f>
        <v>5.56166078002687</v>
      </c>
      <c r="Q151" s="0" t="str">
        <f aca="false">INDEX($K$1:$P$1,MATCH(MAX(K151:P151),K151:P151,0))</f>
        <v>Mis-selling</v>
      </c>
      <c r="R151" s="0" t="str">
        <f aca="false">IF(J151&lt;&gt;"No label",J151,Q151)</f>
        <v>Fraud &amp; Scams</v>
      </c>
      <c r="S151" s="0" t="str">
        <f aca="false">INDEX(Answers!$B$2:$B$201,MATCH(A151,Answers!$A$2:$A$201,0))</f>
        <v>Mis-selling</v>
      </c>
      <c r="T151" s="4" t="b">
        <f aca="false">R151=S151</f>
        <v>0</v>
      </c>
    </row>
    <row r="152" customFormat="false" ht="15" hidden="false" customHeight="false" outlineLevel="0" collapsed="false">
      <c r="A152" s="0" t="str">
        <f aca="false">NewComplaints!A152</f>
        <v>N0151</v>
      </c>
      <c r="B152" s="0" t="str">
        <f aca="false">NewComplaints!B152</f>
        <v>I am writing to complain. I was sold a product that was not suitable for my circumstances.</v>
      </c>
      <c r="C152" s="0" t="str">
        <f aca="false">" "&amp;TRIM(SUBSTITUTE(SUBSTITUTE(SUBSTITUTE(SUBSTITUTE(SUBSTITUTE(SUBSTITUTE(SUBSTITUTE(SUBSTITUTE(SUBSTITUTE(SUBSTITUTE(SUBSTITUTE(SUBSTITUTE(SUBSTITUTE(SUBSTITUTE(SUBSTITUTE(SUBSTITUTE(LOWER(B152),"."," "),","," "),"'"," "),"’"," "),"!"," "),"?"," "),";"," "),":"," "),"-"," "),"("," "),")"," "),"""", " "),"£"," "),"&amp;"," "),"/"," "),"%"," "))&amp;" "</f>
        <v> i am writing to complain i was sold a product that was not suitable for my circumstances </v>
      </c>
      <c r="D152" s="0" t="n">
        <f aca="false">SUMPRODUCT((Rules!$A$2:$A$60=D$1)*Rules!$C$2:$C$60*ISNUMBER(SEARCH(Rules!$D$2:$D$60,$C152)))</f>
        <v>0</v>
      </c>
      <c r="E152" s="0" t="n">
        <f aca="false">SUMPRODUCT((Rules!$A$2:$A$60=E$1)*Rules!$C$2:$C$60*ISNUMBER(SEARCH(Rules!$D$2:$D$60,$C152)))</f>
        <v>5</v>
      </c>
      <c r="F152" s="0" t="n">
        <f aca="false">SUMPRODUCT((Rules!$A$2:$A$60=F$1)*Rules!$C$2:$C$60*ISNUMBER(SEARCH(Rules!$D$2:$D$60,$C152)))</f>
        <v>0</v>
      </c>
      <c r="G152" s="0" t="n">
        <f aca="false">SUMPRODUCT((Rules!$A$2:$A$60=G$1)*Rules!$C$2:$C$60*ISNUMBER(SEARCH(Rules!$D$2:$D$60,$C152)))</f>
        <v>0</v>
      </c>
      <c r="H152" s="0" t="n">
        <f aca="false">SUMPRODUCT((Rules!$A$2:$A$60=H$1)*Rules!$C$2:$C$60*ISNUMBER(SEARCH(Rules!$D$2:$D$60,$C152)))</f>
        <v>0</v>
      </c>
      <c r="I152" s="0" t="n">
        <f aca="false">SUMPRODUCT((Rules!$A$2:$A$60=I$1)*Rules!$C$2:$C$60*ISNUMBER(SEARCH(Rules!$D$2:$D$60,$C152)))</f>
        <v>0</v>
      </c>
      <c r="J152" s="0" t="str">
        <f aca="false">IF(OR(MAX(D152:I152)&lt;Rules!$H$1,MAX(D152:I152)-LARGE(D152:I152,2)&lt;Rules!$H$2),"No label",INDEX($D$1:$I$1,MATCH(MAX(D152:I152),D152:I152,0)))</f>
        <v>Mis-selling</v>
      </c>
      <c r="K152" s="0" t="n">
        <f aca="false">SUMPRODUCT(ISNUMBER(SEARCH(" "&amp;Terms!$A$3:$A$821&amp;" ",$C152))*Terms!B$3:B$821)+Terms!B$2</f>
        <v>-1.46463613232671</v>
      </c>
      <c r="L152" s="0" t="n">
        <f aca="false">SUMPRODUCT(ISNUMBER(SEARCH(" "&amp;Terms!$A$3:$A$821&amp;" ",$C152))*Terms!C$3:C$821)+Terms!C$2</f>
        <v>-0.873806707194252</v>
      </c>
      <c r="M152" s="0" t="n">
        <f aca="false">SUMPRODUCT(ISNUMBER(SEARCH(" "&amp;Terms!$A$3:$A$821&amp;" ",$C152))*Terms!D$3:D$821)+Terms!D$2</f>
        <v>1.30768153289365</v>
      </c>
      <c r="N152" s="0" t="n">
        <f aca="false">SUMPRODUCT(ISNUMBER(SEARCH(" "&amp;Terms!$A$3:$A$821&amp;" ",$C152))*Terms!E$3:E$821)+Terms!E$2</f>
        <v>-2.87717864508705</v>
      </c>
      <c r="O152" s="0" t="n">
        <f aca="false">SUMPRODUCT(ISNUMBER(SEARCH(" "&amp;Terms!$A$3:$A$821&amp;" ",$C152))*Terms!F$3:F$821)+Terms!F$2</f>
        <v>-2.42217227995402</v>
      </c>
      <c r="P152" s="0" t="n">
        <f aca="false">SUMPRODUCT(ISNUMBER(SEARCH(" "&amp;Terms!$A$3:$A$821&amp;" ",$C152))*Terms!G$3:G$821)+Terms!G$2</f>
        <v>6.33011223166848</v>
      </c>
      <c r="Q152" s="0" t="str">
        <f aca="false">INDEX($K$1:$P$1,MATCH(MAX(K152:P152),K152:P152,0))</f>
        <v>Mis-selling</v>
      </c>
      <c r="R152" s="0" t="str">
        <f aca="false">IF(J152&lt;&gt;"No label",J152,Q152)</f>
        <v>Mis-selling</v>
      </c>
      <c r="S152" s="0" t="str">
        <f aca="false">INDEX(Answers!$B$2:$B$201,MATCH(A152,Answers!$A$2:$A$201,0))</f>
        <v>Mis-selling</v>
      </c>
      <c r="T152" s="4" t="b">
        <f aca="false">R152=S152</f>
        <v>1</v>
      </c>
    </row>
    <row r="153" customFormat="false" ht="15" hidden="false" customHeight="false" outlineLevel="0" collapsed="false">
      <c r="A153" s="0" t="str">
        <f aca="false">NewComplaints!A153</f>
        <v>N0152</v>
      </c>
      <c r="B153" s="0" t="str">
        <f aca="false">NewComplaints!B153</f>
        <v>I am writing to complain. My card was cloned and used abroad. lso, i keep getting an error message when I sign in. Please escalate this.</v>
      </c>
      <c r="C153" s="0" t="str">
        <f aca="false">" "&amp;TRIM(SUBSTITUTE(SUBSTITUTE(SUBSTITUTE(SUBSTITUTE(SUBSTITUTE(SUBSTITUTE(SUBSTITUTE(SUBSTITUTE(SUBSTITUTE(SUBSTITUTE(SUBSTITUTE(SUBSTITUTE(SUBSTITUTE(SUBSTITUTE(SUBSTITUTE(SUBSTITUTE(LOWER(B153),"."," "),","," "),"'"," "),"’"," "),"!"," "),"?"," "),";"," "),":"," "),"-"," "),"("," "),")"," "),"""", " "),"£"," "),"&amp;"," "),"/"," "),"%"," "))&amp;" "</f>
        <v> i am writing to complain my card was cloned and used abroad lso i keep getting an error message when i sign in please escalate this </v>
      </c>
      <c r="D153" s="0" t="n">
        <f aca="false">SUMPRODUCT((Rules!$A$2:$A$60=D$1)*Rules!$C$2:$C$60*ISNUMBER(SEARCH(Rules!$D$2:$D$60,$C153)))</f>
        <v>3</v>
      </c>
      <c r="E153" s="0" t="n">
        <f aca="false">SUMPRODUCT((Rules!$A$2:$A$60=E$1)*Rules!$C$2:$C$60*ISNUMBER(SEARCH(Rules!$D$2:$D$60,$C153)))</f>
        <v>0</v>
      </c>
      <c r="F153" s="0" t="n">
        <f aca="false">SUMPRODUCT((Rules!$A$2:$A$60=F$1)*Rules!$C$2:$C$60*ISNUMBER(SEARCH(Rules!$D$2:$D$60,$C153)))</f>
        <v>3</v>
      </c>
      <c r="G153" s="0" t="n">
        <f aca="false">SUMPRODUCT((Rules!$A$2:$A$60=G$1)*Rules!$C$2:$C$60*ISNUMBER(SEARCH(Rules!$D$2:$D$60,$C153)))</f>
        <v>0</v>
      </c>
      <c r="H153" s="0" t="n">
        <f aca="false">SUMPRODUCT((Rules!$A$2:$A$60=H$1)*Rules!$C$2:$C$60*ISNUMBER(SEARCH(Rules!$D$2:$D$60,$C153)))</f>
        <v>0</v>
      </c>
      <c r="I153" s="0" t="n">
        <f aca="false">SUMPRODUCT((Rules!$A$2:$A$60=I$1)*Rules!$C$2:$C$60*ISNUMBER(SEARCH(Rules!$D$2:$D$60,$C153)))</f>
        <v>0</v>
      </c>
      <c r="J153" s="0" t="str">
        <f aca="false">IF(OR(MAX(D153:I153)&lt;Rules!$H$1,MAX(D153:I153)-LARGE(D153:I153,2)&lt;Rules!$H$2),"No label",INDEX($D$1:$I$1,MATCH(MAX(D153:I153),D153:I153,0)))</f>
        <v>No label</v>
      </c>
      <c r="K153" s="0" t="n">
        <f aca="false">SUMPRODUCT(ISNUMBER(SEARCH(" "&amp;Terms!$A$3:$A$821&amp;" ",$C153))*Terms!B$3:B$821)+Terms!B$2</f>
        <v>9.55878699278199</v>
      </c>
      <c r="L153" s="0" t="n">
        <f aca="false">SUMPRODUCT(ISNUMBER(SEARCH(" "&amp;Terms!$A$3:$A$821&amp;" ",$C153))*Terms!C$3:C$821)+Terms!C$2</f>
        <v>0.41260873920713</v>
      </c>
      <c r="M153" s="0" t="n">
        <f aca="false">SUMPRODUCT(ISNUMBER(SEARCH(" "&amp;Terms!$A$3:$A$821&amp;" ",$C153))*Terms!D$3:D$821)+Terms!D$2</f>
        <v>-4.68384373249431</v>
      </c>
      <c r="N153" s="0" t="n">
        <f aca="false">SUMPRODUCT(ISNUMBER(SEARCH(" "&amp;Terms!$A$3:$A$821&amp;" ",$C153))*Terms!E$3:E$821)+Terms!E$2</f>
        <v>-7.65453936974131</v>
      </c>
      <c r="O153" s="0" t="n">
        <f aca="false">SUMPRODUCT(ISNUMBER(SEARCH(" "&amp;Terms!$A$3:$A$821&amp;" ",$C153))*Terms!F$3:F$821)+Terms!F$2</f>
        <v>8.02277336956243</v>
      </c>
      <c r="P153" s="0" t="n">
        <f aca="false">SUMPRODUCT(ISNUMBER(SEARCH(" "&amp;Terms!$A$3:$A$821&amp;" ",$C153))*Terms!G$3:G$821)+Terms!G$2</f>
        <v>-5.65578599931583</v>
      </c>
      <c r="Q153" s="0" t="str">
        <f aca="false">INDEX($K$1:$P$1,MATCH(MAX(K153:P153),K153:P153,0))</f>
        <v>Account Access</v>
      </c>
      <c r="R153" s="0" t="str">
        <f aca="false">IF(J153&lt;&gt;"No label",J153,Q153)</f>
        <v>Account Access</v>
      </c>
      <c r="S153" s="0" t="str">
        <f aca="false">INDEX(Answers!$B$2:$B$201,MATCH(A153,Answers!$A$2:$A$201,0))</f>
        <v>Fraud &amp; Scams</v>
      </c>
      <c r="T153" s="4" t="b">
        <f aca="false">R153=S153</f>
        <v>0</v>
      </c>
    </row>
    <row r="154" customFormat="false" ht="15" hidden="false" customHeight="false" outlineLevel="0" collapsed="false">
      <c r="A154" s="0" t="str">
        <f aca="false">NewComplaints!A154</f>
        <v>N0153</v>
      </c>
      <c r="B154" s="0" t="str">
        <f aca="false">NewComplaints!B154</f>
        <v>I have been a customer for years. I was misled about what the insurance actually included. Also, someone has made payments from my account that I did not authorise.</v>
      </c>
      <c r="C154" s="0" t="str">
        <f aca="false">" "&amp;TRIM(SUBSTITUTE(SUBSTITUTE(SUBSTITUTE(SUBSTITUTE(SUBSTITUTE(SUBSTITUTE(SUBSTITUTE(SUBSTITUTE(SUBSTITUTE(SUBSTITUTE(SUBSTITUTE(SUBSTITUTE(SUBSTITUTE(SUBSTITUTE(SUBSTITUTE(SUBSTITUTE(LOWER(B154),"."," "),","," "),"'"," "),"’"," "),"!"," "),"?"," "),";"," "),":"," "),"-"," "),"("," "),")"," "),"""", " "),"£"," "),"&amp;"," "),"/"," "),"%"," "))&amp;" "</f>
        <v> i have been a customer for years i was misled about what the insurance actually included also someone has made payments from my account that i did not authorise </v>
      </c>
      <c r="D154" s="0" t="n">
        <f aca="false">SUMPRODUCT((Rules!$A$2:$A$60=D$1)*Rules!$C$2:$C$60*ISNUMBER(SEARCH(Rules!$D$2:$D$60,$C154)))</f>
        <v>3</v>
      </c>
      <c r="E154" s="0" t="n">
        <f aca="false">SUMPRODUCT((Rules!$A$2:$A$60=E$1)*Rules!$C$2:$C$60*ISNUMBER(SEARCH(Rules!$D$2:$D$60,$C154)))</f>
        <v>4</v>
      </c>
      <c r="F154" s="0" t="n">
        <f aca="false">SUMPRODUCT((Rules!$A$2:$A$60=F$1)*Rules!$C$2:$C$60*ISNUMBER(SEARCH(Rules!$D$2:$D$60,$C154)))</f>
        <v>0</v>
      </c>
      <c r="G154" s="0" t="n">
        <f aca="false">SUMPRODUCT((Rules!$A$2:$A$60=G$1)*Rules!$C$2:$C$60*ISNUMBER(SEARCH(Rules!$D$2:$D$60,$C154)))</f>
        <v>0</v>
      </c>
      <c r="H154" s="0" t="n">
        <f aca="false">SUMPRODUCT((Rules!$A$2:$A$60=H$1)*Rules!$C$2:$C$60*ISNUMBER(SEARCH(Rules!$D$2:$D$60,$C154)))</f>
        <v>0</v>
      </c>
      <c r="I154" s="0" t="n">
        <f aca="false">SUMPRODUCT((Rules!$A$2:$A$60=I$1)*Rules!$C$2:$C$60*ISNUMBER(SEARCH(Rules!$D$2:$D$60,$C154)))</f>
        <v>0</v>
      </c>
      <c r="J154" s="0" t="str">
        <f aca="false">IF(OR(MAX(D154:I154)&lt;Rules!$H$1,MAX(D154:I154)-LARGE(D154:I154,2)&lt;Rules!$H$2),"No label",INDEX($D$1:$I$1,MATCH(MAX(D154:I154),D154:I154,0)))</f>
        <v>No label</v>
      </c>
      <c r="K154" s="0" t="n">
        <f aca="false">SUMPRODUCT(ISNUMBER(SEARCH(" "&amp;Terms!$A$3:$A$821&amp;" ",$C154))*Terms!B$3:B$821)+Terms!B$2</f>
        <v>-0.293585185328554</v>
      </c>
      <c r="L154" s="0" t="n">
        <f aca="false">SUMPRODUCT(ISNUMBER(SEARCH(" "&amp;Terms!$A$3:$A$821&amp;" ",$C154))*Terms!C$3:C$821)+Terms!C$2</f>
        <v>-4.92535569935368</v>
      </c>
      <c r="M154" s="0" t="n">
        <f aca="false">SUMPRODUCT(ISNUMBER(SEARCH(" "&amp;Terms!$A$3:$A$821&amp;" ",$C154))*Terms!D$3:D$821)+Terms!D$2</f>
        <v>-0.205498614427275</v>
      </c>
      <c r="N154" s="0" t="n">
        <f aca="false">SUMPRODUCT(ISNUMBER(SEARCH(" "&amp;Terms!$A$3:$A$821&amp;" ",$C154))*Terms!E$3:E$821)+Terms!E$2</f>
        <v>-3.34222403360788</v>
      </c>
      <c r="O154" s="0" t="n">
        <f aca="false">SUMPRODUCT(ISNUMBER(SEARCH(" "&amp;Terms!$A$3:$A$821&amp;" ",$C154))*Terms!F$3:F$821)+Terms!F$2</f>
        <v>-0.459707755803667</v>
      </c>
      <c r="P154" s="0" t="n">
        <f aca="false">SUMPRODUCT(ISNUMBER(SEARCH(" "&amp;Terms!$A$3:$A$821&amp;" ",$C154))*Terms!G$3:G$821)+Terms!G$2</f>
        <v>9.22637128852116</v>
      </c>
      <c r="Q154" s="0" t="str">
        <f aca="false">INDEX($K$1:$P$1,MATCH(MAX(K154:P154),K154:P154,0))</f>
        <v>Mis-selling</v>
      </c>
      <c r="R154" s="0" t="str">
        <f aca="false">IF(J154&lt;&gt;"No label",J154,Q154)</f>
        <v>Mis-selling</v>
      </c>
      <c r="S154" s="0" t="str">
        <f aca="false">INDEX(Answers!$B$2:$B$201,MATCH(A154,Answers!$A$2:$A$201,0))</f>
        <v>Mis-selling</v>
      </c>
      <c r="T154" s="4" t="b">
        <f aca="false">R154=S154</f>
        <v>1</v>
      </c>
    </row>
    <row r="155" customFormat="false" ht="15" hidden="false" customHeight="false" outlineLevel="0" collapsed="false">
      <c r="A155" s="0" t="str">
        <f aca="false">NewComplaints!A155</f>
        <v>N0154</v>
      </c>
      <c r="B155" s="0" t="str">
        <f aca="false">NewComplaints!B155</f>
        <v>Nobody has responded to my emails despite three reminders. It has also been taking far too long.</v>
      </c>
      <c r="C155" s="0" t="str">
        <f aca="false">" "&amp;TRIM(SUBSTITUTE(SUBSTITUTE(SUBSTITUTE(SUBSTITUTE(SUBSTITUTE(SUBSTITUTE(SUBSTITUTE(SUBSTITUTE(SUBSTITUTE(SUBSTITUTE(SUBSTITUTE(SUBSTITUTE(SUBSTITUTE(SUBSTITUTE(SUBSTITUTE(SUBSTITUTE(LOWER(B155),"."," "),","," "),"'"," "),"’"," "),"!"," "),"?"," "),";"," "),":"," "),"-"," "),"("," "),")"," "),"""", " "),"£"," "),"&amp;"," "),"/"," "),"%"," "))&amp;" "</f>
        <v> nobody has responded to my emails despite three reminders it has also been taking far too long </v>
      </c>
      <c r="D155" s="0" t="n">
        <f aca="false">SUMPRODUCT((Rules!$A$2:$A$60=D$1)*Rules!$C$2:$C$60*ISNUMBER(SEARCH(Rules!$D$2:$D$60,$C155)))</f>
        <v>0</v>
      </c>
      <c r="E155" s="0" t="n">
        <f aca="false">SUMPRODUCT((Rules!$A$2:$A$60=E$1)*Rules!$C$2:$C$60*ISNUMBER(SEARCH(Rules!$D$2:$D$60,$C155)))</f>
        <v>0</v>
      </c>
      <c r="F155" s="0" t="n">
        <f aca="false">SUMPRODUCT((Rules!$A$2:$A$60=F$1)*Rules!$C$2:$C$60*ISNUMBER(SEARCH(Rules!$D$2:$D$60,$C155)))</f>
        <v>0</v>
      </c>
      <c r="G155" s="0" t="n">
        <f aca="false">SUMPRODUCT((Rules!$A$2:$A$60=G$1)*Rules!$C$2:$C$60*ISNUMBER(SEARCH(Rules!$D$2:$D$60,$C155)))</f>
        <v>0</v>
      </c>
      <c r="H155" s="0" t="n">
        <f aca="false">SUMPRODUCT((Rules!$A$2:$A$60=H$1)*Rules!$C$2:$C$60*ISNUMBER(SEARCH(Rules!$D$2:$D$60,$C155)))</f>
        <v>0</v>
      </c>
      <c r="I155" s="0" t="n">
        <f aca="false">SUMPRODUCT((Rules!$A$2:$A$60=I$1)*Rules!$C$2:$C$60*ISNUMBER(SEARCH(Rules!$D$2:$D$60,$C155)))</f>
        <v>2</v>
      </c>
      <c r="J155" s="0" t="str">
        <f aca="false">IF(OR(MAX(D155:I155)&lt;Rules!$H$1,MAX(D155:I155)-LARGE(D155:I155,2)&lt;Rules!$H$2),"No label",INDEX($D$1:$I$1,MATCH(MAX(D155:I155),D155:I155,0)))</f>
        <v>No label</v>
      </c>
      <c r="K155" s="0" t="n">
        <f aca="false">SUMPRODUCT(ISNUMBER(SEARCH(" "&amp;Terms!$A$3:$A$821&amp;" ",$C155))*Terms!B$3:B$821)+Terms!B$2</f>
        <v>-4.03702535100213</v>
      </c>
      <c r="L155" s="0" t="n">
        <f aca="false">SUMPRODUCT(ISNUMBER(SEARCH(" "&amp;Terms!$A$3:$A$821&amp;" ",$C155))*Terms!C$3:C$821)+Terms!C$2</f>
        <v>9.53545365325549</v>
      </c>
      <c r="M155" s="0" t="n">
        <f aca="false">SUMPRODUCT(ISNUMBER(SEARCH(" "&amp;Terms!$A$3:$A$821&amp;" ",$C155))*Terms!D$3:D$821)+Terms!D$2</f>
        <v>-1.12847955024131</v>
      </c>
      <c r="N155" s="0" t="n">
        <f aca="false">SUMPRODUCT(ISNUMBER(SEARCH(" "&amp;Terms!$A$3:$A$821&amp;" ",$C155))*Terms!E$3:E$821)+Terms!E$2</f>
        <v>-0.654650862907425</v>
      </c>
      <c r="O155" s="0" t="n">
        <f aca="false">SUMPRODUCT(ISNUMBER(SEARCH(" "&amp;Terms!$A$3:$A$821&amp;" ",$C155))*Terms!F$3:F$821)+Terms!F$2</f>
        <v>-1.84560166400735</v>
      </c>
      <c r="P155" s="0" t="n">
        <f aca="false">SUMPRODUCT(ISNUMBER(SEARCH(" "&amp;Terms!$A$3:$A$821&amp;" ",$C155))*Terms!G$3:G$821)+Terms!G$2</f>
        <v>-1.86969622509718</v>
      </c>
      <c r="Q155" s="0" t="str">
        <f aca="false">INDEX($K$1:$P$1,MATCH(MAX(K155:P155),K155:P155,0))</f>
        <v>Customer Service</v>
      </c>
      <c r="R155" s="0" t="str">
        <f aca="false">IF(J155&lt;&gt;"No label",J155,Q155)</f>
        <v>Customer Service</v>
      </c>
      <c r="S155" s="0" t="str">
        <f aca="false">INDEX(Answers!$B$2:$B$201,MATCH(A155,Answers!$A$2:$A$201,0))</f>
        <v>Customer Service</v>
      </c>
      <c r="T155" s="4" t="b">
        <f aca="false">R155=S155</f>
        <v>1</v>
      </c>
    </row>
    <row r="156" customFormat="false" ht="15" hidden="false" customHeight="false" outlineLevel="0" collapsed="false">
      <c r="A156" s="0" t="str">
        <f aca="false">NewComplaints!A156</f>
        <v>N0155</v>
      </c>
      <c r="B156" s="0" t="str">
        <f aca="false">NewComplaints!B156</f>
        <v>The pension transfer advice I received was poor and I have lost out. Also, i feel I was treated badly because of my age. I expect compensation.</v>
      </c>
      <c r="C156" s="0" t="str">
        <f aca="false">" "&amp;TRIM(SUBSTITUTE(SUBSTITUTE(SUBSTITUTE(SUBSTITUTE(SUBSTITUTE(SUBSTITUTE(SUBSTITUTE(SUBSTITUTE(SUBSTITUTE(SUBSTITUTE(SUBSTITUTE(SUBSTITUTE(SUBSTITUTE(SUBSTITUTE(SUBSTITUTE(SUBSTITUTE(LOWER(B156),"."," "),","," "),"'"," "),"’"," "),"!"," "),"?"," "),";"," "),":"," "),"-"," "),"("," "),")"," "),"""", " "),"£"," "),"&amp;"," "),"/"," "),"%"," "))&amp;" "</f>
        <v> the pension transfer advice i received was poor and i have lost out also i feel i was treated badly because of my age i expect compensation </v>
      </c>
      <c r="D156" s="0" t="n">
        <f aca="false">SUMPRODUCT((Rules!$A$2:$A$60=D$1)*Rules!$C$2:$C$60*ISNUMBER(SEARCH(Rules!$D$2:$D$60,$C156)))</f>
        <v>0</v>
      </c>
      <c r="E156" s="0" t="n">
        <f aca="false">SUMPRODUCT((Rules!$A$2:$A$60=E$1)*Rules!$C$2:$C$60*ISNUMBER(SEARCH(Rules!$D$2:$D$60,$C156)))</f>
        <v>2</v>
      </c>
      <c r="F156" s="0" t="n">
        <f aca="false">SUMPRODUCT((Rules!$A$2:$A$60=F$1)*Rules!$C$2:$C$60*ISNUMBER(SEARCH(Rules!$D$2:$D$60,$C156)))</f>
        <v>0</v>
      </c>
      <c r="G156" s="0" t="n">
        <f aca="false">SUMPRODUCT((Rules!$A$2:$A$60=G$1)*Rules!$C$2:$C$60*ISNUMBER(SEARCH(Rules!$D$2:$D$60,$C156)))</f>
        <v>0</v>
      </c>
      <c r="H156" s="0" t="n">
        <f aca="false">SUMPRODUCT((Rules!$A$2:$A$60=H$1)*Rules!$C$2:$C$60*ISNUMBER(SEARCH(Rules!$D$2:$D$60,$C156)))</f>
        <v>0</v>
      </c>
      <c r="I156" s="0" t="n">
        <f aca="false">SUMPRODUCT((Rules!$A$2:$A$60=I$1)*Rules!$C$2:$C$60*ISNUMBER(SEARCH(Rules!$D$2:$D$60,$C156)))</f>
        <v>3</v>
      </c>
      <c r="J156" s="0" t="str">
        <f aca="false">IF(OR(MAX(D156:I156)&lt;Rules!$H$1,MAX(D156:I156)-LARGE(D156:I156,2)&lt;Rules!$H$2),"No label",INDEX($D$1:$I$1,MATCH(MAX(D156:I156),D156:I156,0)))</f>
        <v>No label</v>
      </c>
      <c r="K156" s="0" t="n">
        <f aca="false">SUMPRODUCT(ISNUMBER(SEARCH(" "&amp;Terms!$A$3:$A$821&amp;" ",$C156))*Terms!B$3:B$821)+Terms!B$2</f>
        <v>-0.967643245294111</v>
      </c>
      <c r="L156" s="0" t="n">
        <f aca="false">SUMPRODUCT(ISNUMBER(SEARCH(" "&amp;Terms!$A$3:$A$821&amp;" ",$C156))*Terms!C$3:C$821)+Terms!C$2</f>
        <v>5.05109477610544</v>
      </c>
      <c r="M156" s="0" t="n">
        <f aca="false">SUMPRODUCT(ISNUMBER(SEARCH(" "&amp;Terms!$A$3:$A$821&amp;" ",$C156))*Terms!D$3:D$821)+Terms!D$2</f>
        <v>-2.20400569785241</v>
      </c>
      <c r="N156" s="0" t="n">
        <f aca="false">SUMPRODUCT(ISNUMBER(SEARCH(" "&amp;Terms!$A$3:$A$821&amp;" ",$C156))*Terms!E$3:E$821)+Terms!E$2</f>
        <v>-6.38391110140138</v>
      </c>
      <c r="O156" s="0" t="n">
        <f aca="false">SUMPRODUCT(ISNUMBER(SEARCH(" "&amp;Terms!$A$3:$A$821&amp;" ",$C156))*Terms!F$3:F$821)+Terms!F$2</f>
        <v>-3.0815721491805</v>
      </c>
      <c r="P156" s="0" t="n">
        <f aca="false">SUMPRODUCT(ISNUMBER(SEARCH(" "&amp;Terms!$A$3:$A$821&amp;" ",$C156))*Terms!G$3:G$821)+Terms!G$2</f>
        <v>7.58603741762307</v>
      </c>
      <c r="Q156" s="0" t="str">
        <f aca="false">INDEX($K$1:$P$1,MATCH(MAX(K156:P156),K156:P156,0))</f>
        <v>Mis-selling</v>
      </c>
      <c r="R156" s="0" t="str">
        <f aca="false">IF(J156&lt;&gt;"No label",J156,Q156)</f>
        <v>Mis-selling</v>
      </c>
      <c r="S156" s="0" t="str">
        <f aca="false">INDEX(Answers!$B$2:$B$201,MATCH(A156,Answers!$A$2:$A$201,0))</f>
        <v>Mis-selling</v>
      </c>
      <c r="T156" s="4" t="b">
        <f aca="false">R156=S156</f>
        <v>1</v>
      </c>
    </row>
    <row r="157" customFormat="false" ht="15" hidden="false" customHeight="false" outlineLevel="0" collapsed="false">
      <c r="A157" s="0" t="str">
        <f aca="false">NewComplaints!A157</f>
        <v>N0156</v>
      </c>
      <c r="B157" s="0" t="str">
        <f aca="false">NewComplaints!B157</f>
        <v>Hello, Your advisor gave me different answers on two separate calls. I could not log in to check either. This is not acceptable.</v>
      </c>
      <c r="C157" s="0" t="str">
        <f aca="false">" "&amp;TRIM(SUBSTITUTE(SUBSTITUTE(SUBSTITUTE(SUBSTITUTE(SUBSTITUTE(SUBSTITUTE(SUBSTITUTE(SUBSTITUTE(SUBSTITUTE(SUBSTITUTE(SUBSTITUTE(SUBSTITUTE(SUBSTITUTE(SUBSTITUTE(SUBSTITUTE(SUBSTITUTE(LOWER(B157),"."," "),","," "),"'"," "),"’"," "),"!"," "),"?"," "),";"," "),":"," "),"-"," "),"("," "),")"," "),"""", " "),"£"," "),"&amp;"," "),"/"," "),"%"," "))&amp;" "</f>
        <v> hello your advisor gave me different answers on two separate calls i could not log in to check either this is not acceptable </v>
      </c>
      <c r="D157" s="0" t="n">
        <f aca="false">SUMPRODUCT((Rules!$A$2:$A$60=D$1)*Rules!$C$2:$C$60*ISNUMBER(SEARCH(Rules!$D$2:$D$60,$C157)))</f>
        <v>0</v>
      </c>
      <c r="E157" s="0" t="n">
        <f aca="false">SUMPRODUCT((Rules!$A$2:$A$60=E$1)*Rules!$C$2:$C$60*ISNUMBER(SEARCH(Rules!$D$2:$D$60,$C157)))</f>
        <v>0</v>
      </c>
      <c r="F157" s="0" t="n">
        <f aca="false">SUMPRODUCT((Rules!$A$2:$A$60=F$1)*Rules!$C$2:$C$60*ISNUMBER(SEARCH(Rules!$D$2:$D$60,$C157)))</f>
        <v>3</v>
      </c>
      <c r="G157" s="0" t="n">
        <f aca="false">SUMPRODUCT((Rules!$A$2:$A$60=G$1)*Rules!$C$2:$C$60*ISNUMBER(SEARCH(Rules!$D$2:$D$60,$C157)))</f>
        <v>0</v>
      </c>
      <c r="H157" s="0" t="n">
        <f aca="false">SUMPRODUCT((Rules!$A$2:$A$60=H$1)*Rules!$C$2:$C$60*ISNUMBER(SEARCH(Rules!$D$2:$D$60,$C157)))</f>
        <v>0</v>
      </c>
      <c r="I157" s="0" t="n">
        <f aca="false">SUMPRODUCT((Rules!$A$2:$A$60=I$1)*Rules!$C$2:$C$60*ISNUMBER(SEARCH(Rules!$D$2:$D$60,$C157)))</f>
        <v>1</v>
      </c>
      <c r="J157" s="0" t="str">
        <f aca="false">IF(OR(MAX(D157:I157)&lt;Rules!$H$1,MAX(D157:I157)-LARGE(D157:I157,2)&lt;Rules!$H$2),"No label",INDEX($D$1:$I$1,MATCH(MAX(D157:I157),D157:I157,0)))</f>
        <v>Account Access</v>
      </c>
      <c r="K157" s="0" t="n">
        <f aca="false">SUMPRODUCT(ISNUMBER(SEARCH(" "&amp;Terms!$A$3:$A$821&amp;" ",$C157))*Terms!B$3:B$821)+Terms!B$2</f>
        <v>1.08943263097066</v>
      </c>
      <c r="L157" s="0" t="n">
        <f aca="false">SUMPRODUCT(ISNUMBER(SEARCH(" "&amp;Terms!$A$3:$A$821&amp;" ",$C157))*Terms!C$3:C$821)+Terms!C$2</f>
        <v>11.3068660939644</v>
      </c>
      <c r="M157" s="0" t="n">
        <f aca="false">SUMPRODUCT(ISNUMBER(SEARCH(" "&amp;Terms!$A$3:$A$821&amp;" ",$C157))*Terms!D$3:D$821)+Terms!D$2</f>
        <v>-3.13105805407024</v>
      </c>
      <c r="N157" s="0" t="n">
        <f aca="false">SUMPRODUCT(ISNUMBER(SEARCH(" "&amp;Terms!$A$3:$A$821&amp;" ",$C157))*Terms!E$3:E$821)+Terms!E$2</f>
        <v>-5.17914143695034</v>
      </c>
      <c r="O157" s="0" t="n">
        <f aca="false">SUMPRODUCT(ISNUMBER(SEARCH(" "&amp;Terms!$A$3:$A$821&amp;" ",$C157))*Terms!F$3:F$821)+Terms!F$2</f>
        <v>-2.25140523650893</v>
      </c>
      <c r="P157" s="0" t="n">
        <f aca="false">SUMPRODUCT(ISNUMBER(SEARCH(" "&amp;Terms!$A$3:$A$821&amp;" ",$C157))*Terms!G$3:G$821)+Terms!G$2</f>
        <v>-1.83469399740546</v>
      </c>
      <c r="Q157" s="0" t="str">
        <f aca="false">INDEX($K$1:$P$1,MATCH(MAX(K157:P157),K157:P157,0))</f>
        <v>Customer Service</v>
      </c>
      <c r="R157" s="0" t="str">
        <f aca="false">IF(J157&lt;&gt;"No label",J157,Q157)</f>
        <v>Account Access</v>
      </c>
      <c r="S157" s="0" t="str">
        <f aca="false">INDEX(Answers!$B$2:$B$201,MATCH(A157,Answers!$A$2:$A$201,0))</f>
        <v>Customer Service</v>
      </c>
      <c r="T157" s="4" t="b">
        <f aca="false">R157=S157</f>
        <v>0</v>
      </c>
    </row>
    <row r="158" customFormat="false" ht="15" hidden="false" customHeight="false" outlineLevel="0" collapsed="false">
      <c r="A158" s="0" t="str">
        <f aca="false">NewComplaints!A158</f>
        <v>N0157</v>
      </c>
      <c r="B158" s="0" t="str">
        <f aca="false">NewComplaints!B158</f>
        <v>The direct debit setup was delayed and I missed a bill because of it. I could not log in to check either.</v>
      </c>
      <c r="C158" s="0" t="str">
        <f aca="false">" "&amp;TRIM(SUBSTITUTE(SUBSTITUTE(SUBSTITUTE(SUBSTITUTE(SUBSTITUTE(SUBSTITUTE(SUBSTITUTE(SUBSTITUTE(SUBSTITUTE(SUBSTITUTE(SUBSTITUTE(SUBSTITUTE(SUBSTITUTE(SUBSTITUTE(SUBSTITUTE(SUBSTITUTE(LOWER(B158),"."," "),","," "),"'"," "),"’"," "),"!"," "),"?"," "),";"," "),":"," "),"-"," "),"("," "),")"," "),"""", " "),"£"," "),"&amp;"," "),"/"," "),"%"," "))&amp;" "</f>
        <v> the direct debit setup was delayed and i missed a bill because of it i could not log in to check either </v>
      </c>
      <c r="D158" s="0" t="n">
        <f aca="false">SUMPRODUCT((Rules!$A$2:$A$60=D$1)*Rules!$C$2:$C$60*ISNUMBER(SEARCH(Rules!$D$2:$D$60,$C158)))</f>
        <v>0</v>
      </c>
      <c r="E158" s="0" t="n">
        <f aca="false">SUMPRODUCT((Rules!$A$2:$A$60=E$1)*Rules!$C$2:$C$60*ISNUMBER(SEARCH(Rules!$D$2:$D$60,$C158)))</f>
        <v>0</v>
      </c>
      <c r="F158" s="0" t="n">
        <f aca="false">SUMPRODUCT((Rules!$A$2:$A$60=F$1)*Rules!$C$2:$C$60*ISNUMBER(SEARCH(Rules!$D$2:$D$60,$C158)))</f>
        <v>3</v>
      </c>
      <c r="G158" s="0" t="n">
        <f aca="false">SUMPRODUCT((Rules!$A$2:$A$60=G$1)*Rules!$C$2:$C$60*ISNUMBER(SEARCH(Rules!$D$2:$D$60,$C158)))</f>
        <v>0</v>
      </c>
      <c r="H158" s="0" t="n">
        <f aca="false">SUMPRODUCT((Rules!$A$2:$A$60=H$1)*Rules!$C$2:$C$60*ISNUMBER(SEARCH(Rules!$D$2:$D$60,$C158)))</f>
        <v>2</v>
      </c>
      <c r="I158" s="0" t="n">
        <f aca="false">SUMPRODUCT((Rules!$A$2:$A$60=I$1)*Rules!$C$2:$C$60*ISNUMBER(SEARCH(Rules!$D$2:$D$60,$C158)))</f>
        <v>0</v>
      </c>
      <c r="J158" s="0" t="str">
        <f aca="false">IF(OR(MAX(D158:I158)&lt;Rules!$H$1,MAX(D158:I158)-LARGE(D158:I158,2)&lt;Rules!$H$2),"No label",INDEX($D$1:$I$1,MATCH(MAX(D158:I158),D158:I158,0)))</f>
        <v>No label</v>
      </c>
      <c r="K158" s="0" t="n">
        <f aca="false">SUMPRODUCT(ISNUMBER(SEARCH(" "&amp;Terms!$A$3:$A$821&amp;" ",$C158))*Terms!B$3:B$821)+Terms!B$2</f>
        <v>-3.57417724203117</v>
      </c>
      <c r="L158" s="0" t="n">
        <f aca="false">SUMPRODUCT(ISNUMBER(SEARCH(" "&amp;Terms!$A$3:$A$821&amp;" ",$C158))*Terms!C$3:C$821)+Terms!C$2</f>
        <v>-2.58237819081278</v>
      </c>
      <c r="M158" s="0" t="n">
        <f aca="false">SUMPRODUCT(ISNUMBER(SEARCH(" "&amp;Terms!$A$3:$A$821&amp;" ",$C158))*Terms!D$3:D$821)+Terms!D$2</f>
        <v>11.7083289010142</v>
      </c>
      <c r="N158" s="0" t="n">
        <f aca="false">SUMPRODUCT(ISNUMBER(SEARCH(" "&amp;Terms!$A$3:$A$821&amp;" ",$C158))*Terms!E$3:E$821)+Terms!E$2</f>
        <v>-2.92911205324672</v>
      </c>
      <c r="O158" s="0" t="n">
        <f aca="false">SUMPRODUCT(ISNUMBER(SEARCH(" "&amp;Terms!$A$3:$A$821&amp;" ",$C158))*Terms!F$3:F$821)+Terms!F$2</f>
        <v>-0.5265459653023</v>
      </c>
      <c r="P158" s="0" t="n">
        <f aca="false">SUMPRODUCT(ISNUMBER(SEARCH(" "&amp;Terms!$A$3:$A$821&amp;" ",$C158))*Terms!G$3:G$821)+Terms!G$2</f>
        <v>-2.09611544962109</v>
      </c>
      <c r="Q158" s="0" t="str">
        <f aca="false">INDEX($K$1:$P$1,MATCH(MAX(K158:P158),K158:P158,0))</f>
        <v>Delays &amp; Processing</v>
      </c>
      <c r="R158" s="0" t="str">
        <f aca="false">IF(J158&lt;&gt;"No label",J158,Q158)</f>
        <v>Delays &amp; Processing</v>
      </c>
      <c r="S158" s="0" t="str">
        <f aca="false">INDEX(Answers!$B$2:$B$201,MATCH(A158,Answers!$A$2:$A$201,0))</f>
        <v>Delays &amp; Processing</v>
      </c>
      <c r="T158" s="4" t="b">
        <f aca="false">R158=S158</f>
        <v>1</v>
      </c>
    </row>
    <row r="159" customFormat="false" ht="15" hidden="false" customHeight="false" outlineLevel="0" collapsed="false">
      <c r="A159" s="0" t="str">
        <f aca="false">NewComplaints!A159</f>
        <v>N0158</v>
      </c>
      <c r="B159" s="0" t="str">
        <f aca="false">NewComplaints!B159</f>
        <v>Frankly, Someone ha made payments from my account that I did not authorise. I want this put right.</v>
      </c>
      <c r="C159" s="0" t="str">
        <f aca="false">" "&amp;TRIM(SUBSTITUTE(SUBSTITUTE(SUBSTITUTE(SUBSTITUTE(SUBSTITUTE(SUBSTITUTE(SUBSTITUTE(SUBSTITUTE(SUBSTITUTE(SUBSTITUTE(SUBSTITUTE(SUBSTITUTE(SUBSTITUTE(SUBSTITUTE(SUBSTITUTE(SUBSTITUTE(LOWER(B159),"."," "),","," "),"'"," "),"’"," "),"!"," "),"?"," "),";"," "),":"," "),"-"," "),"("," "),")"," "),"""", " "),"£"," "),"&amp;"," "),"/"," "),"%"," "))&amp;" "</f>
        <v> frankly someone ha made payments from my account that i did not authorise i want this put right </v>
      </c>
      <c r="D159" s="0" t="n">
        <f aca="false">SUMPRODUCT((Rules!$A$2:$A$60=D$1)*Rules!$C$2:$C$60*ISNUMBER(SEARCH(Rules!$D$2:$D$60,$C159)))</f>
        <v>3</v>
      </c>
      <c r="E159" s="0" t="n">
        <f aca="false">SUMPRODUCT((Rules!$A$2:$A$60=E$1)*Rules!$C$2:$C$60*ISNUMBER(SEARCH(Rules!$D$2:$D$60,$C159)))</f>
        <v>0</v>
      </c>
      <c r="F159" s="0" t="n">
        <f aca="false">SUMPRODUCT((Rules!$A$2:$A$60=F$1)*Rules!$C$2:$C$60*ISNUMBER(SEARCH(Rules!$D$2:$D$60,$C159)))</f>
        <v>0</v>
      </c>
      <c r="G159" s="0" t="n">
        <f aca="false">SUMPRODUCT((Rules!$A$2:$A$60=G$1)*Rules!$C$2:$C$60*ISNUMBER(SEARCH(Rules!$D$2:$D$60,$C159)))</f>
        <v>0</v>
      </c>
      <c r="H159" s="0" t="n">
        <f aca="false">SUMPRODUCT((Rules!$A$2:$A$60=H$1)*Rules!$C$2:$C$60*ISNUMBER(SEARCH(Rules!$D$2:$D$60,$C159)))</f>
        <v>0</v>
      </c>
      <c r="I159" s="0" t="n">
        <f aca="false">SUMPRODUCT((Rules!$A$2:$A$60=I$1)*Rules!$C$2:$C$60*ISNUMBER(SEARCH(Rules!$D$2:$D$60,$C159)))</f>
        <v>0</v>
      </c>
      <c r="J159" s="0" t="str">
        <f aca="false">IF(OR(MAX(D159:I159)&lt;Rules!$H$1,MAX(D159:I159)-LARGE(D159:I159,2)&lt;Rules!$H$2),"No label",INDEX($D$1:$I$1,MATCH(MAX(D159:I159),D159:I159,0)))</f>
        <v>Fraud &amp; Scams</v>
      </c>
      <c r="K159" s="0" t="n">
        <f aca="false">SUMPRODUCT(ISNUMBER(SEARCH(" "&amp;Terms!$A$3:$A$821&amp;" ",$C159))*Terms!B$3:B$821)+Terms!B$2</f>
        <v>-0.17591686464055</v>
      </c>
      <c r="L159" s="0" t="n">
        <f aca="false">SUMPRODUCT(ISNUMBER(SEARCH(" "&amp;Terms!$A$3:$A$821&amp;" ",$C159))*Terms!C$3:C$821)+Terms!C$2</f>
        <v>-3.6836983776122</v>
      </c>
      <c r="M159" s="0" t="n">
        <f aca="false">SUMPRODUCT(ISNUMBER(SEARCH(" "&amp;Terms!$A$3:$A$821&amp;" ",$C159))*Terms!D$3:D$821)+Terms!D$2</f>
        <v>-1.10485645473137</v>
      </c>
      <c r="N159" s="0" t="n">
        <f aca="false">SUMPRODUCT(ISNUMBER(SEARCH(" "&amp;Terms!$A$3:$A$821&amp;" ",$C159))*Terms!E$3:E$821)+Terms!E$2</f>
        <v>-0.325571936619206</v>
      </c>
      <c r="O159" s="0" t="n">
        <f aca="false">SUMPRODUCT(ISNUMBER(SEARCH(" "&amp;Terms!$A$3:$A$821&amp;" ",$C159))*Terms!F$3:F$821)+Terms!F$2</f>
        <v>7.10489294382577</v>
      </c>
      <c r="P159" s="0" t="n">
        <f aca="false">SUMPRODUCT(ISNUMBER(SEARCH(" "&amp;Terms!$A$3:$A$821&amp;" ",$C159))*Terms!G$3:G$821)+Terms!G$2</f>
        <v>-1.81484931022235</v>
      </c>
      <c r="Q159" s="0" t="str">
        <f aca="false">INDEX($K$1:$P$1,MATCH(MAX(K159:P159),K159:P159,0))</f>
        <v>Fraud &amp; Scams</v>
      </c>
      <c r="R159" s="0" t="str">
        <f aca="false">IF(J159&lt;&gt;"No label",J159,Q159)</f>
        <v>Fraud &amp; Scams</v>
      </c>
      <c r="S159" s="0" t="str">
        <f aca="false">INDEX(Answers!$B$2:$B$201,MATCH(A159,Answers!$A$2:$A$201,0))</f>
        <v>Fraud &amp; Scams</v>
      </c>
      <c r="T159" s="4" t="b">
        <f aca="false">R159=S159</f>
        <v>1</v>
      </c>
    </row>
    <row r="160" customFormat="false" ht="15" hidden="false" customHeight="false" outlineLevel="0" collapsed="false">
      <c r="A160" s="0" t="str">
        <f aca="false">NewComplaints!A160</f>
        <v>N0159</v>
      </c>
      <c r="B160" s="0" t="str">
        <f aca="false">NewComplaints!B160</f>
        <v>Hello, The costs keep creeping up and my balance is lower than it should be. Please escalate this.</v>
      </c>
      <c r="C160" s="0" t="str">
        <f aca="false">" "&amp;TRIM(SUBSTITUTE(SUBSTITUTE(SUBSTITUTE(SUBSTITUTE(SUBSTITUTE(SUBSTITUTE(SUBSTITUTE(SUBSTITUTE(SUBSTITUTE(SUBSTITUTE(SUBSTITUTE(SUBSTITUTE(SUBSTITUTE(SUBSTITUTE(SUBSTITUTE(SUBSTITUTE(LOWER(B160),"."," "),","," "),"'"," "),"’"," "),"!"," "),"?"," "),";"," "),":"," "),"-"," "),"("," "),")"," "),"""", " "),"£"," "),"&amp;"," "),"/"," "),"%"," "))&amp;" "</f>
        <v> hello the costs keep creeping up and my balance is lower than it should be please escalate this </v>
      </c>
      <c r="D160" s="0" t="n">
        <f aca="false">SUMPRODUCT((Rules!$A$2:$A$60=D$1)*Rules!$C$2:$C$60*ISNUMBER(SEARCH(Rules!$D$2:$D$60,$C160)))</f>
        <v>0</v>
      </c>
      <c r="E160" s="0" t="n">
        <f aca="false">SUMPRODUCT((Rules!$A$2:$A$60=E$1)*Rules!$C$2:$C$60*ISNUMBER(SEARCH(Rules!$D$2:$D$60,$C160)))</f>
        <v>0</v>
      </c>
      <c r="F160" s="0" t="n">
        <f aca="false">SUMPRODUCT((Rules!$A$2:$A$60=F$1)*Rules!$C$2:$C$60*ISNUMBER(SEARCH(Rules!$D$2:$D$60,$C160)))</f>
        <v>0</v>
      </c>
      <c r="G160" s="0" t="n">
        <f aca="false">SUMPRODUCT((Rules!$A$2:$A$60=G$1)*Rules!$C$2:$C$60*ISNUMBER(SEARCH(Rules!$D$2:$D$60,$C160)))</f>
        <v>1</v>
      </c>
      <c r="H160" s="0" t="n">
        <f aca="false">SUMPRODUCT((Rules!$A$2:$A$60=H$1)*Rules!$C$2:$C$60*ISNUMBER(SEARCH(Rules!$D$2:$D$60,$C160)))</f>
        <v>0</v>
      </c>
      <c r="I160" s="0" t="n">
        <f aca="false">SUMPRODUCT((Rules!$A$2:$A$60=I$1)*Rules!$C$2:$C$60*ISNUMBER(SEARCH(Rules!$D$2:$D$60,$C160)))</f>
        <v>0</v>
      </c>
      <c r="J160" s="0" t="str">
        <f aca="false">IF(OR(MAX(D160:I160)&lt;Rules!$H$1,MAX(D160:I160)-LARGE(D160:I160,2)&lt;Rules!$H$2),"No label",INDEX($D$1:$I$1,MATCH(MAX(D160:I160),D160:I160,0)))</f>
        <v>No label</v>
      </c>
      <c r="K160" s="0" t="n">
        <f aca="false">SUMPRODUCT(ISNUMBER(SEARCH(" "&amp;Terms!$A$3:$A$821&amp;" ",$C160))*Terms!B$3:B$821)+Terms!B$2</f>
        <v>0.475075260310372</v>
      </c>
      <c r="L160" s="0" t="n">
        <f aca="false">SUMPRODUCT(ISNUMBER(SEARCH(" "&amp;Terms!$A$3:$A$821&amp;" ",$C160))*Terms!C$3:C$821)+Terms!C$2</f>
        <v>-0.945585893419762</v>
      </c>
      <c r="M160" s="0" t="n">
        <f aca="false">SUMPRODUCT(ISNUMBER(SEARCH(" "&amp;Terms!$A$3:$A$821&amp;" ",$C160))*Terms!D$3:D$821)+Terms!D$2</f>
        <v>-2.70582634281478</v>
      </c>
      <c r="N160" s="0" t="n">
        <f aca="false">SUMPRODUCT(ISNUMBER(SEARCH(" "&amp;Terms!$A$3:$A$821&amp;" ",$C160))*Terms!E$3:E$821)+Terms!E$2</f>
        <v>6.2963111804061</v>
      </c>
      <c r="O160" s="0" t="n">
        <f aca="false">SUMPRODUCT(ISNUMBER(SEARCH(" "&amp;Terms!$A$3:$A$821&amp;" ",$C160))*Terms!F$3:F$821)+Terms!F$2</f>
        <v>-0.694611137462516</v>
      </c>
      <c r="P160" s="0" t="n">
        <f aca="false">SUMPRODUCT(ISNUMBER(SEARCH(" "&amp;Terms!$A$3:$A$821&amp;" ",$C160))*Terms!G$3:G$821)+Terms!G$2</f>
        <v>-2.42536306701932</v>
      </c>
      <c r="Q160" s="0" t="str">
        <f aca="false">INDEX($K$1:$P$1,MATCH(MAX(K160:P160),K160:P160,0))</f>
        <v>Fees &amp; Charges</v>
      </c>
      <c r="R160" s="0" t="str">
        <f aca="false">IF(J160&lt;&gt;"No label",J160,Q160)</f>
        <v>Fees &amp; Charges</v>
      </c>
      <c r="S160" s="0" t="str">
        <f aca="false">INDEX(Answers!$B$2:$B$201,MATCH(A160,Answers!$A$2:$A$201,0))</f>
        <v>Fees &amp; Charges</v>
      </c>
      <c r="T160" s="4" t="b">
        <f aca="false">R160=S160</f>
        <v>1</v>
      </c>
    </row>
    <row r="161" customFormat="false" ht="15" hidden="false" customHeight="false" outlineLevel="0" collapsed="false">
      <c r="A161" s="0" t="str">
        <f aca="false">NewComplaints!A161</f>
        <v>N0160</v>
      </c>
      <c r="B161" s="0" t="str">
        <f aca="false">NewComplaints!B161</f>
        <v>I have been a customer for years. I keep getting an error message when I sign in. Please escalate this.</v>
      </c>
      <c r="C161" s="0" t="str">
        <f aca="false">" "&amp;TRIM(SUBSTITUTE(SUBSTITUTE(SUBSTITUTE(SUBSTITUTE(SUBSTITUTE(SUBSTITUTE(SUBSTITUTE(SUBSTITUTE(SUBSTITUTE(SUBSTITUTE(SUBSTITUTE(SUBSTITUTE(SUBSTITUTE(SUBSTITUTE(SUBSTITUTE(SUBSTITUTE(LOWER(B161),"."," "),","," "),"'"," "),"’"," "),"!"," "),"?"," "),";"," "),":"," "),"-"," "),"("," "),")"," "),"""", " "),"£"," "),"&amp;"," "),"/"," "),"%"," "))&amp;" "</f>
        <v> i have been a customer for years i keep getting an error message when i sign in please escalate this </v>
      </c>
      <c r="D161" s="0" t="n">
        <f aca="false">SUMPRODUCT((Rules!$A$2:$A$60=D$1)*Rules!$C$2:$C$60*ISNUMBER(SEARCH(Rules!$D$2:$D$60,$C161)))</f>
        <v>0</v>
      </c>
      <c r="E161" s="0" t="n">
        <f aca="false">SUMPRODUCT((Rules!$A$2:$A$60=E$1)*Rules!$C$2:$C$60*ISNUMBER(SEARCH(Rules!$D$2:$D$60,$C161)))</f>
        <v>0</v>
      </c>
      <c r="F161" s="0" t="n">
        <f aca="false">SUMPRODUCT((Rules!$A$2:$A$60=F$1)*Rules!$C$2:$C$60*ISNUMBER(SEARCH(Rules!$D$2:$D$60,$C161)))</f>
        <v>3</v>
      </c>
      <c r="G161" s="0" t="n">
        <f aca="false">SUMPRODUCT((Rules!$A$2:$A$60=G$1)*Rules!$C$2:$C$60*ISNUMBER(SEARCH(Rules!$D$2:$D$60,$C161)))</f>
        <v>0</v>
      </c>
      <c r="H161" s="0" t="n">
        <f aca="false">SUMPRODUCT((Rules!$A$2:$A$60=H$1)*Rules!$C$2:$C$60*ISNUMBER(SEARCH(Rules!$D$2:$D$60,$C161)))</f>
        <v>0</v>
      </c>
      <c r="I161" s="0" t="n">
        <f aca="false">SUMPRODUCT((Rules!$A$2:$A$60=I$1)*Rules!$C$2:$C$60*ISNUMBER(SEARCH(Rules!$D$2:$D$60,$C161)))</f>
        <v>0</v>
      </c>
      <c r="J161" s="0" t="str">
        <f aca="false">IF(OR(MAX(D161:I161)&lt;Rules!$H$1,MAX(D161:I161)-LARGE(D161:I161,2)&lt;Rules!$H$2),"No label",INDEX($D$1:$I$1,MATCH(MAX(D161:I161),D161:I161,0)))</f>
        <v>Account Access</v>
      </c>
      <c r="K161" s="0" t="n">
        <f aca="false">SUMPRODUCT(ISNUMBER(SEARCH(" "&amp;Terms!$A$3:$A$821&amp;" ",$C161))*Terms!B$3:B$821)+Terms!B$2</f>
        <v>10.9418766327668</v>
      </c>
      <c r="L161" s="0" t="n">
        <f aca="false">SUMPRODUCT(ISNUMBER(SEARCH(" "&amp;Terms!$A$3:$A$821&amp;" ",$C161))*Terms!C$3:C$821)+Terms!C$2</f>
        <v>2.02766119375897</v>
      </c>
      <c r="M161" s="0" t="n">
        <f aca="false">SUMPRODUCT(ISNUMBER(SEARCH(" "&amp;Terms!$A$3:$A$821&amp;" ",$C161))*Terms!D$3:D$821)+Terms!D$2</f>
        <v>-1.56430394711207</v>
      </c>
      <c r="N161" s="0" t="n">
        <f aca="false">SUMPRODUCT(ISNUMBER(SEARCH(" "&amp;Terms!$A$3:$A$821&amp;" ",$C161))*Terms!E$3:E$821)+Terms!E$2</f>
        <v>-5.43875280683376</v>
      </c>
      <c r="O161" s="0" t="n">
        <f aca="false">SUMPRODUCT(ISNUMBER(SEARCH(" "&amp;Terms!$A$3:$A$821&amp;" ",$C161))*Terms!F$3:F$821)+Terms!F$2</f>
        <v>-1.98948309942375</v>
      </c>
      <c r="P161" s="0" t="n">
        <f aca="false">SUMPRODUCT(ISNUMBER(SEARCH(" "&amp;Terms!$A$3:$A$821&amp;" ",$C161))*Terms!G$3:G$821)+Terms!G$2</f>
        <v>-3.97699797315611</v>
      </c>
      <c r="Q161" s="0" t="str">
        <f aca="false">INDEX($K$1:$P$1,MATCH(MAX(K161:P161),K161:P161,0))</f>
        <v>Account Access</v>
      </c>
      <c r="R161" s="0" t="str">
        <f aca="false">IF(J161&lt;&gt;"No label",J161,Q161)</f>
        <v>Account Access</v>
      </c>
      <c r="S161" s="0" t="str">
        <f aca="false">INDEX(Answers!$B$2:$B$201,MATCH(A161,Answers!$A$2:$A$201,0))</f>
        <v>Account Access</v>
      </c>
      <c r="T161" s="4" t="b">
        <f aca="false">R161=S161</f>
        <v>1</v>
      </c>
    </row>
    <row r="162" customFormat="false" ht="15" hidden="false" customHeight="false" outlineLevel="0" collapsed="false">
      <c r="A162" s="0" t="str">
        <f aca="false">NewComplaints!A162</f>
        <v>N0161</v>
      </c>
      <c r="B162" s="0" t="str">
        <f aca="false">NewComplaints!B162</f>
        <v>Hello, I was told this policy covered me but my claim was rejected. Please sort this out.</v>
      </c>
      <c r="C162" s="0" t="str">
        <f aca="false">" "&amp;TRIM(SUBSTITUTE(SUBSTITUTE(SUBSTITUTE(SUBSTITUTE(SUBSTITUTE(SUBSTITUTE(SUBSTITUTE(SUBSTITUTE(SUBSTITUTE(SUBSTITUTE(SUBSTITUTE(SUBSTITUTE(SUBSTITUTE(SUBSTITUTE(SUBSTITUTE(SUBSTITUTE(LOWER(B162),"."," "),","," "),"'"," "),"’"," "),"!"," "),"?"," "),";"," "),":"," "),"-"," "),"("," "),")"," "),"""", " "),"£"," "),"&amp;"," "),"/"," "),"%"," "))&amp;" "</f>
        <v> hello i was told this policy covered me but my claim was rejected please sort this out </v>
      </c>
      <c r="D162" s="0" t="n">
        <f aca="false">SUMPRODUCT((Rules!$A$2:$A$60=D$1)*Rules!$C$2:$C$60*ISNUMBER(SEARCH(Rules!$D$2:$D$60,$C162)))</f>
        <v>0</v>
      </c>
      <c r="E162" s="0" t="n">
        <f aca="false">SUMPRODUCT((Rules!$A$2:$A$60=E$1)*Rules!$C$2:$C$60*ISNUMBER(SEARCH(Rules!$D$2:$D$60,$C162)))</f>
        <v>1</v>
      </c>
      <c r="F162" s="0" t="n">
        <f aca="false">SUMPRODUCT((Rules!$A$2:$A$60=F$1)*Rules!$C$2:$C$60*ISNUMBER(SEARCH(Rules!$D$2:$D$60,$C162)))</f>
        <v>0</v>
      </c>
      <c r="G162" s="0" t="n">
        <f aca="false">SUMPRODUCT((Rules!$A$2:$A$60=G$1)*Rules!$C$2:$C$60*ISNUMBER(SEARCH(Rules!$D$2:$D$60,$C162)))</f>
        <v>0</v>
      </c>
      <c r="H162" s="0" t="n">
        <f aca="false">SUMPRODUCT((Rules!$A$2:$A$60=H$1)*Rules!$C$2:$C$60*ISNUMBER(SEARCH(Rules!$D$2:$D$60,$C162)))</f>
        <v>0</v>
      </c>
      <c r="I162" s="0" t="n">
        <f aca="false">SUMPRODUCT((Rules!$A$2:$A$60=I$1)*Rules!$C$2:$C$60*ISNUMBER(SEARCH(Rules!$D$2:$D$60,$C162)))</f>
        <v>0</v>
      </c>
      <c r="J162" s="0" t="str">
        <f aca="false">IF(OR(MAX(D162:I162)&lt;Rules!$H$1,MAX(D162:I162)-LARGE(D162:I162,2)&lt;Rules!$H$2),"No label",INDEX($D$1:$I$1,MATCH(MAX(D162:I162),D162:I162,0)))</f>
        <v>No label</v>
      </c>
      <c r="K162" s="0" t="n">
        <f aca="false">SUMPRODUCT(ISNUMBER(SEARCH(" "&amp;Terms!$A$3:$A$821&amp;" ",$C162))*Terms!B$3:B$821)+Terms!B$2</f>
        <v>-3.80412690031287</v>
      </c>
      <c r="L162" s="0" t="n">
        <f aca="false">SUMPRODUCT(ISNUMBER(SEARCH(" "&amp;Terms!$A$3:$A$821&amp;" ",$C162))*Terms!C$3:C$821)+Terms!C$2</f>
        <v>-2.90900017649251</v>
      </c>
      <c r="M162" s="0" t="n">
        <f aca="false">SUMPRODUCT(ISNUMBER(SEARCH(" "&amp;Terms!$A$3:$A$821&amp;" ",$C162))*Terms!D$3:D$821)+Terms!D$2</f>
        <v>-0.511534716154688</v>
      </c>
      <c r="N162" s="0" t="n">
        <f aca="false">SUMPRODUCT(ISNUMBER(SEARCH(" "&amp;Terms!$A$3:$A$821&amp;" ",$C162))*Terms!E$3:E$821)+Terms!E$2</f>
        <v>0.974085352287459</v>
      </c>
      <c r="O162" s="0" t="n">
        <f aca="false">SUMPRODUCT(ISNUMBER(SEARCH(" "&amp;Terms!$A$3:$A$821&amp;" ",$C162))*Terms!F$3:F$821)+Terms!F$2</f>
        <v>-2.17341687539854</v>
      </c>
      <c r="P162" s="0" t="n">
        <f aca="false">SUMPRODUCT(ISNUMBER(SEARCH(" "&amp;Terms!$A$3:$A$821&amp;" ",$C162))*Terms!G$3:G$821)+Terms!G$2</f>
        <v>8.42399331607125</v>
      </c>
      <c r="Q162" s="0" t="str">
        <f aca="false">INDEX($K$1:$P$1,MATCH(MAX(K162:P162),K162:P162,0))</f>
        <v>Mis-selling</v>
      </c>
      <c r="R162" s="0" t="str">
        <f aca="false">IF(J162&lt;&gt;"No label",J162,Q162)</f>
        <v>Mis-selling</v>
      </c>
      <c r="S162" s="0" t="str">
        <f aca="false">INDEX(Answers!$B$2:$B$201,MATCH(A162,Answers!$A$2:$A$201,0))</f>
        <v>Mis-selling</v>
      </c>
      <c r="T162" s="4" t="b">
        <f aca="false">R162=S162</f>
        <v>1</v>
      </c>
    </row>
    <row r="163" customFormat="false" ht="15" hidden="false" customHeight="false" outlineLevel="0" collapsed="false">
      <c r="A163" s="0" t="str">
        <f aca="false">NewComplaints!A163</f>
        <v>N0162</v>
      </c>
      <c r="B163" s="0" t="str">
        <f aca="false">NewComplaints!B163</f>
        <v>This is the second time I have raised this. I think I was the victim of a scam nd sent money to a fraudster. This is not acceptable.</v>
      </c>
      <c r="C163" s="0" t="str">
        <f aca="false">" "&amp;TRIM(SUBSTITUTE(SUBSTITUTE(SUBSTITUTE(SUBSTITUTE(SUBSTITUTE(SUBSTITUTE(SUBSTITUTE(SUBSTITUTE(SUBSTITUTE(SUBSTITUTE(SUBSTITUTE(SUBSTITUTE(SUBSTITUTE(SUBSTITUTE(SUBSTITUTE(SUBSTITUTE(LOWER(B163),"."," "),","," "),"'"," "),"’"," "),"!"," "),"?"," "),";"," "),":"," "),"-"," "),"("," "),")"," "),"""", " "),"£"," "),"&amp;"," "),"/"," "),"%"," "))&amp;" "</f>
        <v> this is the second time i have raised this i think i was the victim of a scam nd sent money to a fraudster this is not acceptable </v>
      </c>
      <c r="D163" s="0" t="n">
        <f aca="false">SUMPRODUCT((Rules!$A$2:$A$60=D$1)*Rules!$C$2:$C$60*ISNUMBER(SEARCH(Rules!$D$2:$D$60,$C163)))</f>
        <v>6</v>
      </c>
      <c r="E163" s="0" t="n">
        <f aca="false">SUMPRODUCT((Rules!$A$2:$A$60=E$1)*Rules!$C$2:$C$60*ISNUMBER(SEARCH(Rules!$D$2:$D$60,$C163)))</f>
        <v>0</v>
      </c>
      <c r="F163" s="0" t="n">
        <f aca="false">SUMPRODUCT((Rules!$A$2:$A$60=F$1)*Rules!$C$2:$C$60*ISNUMBER(SEARCH(Rules!$D$2:$D$60,$C163)))</f>
        <v>0</v>
      </c>
      <c r="G163" s="0" t="n">
        <f aca="false">SUMPRODUCT((Rules!$A$2:$A$60=G$1)*Rules!$C$2:$C$60*ISNUMBER(SEARCH(Rules!$D$2:$D$60,$C163)))</f>
        <v>0</v>
      </c>
      <c r="H163" s="0" t="n">
        <f aca="false">SUMPRODUCT((Rules!$A$2:$A$60=H$1)*Rules!$C$2:$C$60*ISNUMBER(SEARCH(Rules!$D$2:$D$60,$C163)))</f>
        <v>0</v>
      </c>
      <c r="I163" s="0" t="n">
        <f aca="false">SUMPRODUCT((Rules!$A$2:$A$60=I$1)*Rules!$C$2:$C$60*ISNUMBER(SEARCH(Rules!$D$2:$D$60,$C163)))</f>
        <v>0</v>
      </c>
      <c r="J163" s="0" t="str">
        <f aca="false">IF(OR(MAX(D163:I163)&lt;Rules!$H$1,MAX(D163:I163)-LARGE(D163:I163,2)&lt;Rules!$H$2),"No label",INDEX($D$1:$I$1,MATCH(MAX(D163:I163),D163:I163,0)))</f>
        <v>Fraud &amp; Scams</v>
      </c>
      <c r="K163" s="0" t="n">
        <f aca="false">SUMPRODUCT(ISNUMBER(SEARCH(" "&amp;Terms!$A$3:$A$821&amp;" ",$C163))*Terms!B$3:B$821)+Terms!B$2</f>
        <v>-0.953652816038533</v>
      </c>
      <c r="L163" s="0" t="n">
        <f aca="false">SUMPRODUCT(ISNUMBER(SEARCH(" "&amp;Terms!$A$3:$A$821&amp;" ",$C163))*Terms!C$3:C$821)+Terms!C$2</f>
        <v>-3.31284868326463</v>
      </c>
      <c r="M163" s="0" t="n">
        <f aca="false">SUMPRODUCT(ISNUMBER(SEARCH(" "&amp;Terms!$A$3:$A$821&amp;" ",$C163))*Terms!D$3:D$821)+Terms!D$2</f>
        <v>-0.573277184814626</v>
      </c>
      <c r="N163" s="0" t="n">
        <f aca="false">SUMPRODUCT(ISNUMBER(SEARCH(" "&amp;Terms!$A$3:$A$821&amp;" ",$C163))*Terms!E$3:E$821)+Terms!E$2</f>
        <v>-2.75930405476629</v>
      </c>
      <c r="O163" s="0" t="n">
        <f aca="false">SUMPRODUCT(ISNUMBER(SEARCH(" "&amp;Terms!$A$3:$A$821&amp;" ",$C163))*Terms!F$3:F$821)+Terms!F$2</f>
        <v>10.2121061394318</v>
      </c>
      <c r="P163" s="0" t="n">
        <f aca="false">SUMPRODUCT(ISNUMBER(SEARCH(" "&amp;Terms!$A$3:$A$821&amp;" ",$C163))*Terms!G$3:G$821)+Terms!G$2</f>
        <v>-2.61302340054759</v>
      </c>
      <c r="Q163" s="0" t="str">
        <f aca="false">INDEX($K$1:$P$1,MATCH(MAX(K163:P163),K163:P163,0))</f>
        <v>Fraud &amp; Scams</v>
      </c>
      <c r="R163" s="0" t="str">
        <f aca="false">IF(J163&lt;&gt;"No label",J163,Q163)</f>
        <v>Fraud &amp; Scams</v>
      </c>
      <c r="S163" s="0" t="str">
        <f aca="false">INDEX(Answers!$B$2:$B$201,MATCH(A163,Answers!$A$2:$A$201,0))</f>
        <v>Fraud &amp; Scams</v>
      </c>
      <c r="T163" s="4" t="b">
        <f aca="false">R163=S163</f>
        <v>1</v>
      </c>
    </row>
    <row r="164" customFormat="false" ht="15" hidden="false" customHeight="false" outlineLevel="0" collapsed="false">
      <c r="A164" s="0" t="str">
        <f aca="false">NewComplaints!A164</f>
        <v>N0163</v>
      </c>
      <c r="B164" s="0" t="str">
        <f aca="false">NewComplaints!B164</f>
        <v>I have been a customer for years. I was told this policy covered me but my claim was rejected. Also, the app crashes every time I try to open my statements. Please sort this out.</v>
      </c>
      <c r="C164" s="0" t="str">
        <f aca="false">" "&amp;TRIM(SUBSTITUTE(SUBSTITUTE(SUBSTITUTE(SUBSTITUTE(SUBSTITUTE(SUBSTITUTE(SUBSTITUTE(SUBSTITUTE(SUBSTITUTE(SUBSTITUTE(SUBSTITUTE(SUBSTITUTE(SUBSTITUTE(SUBSTITUTE(SUBSTITUTE(SUBSTITUTE(LOWER(B164),"."," "),","," "),"'"," "),"’"," "),"!"," "),"?"," "),";"," "),":"," "),"-"," "),"("," "),")"," "),"""", " "),"£"," "),"&amp;"," "),"/"," "),"%"," "))&amp;" "</f>
        <v> i have been a customer for years i was told this policy covered me but my claim was rejected also the app crashes every time i try to open my statements please sort this out </v>
      </c>
      <c r="D164" s="0" t="n">
        <f aca="false">SUMPRODUCT((Rules!$A$2:$A$60=D$1)*Rules!$C$2:$C$60*ISNUMBER(SEARCH(Rules!$D$2:$D$60,$C164)))</f>
        <v>0</v>
      </c>
      <c r="E164" s="0" t="n">
        <f aca="false">SUMPRODUCT((Rules!$A$2:$A$60=E$1)*Rules!$C$2:$C$60*ISNUMBER(SEARCH(Rules!$D$2:$D$60,$C164)))</f>
        <v>1</v>
      </c>
      <c r="F164" s="0" t="n">
        <f aca="false">SUMPRODUCT((Rules!$A$2:$A$60=F$1)*Rules!$C$2:$C$60*ISNUMBER(SEARCH(Rules!$D$2:$D$60,$C164)))</f>
        <v>3</v>
      </c>
      <c r="G164" s="0" t="n">
        <f aca="false">SUMPRODUCT((Rules!$A$2:$A$60=G$1)*Rules!$C$2:$C$60*ISNUMBER(SEARCH(Rules!$D$2:$D$60,$C164)))</f>
        <v>0</v>
      </c>
      <c r="H164" s="0" t="n">
        <f aca="false">SUMPRODUCT((Rules!$A$2:$A$60=H$1)*Rules!$C$2:$C$60*ISNUMBER(SEARCH(Rules!$D$2:$D$60,$C164)))</f>
        <v>0</v>
      </c>
      <c r="I164" s="0" t="n">
        <f aca="false">SUMPRODUCT((Rules!$A$2:$A$60=I$1)*Rules!$C$2:$C$60*ISNUMBER(SEARCH(Rules!$D$2:$D$60,$C164)))</f>
        <v>0</v>
      </c>
      <c r="J164" s="0" t="str">
        <f aca="false">IF(OR(MAX(D164:I164)&lt;Rules!$H$1,MAX(D164:I164)-LARGE(D164:I164,2)&lt;Rules!$H$2),"No label",INDEX($D$1:$I$1,MATCH(MAX(D164:I164),D164:I164,0)))</f>
        <v>Account Access</v>
      </c>
      <c r="K164" s="0" t="n">
        <f aca="false">SUMPRODUCT(ISNUMBER(SEARCH(" "&amp;Terms!$A$3:$A$821&amp;" ",$C164))*Terms!B$3:B$821)+Terms!B$2</f>
        <v>5.26332827714056</v>
      </c>
      <c r="L164" s="0" t="n">
        <f aca="false">SUMPRODUCT(ISNUMBER(SEARCH(" "&amp;Terms!$A$3:$A$821&amp;" ",$C164))*Terms!C$3:C$821)+Terms!C$2</f>
        <v>-3.02402124489019</v>
      </c>
      <c r="M164" s="0" t="n">
        <f aca="false">SUMPRODUCT(ISNUMBER(SEARCH(" "&amp;Terms!$A$3:$A$821&amp;" ",$C164))*Terms!D$3:D$821)+Terms!D$2</f>
        <v>-0.885146426878697</v>
      </c>
      <c r="N164" s="0" t="n">
        <f aca="false">SUMPRODUCT(ISNUMBER(SEARCH(" "&amp;Terms!$A$3:$A$821&amp;" ",$C164))*Terms!E$3:E$821)+Terms!E$2</f>
        <v>-0.799700197073387</v>
      </c>
      <c r="O164" s="0" t="n">
        <f aca="false">SUMPRODUCT(ISNUMBER(SEARCH(" "&amp;Terms!$A$3:$A$821&amp;" ",$C164))*Terms!F$3:F$821)+Terms!F$2</f>
        <v>-5.62518042297234</v>
      </c>
      <c r="P164" s="0" t="n">
        <f aca="false">SUMPRODUCT(ISNUMBER(SEARCH(" "&amp;Terms!$A$3:$A$821&amp;" ",$C164))*Terms!G$3:G$821)+Terms!G$2</f>
        <v>5.07072001467416</v>
      </c>
      <c r="Q164" s="0" t="str">
        <f aca="false">INDEX($K$1:$P$1,MATCH(MAX(K164:P164),K164:P164,0))</f>
        <v>Account Access</v>
      </c>
      <c r="R164" s="0" t="str">
        <f aca="false">IF(J164&lt;&gt;"No label",J164,Q164)</f>
        <v>Account Access</v>
      </c>
      <c r="S164" s="0" t="str">
        <f aca="false">INDEX(Answers!$B$2:$B$201,MATCH(A164,Answers!$A$2:$A$201,0))</f>
        <v>Mis-selling</v>
      </c>
      <c r="T164" s="4" t="b">
        <f aca="false">R164=S164</f>
        <v>0</v>
      </c>
    </row>
    <row r="165" customFormat="false" ht="15" hidden="false" customHeight="false" outlineLevel="0" collapsed="false">
      <c r="A165" s="0" t="str">
        <f aca="false">NewComplaints!A165</f>
        <v>N0164</v>
      </c>
      <c r="B165" s="0" t="str">
        <f aca="false">NewComplaints!B165</f>
        <v>This is the second time I have raised this. The terms were very different from what I was promised at the time of sale. Pleae sort this out.</v>
      </c>
      <c r="C165" s="0" t="str">
        <f aca="false">" "&amp;TRIM(SUBSTITUTE(SUBSTITUTE(SUBSTITUTE(SUBSTITUTE(SUBSTITUTE(SUBSTITUTE(SUBSTITUTE(SUBSTITUTE(SUBSTITUTE(SUBSTITUTE(SUBSTITUTE(SUBSTITUTE(SUBSTITUTE(SUBSTITUTE(SUBSTITUTE(SUBSTITUTE(LOWER(B165),"."," "),","," "),"'"," "),"’"," "),"!"," "),"?"," "),";"," "),":"," "),"-"," "),"("," "),")"," "),"""", " "),"£"," "),"&amp;"," "),"/"," "),"%"," "))&amp;" "</f>
        <v> this is the second time i have raised this the terms were very different from what i was promised at the time of sale pleae sort this out </v>
      </c>
      <c r="D165" s="0" t="n">
        <f aca="false">SUMPRODUCT((Rules!$A$2:$A$60=D$1)*Rules!$C$2:$C$60*ISNUMBER(SEARCH(Rules!$D$2:$D$60,$C165)))</f>
        <v>0</v>
      </c>
      <c r="E165" s="0" t="n">
        <f aca="false">SUMPRODUCT((Rules!$A$2:$A$60=E$1)*Rules!$C$2:$C$60*ISNUMBER(SEARCH(Rules!$D$2:$D$60,$C165)))</f>
        <v>1</v>
      </c>
      <c r="F165" s="0" t="n">
        <f aca="false">SUMPRODUCT((Rules!$A$2:$A$60=F$1)*Rules!$C$2:$C$60*ISNUMBER(SEARCH(Rules!$D$2:$D$60,$C165)))</f>
        <v>0</v>
      </c>
      <c r="G165" s="0" t="n">
        <f aca="false">SUMPRODUCT((Rules!$A$2:$A$60=G$1)*Rules!$C$2:$C$60*ISNUMBER(SEARCH(Rules!$D$2:$D$60,$C165)))</f>
        <v>0</v>
      </c>
      <c r="H165" s="0" t="n">
        <f aca="false">SUMPRODUCT((Rules!$A$2:$A$60=H$1)*Rules!$C$2:$C$60*ISNUMBER(SEARCH(Rules!$D$2:$D$60,$C165)))</f>
        <v>0</v>
      </c>
      <c r="I165" s="0" t="n">
        <f aca="false">SUMPRODUCT((Rules!$A$2:$A$60=I$1)*Rules!$C$2:$C$60*ISNUMBER(SEARCH(Rules!$D$2:$D$60,$C165)))</f>
        <v>0</v>
      </c>
      <c r="J165" s="0" t="str">
        <f aca="false">IF(OR(MAX(D165:I165)&lt;Rules!$H$1,MAX(D165:I165)-LARGE(D165:I165,2)&lt;Rules!$H$2),"No label",INDEX($D$1:$I$1,MATCH(MAX(D165:I165),D165:I165,0)))</f>
        <v>No label</v>
      </c>
      <c r="K165" s="0" t="n">
        <f aca="false">SUMPRODUCT(ISNUMBER(SEARCH(" "&amp;Terms!$A$3:$A$821&amp;" ",$C165))*Terms!B$3:B$821)+Terms!B$2</f>
        <v>-5.03877123671778</v>
      </c>
      <c r="L165" s="0" t="n">
        <f aca="false">SUMPRODUCT(ISNUMBER(SEARCH(" "&amp;Terms!$A$3:$A$821&amp;" ",$C165))*Terms!C$3:C$821)+Terms!C$2</f>
        <v>0.561565245234659</v>
      </c>
      <c r="M165" s="0" t="n">
        <f aca="false">SUMPRODUCT(ISNUMBER(SEARCH(" "&amp;Terms!$A$3:$A$821&amp;" ",$C165))*Terms!D$3:D$821)+Terms!D$2</f>
        <v>2.1319252681258</v>
      </c>
      <c r="N165" s="0" t="n">
        <f aca="false">SUMPRODUCT(ISNUMBER(SEARCH(" "&amp;Terms!$A$3:$A$821&amp;" ",$C165))*Terms!E$3:E$821)+Terms!E$2</f>
        <v>-0.910862426960508</v>
      </c>
      <c r="O165" s="0" t="n">
        <f aca="false">SUMPRODUCT(ISNUMBER(SEARCH(" "&amp;Terms!$A$3:$A$821&amp;" ",$C165))*Terms!F$3:F$821)+Terms!F$2</f>
        <v>-2.21439470230349</v>
      </c>
      <c r="P165" s="0" t="n">
        <f aca="false">SUMPRODUCT(ISNUMBER(SEARCH(" "&amp;Terms!$A$3:$A$821&amp;" ",$C165))*Terms!G$3:G$821)+Terms!G$2</f>
        <v>5.47053785262141</v>
      </c>
      <c r="Q165" s="0" t="str">
        <f aca="false">INDEX($K$1:$P$1,MATCH(MAX(K165:P165),K165:P165,0))</f>
        <v>Mis-selling</v>
      </c>
      <c r="R165" s="0" t="str">
        <f aca="false">IF(J165&lt;&gt;"No label",J165,Q165)</f>
        <v>Mis-selling</v>
      </c>
      <c r="S165" s="0" t="str">
        <f aca="false">INDEX(Answers!$B$2:$B$201,MATCH(A165,Answers!$A$2:$A$201,0))</f>
        <v>Mis-selling</v>
      </c>
      <c r="T165" s="4" t="b">
        <f aca="false">R165=S165</f>
        <v>1</v>
      </c>
    </row>
    <row r="166" customFormat="false" ht="15" hidden="false" customHeight="false" outlineLevel="0" collapsed="false">
      <c r="A166" s="0" t="str">
        <f aca="false">NewComplaints!A166</f>
        <v>N0165</v>
      </c>
      <c r="B166" s="0" t="str">
        <f aca="false">NewComplaints!B166</f>
        <v>Hello, Someone has made payments from my account that I did not authorise. Also, the terms were very different from what I was promised at the time of sale.</v>
      </c>
      <c r="C166" s="0" t="str">
        <f aca="false">" "&amp;TRIM(SUBSTITUTE(SUBSTITUTE(SUBSTITUTE(SUBSTITUTE(SUBSTITUTE(SUBSTITUTE(SUBSTITUTE(SUBSTITUTE(SUBSTITUTE(SUBSTITUTE(SUBSTITUTE(SUBSTITUTE(SUBSTITUTE(SUBSTITUTE(SUBSTITUTE(SUBSTITUTE(LOWER(B166),"."," "),","," "),"'"," "),"’"," "),"!"," "),"?"," "),";"," "),":"," "),"-"," "),"("," "),")"," "),"""", " "),"£"," "),"&amp;"," "),"/"," "),"%"," "))&amp;" "</f>
        <v> hello someone has made payments from my account that i did not authorise also the terms were very different from what i was promised at the time of sale </v>
      </c>
      <c r="D166" s="0" t="n">
        <f aca="false">SUMPRODUCT((Rules!$A$2:$A$60=D$1)*Rules!$C$2:$C$60*ISNUMBER(SEARCH(Rules!$D$2:$D$60,$C166)))</f>
        <v>3</v>
      </c>
      <c r="E166" s="0" t="n">
        <f aca="false">SUMPRODUCT((Rules!$A$2:$A$60=E$1)*Rules!$C$2:$C$60*ISNUMBER(SEARCH(Rules!$D$2:$D$60,$C166)))</f>
        <v>1</v>
      </c>
      <c r="F166" s="0" t="n">
        <f aca="false">SUMPRODUCT((Rules!$A$2:$A$60=F$1)*Rules!$C$2:$C$60*ISNUMBER(SEARCH(Rules!$D$2:$D$60,$C166)))</f>
        <v>0</v>
      </c>
      <c r="G166" s="0" t="n">
        <f aca="false">SUMPRODUCT((Rules!$A$2:$A$60=G$1)*Rules!$C$2:$C$60*ISNUMBER(SEARCH(Rules!$D$2:$D$60,$C166)))</f>
        <v>0</v>
      </c>
      <c r="H166" s="0" t="n">
        <f aca="false">SUMPRODUCT((Rules!$A$2:$A$60=H$1)*Rules!$C$2:$C$60*ISNUMBER(SEARCH(Rules!$D$2:$D$60,$C166)))</f>
        <v>0</v>
      </c>
      <c r="I166" s="0" t="n">
        <f aca="false">SUMPRODUCT((Rules!$A$2:$A$60=I$1)*Rules!$C$2:$C$60*ISNUMBER(SEARCH(Rules!$D$2:$D$60,$C166)))</f>
        <v>0</v>
      </c>
      <c r="J166" s="0" t="str">
        <f aca="false">IF(OR(MAX(D166:I166)&lt;Rules!$H$1,MAX(D166:I166)-LARGE(D166:I166,2)&lt;Rules!$H$2),"No label",INDEX($D$1:$I$1,MATCH(MAX(D166:I166),D166:I166,0)))</f>
        <v>Fraud &amp; Scams</v>
      </c>
      <c r="K166" s="0" t="n">
        <f aca="false">SUMPRODUCT(ISNUMBER(SEARCH(" "&amp;Terms!$A$3:$A$821&amp;" ",$C166))*Terms!B$3:B$821)+Terms!B$2</f>
        <v>0.140377281279254</v>
      </c>
      <c r="L166" s="0" t="n">
        <f aca="false">SUMPRODUCT(ISNUMBER(SEARCH(" "&amp;Terms!$A$3:$A$821&amp;" ",$C166))*Terms!C$3:C$821)+Terms!C$2</f>
        <v>-3.55750321553095</v>
      </c>
      <c r="M166" s="0" t="n">
        <f aca="false">SUMPRODUCT(ISNUMBER(SEARCH(" "&amp;Terms!$A$3:$A$821&amp;" ",$C166))*Terms!D$3:D$821)+Terms!D$2</f>
        <v>0.933349352686562</v>
      </c>
      <c r="N166" s="0" t="n">
        <f aca="false">SUMPRODUCT(ISNUMBER(SEARCH(" "&amp;Terms!$A$3:$A$821&amp;" ",$C166))*Terms!E$3:E$821)+Terms!E$2</f>
        <v>-3.86414404125862</v>
      </c>
      <c r="O166" s="0" t="n">
        <f aca="false">SUMPRODUCT(ISNUMBER(SEARCH(" "&amp;Terms!$A$3:$A$821&amp;" ",$C166))*Terms!F$3:F$821)+Terms!F$2</f>
        <v>1.09029211889133</v>
      </c>
      <c r="P166" s="0" t="n">
        <f aca="false">SUMPRODUCT(ISNUMBER(SEARCH(" "&amp;Terms!$A$3:$A$821&amp;" ",$C166))*Terms!G$3:G$821)+Terms!G$2</f>
        <v>5.25762850393251</v>
      </c>
      <c r="Q166" s="0" t="str">
        <f aca="false">INDEX($K$1:$P$1,MATCH(MAX(K166:P166),K166:P166,0))</f>
        <v>Mis-selling</v>
      </c>
      <c r="R166" s="0" t="str">
        <f aca="false">IF(J166&lt;&gt;"No label",J166,Q166)</f>
        <v>Fraud &amp; Scams</v>
      </c>
      <c r="S166" s="0" t="str">
        <f aca="false">INDEX(Answers!$B$2:$B$201,MATCH(A166,Answers!$A$2:$A$201,0))</f>
        <v>Fraud &amp; Scams</v>
      </c>
      <c r="T166" s="4" t="b">
        <f aca="false">R166=S166</f>
        <v>1</v>
      </c>
    </row>
    <row r="167" customFormat="false" ht="15" hidden="false" customHeight="false" outlineLevel="0" collapsed="false">
      <c r="A167" s="0" t="str">
        <f aca="false">NewComplaints!A167</f>
        <v>N0166</v>
      </c>
      <c r="B167" s="0" t="str">
        <f aca="false">NewComplaints!B167</f>
        <v>To whom it may concern, The adviser did not explain the risks of the investment. I am worried it might be fraud.</v>
      </c>
      <c r="C167" s="0" t="str">
        <f aca="false">" "&amp;TRIM(SUBSTITUTE(SUBSTITUTE(SUBSTITUTE(SUBSTITUTE(SUBSTITUTE(SUBSTITUTE(SUBSTITUTE(SUBSTITUTE(SUBSTITUTE(SUBSTITUTE(SUBSTITUTE(SUBSTITUTE(SUBSTITUTE(SUBSTITUTE(SUBSTITUTE(SUBSTITUTE(LOWER(B167),"."," "),","," "),"'"," "),"’"," "),"!"," "),"?"," "),";"," "),":"," "),"-"," "),"("," "),")"," "),"""", " "),"£"," "),"&amp;"," "),"/"," "),"%"," "))&amp;" "</f>
        <v> to whom it may concern the adviser did not explain the risks of the investment i am worried it might be fraud </v>
      </c>
      <c r="D167" s="0" t="n">
        <f aca="false">SUMPRODUCT((Rules!$A$2:$A$60=D$1)*Rules!$C$2:$C$60*ISNUMBER(SEARCH(Rules!$D$2:$D$60,$C167)))</f>
        <v>3</v>
      </c>
      <c r="E167" s="0" t="n">
        <f aca="false">SUMPRODUCT((Rules!$A$2:$A$60=E$1)*Rules!$C$2:$C$60*ISNUMBER(SEARCH(Rules!$D$2:$D$60,$C167)))</f>
        <v>4</v>
      </c>
      <c r="F167" s="0" t="n">
        <f aca="false">SUMPRODUCT((Rules!$A$2:$A$60=F$1)*Rules!$C$2:$C$60*ISNUMBER(SEARCH(Rules!$D$2:$D$60,$C167)))</f>
        <v>0</v>
      </c>
      <c r="G167" s="0" t="n">
        <f aca="false">SUMPRODUCT((Rules!$A$2:$A$60=G$1)*Rules!$C$2:$C$60*ISNUMBER(SEARCH(Rules!$D$2:$D$60,$C167)))</f>
        <v>0</v>
      </c>
      <c r="H167" s="0" t="n">
        <f aca="false">SUMPRODUCT((Rules!$A$2:$A$60=H$1)*Rules!$C$2:$C$60*ISNUMBER(SEARCH(Rules!$D$2:$D$60,$C167)))</f>
        <v>0</v>
      </c>
      <c r="I167" s="0" t="n">
        <f aca="false">SUMPRODUCT((Rules!$A$2:$A$60=I$1)*Rules!$C$2:$C$60*ISNUMBER(SEARCH(Rules!$D$2:$D$60,$C167)))</f>
        <v>0</v>
      </c>
      <c r="J167" s="0" t="str">
        <f aca="false">IF(OR(MAX(D167:I167)&lt;Rules!$H$1,MAX(D167:I167)-LARGE(D167:I167,2)&lt;Rules!$H$2),"No label",INDEX($D$1:$I$1,MATCH(MAX(D167:I167),D167:I167,0)))</f>
        <v>No label</v>
      </c>
      <c r="K167" s="0" t="n">
        <f aca="false">SUMPRODUCT(ISNUMBER(SEARCH(" "&amp;Terms!$A$3:$A$821&amp;" ",$C167))*Terms!B$3:B$821)+Terms!B$2</f>
        <v>-2.6662869345786</v>
      </c>
      <c r="L167" s="0" t="n">
        <f aca="false">SUMPRODUCT(ISNUMBER(SEARCH(" "&amp;Terms!$A$3:$A$821&amp;" ",$C167))*Terms!C$3:C$821)+Terms!C$2</f>
        <v>-0.555786691011965</v>
      </c>
      <c r="M167" s="0" t="n">
        <f aca="false">SUMPRODUCT(ISNUMBER(SEARCH(" "&amp;Terms!$A$3:$A$821&amp;" ",$C167))*Terms!D$3:D$821)+Terms!D$2</f>
        <v>-4.33101414434114</v>
      </c>
      <c r="N167" s="0" t="n">
        <f aca="false">SUMPRODUCT(ISNUMBER(SEARCH(" "&amp;Terms!$A$3:$A$821&amp;" ",$C167))*Terms!E$3:E$821)+Terms!E$2</f>
        <v>1.18067932588568</v>
      </c>
      <c r="O167" s="0" t="n">
        <f aca="false">SUMPRODUCT(ISNUMBER(SEARCH(" "&amp;Terms!$A$3:$A$821&amp;" ",$C167))*Terms!F$3:F$821)+Terms!F$2</f>
        <v>-1.53813784773683</v>
      </c>
      <c r="P167" s="0" t="n">
        <f aca="false">SUMPRODUCT(ISNUMBER(SEARCH(" "&amp;Terms!$A$3:$A$821&amp;" ",$C167))*Terms!G$3:G$821)+Terms!G$2</f>
        <v>7.91054629178294</v>
      </c>
      <c r="Q167" s="0" t="str">
        <f aca="false">INDEX($K$1:$P$1,MATCH(MAX(K167:P167),K167:P167,0))</f>
        <v>Mis-selling</v>
      </c>
      <c r="R167" s="0" t="str">
        <f aca="false">IF(J167&lt;&gt;"No label",J167,Q167)</f>
        <v>Mis-selling</v>
      </c>
      <c r="S167" s="0" t="str">
        <f aca="false">INDEX(Answers!$B$2:$B$201,MATCH(A167,Answers!$A$2:$A$201,0))</f>
        <v>Mis-selling</v>
      </c>
      <c r="T167" s="4" t="b">
        <f aca="false">R167=S167</f>
        <v>1</v>
      </c>
    </row>
    <row r="168" customFormat="false" ht="15" hidden="false" customHeight="false" outlineLevel="0" collapsed="false">
      <c r="A168" s="0" t="str">
        <f aca="false">NewComplaints!A168</f>
        <v>N0167</v>
      </c>
      <c r="B168" s="0" t="str">
        <f aca="false">NewComplaints!B168</f>
        <v>To whom it may concern, My transfer has been pending for over a week.</v>
      </c>
      <c r="C168" s="0" t="str">
        <f aca="false">" "&amp;TRIM(SUBSTITUTE(SUBSTITUTE(SUBSTITUTE(SUBSTITUTE(SUBSTITUTE(SUBSTITUTE(SUBSTITUTE(SUBSTITUTE(SUBSTITUTE(SUBSTITUTE(SUBSTITUTE(SUBSTITUTE(SUBSTITUTE(SUBSTITUTE(SUBSTITUTE(SUBSTITUTE(LOWER(B168),"."," "),","," "),"'"," "),"’"," "),"!"," "),"?"," "),";"," "),":"," "),"-"," "),"("," "),")"," "),"""", " "),"£"," "),"&amp;"," "),"/"," "),"%"," "))&amp;" "</f>
        <v> to whom it may concern my transfer has been pending for over a week </v>
      </c>
      <c r="D168" s="0" t="n">
        <f aca="false">SUMPRODUCT((Rules!$A$2:$A$60=D$1)*Rules!$C$2:$C$60*ISNUMBER(SEARCH(Rules!$D$2:$D$60,$C168)))</f>
        <v>0</v>
      </c>
      <c r="E168" s="0" t="n">
        <f aca="false">SUMPRODUCT((Rules!$A$2:$A$60=E$1)*Rules!$C$2:$C$60*ISNUMBER(SEARCH(Rules!$D$2:$D$60,$C168)))</f>
        <v>0</v>
      </c>
      <c r="F168" s="0" t="n">
        <f aca="false">SUMPRODUCT((Rules!$A$2:$A$60=F$1)*Rules!$C$2:$C$60*ISNUMBER(SEARCH(Rules!$D$2:$D$60,$C168)))</f>
        <v>0</v>
      </c>
      <c r="G168" s="0" t="n">
        <f aca="false">SUMPRODUCT((Rules!$A$2:$A$60=G$1)*Rules!$C$2:$C$60*ISNUMBER(SEARCH(Rules!$D$2:$D$60,$C168)))</f>
        <v>0</v>
      </c>
      <c r="H168" s="0" t="n">
        <f aca="false">SUMPRODUCT((Rules!$A$2:$A$60=H$1)*Rules!$C$2:$C$60*ISNUMBER(SEARCH(Rules!$D$2:$D$60,$C168)))</f>
        <v>2</v>
      </c>
      <c r="I168" s="0" t="n">
        <f aca="false">SUMPRODUCT((Rules!$A$2:$A$60=I$1)*Rules!$C$2:$C$60*ISNUMBER(SEARCH(Rules!$D$2:$D$60,$C168)))</f>
        <v>0</v>
      </c>
      <c r="J168" s="0" t="str">
        <f aca="false">IF(OR(MAX(D168:I168)&lt;Rules!$H$1,MAX(D168:I168)-LARGE(D168:I168,2)&lt;Rules!$H$2),"No label",INDEX($D$1:$I$1,MATCH(MAX(D168:I168),D168:I168,0)))</f>
        <v>No label</v>
      </c>
      <c r="K168" s="0" t="n">
        <f aca="false">SUMPRODUCT(ISNUMBER(SEARCH(" "&amp;Terms!$A$3:$A$821&amp;" ",$C168))*Terms!B$3:B$821)+Terms!B$2</f>
        <v>-1.93280555411573</v>
      </c>
      <c r="L168" s="0" t="n">
        <f aca="false">SUMPRODUCT(ISNUMBER(SEARCH(" "&amp;Terms!$A$3:$A$821&amp;" ",$C168))*Terms!C$3:C$821)+Terms!C$2</f>
        <v>-0.603885245955074</v>
      </c>
      <c r="M168" s="0" t="n">
        <f aca="false">SUMPRODUCT(ISNUMBER(SEARCH(" "&amp;Terms!$A$3:$A$821&amp;" ",$C168))*Terms!D$3:D$821)+Terms!D$2</f>
        <v>6.31370699967876</v>
      </c>
      <c r="N168" s="0" t="n">
        <f aca="false">SUMPRODUCT(ISNUMBER(SEARCH(" "&amp;Terms!$A$3:$A$821&amp;" ",$C168))*Terms!E$3:E$821)+Terms!E$2</f>
        <v>-1.49763209969665</v>
      </c>
      <c r="O168" s="0" t="n">
        <f aca="false">SUMPRODUCT(ISNUMBER(SEARCH(" "&amp;Terms!$A$3:$A$821&amp;" ",$C168))*Terms!F$3:F$821)+Terms!F$2</f>
        <v>-0.378500772193087</v>
      </c>
      <c r="P168" s="0" t="n">
        <f aca="false">SUMPRODUCT(ISNUMBER(SEARCH(" "&amp;Terms!$A$3:$A$821&amp;" ",$C168))*Terms!G$3:G$821)+Terms!G$2</f>
        <v>-1.90088332771813</v>
      </c>
      <c r="Q168" s="0" t="str">
        <f aca="false">INDEX($K$1:$P$1,MATCH(MAX(K168:P168),K168:P168,0))</f>
        <v>Delays &amp; Processing</v>
      </c>
      <c r="R168" s="0" t="str">
        <f aca="false">IF(J168&lt;&gt;"No label",J168,Q168)</f>
        <v>Delays &amp; Processing</v>
      </c>
      <c r="S168" s="0" t="str">
        <f aca="false">INDEX(Answers!$B$2:$B$201,MATCH(A168,Answers!$A$2:$A$201,0))</f>
        <v>Delays &amp; Processing</v>
      </c>
      <c r="T168" s="4" t="b">
        <f aca="false">R168=S168</f>
        <v>1</v>
      </c>
    </row>
    <row r="169" customFormat="false" ht="15" hidden="false" customHeight="false" outlineLevel="0" collapsed="false">
      <c r="A169" s="0" t="str">
        <f aca="false">NewComplaints!A169</f>
        <v>N0168</v>
      </c>
      <c r="B169" s="0" t="str">
        <f aca="false">NewComplaints!B169</f>
        <v>Hello, You took an overdraft fee even though I was within my limit. I do not think it was explained properly when I bought it. This is not acceptable.</v>
      </c>
      <c r="C169" s="0" t="str">
        <f aca="false">" "&amp;TRIM(SUBSTITUTE(SUBSTITUTE(SUBSTITUTE(SUBSTITUTE(SUBSTITUTE(SUBSTITUTE(SUBSTITUTE(SUBSTITUTE(SUBSTITUTE(SUBSTITUTE(SUBSTITUTE(SUBSTITUTE(SUBSTITUTE(SUBSTITUTE(SUBSTITUTE(SUBSTITUTE(LOWER(B169),"."," "),","," "),"'"," "),"’"," "),"!"," "),"?"," "),";"," "),":"," "),"-"," "),"("," "),")"," "),"""", " "),"£"," "),"&amp;"," "),"/"," "),"%"," "))&amp;" "</f>
        <v> hello you took an overdraft fee even though i was within my limit i do not think it was explained properly when i bought it this is not acceptable </v>
      </c>
      <c r="D169" s="0" t="n">
        <f aca="false">SUMPRODUCT((Rules!$A$2:$A$60=D$1)*Rules!$C$2:$C$60*ISNUMBER(SEARCH(Rules!$D$2:$D$60,$C169)))</f>
        <v>0</v>
      </c>
      <c r="E169" s="0" t="n">
        <f aca="false">SUMPRODUCT((Rules!$A$2:$A$60=E$1)*Rules!$C$2:$C$60*ISNUMBER(SEARCH(Rules!$D$2:$D$60,$C169)))</f>
        <v>0</v>
      </c>
      <c r="F169" s="0" t="n">
        <f aca="false">SUMPRODUCT((Rules!$A$2:$A$60=F$1)*Rules!$C$2:$C$60*ISNUMBER(SEARCH(Rules!$D$2:$D$60,$C169)))</f>
        <v>0</v>
      </c>
      <c r="G169" s="0" t="n">
        <f aca="false">SUMPRODUCT((Rules!$A$2:$A$60=G$1)*Rules!$C$2:$C$60*ISNUMBER(SEARCH(Rules!$D$2:$D$60,$C169)))</f>
        <v>2</v>
      </c>
      <c r="H169" s="0" t="n">
        <f aca="false">SUMPRODUCT((Rules!$A$2:$A$60=H$1)*Rules!$C$2:$C$60*ISNUMBER(SEARCH(Rules!$D$2:$D$60,$C169)))</f>
        <v>0</v>
      </c>
      <c r="I169" s="0" t="n">
        <f aca="false">SUMPRODUCT((Rules!$A$2:$A$60=I$1)*Rules!$C$2:$C$60*ISNUMBER(SEARCH(Rules!$D$2:$D$60,$C169)))</f>
        <v>0</v>
      </c>
      <c r="J169" s="0" t="str">
        <f aca="false">IF(OR(MAX(D169:I169)&lt;Rules!$H$1,MAX(D169:I169)-LARGE(D169:I169,2)&lt;Rules!$H$2),"No label",INDEX($D$1:$I$1,MATCH(MAX(D169:I169),D169:I169,0)))</f>
        <v>No label</v>
      </c>
      <c r="K169" s="0" t="n">
        <f aca="false">SUMPRODUCT(ISNUMBER(SEARCH(" "&amp;Terms!$A$3:$A$821&amp;" ",$C169))*Terms!B$3:B$821)+Terms!B$2</f>
        <v>-1.33252438312867</v>
      </c>
      <c r="L169" s="0" t="n">
        <f aca="false">SUMPRODUCT(ISNUMBER(SEARCH(" "&amp;Terms!$A$3:$A$821&amp;" ",$C169))*Terms!C$3:C$821)+Terms!C$2</f>
        <v>-1.75192270950819</v>
      </c>
      <c r="M169" s="0" t="n">
        <f aca="false">SUMPRODUCT(ISNUMBER(SEARCH(" "&amp;Terms!$A$3:$A$821&amp;" ",$C169))*Terms!D$3:D$821)+Terms!D$2</f>
        <v>-5.20549631943028</v>
      </c>
      <c r="N169" s="0" t="n">
        <f aca="false">SUMPRODUCT(ISNUMBER(SEARCH(" "&amp;Terms!$A$3:$A$821&amp;" ",$C169))*Terms!E$3:E$821)+Terms!E$2</f>
        <v>12.4826518474799</v>
      </c>
      <c r="O169" s="0" t="n">
        <f aca="false">SUMPRODUCT(ISNUMBER(SEARCH(" "&amp;Terms!$A$3:$A$821&amp;" ",$C169))*Terms!F$3:F$821)+Terms!F$2</f>
        <v>0.104722868676664</v>
      </c>
      <c r="P169" s="0" t="n">
        <f aca="false">SUMPRODUCT(ISNUMBER(SEARCH(" "&amp;Terms!$A$3:$A$821&amp;" ",$C169))*Terms!G$3:G$821)+Terms!G$2</f>
        <v>-4.29743130408932</v>
      </c>
      <c r="Q169" s="0" t="str">
        <f aca="false">INDEX($K$1:$P$1,MATCH(MAX(K169:P169),K169:P169,0))</f>
        <v>Fees &amp; Charges</v>
      </c>
      <c r="R169" s="0" t="str">
        <f aca="false">IF(J169&lt;&gt;"No label",J169,Q169)</f>
        <v>Fees &amp; Charges</v>
      </c>
      <c r="S169" s="0" t="str">
        <f aca="false">INDEX(Answers!$B$2:$B$201,MATCH(A169,Answers!$A$2:$A$201,0))</f>
        <v>Fees &amp; Charges</v>
      </c>
      <c r="T169" s="4" t="b">
        <f aca="false">R169=S169</f>
        <v>1</v>
      </c>
    </row>
    <row r="170" customFormat="false" ht="15" hidden="false" customHeight="false" outlineLevel="0" collapsed="false">
      <c r="A170" s="0" t="str">
        <f aca="false">NewComplaints!A170</f>
        <v>N0169</v>
      </c>
      <c r="B170" s="0" t="str">
        <f aca="false">NewComplaints!B170</f>
        <v>To whom it may concern, Nobody explained the foreign transaction charges before my holiday. Also, a fake text message led me to a website and my money disappeared. I expect compensation.</v>
      </c>
      <c r="C170" s="0" t="str">
        <f aca="false">" "&amp;TRIM(SUBSTITUTE(SUBSTITUTE(SUBSTITUTE(SUBSTITUTE(SUBSTITUTE(SUBSTITUTE(SUBSTITUTE(SUBSTITUTE(SUBSTITUTE(SUBSTITUTE(SUBSTITUTE(SUBSTITUTE(SUBSTITUTE(SUBSTITUTE(SUBSTITUTE(SUBSTITUTE(LOWER(B170),"."," "),","," "),"'"," "),"’"," "),"!"," "),"?"," "),";"," "),":"," "),"-"," "),"("," "),")"," "),"""", " "),"£"," "),"&amp;"," "),"/"," "),"%"," "))&amp;" "</f>
        <v> to whom it may concern nobody explained the foreign transaction charges before my holiday also a fake text message led me to a website and my money disappeared i expect compensation </v>
      </c>
      <c r="D170" s="0" t="n">
        <f aca="false">SUMPRODUCT((Rules!$A$2:$A$60=D$1)*Rules!$C$2:$C$60*ISNUMBER(SEARCH(Rules!$D$2:$D$60,$C170)))</f>
        <v>2</v>
      </c>
      <c r="E170" s="0" t="n">
        <f aca="false">SUMPRODUCT((Rules!$A$2:$A$60=E$1)*Rules!$C$2:$C$60*ISNUMBER(SEARCH(Rules!$D$2:$D$60,$C170)))</f>
        <v>0</v>
      </c>
      <c r="F170" s="0" t="n">
        <f aca="false">SUMPRODUCT((Rules!$A$2:$A$60=F$1)*Rules!$C$2:$C$60*ISNUMBER(SEARCH(Rules!$D$2:$D$60,$C170)))</f>
        <v>0</v>
      </c>
      <c r="G170" s="0" t="n">
        <f aca="false">SUMPRODUCT((Rules!$A$2:$A$60=G$1)*Rules!$C$2:$C$60*ISNUMBER(SEARCH(Rules!$D$2:$D$60,$C170)))</f>
        <v>0</v>
      </c>
      <c r="H170" s="0" t="n">
        <f aca="false">SUMPRODUCT((Rules!$A$2:$A$60=H$1)*Rules!$C$2:$C$60*ISNUMBER(SEARCH(Rules!$D$2:$D$60,$C170)))</f>
        <v>0</v>
      </c>
      <c r="I170" s="0" t="n">
        <f aca="false">SUMPRODUCT((Rules!$A$2:$A$60=I$1)*Rules!$C$2:$C$60*ISNUMBER(SEARCH(Rules!$D$2:$D$60,$C170)))</f>
        <v>0</v>
      </c>
      <c r="J170" s="0" t="str">
        <f aca="false">IF(OR(MAX(D170:I170)&lt;Rules!$H$1,MAX(D170:I170)-LARGE(D170:I170,2)&lt;Rules!$H$2),"No label",INDEX($D$1:$I$1,MATCH(MAX(D170:I170),D170:I170,0)))</f>
        <v>No label</v>
      </c>
      <c r="K170" s="0" t="n">
        <f aca="false">SUMPRODUCT(ISNUMBER(SEARCH(" "&amp;Terms!$A$3:$A$821&amp;" ",$C170))*Terms!B$3:B$821)+Terms!B$2</f>
        <v>1.43205252623175</v>
      </c>
      <c r="L170" s="0" t="n">
        <f aca="false">SUMPRODUCT(ISNUMBER(SEARCH(" "&amp;Terms!$A$3:$A$821&amp;" ",$C170))*Terms!C$3:C$821)+Terms!C$2</f>
        <v>-4.78078065475835</v>
      </c>
      <c r="M170" s="0" t="n">
        <f aca="false">SUMPRODUCT(ISNUMBER(SEARCH(" "&amp;Terms!$A$3:$A$821&amp;" ",$C170))*Terms!D$3:D$821)+Terms!D$2</f>
        <v>-5.65145051914994</v>
      </c>
      <c r="N170" s="0" t="n">
        <f aca="false">SUMPRODUCT(ISNUMBER(SEARCH(" "&amp;Terms!$A$3:$A$821&amp;" ",$C170))*Terms!E$3:E$821)+Terms!E$2</f>
        <v>5.65725343536336</v>
      </c>
      <c r="O170" s="0" t="n">
        <f aca="false">SUMPRODUCT(ISNUMBER(SEARCH(" "&amp;Terms!$A$3:$A$821&amp;" ",$C170))*Terms!F$3:F$821)+Terms!F$2</f>
        <v>8.55246438800209</v>
      </c>
      <c r="P170" s="0" t="n">
        <f aca="false">SUMPRODUCT(ISNUMBER(SEARCH(" "&amp;Terms!$A$3:$A$821&amp;" ",$C170))*Terms!G$3:G$821)+Terms!G$2</f>
        <v>-5.20953917568885</v>
      </c>
      <c r="Q170" s="0" t="str">
        <f aca="false">INDEX($K$1:$P$1,MATCH(MAX(K170:P170),K170:P170,0))</f>
        <v>Fraud &amp; Scams</v>
      </c>
      <c r="R170" s="0" t="str">
        <f aca="false">IF(J170&lt;&gt;"No label",J170,Q170)</f>
        <v>Fraud &amp; Scams</v>
      </c>
      <c r="S170" s="0" t="str">
        <f aca="false">INDEX(Answers!$B$2:$B$201,MATCH(A170,Answers!$A$2:$A$201,0))</f>
        <v>Fees &amp; Charges</v>
      </c>
      <c r="T170" s="4" t="b">
        <f aca="false">R170=S170</f>
        <v>0</v>
      </c>
    </row>
    <row r="171" customFormat="false" ht="15" hidden="false" customHeight="false" outlineLevel="0" collapsed="false">
      <c r="A171" s="0" t="str">
        <f aca="false">NewComplaints!A171</f>
        <v>N0170</v>
      </c>
      <c r="B171" s="0" t="str">
        <f aca="false">NewComplaints!B171</f>
        <v>I am writing to complain. I reported the unauthorised payment but you refused to reimburse me. Please sort this out.</v>
      </c>
      <c r="C171" s="0" t="str">
        <f aca="false">" "&amp;TRIM(SUBSTITUTE(SUBSTITUTE(SUBSTITUTE(SUBSTITUTE(SUBSTITUTE(SUBSTITUTE(SUBSTITUTE(SUBSTITUTE(SUBSTITUTE(SUBSTITUTE(SUBSTITUTE(SUBSTITUTE(SUBSTITUTE(SUBSTITUTE(SUBSTITUTE(SUBSTITUTE(LOWER(B171),"."," "),","," "),"'"," "),"’"," "),"!"," "),"?"," "),";"," "),":"," "),"-"," "),"("," "),")"," "),"""", " "),"£"," "),"&amp;"," "),"/"," "),"%"," "))&amp;" "</f>
        <v> i am writing to complain i reported the unauthorised payment but you refused to reimburse me please sort this out </v>
      </c>
      <c r="D171" s="0" t="n">
        <f aca="false">SUMPRODUCT((Rules!$A$2:$A$60=D$1)*Rules!$C$2:$C$60*ISNUMBER(SEARCH(Rules!$D$2:$D$60,$C171)))</f>
        <v>3</v>
      </c>
      <c r="E171" s="0" t="n">
        <f aca="false">SUMPRODUCT((Rules!$A$2:$A$60=E$1)*Rules!$C$2:$C$60*ISNUMBER(SEARCH(Rules!$D$2:$D$60,$C171)))</f>
        <v>0</v>
      </c>
      <c r="F171" s="0" t="n">
        <f aca="false">SUMPRODUCT((Rules!$A$2:$A$60=F$1)*Rules!$C$2:$C$60*ISNUMBER(SEARCH(Rules!$D$2:$D$60,$C171)))</f>
        <v>0</v>
      </c>
      <c r="G171" s="0" t="n">
        <f aca="false">SUMPRODUCT((Rules!$A$2:$A$60=G$1)*Rules!$C$2:$C$60*ISNUMBER(SEARCH(Rules!$D$2:$D$60,$C171)))</f>
        <v>0</v>
      </c>
      <c r="H171" s="0" t="n">
        <f aca="false">SUMPRODUCT((Rules!$A$2:$A$60=H$1)*Rules!$C$2:$C$60*ISNUMBER(SEARCH(Rules!$D$2:$D$60,$C171)))</f>
        <v>0</v>
      </c>
      <c r="I171" s="0" t="n">
        <f aca="false">SUMPRODUCT((Rules!$A$2:$A$60=I$1)*Rules!$C$2:$C$60*ISNUMBER(SEARCH(Rules!$D$2:$D$60,$C171)))</f>
        <v>0</v>
      </c>
      <c r="J171" s="0" t="str">
        <f aca="false">IF(OR(MAX(D171:I171)&lt;Rules!$H$1,MAX(D171:I171)-LARGE(D171:I171,2)&lt;Rules!$H$2),"No label",INDEX($D$1:$I$1,MATCH(MAX(D171:I171),D171:I171,0)))</f>
        <v>Fraud &amp; Scams</v>
      </c>
      <c r="K171" s="0" t="n">
        <f aca="false">SUMPRODUCT(ISNUMBER(SEARCH(" "&amp;Terms!$A$3:$A$821&amp;" ",$C171))*Terms!B$3:B$821)+Terms!B$2</f>
        <v>-2.45549789490767</v>
      </c>
      <c r="L171" s="0" t="n">
        <f aca="false">SUMPRODUCT(ISNUMBER(SEARCH(" "&amp;Terms!$A$3:$A$821&amp;" ",$C171))*Terms!C$3:C$821)+Terms!C$2</f>
        <v>-2.59073395746682</v>
      </c>
      <c r="M171" s="0" t="n">
        <f aca="false">SUMPRODUCT(ISNUMBER(SEARCH(" "&amp;Terms!$A$3:$A$821&amp;" ",$C171))*Terms!D$3:D$821)+Terms!D$2</f>
        <v>1.23438239883424</v>
      </c>
      <c r="N171" s="0" t="n">
        <f aca="false">SUMPRODUCT(ISNUMBER(SEARCH(" "&amp;Terms!$A$3:$A$821&amp;" ",$C171))*Terms!E$3:E$821)+Terms!E$2</f>
        <v>-1.59975278609364</v>
      </c>
      <c r="O171" s="0" t="n">
        <f aca="false">SUMPRODUCT(ISNUMBER(SEARCH(" "&amp;Terms!$A$3:$A$821&amp;" ",$C171))*Terms!F$3:F$821)+Terms!F$2</f>
        <v>8.61100113647877</v>
      </c>
      <c r="P171" s="0" t="n">
        <f aca="false">SUMPRODUCT(ISNUMBER(SEARCH(" "&amp;Terms!$A$3:$A$821&amp;" ",$C171))*Terms!G$3:G$821)+Terms!G$2</f>
        <v>-3.19939889684481</v>
      </c>
      <c r="Q171" s="0" t="str">
        <f aca="false">INDEX($K$1:$P$1,MATCH(MAX(K171:P171),K171:P171,0))</f>
        <v>Fraud &amp; Scams</v>
      </c>
      <c r="R171" s="0" t="str">
        <f aca="false">IF(J171&lt;&gt;"No label",J171,Q171)</f>
        <v>Fraud &amp; Scams</v>
      </c>
      <c r="S171" s="0" t="str">
        <f aca="false">INDEX(Answers!$B$2:$B$201,MATCH(A171,Answers!$A$2:$A$201,0))</f>
        <v>Fraud &amp; Scams</v>
      </c>
      <c r="T171" s="4" t="b">
        <f aca="false">R171=S171</f>
        <v>1</v>
      </c>
    </row>
    <row r="172" customFormat="false" ht="15" hidden="false" customHeight="false" outlineLevel="0" collapsed="false">
      <c r="A172" s="0" t="str">
        <f aca="false">NewComplaints!A172</f>
        <v>N0171</v>
      </c>
      <c r="B172" s="0" t="str">
        <f aca="false">NewComplaints!B172</f>
        <v>To whom it may concern, I was sold a product that was not suitable for my circumstances. I would like a response in writing.</v>
      </c>
      <c r="C172" s="0" t="str">
        <f aca="false">" "&amp;TRIM(SUBSTITUTE(SUBSTITUTE(SUBSTITUTE(SUBSTITUTE(SUBSTITUTE(SUBSTITUTE(SUBSTITUTE(SUBSTITUTE(SUBSTITUTE(SUBSTITUTE(SUBSTITUTE(SUBSTITUTE(SUBSTITUTE(SUBSTITUTE(SUBSTITUTE(SUBSTITUTE(LOWER(B172),"."," "),","," "),"'"," "),"’"," "),"!"," "),"?"," "),";"," "),":"," "),"-"," "),"("," "),")"," "),"""", " "),"£"," "),"&amp;"," "),"/"," "),"%"," "))&amp;" "</f>
        <v> to whom it may concern i was sold a product that was not suitable for my circumstances i would like a response in writing </v>
      </c>
      <c r="D172" s="0" t="n">
        <f aca="false">SUMPRODUCT((Rules!$A$2:$A$60=D$1)*Rules!$C$2:$C$60*ISNUMBER(SEARCH(Rules!$D$2:$D$60,$C172)))</f>
        <v>0</v>
      </c>
      <c r="E172" s="0" t="n">
        <f aca="false">SUMPRODUCT((Rules!$A$2:$A$60=E$1)*Rules!$C$2:$C$60*ISNUMBER(SEARCH(Rules!$D$2:$D$60,$C172)))</f>
        <v>5</v>
      </c>
      <c r="F172" s="0" t="n">
        <f aca="false">SUMPRODUCT((Rules!$A$2:$A$60=F$1)*Rules!$C$2:$C$60*ISNUMBER(SEARCH(Rules!$D$2:$D$60,$C172)))</f>
        <v>0</v>
      </c>
      <c r="G172" s="0" t="n">
        <f aca="false">SUMPRODUCT((Rules!$A$2:$A$60=G$1)*Rules!$C$2:$C$60*ISNUMBER(SEARCH(Rules!$D$2:$D$60,$C172)))</f>
        <v>0</v>
      </c>
      <c r="H172" s="0" t="n">
        <f aca="false">SUMPRODUCT((Rules!$A$2:$A$60=H$1)*Rules!$C$2:$C$60*ISNUMBER(SEARCH(Rules!$D$2:$D$60,$C172)))</f>
        <v>0</v>
      </c>
      <c r="I172" s="0" t="n">
        <f aca="false">SUMPRODUCT((Rules!$A$2:$A$60=I$1)*Rules!$C$2:$C$60*ISNUMBER(SEARCH(Rules!$D$2:$D$60,$C172)))</f>
        <v>0</v>
      </c>
      <c r="J172" s="0" t="str">
        <f aca="false">IF(OR(MAX(D172:I172)&lt;Rules!$H$1,MAX(D172:I172)-LARGE(D172:I172,2)&lt;Rules!$H$2),"No label",INDEX($D$1:$I$1,MATCH(MAX(D172:I172),D172:I172,0)))</f>
        <v>Mis-selling</v>
      </c>
      <c r="K172" s="0" t="n">
        <f aca="false">SUMPRODUCT(ISNUMBER(SEARCH(" "&amp;Terms!$A$3:$A$821&amp;" ",$C172))*Terms!B$3:B$821)+Terms!B$2</f>
        <v>-1.20867373424662</v>
      </c>
      <c r="L172" s="0" t="n">
        <f aca="false">SUMPRODUCT(ISNUMBER(SEARCH(" "&amp;Terms!$A$3:$A$821&amp;" ",$C172))*Terms!C$3:C$821)+Terms!C$2</f>
        <v>-1.69349308176409</v>
      </c>
      <c r="M172" s="0" t="n">
        <f aca="false">SUMPRODUCT(ISNUMBER(SEARCH(" "&amp;Terms!$A$3:$A$821&amp;" ",$C172))*Terms!D$3:D$821)+Terms!D$2</f>
        <v>-0.754050185507285</v>
      </c>
      <c r="N172" s="0" t="n">
        <f aca="false">SUMPRODUCT(ISNUMBER(SEARCH(" "&amp;Terms!$A$3:$A$821&amp;" ",$C172))*Terms!E$3:E$821)+Terms!E$2</f>
        <v>-1.25288035932974</v>
      </c>
      <c r="O172" s="0" t="n">
        <f aca="false">SUMPRODUCT(ISNUMBER(SEARCH(" "&amp;Terms!$A$3:$A$821&amp;" ",$C172))*Terms!F$3:F$821)+Terms!F$2</f>
        <v>-3.38029007911609</v>
      </c>
      <c r="P172" s="0" t="n">
        <f aca="false">SUMPRODUCT(ISNUMBER(SEARCH(" "&amp;Terms!$A$3:$A$821&amp;" ",$C172))*Terms!G$3:G$821)+Terms!G$2</f>
        <v>8.28938743996392</v>
      </c>
      <c r="Q172" s="0" t="str">
        <f aca="false">INDEX($K$1:$P$1,MATCH(MAX(K172:P172),K172:P172,0))</f>
        <v>Mis-selling</v>
      </c>
      <c r="R172" s="0" t="str">
        <f aca="false">IF(J172&lt;&gt;"No label",J172,Q172)</f>
        <v>Mis-selling</v>
      </c>
      <c r="S172" s="0" t="str">
        <f aca="false">INDEX(Answers!$B$2:$B$201,MATCH(A172,Answers!$A$2:$A$201,0))</f>
        <v>Mis-selling</v>
      </c>
      <c r="T172" s="4" t="b">
        <f aca="false">R172=S172</f>
        <v>1</v>
      </c>
    </row>
    <row r="173" customFormat="false" ht="15" hidden="false" customHeight="false" outlineLevel="0" collapsed="false">
      <c r="A173" s="0" t="str">
        <f aca="false">NewComplaints!A173</f>
        <v>N0172</v>
      </c>
      <c r="B173" s="0" t="str">
        <f aca="false">NewComplaints!B173</f>
        <v>Frankly, The costs keep creeping up and my balance is lower than it should be. It has also been taking far too long. I would like a response in writing.</v>
      </c>
      <c r="C173" s="0" t="str">
        <f aca="false">" "&amp;TRIM(SUBSTITUTE(SUBSTITUTE(SUBSTITUTE(SUBSTITUTE(SUBSTITUTE(SUBSTITUTE(SUBSTITUTE(SUBSTITUTE(SUBSTITUTE(SUBSTITUTE(SUBSTITUTE(SUBSTITUTE(SUBSTITUTE(SUBSTITUTE(SUBSTITUTE(SUBSTITUTE(LOWER(B173),"."," "),","," "),"'"," "),"’"," "),"!"," "),"?"," "),";"," "),":"," "),"-"," "),"("," "),")"," "),"""", " "),"£"," "),"&amp;"," "),"/"," "),"%"," "))&amp;" "</f>
        <v> frankly the costs keep creeping up and my balance is lower than it should be it has also been taking far too long i would like a response in writing </v>
      </c>
      <c r="D173" s="0" t="n">
        <f aca="false">SUMPRODUCT((Rules!$A$2:$A$60=D$1)*Rules!$C$2:$C$60*ISNUMBER(SEARCH(Rules!$D$2:$D$60,$C173)))</f>
        <v>0</v>
      </c>
      <c r="E173" s="0" t="n">
        <f aca="false">SUMPRODUCT((Rules!$A$2:$A$60=E$1)*Rules!$C$2:$C$60*ISNUMBER(SEARCH(Rules!$D$2:$D$60,$C173)))</f>
        <v>0</v>
      </c>
      <c r="F173" s="0" t="n">
        <f aca="false">SUMPRODUCT((Rules!$A$2:$A$60=F$1)*Rules!$C$2:$C$60*ISNUMBER(SEARCH(Rules!$D$2:$D$60,$C173)))</f>
        <v>0</v>
      </c>
      <c r="G173" s="0" t="n">
        <f aca="false">SUMPRODUCT((Rules!$A$2:$A$60=G$1)*Rules!$C$2:$C$60*ISNUMBER(SEARCH(Rules!$D$2:$D$60,$C173)))</f>
        <v>1</v>
      </c>
      <c r="H173" s="0" t="n">
        <f aca="false">SUMPRODUCT((Rules!$A$2:$A$60=H$1)*Rules!$C$2:$C$60*ISNUMBER(SEARCH(Rules!$D$2:$D$60,$C173)))</f>
        <v>0</v>
      </c>
      <c r="I173" s="0" t="n">
        <f aca="false">SUMPRODUCT((Rules!$A$2:$A$60=I$1)*Rules!$C$2:$C$60*ISNUMBER(SEARCH(Rules!$D$2:$D$60,$C173)))</f>
        <v>0</v>
      </c>
      <c r="J173" s="0" t="str">
        <f aca="false">IF(OR(MAX(D173:I173)&lt;Rules!$H$1,MAX(D173:I173)-LARGE(D173:I173,2)&lt;Rules!$H$2),"No label",INDEX($D$1:$I$1,MATCH(MAX(D173:I173),D173:I173,0)))</f>
        <v>No label</v>
      </c>
      <c r="K173" s="0" t="n">
        <f aca="false">SUMPRODUCT(ISNUMBER(SEARCH(" "&amp;Terms!$A$3:$A$821&amp;" ",$C173))*Terms!B$3:B$821)+Terms!B$2</f>
        <v>-0.997541997505388</v>
      </c>
      <c r="L173" s="0" t="n">
        <f aca="false">SUMPRODUCT(ISNUMBER(SEARCH(" "&amp;Terms!$A$3:$A$821&amp;" ",$C173))*Terms!C$3:C$821)+Terms!C$2</f>
        <v>-1.70917960071034</v>
      </c>
      <c r="M173" s="0" t="n">
        <f aca="false">SUMPRODUCT(ISNUMBER(SEARCH(" "&amp;Terms!$A$3:$A$821&amp;" ",$C173))*Terms!D$3:D$821)+Terms!D$2</f>
        <v>-1.24651686368503</v>
      </c>
      <c r="N173" s="0" t="n">
        <f aca="false">SUMPRODUCT(ISNUMBER(SEARCH(" "&amp;Terms!$A$3:$A$821&amp;" ",$C173))*Terms!E$3:E$821)+Terms!E$2</f>
        <v>6.07059486651314</v>
      </c>
      <c r="O173" s="0" t="n">
        <f aca="false">SUMPRODUCT(ISNUMBER(SEARCH(" "&amp;Terms!$A$3:$A$821&amp;" ",$C173))*Terms!F$3:F$821)+Terms!F$2</f>
        <v>-0.96727274473075</v>
      </c>
      <c r="P173" s="0" t="n">
        <f aca="false">SUMPRODUCT(ISNUMBER(SEARCH(" "&amp;Terms!$A$3:$A$821&amp;" ",$C173))*Terms!G$3:G$821)+Terms!G$2</f>
        <v>-1.15008365988154</v>
      </c>
      <c r="Q173" s="0" t="str">
        <f aca="false">INDEX($K$1:$P$1,MATCH(MAX(K173:P173),K173:P173,0))</f>
        <v>Fees &amp; Charges</v>
      </c>
      <c r="R173" s="0" t="str">
        <f aca="false">IF(J173&lt;&gt;"No label",J173,Q173)</f>
        <v>Fees &amp; Charges</v>
      </c>
      <c r="S173" s="0" t="str">
        <f aca="false">INDEX(Answers!$B$2:$B$201,MATCH(A173,Answers!$A$2:$A$201,0))</f>
        <v>Fees &amp; Charges</v>
      </c>
      <c r="T173" s="4" t="b">
        <f aca="false">R173=S173</f>
        <v>1</v>
      </c>
    </row>
    <row r="174" customFormat="false" ht="15" hidden="false" customHeight="false" outlineLevel="0" collapsed="false">
      <c r="A174" s="0" t="str">
        <f aca="false">NewComplaints!A174</f>
        <v>N0173</v>
      </c>
      <c r="B174" s="0" t="str">
        <f aca="false">NewComplaints!B174</f>
        <v>To whom it may concern, My online banking is locked and the reset link never arrives. I also spent ages on hold when I called about it. Please sort this out.</v>
      </c>
      <c r="C174" s="0" t="str">
        <f aca="false">" "&amp;TRIM(SUBSTITUTE(SUBSTITUTE(SUBSTITUTE(SUBSTITUTE(SUBSTITUTE(SUBSTITUTE(SUBSTITUTE(SUBSTITUTE(SUBSTITUTE(SUBSTITUTE(SUBSTITUTE(SUBSTITUTE(SUBSTITUTE(SUBSTITUTE(SUBSTITUTE(SUBSTITUTE(LOWER(B174),"."," "),","," "),"'"," "),"’"," "),"!"," "),"?"," "),";"," "),":"," "),"-"," "),"("," "),")"," "),"""", " "),"£"," "),"&amp;"," "),"/"," "),"%"," "))&amp;" "</f>
        <v> to whom it may concern my online banking is locked and the reset link never arrives i also spent ages on hold when i called about it please sort this out </v>
      </c>
      <c r="D174" s="0" t="n">
        <f aca="false">SUMPRODUCT((Rules!$A$2:$A$60=D$1)*Rules!$C$2:$C$60*ISNUMBER(SEARCH(Rules!$D$2:$D$60,$C174)))</f>
        <v>0</v>
      </c>
      <c r="E174" s="0" t="n">
        <f aca="false">SUMPRODUCT((Rules!$A$2:$A$60=E$1)*Rules!$C$2:$C$60*ISNUMBER(SEARCH(Rules!$D$2:$D$60,$C174)))</f>
        <v>0</v>
      </c>
      <c r="F174" s="0" t="n">
        <f aca="false">SUMPRODUCT((Rules!$A$2:$A$60=F$1)*Rules!$C$2:$C$60*ISNUMBER(SEARCH(Rules!$D$2:$D$60,$C174)))</f>
        <v>5</v>
      </c>
      <c r="G174" s="0" t="n">
        <f aca="false">SUMPRODUCT((Rules!$A$2:$A$60=G$1)*Rules!$C$2:$C$60*ISNUMBER(SEARCH(Rules!$D$2:$D$60,$C174)))</f>
        <v>0</v>
      </c>
      <c r="H174" s="0" t="n">
        <f aca="false">SUMPRODUCT((Rules!$A$2:$A$60=H$1)*Rules!$C$2:$C$60*ISNUMBER(SEARCH(Rules!$D$2:$D$60,$C174)))</f>
        <v>0</v>
      </c>
      <c r="I174" s="0" t="n">
        <f aca="false">SUMPRODUCT((Rules!$A$2:$A$60=I$1)*Rules!$C$2:$C$60*ISNUMBER(SEARCH(Rules!$D$2:$D$60,$C174)))</f>
        <v>3</v>
      </c>
      <c r="J174" s="0" t="str">
        <f aca="false">IF(OR(MAX(D174:I174)&lt;Rules!$H$1,MAX(D174:I174)-LARGE(D174:I174,2)&lt;Rules!$H$2),"No label",INDEX($D$1:$I$1,MATCH(MAX(D174:I174),D174:I174,0)))</f>
        <v>Account Access</v>
      </c>
      <c r="K174" s="0" t="n">
        <f aca="false">SUMPRODUCT(ISNUMBER(SEARCH(" "&amp;Terms!$A$3:$A$821&amp;" ",$C174))*Terms!B$3:B$821)+Terms!B$2</f>
        <v>7.71522118374483</v>
      </c>
      <c r="L174" s="0" t="n">
        <f aca="false">SUMPRODUCT(ISNUMBER(SEARCH(" "&amp;Terms!$A$3:$A$821&amp;" ",$C174))*Terms!C$3:C$821)+Terms!C$2</f>
        <v>-2.8081344091099</v>
      </c>
      <c r="M174" s="0" t="n">
        <f aca="false">SUMPRODUCT(ISNUMBER(SEARCH(" "&amp;Terms!$A$3:$A$821&amp;" ",$C174))*Terms!D$3:D$821)+Terms!D$2</f>
        <v>-3.19663116980325</v>
      </c>
      <c r="N174" s="0" t="n">
        <f aca="false">SUMPRODUCT(ISNUMBER(SEARCH(" "&amp;Terms!$A$3:$A$821&amp;" ",$C174))*Terms!E$3:E$821)+Terms!E$2</f>
        <v>1.97361301920165</v>
      </c>
      <c r="O174" s="0" t="n">
        <f aca="false">SUMPRODUCT(ISNUMBER(SEARCH(" "&amp;Terms!$A$3:$A$821&amp;" ",$C174))*Terms!F$3:F$821)+Terms!F$2</f>
        <v>-3.57265799750738</v>
      </c>
      <c r="P174" s="0" t="n">
        <f aca="false">SUMPRODUCT(ISNUMBER(SEARCH(" "&amp;Terms!$A$3:$A$821&amp;" ",$C174))*Terms!G$3:G$821)+Terms!G$2</f>
        <v>-0.111410626525853</v>
      </c>
      <c r="Q174" s="0" t="str">
        <f aca="false">INDEX($K$1:$P$1,MATCH(MAX(K174:P174),K174:P174,0))</f>
        <v>Account Access</v>
      </c>
      <c r="R174" s="0" t="str">
        <f aca="false">IF(J174&lt;&gt;"No label",J174,Q174)</f>
        <v>Account Access</v>
      </c>
      <c r="S174" s="0" t="str">
        <f aca="false">INDEX(Answers!$B$2:$B$201,MATCH(A174,Answers!$A$2:$A$201,0))</f>
        <v>Account Access</v>
      </c>
      <c r="T174" s="4" t="b">
        <f aca="false">R174=S174</f>
        <v>1</v>
      </c>
    </row>
    <row r="175" customFormat="false" ht="15" hidden="false" customHeight="false" outlineLevel="0" collapsed="false">
      <c r="A175" s="0" t="str">
        <f aca="false">NewComplaints!A175</f>
        <v>N0174</v>
      </c>
      <c r="B175" s="0" t="str">
        <f aca="false">NewComplaints!B175</f>
        <v>I have been a customer for years. The brochure said guaranteed returns and my money has lost value.</v>
      </c>
      <c r="C175" s="0" t="str">
        <f aca="false">" "&amp;TRIM(SUBSTITUTE(SUBSTITUTE(SUBSTITUTE(SUBSTITUTE(SUBSTITUTE(SUBSTITUTE(SUBSTITUTE(SUBSTITUTE(SUBSTITUTE(SUBSTITUTE(SUBSTITUTE(SUBSTITUTE(SUBSTITUTE(SUBSTITUTE(SUBSTITUTE(SUBSTITUTE(LOWER(B175),"."," "),","," "),"'"," "),"’"," "),"!"," "),"?"," "),";"," "),":"," "),"-"," "),"("," "),")"," "),"""", " "),"£"," "),"&amp;"," "),"/"," "),"%"," "))&amp;" "</f>
        <v> i have been a customer for years the brochure said guaranteed returns and my money has lost value </v>
      </c>
      <c r="D175" s="0" t="n">
        <f aca="false">SUMPRODUCT((Rules!$A$2:$A$60=D$1)*Rules!$C$2:$C$60*ISNUMBER(SEARCH(Rules!$D$2:$D$60,$C175)))</f>
        <v>0</v>
      </c>
      <c r="E175" s="0" t="n">
        <f aca="false">SUMPRODUCT((Rules!$A$2:$A$60=E$1)*Rules!$C$2:$C$60*ISNUMBER(SEARCH(Rules!$D$2:$D$60,$C175)))</f>
        <v>2</v>
      </c>
      <c r="F175" s="0" t="n">
        <f aca="false">SUMPRODUCT((Rules!$A$2:$A$60=F$1)*Rules!$C$2:$C$60*ISNUMBER(SEARCH(Rules!$D$2:$D$60,$C175)))</f>
        <v>0</v>
      </c>
      <c r="G175" s="0" t="n">
        <f aca="false">SUMPRODUCT((Rules!$A$2:$A$60=G$1)*Rules!$C$2:$C$60*ISNUMBER(SEARCH(Rules!$D$2:$D$60,$C175)))</f>
        <v>0</v>
      </c>
      <c r="H175" s="0" t="n">
        <f aca="false">SUMPRODUCT((Rules!$A$2:$A$60=H$1)*Rules!$C$2:$C$60*ISNUMBER(SEARCH(Rules!$D$2:$D$60,$C175)))</f>
        <v>0</v>
      </c>
      <c r="I175" s="0" t="n">
        <f aca="false">SUMPRODUCT((Rules!$A$2:$A$60=I$1)*Rules!$C$2:$C$60*ISNUMBER(SEARCH(Rules!$D$2:$D$60,$C175)))</f>
        <v>0</v>
      </c>
      <c r="J175" s="0" t="str">
        <f aca="false">IF(OR(MAX(D175:I175)&lt;Rules!$H$1,MAX(D175:I175)-LARGE(D175:I175,2)&lt;Rules!$H$2),"No label",INDEX($D$1:$I$1,MATCH(MAX(D175:I175),D175:I175,0)))</f>
        <v>No label</v>
      </c>
      <c r="K175" s="0" t="n">
        <f aca="false">SUMPRODUCT(ISNUMBER(SEARCH(" "&amp;Terms!$A$3:$A$821&amp;" ",$C175))*Terms!B$3:B$821)+Terms!B$2</f>
        <v>-3.60477770347714</v>
      </c>
      <c r="L175" s="0" t="n">
        <f aca="false">SUMPRODUCT(ISNUMBER(SEARCH(" "&amp;Terms!$A$3:$A$821&amp;" ",$C175))*Terms!C$3:C$821)+Terms!C$2</f>
        <v>-3.20322492694164</v>
      </c>
      <c r="M175" s="0" t="n">
        <f aca="false">SUMPRODUCT(ISNUMBER(SEARCH(" "&amp;Terms!$A$3:$A$821&amp;" ",$C175))*Terms!D$3:D$821)+Terms!D$2</f>
        <v>0.171427427175039</v>
      </c>
      <c r="N175" s="0" t="n">
        <f aca="false">SUMPRODUCT(ISNUMBER(SEARCH(" "&amp;Terms!$A$3:$A$821&amp;" ",$C175))*Terms!E$3:E$821)+Terms!E$2</f>
        <v>-5.09639222620816</v>
      </c>
      <c r="O175" s="0" t="n">
        <f aca="false">SUMPRODUCT(ISNUMBER(SEARCH(" "&amp;Terms!$A$3:$A$821&amp;" ",$C175))*Terms!F$3:F$821)+Terms!F$2</f>
        <v>-0.235858805278378</v>
      </c>
      <c r="P175" s="0" t="n">
        <f aca="false">SUMPRODUCT(ISNUMBER(SEARCH(" "&amp;Terms!$A$3:$A$821&amp;" ",$C175))*Terms!G$3:G$821)+Terms!G$2</f>
        <v>11.9688262347304</v>
      </c>
      <c r="Q175" s="0" t="str">
        <f aca="false">INDEX($K$1:$P$1,MATCH(MAX(K175:P175),K175:P175,0))</f>
        <v>Mis-selling</v>
      </c>
      <c r="R175" s="0" t="str">
        <f aca="false">IF(J175&lt;&gt;"No label",J175,Q175)</f>
        <v>Mis-selling</v>
      </c>
      <c r="S175" s="0" t="str">
        <f aca="false">INDEX(Answers!$B$2:$B$201,MATCH(A175,Answers!$A$2:$A$201,0))</f>
        <v>Mis-selling</v>
      </c>
      <c r="T175" s="4" t="b">
        <f aca="false">R175=S175</f>
        <v>1</v>
      </c>
    </row>
    <row r="176" customFormat="false" ht="15" hidden="false" customHeight="false" outlineLevel="0" collapsed="false">
      <c r="A176" s="0" t="str">
        <f aca="false">NewComplaints!A176</f>
        <v>N0175</v>
      </c>
      <c r="B176" s="0" t="str">
        <f aca="false">NewComplaints!B176</f>
        <v>I am writing to complain. The brochure said guaranteed returns and my money has lost value. I am worried it might be fraud. I want this put right.</v>
      </c>
      <c r="C176" s="0" t="str">
        <f aca="false">" "&amp;TRIM(SUBSTITUTE(SUBSTITUTE(SUBSTITUTE(SUBSTITUTE(SUBSTITUTE(SUBSTITUTE(SUBSTITUTE(SUBSTITUTE(SUBSTITUTE(SUBSTITUTE(SUBSTITUTE(SUBSTITUTE(SUBSTITUTE(SUBSTITUTE(SUBSTITUTE(SUBSTITUTE(LOWER(B176),"."," "),","," "),"'"," "),"’"," "),"!"," "),"?"," "),";"," "),":"," "),"-"," "),"("," "),")"," "),"""", " "),"£"," "),"&amp;"," "),"/"," "),"%"," "))&amp;" "</f>
        <v> i am writing to complain the brochure said guaranteed returns and my money has lost value i am worried it might be fraud i want this put right </v>
      </c>
      <c r="D176" s="0" t="n">
        <f aca="false">SUMPRODUCT((Rules!$A$2:$A$60=D$1)*Rules!$C$2:$C$60*ISNUMBER(SEARCH(Rules!$D$2:$D$60,$C176)))</f>
        <v>3</v>
      </c>
      <c r="E176" s="0" t="n">
        <f aca="false">SUMPRODUCT((Rules!$A$2:$A$60=E$1)*Rules!$C$2:$C$60*ISNUMBER(SEARCH(Rules!$D$2:$D$60,$C176)))</f>
        <v>2</v>
      </c>
      <c r="F176" s="0" t="n">
        <f aca="false">SUMPRODUCT((Rules!$A$2:$A$60=F$1)*Rules!$C$2:$C$60*ISNUMBER(SEARCH(Rules!$D$2:$D$60,$C176)))</f>
        <v>0</v>
      </c>
      <c r="G176" s="0" t="n">
        <f aca="false">SUMPRODUCT((Rules!$A$2:$A$60=G$1)*Rules!$C$2:$C$60*ISNUMBER(SEARCH(Rules!$D$2:$D$60,$C176)))</f>
        <v>0</v>
      </c>
      <c r="H176" s="0" t="n">
        <f aca="false">SUMPRODUCT((Rules!$A$2:$A$60=H$1)*Rules!$C$2:$C$60*ISNUMBER(SEARCH(Rules!$D$2:$D$60,$C176)))</f>
        <v>0</v>
      </c>
      <c r="I176" s="0" t="n">
        <f aca="false">SUMPRODUCT((Rules!$A$2:$A$60=I$1)*Rules!$C$2:$C$60*ISNUMBER(SEARCH(Rules!$D$2:$D$60,$C176)))</f>
        <v>0</v>
      </c>
      <c r="J176" s="0" t="str">
        <f aca="false">IF(OR(MAX(D176:I176)&lt;Rules!$H$1,MAX(D176:I176)-LARGE(D176:I176,2)&lt;Rules!$H$2),"No label",INDEX($D$1:$I$1,MATCH(MAX(D176:I176),D176:I176,0)))</f>
        <v>No label</v>
      </c>
      <c r="K176" s="0" t="n">
        <f aca="false">SUMPRODUCT(ISNUMBER(SEARCH(" "&amp;Terms!$A$3:$A$821&amp;" ",$C176))*Terms!B$3:B$821)+Terms!B$2</f>
        <v>-4.99216249528237</v>
      </c>
      <c r="L176" s="0" t="n">
        <f aca="false">SUMPRODUCT(ISNUMBER(SEARCH(" "&amp;Terms!$A$3:$A$821&amp;" ",$C176))*Terms!C$3:C$821)+Terms!C$2</f>
        <v>-5.310429754932</v>
      </c>
      <c r="M176" s="0" t="n">
        <f aca="false">SUMPRODUCT(ISNUMBER(SEARCH(" "&amp;Terms!$A$3:$A$821&amp;" ",$C176))*Terms!D$3:D$821)+Terms!D$2</f>
        <v>0.295382808213892</v>
      </c>
      <c r="N176" s="0" t="n">
        <f aca="false">SUMPRODUCT(ISNUMBER(SEARCH(" "&amp;Terms!$A$3:$A$821&amp;" ",$C176))*Terms!E$3:E$821)+Terms!E$2</f>
        <v>-4.18778872887834</v>
      </c>
      <c r="O176" s="0" t="n">
        <f aca="false">SUMPRODUCT(ISNUMBER(SEARCH(" "&amp;Terms!$A$3:$A$821&amp;" ",$C176))*Terms!F$3:F$821)+Terms!F$2</f>
        <v>2.19678255089479</v>
      </c>
      <c r="P176" s="0" t="n">
        <f aca="false">SUMPRODUCT(ISNUMBER(SEARCH(" "&amp;Terms!$A$3:$A$821&amp;" ",$C176))*Terms!G$3:G$821)+Terms!G$2</f>
        <v>11.9982156199841</v>
      </c>
      <c r="Q176" s="0" t="str">
        <f aca="false">INDEX($K$1:$P$1,MATCH(MAX(K176:P176),K176:P176,0))</f>
        <v>Mis-selling</v>
      </c>
      <c r="R176" s="0" t="str">
        <f aca="false">IF(J176&lt;&gt;"No label",J176,Q176)</f>
        <v>Mis-selling</v>
      </c>
      <c r="S176" s="0" t="str">
        <f aca="false">INDEX(Answers!$B$2:$B$201,MATCH(A176,Answers!$A$2:$A$201,0))</f>
        <v>Mis-selling</v>
      </c>
      <c r="T176" s="4" t="b">
        <f aca="false">R176=S176</f>
        <v>1</v>
      </c>
    </row>
    <row r="177" customFormat="false" ht="15" hidden="false" customHeight="false" outlineLevel="0" collapsed="false">
      <c r="A177" s="0" t="str">
        <f aca="false">NewComplaints!A177</f>
        <v>N0176</v>
      </c>
      <c r="B177" s="0" t="str">
        <f aca="false">NewComplaints!B177</f>
        <v>I am writing to complain. The complaints handler was unhelpful and talked over me. Also, i am unable to access my account to see my balance. I expect compensation.</v>
      </c>
      <c r="C177" s="0" t="str">
        <f aca="false">" "&amp;TRIM(SUBSTITUTE(SUBSTITUTE(SUBSTITUTE(SUBSTITUTE(SUBSTITUTE(SUBSTITUTE(SUBSTITUTE(SUBSTITUTE(SUBSTITUTE(SUBSTITUTE(SUBSTITUTE(SUBSTITUTE(SUBSTITUTE(SUBSTITUTE(SUBSTITUTE(SUBSTITUTE(LOWER(B177),"."," "),","," "),"'"," "),"’"," "),"!"," "),"?"," "),";"," "),":"," "),"-"," "),"("," "),")"," "),"""", " "),"£"," "),"&amp;"," "),"/"," "),"%"," "))&amp;" "</f>
        <v> i am writing to complain the complaints handler was unhelpful and talked over me also i am unable to access my account to see my balance i expect compensation </v>
      </c>
      <c r="D177" s="0" t="n">
        <f aca="false">SUMPRODUCT((Rules!$A$2:$A$60=D$1)*Rules!$C$2:$C$60*ISNUMBER(SEARCH(Rules!$D$2:$D$60,$C177)))</f>
        <v>0</v>
      </c>
      <c r="E177" s="0" t="n">
        <f aca="false">SUMPRODUCT((Rules!$A$2:$A$60=E$1)*Rules!$C$2:$C$60*ISNUMBER(SEARCH(Rules!$D$2:$D$60,$C177)))</f>
        <v>0</v>
      </c>
      <c r="F177" s="0" t="n">
        <f aca="false">SUMPRODUCT((Rules!$A$2:$A$60=F$1)*Rules!$C$2:$C$60*ISNUMBER(SEARCH(Rules!$D$2:$D$60,$C177)))</f>
        <v>1</v>
      </c>
      <c r="G177" s="0" t="n">
        <f aca="false">SUMPRODUCT((Rules!$A$2:$A$60=G$1)*Rules!$C$2:$C$60*ISNUMBER(SEARCH(Rules!$D$2:$D$60,$C177)))</f>
        <v>0</v>
      </c>
      <c r="H177" s="0" t="n">
        <f aca="false">SUMPRODUCT((Rules!$A$2:$A$60=H$1)*Rules!$C$2:$C$60*ISNUMBER(SEARCH(Rules!$D$2:$D$60,$C177)))</f>
        <v>0</v>
      </c>
      <c r="I177" s="0" t="n">
        <f aca="false">SUMPRODUCT((Rules!$A$2:$A$60=I$1)*Rules!$C$2:$C$60*ISNUMBER(SEARCH(Rules!$D$2:$D$60,$C177)))</f>
        <v>2</v>
      </c>
      <c r="J177" s="0" t="str">
        <f aca="false">IF(OR(MAX(D177:I177)&lt;Rules!$H$1,MAX(D177:I177)-LARGE(D177:I177,2)&lt;Rules!$H$2),"No label",INDEX($D$1:$I$1,MATCH(MAX(D177:I177),D177:I177,0)))</f>
        <v>No label</v>
      </c>
      <c r="K177" s="0" t="n">
        <f aca="false">SUMPRODUCT(ISNUMBER(SEARCH(" "&amp;Terms!$A$3:$A$821&amp;" ",$C177))*Terms!B$3:B$821)+Terms!B$2</f>
        <v>8.18808080968237</v>
      </c>
      <c r="L177" s="0" t="n">
        <f aca="false">SUMPRODUCT(ISNUMBER(SEARCH(" "&amp;Terms!$A$3:$A$821&amp;" ",$C177))*Terms!C$3:C$821)+Terms!C$2</f>
        <v>4.18442415797381</v>
      </c>
      <c r="M177" s="0" t="n">
        <f aca="false">SUMPRODUCT(ISNUMBER(SEARCH(" "&amp;Terms!$A$3:$A$821&amp;" ",$C177))*Terms!D$3:D$821)+Terms!D$2</f>
        <v>-1.26546905971221</v>
      </c>
      <c r="N177" s="0" t="n">
        <f aca="false">SUMPRODUCT(ISNUMBER(SEARCH(" "&amp;Terms!$A$3:$A$821&amp;" ",$C177))*Terms!E$3:E$821)+Terms!E$2</f>
        <v>-3.83882322817592</v>
      </c>
      <c r="O177" s="0" t="n">
        <f aca="false">SUMPRODUCT(ISNUMBER(SEARCH(" "&amp;Terms!$A$3:$A$821&amp;" ",$C177))*Terms!F$3:F$821)+Terms!F$2</f>
        <v>-2.36902110600486</v>
      </c>
      <c r="P177" s="0" t="n">
        <f aca="false">SUMPRODUCT(ISNUMBER(SEARCH(" "&amp;Terms!$A$3:$A$821&amp;" ",$C177))*Terms!G$3:G$821)+Terms!G$2</f>
        <v>-4.89919157376311</v>
      </c>
      <c r="Q177" s="0" t="str">
        <f aca="false">INDEX($K$1:$P$1,MATCH(MAX(K177:P177),K177:P177,0))</f>
        <v>Account Access</v>
      </c>
      <c r="R177" s="0" t="str">
        <f aca="false">IF(J177&lt;&gt;"No label",J177,Q177)</f>
        <v>Account Access</v>
      </c>
      <c r="S177" s="0" t="str">
        <f aca="false">INDEX(Answers!$B$2:$B$201,MATCH(A177,Answers!$A$2:$A$201,0))</f>
        <v>Customer Service</v>
      </c>
      <c r="T177" s="4" t="b">
        <f aca="false">R177=S177</f>
        <v>0</v>
      </c>
    </row>
    <row r="178" customFormat="false" ht="15" hidden="false" customHeight="false" outlineLevel="0" collapsed="false">
      <c r="A178" s="0" t="str">
        <f aca="false">NewComplaints!A178</f>
        <v>N0177</v>
      </c>
      <c r="B178" s="0" t="str">
        <f aca="false">NewComplaints!B178</f>
        <v>I have been a customer for years. The password reset keeps failing and I am locked out. Also, i was charged a monthly fee that nobody told me about.</v>
      </c>
      <c r="C178" s="0" t="str">
        <f aca="false">" "&amp;TRIM(SUBSTITUTE(SUBSTITUTE(SUBSTITUTE(SUBSTITUTE(SUBSTITUTE(SUBSTITUTE(SUBSTITUTE(SUBSTITUTE(SUBSTITUTE(SUBSTITUTE(SUBSTITUTE(SUBSTITUTE(SUBSTITUTE(SUBSTITUTE(SUBSTITUTE(SUBSTITUTE(LOWER(B178),"."," "),","," "),"'"," "),"’"," "),"!"," "),"?"," "),";"," "),":"," "),"-"," "),"("," "),")"," "),"""", " "),"£"," "),"&amp;"," "),"/"," "),"%"," "))&amp;" "</f>
        <v> i have been a customer for years the password reset keeps failing and i am locked out also i was charged a monthly fee that nobody told me about </v>
      </c>
      <c r="D178" s="0" t="n">
        <f aca="false">SUMPRODUCT((Rules!$A$2:$A$60=D$1)*Rules!$C$2:$C$60*ISNUMBER(SEARCH(Rules!$D$2:$D$60,$C178)))</f>
        <v>0</v>
      </c>
      <c r="E178" s="0" t="n">
        <f aca="false">SUMPRODUCT((Rules!$A$2:$A$60=E$1)*Rules!$C$2:$C$60*ISNUMBER(SEARCH(Rules!$D$2:$D$60,$C178)))</f>
        <v>0</v>
      </c>
      <c r="F178" s="0" t="n">
        <f aca="false">SUMPRODUCT((Rules!$A$2:$A$60=F$1)*Rules!$C$2:$C$60*ISNUMBER(SEARCH(Rules!$D$2:$D$60,$C178)))</f>
        <v>8</v>
      </c>
      <c r="G178" s="0" t="n">
        <f aca="false">SUMPRODUCT((Rules!$A$2:$A$60=G$1)*Rules!$C$2:$C$60*ISNUMBER(SEARCH(Rules!$D$2:$D$60,$C178)))</f>
        <v>4</v>
      </c>
      <c r="H178" s="0" t="n">
        <f aca="false">SUMPRODUCT((Rules!$A$2:$A$60=H$1)*Rules!$C$2:$C$60*ISNUMBER(SEARCH(Rules!$D$2:$D$60,$C178)))</f>
        <v>0</v>
      </c>
      <c r="I178" s="0" t="n">
        <f aca="false">SUMPRODUCT((Rules!$A$2:$A$60=I$1)*Rules!$C$2:$C$60*ISNUMBER(SEARCH(Rules!$D$2:$D$60,$C178)))</f>
        <v>0</v>
      </c>
      <c r="J178" s="0" t="str">
        <f aca="false">IF(OR(MAX(D178:I178)&lt;Rules!$H$1,MAX(D178:I178)-LARGE(D178:I178,2)&lt;Rules!$H$2),"No label",INDEX($D$1:$I$1,MATCH(MAX(D178:I178),D178:I178,0)))</f>
        <v>Account Access</v>
      </c>
      <c r="K178" s="0" t="n">
        <f aca="false">SUMPRODUCT(ISNUMBER(SEARCH(" "&amp;Terms!$A$3:$A$821&amp;" ",$C178))*Terms!B$3:B$821)+Terms!B$2</f>
        <v>9.92742408373155</v>
      </c>
      <c r="L178" s="0" t="n">
        <f aca="false">SUMPRODUCT(ISNUMBER(SEARCH(" "&amp;Terms!$A$3:$A$821&amp;" ",$C178))*Terms!C$3:C$821)+Terms!C$2</f>
        <v>-8.6413728000512</v>
      </c>
      <c r="M178" s="0" t="n">
        <f aca="false">SUMPRODUCT(ISNUMBER(SEARCH(" "&amp;Terms!$A$3:$A$821&amp;" ",$C178))*Terms!D$3:D$821)+Terms!D$2</f>
        <v>-3.4414305357123</v>
      </c>
      <c r="N178" s="0" t="n">
        <f aca="false">SUMPRODUCT(ISNUMBER(SEARCH(" "&amp;Terms!$A$3:$A$821&amp;" ",$C178))*Terms!E$3:E$821)+Terms!E$2</f>
        <v>8.64411645558282</v>
      </c>
      <c r="O178" s="0" t="n">
        <f aca="false">SUMPRODUCT(ISNUMBER(SEARCH(" "&amp;Terms!$A$3:$A$821&amp;" ",$C178))*Terms!F$3:F$821)+Terms!F$2</f>
        <v>-5.17072275516235</v>
      </c>
      <c r="P178" s="0" t="n">
        <f aca="false">SUMPRODUCT(ISNUMBER(SEARCH(" "&amp;Terms!$A$3:$A$821&amp;" ",$C178))*Terms!G$3:G$821)+Terms!G$2</f>
        <v>-1.31801444838842</v>
      </c>
      <c r="Q178" s="0" t="str">
        <f aca="false">INDEX($K$1:$P$1,MATCH(MAX(K178:P178),K178:P178,0))</f>
        <v>Account Access</v>
      </c>
      <c r="R178" s="0" t="str">
        <f aca="false">IF(J178&lt;&gt;"No label",J178,Q178)</f>
        <v>Account Access</v>
      </c>
      <c r="S178" s="0" t="str">
        <f aca="false">INDEX(Answers!$B$2:$B$201,MATCH(A178,Answers!$A$2:$A$201,0))</f>
        <v>Account Access</v>
      </c>
      <c r="T178" s="4" t="b">
        <f aca="false">R178=S178</f>
        <v>1</v>
      </c>
    </row>
    <row r="179" customFormat="false" ht="15" hidden="false" customHeight="false" outlineLevel="0" collapsed="false">
      <c r="A179" s="0" t="str">
        <f aca="false">NewComplaints!A179</f>
        <v>N0178</v>
      </c>
      <c r="B179" s="0" t="str">
        <f aca="false">NewComplaints!B179</f>
        <v>Hello, My card was cloned and used abroad. There was also a fee involved. I want this put right.</v>
      </c>
      <c r="C179" s="0" t="str">
        <f aca="false">" "&amp;TRIM(SUBSTITUTE(SUBSTITUTE(SUBSTITUTE(SUBSTITUTE(SUBSTITUTE(SUBSTITUTE(SUBSTITUTE(SUBSTITUTE(SUBSTITUTE(SUBSTITUTE(SUBSTITUTE(SUBSTITUTE(SUBSTITUTE(SUBSTITUTE(SUBSTITUTE(SUBSTITUTE(LOWER(B179),"."," "),","," "),"'"," "),"’"," "),"!"," "),"?"," "),";"," "),":"," "),"-"," "),"("," "),")"," "),"""", " "),"£"," "),"&amp;"," "),"/"," "),"%"," "))&amp;" "</f>
        <v> hello my card was cloned and used abroad there was also a fee involved i want this put right </v>
      </c>
      <c r="D179" s="0" t="n">
        <f aca="false">SUMPRODUCT((Rules!$A$2:$A$60=D$1)*Rules!$C$2:$C$60*ISNUMBER(SEARCH(Rules!$D$2:$D$60,$C179)))</f>
        <v>3</v>
      </c>
      <c r="E179" s="0" t="n">
        <f aca="false">SUMPRODUCT((Rules!$A$2:$A$60=E$1)*Rules!$C$2:$C$60*ISNUMBER(SEARCH(Rules!$D$2:$D$60,$C179)))</f>
        <v>0</v>
      </c>
      <c r="F179" s="0" t="n">
        <f aca="false">SUMPRODUCT((Rules!$A$2:$A$60=F$1)*Rules!$C$2:$C$60*ISNUMBER(SEARCH(Rules!$D$2:$D$60,$C179)))</f>
        <v>0</v>
      </c>
      <c r="G179" s="0" t="n">
        <f aca="false">SUMPRODUCT((Rules!$A$2:$A$60=G$1)*Rules!$C$2:$C$60*ISNUMBER(SEARCH(Rules!$D$2:$D$60,$C179)))</f>
        <v>2</v>
      </c>
      <c r="H179" s="0" t="n">
        <f aca="false">SUMPRODUCT((Rules!$A$2:$A$60=H$1)*Rules!$C$2:$C$60*ISNUMBER(SEARCH(Rules!$D$2:$D$60,$C179)))</f>
        <v>0</v>
      </c>
      <c r="I179" s="0" t="n">
        <f aca="false">SUMPRODUCT((Rules!$A$2:$A$60=I$1)*Rules!$C$2:$C$60*ISNUMBER(SEARCH(Rules!$D$2:$D$60,$C179)))</f>
        <v>0</v>
      </c>
      <c r="J179" s="0" t="str">
        <f aca="false">IF(OR(MAX(D179:I179)&lt;Rules!$H$1,MAX(D179:I179)-LARGE(D179:I179,2)&lt;Rules!$H$2),"No label",INDEX($D$1:$I$1,MATCH(MAX(D179:I179),D179:I179,0)))</f>
        <v>No label</v>
      </c>
      <c r="K179" s="0" t="n">
        <f aca="false">SUMPRODUCT(ISNUMBER(SEARCH(" "&amp;Terms!$A$3:$A$821&amp;" ",$C179))*Terms!B$3:B$821)+Terms!B$2</f>
        <v>-0.318746006779106</v>
      </c>
      <c r="L179" s="0" t="n">
        <f aca="false">SUMPRODUCT(ISNUMBER(SEARCH(" "&amp;Terms!$A$3:$A$821&amp;" ",$C179))*Terms!C$3:C$821)+Terms!C$2</f>
        <v>-4.12526888749153</v>
      </c>
      <c r="M179" s="0" t="n">
        <f aca="false">SUMPRODUCT(ISNUMBER(SEARCH(" "&amp;Terms!$A$3:$A$821&amp;" ",$C179))*Terms!D$3:D$821)+Terms!D$2</f>
        <v>-6.02043393647285</v>
      </c>
      <c r="N179" s="0" t="n">
        <f aca="false">SUMPRODUCT(ISNUMBER(SEARCH(" "&amp;Terms!$A$3:$A$821&amp;" ",$C179))*Terms!E$3:E$821)+Terms!E$2</f>
        <v>1.68929876979344</v>
      </c>
      <c r="O179" s="0" t="n">
        <f aca="false">SUMPRODUCT(ISNUMBER(SEARCH(" "&amp;Terms!$A$3:$A$821&amp;" ",$C179))*Terms!F$3:F$821)+Terms!F$2</f>
        <v>11.1122237184645</v>
      </c>
      <c r="P179" s="0" t="n">
        <f aca="false">SUMPRODUCT(ISNUMBER(SEARCH(" "&amp;Terms!$A$3:$A$821&amp;" ",$C179))*Terms!G$3:G$821)+Terms!G$2</f>
        <v>-2.33707365751439</v>
      </c>
      <c r="Q179" s="0" t="str">
        <f aca="false">INDEX($K$1:$P$1,MATCH(MAX(K179:P179),K179:P179,0))</f>
        <v>Fraud &amp; Scams</v>
      </c>
      <c r="R179" s="0" t="str">
        <f aca="false">IF(J179&lt;&gt;"No label",J179,Q179)</f>
        <v>Fraud &amp; Scams</v>
      </c>
      <c r="S179" s="0" t="str">
        <f aca="false">INDEX(Answers!$B$2:$B$201,MATCH(A179,Answers!$A$2:$A$201,0))</f>
        <v>Fraud &amp; Scams</v>
      </c>
      <c r="T179" s="4" t="b">
        <f aca="false">R179=S179</f>
        <v>1</v>
      </c>
    </row>
    <row r="180" customFormat="false" ht="15" hidden="false" customHeight="false" outlineLevel="0" collapsed="false">
      <c r="A180" s="0" t="str">
        <f aca="false">NewComplaints!A180</f>
        <v>N0179</v>
      </c>
      <c r="B180" s="0" t="str">
        <f aca="false">NewComplaints!B180</f>
        <v>There is an unexpected charge on my statement of £25. I also spent ages on hold when I called about it. Please sort this out.</v>
      </c>
      <c r="C180" s="0" t="str">
        <f aca="false">" "&amp;TRIM(SUBSTITUTE(SUBSTITUTE(SUBSTITUTE(SUBSTITUTE(SUBSTITUTE(SUBSTITUTE(SUBSTITUTE(SUBSTITUTE(SUBSTITUTE(SUBSTITUTE(SUBSTITUTE(SUBSTITUTE(SUBSTITUTE(SUBSTITUTE(SUBSTITUTE(SUBSTITUTE(LOWER(B180),"."," "),","," "),"'"," "),"’"," "),"!"," "),"?"," "),";"," "),":"," "),"-"," "),"("," "),")"," "),"""", " "),"£"," "),"&amp;"," "),"/"," "),"%"," "))&amp;" "</f>
        <v> there is an unexpected charge on my statement of 25 i also spent ages on hold when i called about it please sort this out </v>
      </c>
      <c r="D180" s="0" t="n">
        <f aca="false">SUMPRODUCT((Rules!$A$2:$A$60=D$1)*Rules!$C$2:$C$60*ISNUMBER(SEARCH(Rules!$D$2:$D$60,$C180)))</f>
        <v>0</v>
      </c>
      <c r="E180" s="0" t="n">
        <f aca="false">SUMPRODUCT((Rules!$A$2:$A$60=E$1)*Rules!$C$2:$C$60*ISNUMBER(SEARCH(Rules!$D$2:$D$60,$C180)))</f>
        <v>0</v>
      </c>
      <c r="F180" s="0" t="n">
        <f aca="false">SUMPRODUCT((Rules!$A$2:$A$60=F$1)*Rules!$C$2:$C$60*ISNUMBER(SEARCH(Rules!$D$2:$D$60,$C180)))</f>
        <v>0</v>
      </c>
      <c r="G180" s="0" t="n">
        <f aca="false">SUMPRODUCT((Rules!$A$2:$A$60=G$1)*Rules!$C$2:$C$60*ISNUMBER(SEARCH(Rules!$D$2:$D$60,$C180)))</f>
        <v>3</v>
      </c>
      <c r="H180" s="0" t="n">
        <f aca="false">SUMPRODUCT((Rules!$A$2:$A$60=H$1)*Rules!$C$2:$C$60*ISNUMBER(SEARCH(Rules!$D$2:$D$60,$C180)))</f>
        <v>0</v>
      </c>
      <c r="I180" s="0" t="n">
        <f aca="false">SUMPRODUCT((Rules!$A$2:$A$60=I$1)*Rules!$C$2:$C$60*ISNUMBER(SEARCH(Rules!$D$2:$D$60,$C180)))</f>
        <v>3</v>
      </c>
      <c r="J180" s="0" t="str">
        <f aca="false">IF(OR(MAX(D180:I180)&lt;Rules!$H$1,MAX(D180:I180)-LARGE(D180:I180,2)&lt;Rules!$H$2),"No label",INDEX($D$1:$I$1,MATCH(MAX(D180:I180),D180:I180,0)))</f>
        <v>No label</v>
      </c>
      <c r="K180" s="0" t="n">
        <f aca="false">SUMPRODUCT(ISNUMBER(SEARCH(" "&amp;Terms!$A$3:$A$821&amp;" ",$C180))*Terms!B$3:B$821)+Terms!B$2</f>
        <v>-5.74812415550707</v>
      </c>
      <c r="L180" s="0" t="n">
        <f aca="false">SUMPRODUCT(ISNUMBER(SEARCH(" "&amp;Terms!$A$3:$A$821&amp;" ",$C180))*Terms!C$3:C$821)+Terms!C$2</f>
        <v>0.345508293855311</v>
      </c>
      <c r="M180" s="0" t="n">
        <f aca="false">SUMPRODUCT(ISNUMBER(SEARCH(" "&amp;Terms!$A$3:$A$821&amp;" ",$C180))*Terms!D$3:D$821)+Terms!D$2</f>
        <v>-2.61157829030313</v>
      </c>
      <c r="N180" s="0" t="n">
        <f aca="false">SUMPRODUCT(ISNUMBER(SEARCH(" "&amp;Terms!$A$3:$A$821&amp;" ",$C180))*Terms!E$3:E$821)+Terms!E$2</f>
        <v>10.4464056533359</v>
      </c>
      <c r="O180" s="0" t="n">
        <f aca="false">SUMPRODUCT(ISNUMBER(SEARCH(" "&amp;Terms!$A$3:$A$821&amp;" ",$C180))*Terms!F$3:F$821)+Terms!F$2</f>
        <v>-1.05149488399909</v>
      </c>
      <c r="P180" s="0" t="n">
        <f aca="false">SUMPRODUCT(ISNUMBER(SEARCH(" "&amp;Terms!$A$3:$A$821&amp;" ",$C180))*Terms!G$3:G$821)+Terms!G$2</f>
        <v>-1.38071661738181</v>
      </c>
      <c r="Q180" s="0" t="str">
        <f aca="false">INDEX($K$1:$P$1,MATCH(MAX(K180:P180),K180:P180,0))</f>
        <v>Fees &amp; Charges</v>
      </c>
      <c r="R180" s="0" t="str">
        <f aca="false">IF(J180&lt;&gt;"No label",J180,Q180)</f>
        <v>Fees &amp; Charges</v>
      </c>
      <c r="S180" s="0" t="str">
        <f aca="false">INDEX(Answers!$B$2:$B$201,MATCH(A180,Answers!$A$2:$A$201,0))</f>
        <v>Fees &amp; Charges</v>
      </c>
      <c r="T180" s="4" t="b">
        <f aca="false">R180=S180</f>
        <v>1</v>
      </c>
    </row>
    <row r="181" customFormat="false" ht="15" hidden="false" customHeight="false" outlineLevel="0" collapsed="false">
      <c r="A181" s="0" t="str">
        <f aca="false">NewComplaints!A181</f>
        <v>N0180</v>
      </c>
      <c r="B181" s="0" t="str">
        <f aca="false">NewComplaints!B181</f>
        <v>Hello, My application has been stuck for weeks with no progress. I expect compensation.</v>
      </c>
      <c r="C181" s="0" t="str">
        <f aca="false">" "&amp;TRIM(SUBSTITUTE(SUBSTITUTE(SUBSTITUTE(SUBSTITUTE(SUBSTITUTE(SUBSTITUTE(SUBSTITUTE(SUBSTITUTE(SUBSTITUTE(SUBSTITUTE(SUBSTITUTE(SUBSTITUTE(SUBSTITUTE(SUBSTITUTE(SUBSTITUTE(SUBSTITUTE(LOWER(B181),"."," "),","," "),"'"," "),"’"," "),"!"," "),"?"," "),";"," "),":"," "),"-"," "),"("," "),")"," "),"""", " "),"£"," "),"&amp;"," "),"/"," "),"%"," "))&amp;" "</f>
        <v> hello my application has been stuck for weeks with no progress i expect compensation </v>
      </c>
      <c r="D181" s="0" t="n">
        <f aca="false">SUMPRODUCT((Rules!$A$2:$A$60=D$1)*Rules!$C$2:$C$60*ISNUMBER(SEARCH(Rules!$D$2:$D$60,$C181)))</f>
        <v>0</v>
      </c>
      <c r="E181" s="0" t="n">
        <f aca="false">SUMPRODUCT((Rules!$A$2:$A$60=E$1)*Rules!$C$2:$C$60*ISNUMBER(SEARCH(Rules!$D$2:$D$60,$C181)))</f>
        <v>0</v>
      </c>
      <c r="F181" s="0" t="n">
        <f aca="false">SUMPRODUCT((Rules!$A$2:$A$60=F$1)*Rules!$C$2:$C$60*ISNUMBER(SEARCH(Rules!$D$2:$D$60,$C181)))</f>
        <v>0</v>
      </c>
      <c r="G181" s="0" t="n">
        <f aca="false">SUMPRODUCT((Rules!$A$2:$A$60=G$1)*Rules!$C$2:$C$60*ISNUMBER(SEARCH(Rules!$D$2:$D$60,$C181)))</f>
        <v>0</v>
      </c>
      <c r="H181" s="0" t="n">
        <f aca="false">SUMPRODUCT((Rules!$A$2:$A$60=H$1)*Rules!$C$2:$C$60*ISNUMBER(SEARCH(Rules!$D$2:$D$60,$C181)))</f>
        <v>3</v>
      </c>
      <c r="I181" s="0" t="n">
        <f aca="false">SUMPRODUCT((Rules!$A$2:$A$60=I$1)*Rules!$C$2:$C$60*ISNUMBER(SEARCH(Rules!$D$2:$D$60,$C181)))</f>
        <v>0</v>
      </c>
      <c r="J181" s="0" t="str">
        <f aca="false">IF(OR(MAX(D181:I181)&lt;Rules!$H$1,MAX(D181:I181)-LARGE(D181:I181,2)&lt;Rules!$H$2),"No label",INDEX($D$1:$I$1,MATCH(MAX(D181:I181),D181:I181,0)))</f>
        <v>Delays &amp; Processing</v>
      </c>
      <c r="K181" s="0" t="n">
        <f aca="false">SUMPRODUCT(ISNUMBER(SEARCH(" "&amp;Terms!$A$3:$A$821&amp;" ",$C181))*Terms!B$3:B$821)+Terms!B$2</f>
        <v>0.153143164275453</v>
      </c>
      <c r="L181" s="0" t="n">
        <f aca="false">SUMPRODUCT(ISNUMBER(SEARCH(" "&amp;Terms!$A$3:$A$821&amp;" ",$C181))*Terms!C$3:C$821)+Terms!C$2</f>
        <v>-0.312814133880519</v>
      </c>
      <c r="M181" s="0" t="n">
        <f aca="false">SUMPRODUCT(ISNUMBER(SEARCH(" "&amp;Terms!$A$3:$A$821&amp;" ",$C181))*Terms!D$3:D$821)+Terms!D$2</f>
        <v>6.02773196845673</v>
      </c>
      <c r="N181" s="0" t="n">
        <f aca="false">SUMPRODUCT(ISNUMBER(SEARCH(" "&amp;Terms!$A$3:$A$821&amp;" ",$C181))*Terms!E$3:E$821)+Terms!E$2</f>
        <v>-1.67349499554072</v>
      </c>
      <c r="O181" s="0" t="n">
        <f aca="false">SUMPRODUCT(ISNUMBER(SEARCH(" "&amp;Terms!$A$3:$A$821&amp;" ",$C181))*Terms!F$3:F$821)+Terms!F$2</f>
        <v>-1.37480919542511</v>
      </c>
      <c r="P181" s="0" t="n">
        <f aca="false">SUMPRODUCT(ISNUMBER(SEARCH(" "&amp;Terms!$A$3:$A$821&amp;" ",$C181))*Terms!G$3:G$821)+Terms!G$2</f>
        <v>-2.81975680788575</v>
      </c>
      <c r="Q181" s="0" t="str">
        <f aca="false">INDEX($K$1:$P$1,MATCH(MAX(K181:P181),K181:P181,0))</f>
        <v>Delays &amp; Processing</v>
      </c>
      <c r="R181" s="0" t="str">
        <f aca="false">IF(J181&lt;&gt;"No label",J181,Q181)</f>
        <v>Delays &amp; Processing</v>
      </c>
      <c r="S181" s="0" t="str">
        <f aca="false">INDEX(Answers!$B$2:$B$201,MATCH(A181,Answers!$A$2:$A$201,0))</f>
        <v>Delays &amp; Processing</v>
      </c>
      <c r="T181" s="4" t="b">
        <f aca="false">R181=S181</f>
        <v>1</v>
      </c>
    </row>
    <row r="182" customFormat="false" ht="15" hidden="false" customHeight="false" outlineLevel="0" collapsed="false">
      <c r="A182" s="0" t="str">
        <f aca="false">NewComplaints!A182</f>
        <v>N0181</v>
      </c>
      <c r="B182" s="0" t="str">
        <f aca="false">NewComplaints!B182</f>
        <v>I have been a customer for years. I was hit with a penalty charge for a payment I made on time. I would like a response in writing.</v>
      </c>
      <c r="C182" s="0" t="str">
        <f aca="false">" "&amp;TRIM(SUBSTITUTE(SUBSTITUTE(SUBSTITUTE(SUBSTITUTE(SUBSTITUTE(SUBSTITUTE(SUBSTITUTE(SUBSTITUTE(SUBSTITUTE(SUBSTITUTE(SUBSTITUTE(SUBSTITUTE(SUBSTITUTE(SUBSTITUTE(SUBSTITUTE(SUBSTITUTE(LOWER(B182),"."," "),","," "),"'"," "),"’"," "),"!"," "),"?"," "),";"," "),":"," "),"-"," "),"("," "),")"," "),"""", " "),"£"," "),"&amp;"," "),"/"," "),"%"," "))&amp;" "</f>
        <v> i have been a customer for years i was hit with a penalty charge for a payment i made on time i would like a response in writing </v>
      </c>
      <c r="D182" s="0" t="n">
        <f aca="false">SUMPRODUCT((Rules!$A$2:$A$60=D$1)*Rules!$C$2:$C$60*ISNUMBER(SEARCH(Rules!$D$2:$D$60,$C182)))</f>
        <v>0</v>
      </c>
      <c r="E182" s="0" t="n">
        <f aca="false">SUMPRODUCT((Rules!$A$2:$A$60=E$1)*Rules!$C$2:$C$60*ISNUMBER(SEARCH(Rules!$D$2:$D$60,$C182)))</f>
        <v>0</v>
      </c>
      <c r="F182" s="0" t="n">
        <f aca="false">SUMPRODUCT((Rules!$A$2:$A$60=F$1)*Rules!$C$2:$C$60*ISNUMBER(SEARCH(Rules!$D$2:$D$60,$C182)))</f>
        <v>0</v>
      </c>
      <c r="G182" s="0" t="n">
        <f aca="false">SUMPRODUCT((Rules!$A$2:$A$60=G$1)*Rules!$C$2:$C$60*ISNUMBER(SEARCH(Rules!$D$2:$D$60,$C182)))</f>
        <v>4</v>
      </c>
      <c r="H182" s="0" t="n">
        <f aca="false">SUMPRODUCT((Rules!$A$2:$A$60=H$1)*Rules!$C$2:$C$60*ISNUMBER(SEARCH(Rules!$D$2:$D$60,$C182)))</f>
        <v>0</v>
      </c>
      <c r="I182" s="0" t="n">
        <f aca="false">SUMPRODUCT((Rules!$A$2:$A$60=I$1)*Rules!$C$2:$C$60*ISNUMBER(SEARCH(Rules!$D$2:$D$60,$C182)))</f>
        <v>0</v>
      </c>
      <c r="J182" s="0" t="str">
        <f aca="false">IF(OR(MAX(D182:I182)&lt;Rules!$H$1,MAX(D182:I182)-LARGE(D182:I182,2)&lt;Rules!$H$2),"No label",INDEX($D$1:$I$1,MATCH(MAX(D182:I182),D182:I182,0)))</f>
        <v>Fees &amp; Charges</v>
      </c>
      <c r="K182" s="0" t="n">
        <f aca="false">SUMPRODUCT(ISNUMBER(SEARCH(" "&amp;Terms!$A$3:$A$821&amp;" ",$C182))*Terms!B$3:B$821)+Terms!B$2</f>
        <v>-3.12837540488275</v>
      </c>
      <c r="L182" s="0" t="n">
        <f aca="false">SUMPRODUCT(ISNUMBER(SEARCH(" "&amp;Terms!$A$3:$A$821&amp;" ",$C182))*Terms!C$3:C$821)+Terms!C$2</f>
        <v>0.432686630248779</v>
      </c>
      <c r="M182" s="0" t="n">
        <f aca="false">SUMPRODUCT(ISNUMBER(SEARCH(" "&amp;Terms!$A$3:$A$821&amp;" ",$C182))*Terms!D$3:D$821)+Terms!D$2</f>
        <v>-0.573414352902644</v>
      </c>
      <c r="N182" s="0" t="n">
        <f aca="false">SUMPRODUCT(ISNUMBER(SEARCH(" "&amp;Terms!$A$3:$A$821&amp;" ",$C182))*Terms!E$3:E$821)+Terms!E$2</f>
        <v>7.7174590808773</v>
      </c>
      <c r="O182" s="0" t="n">
        <f aca="false">SUMPRODUCT(ISNUMBER(SEARCH(" "&amp;Terms!$A$3:$A$821&amp;" ",$C182))*Terms!F$3:F$821)+Terms!F$2</f>
        <v>-3.51791313633468</v>
      </c>
      <c r="P182" s="0" t="n">
        <f aca="false">SUMPRODUCT(ISNUMBER(SEARCH(" "&amp;Terms!$A$3:$A$821&amp;" ",$C182))*Terms!G$3:G$821)+Terms!G$2</f>
        <v>-0.930442817005926</v>
      </c>
      <c r="Q182" s="0" t="str">
        <f aca="false">INDEX($K$1:$P$1,MATCH(MAX(K182:P182),K182:P182,0))</f>
        <v>Fees &amp; Charges</v>
      </c>
      <c r="R182" s="0" t="str">
        <f aca="false">IF(J182&lt;&gt;"No label",J182,Q182)</f>
        <v>Fees &amp; Charges</v>
      </c>
      <c r="S182" s="0" t="str">
        <f aca="false">INDEX(Answers!$B$2:$B$201,MATCH(A182,Answers!$A$2:$A$201,0))</f>
        <v>Fees &amp; Charges</v>
      </c>
      <c r="T182" s="4" t="b">
        <f aca="false">R182=S182</f>
        <v>1</v>
      </c>
    </row>
    <row r="183" customFormat="false" ht="15" hidden="false" customHeight="false" outlineLevel="0" collapsed="false">
      <c r="A183" s="0" t="str">
        <f aca="false">NewComplaints!A183</f>
        <v>N0182</v>
      </c>
      <c r="B183" s="0" t="str">
        <f aca="false">NewComplaints!B183</f>
        <v>To whom it may concern, You promised the money within tree working days and it is still outstanding. I could not log in to check either. Please sort this out.</v>
      </c>
      <c r="C183" s="0" t="str">
        <f aca="false">" "&amp;TRIM(SUBSTITUTE(SUBSTITUTE(SUBSTITUTE(SUBSTITUTE(SUBSTITUTE(SUBSTITUTE(SUBSTITUTE(SUBSTITUTE(SUBSTITUTE(SUBSTITUTE(SUBSTITUTE(SUBSTITUTE(SUBSTITUTE(SUBSTITUTE(SUBSTITUTE(SUBSTITUTE(LOWER(B183),"."," "),","," "),"'"," "),"’"," "),"!"," "),"?"," "),";"," "),":"," "),"-"," "),"("," "),")"," "),"""", " "),"£"," "),"&amp;"," "),"/"," "),"%"," "))&amp;" "</f>
        <v> to whom it may concern you promised the money within tree working days and it is still outstanding i could not log in to check either please sort this out </v>
      </c>
      <c r="D183" s="0" t="n">
        <f aca="false">SUMPRODUCT((Rules!$A$2:$A$60=D$1)*Rules!$C$2:$C$60*ISNUMBER(SEARCH(Rules!$D$2:$D$60,$C183)))</f>
        <v>0</v>
      </c>
      <c r="E183" s="0" t="n">
        <f aca="false">SUMPRODUCT((Rules!$A$2:$A$60=E$1)*Rules!$C$2:$C$60*ISNUMBER(SEARCH(Rules!$D$2:$D$60,$C183)))</f>
        <v>1</v>
      </c>
      <c r="F183" s="0" t="n">
        <f aca="false">SUMPRODUCT((Rules!$A$2:$A$60=F$1)*Rules!$C$2:$C$60*ISNUMBER(SEARCH(Rules!$D$2:$D$60,$C183)))</f>
        <v>3</v>
      </c>
      <c r="G183" s="0" t="n">
        <f aca="false">SUMPRODUCT((Rules!$A$2:$A$60=G$1)*Rules!$C$2:$C$60*ISNUMBER(SEARCH(Rules!$D$2:$D$60,$C183)))</f>
        <v>0</v>
      </c>
      <c r="H183" s="0" t="n">
        <f aca="false">SUMPRODUCT((Rules!$A$2:$A$60=H$1)*Rules!$C$2:$C$60*ISNUMBER(SEARCH(Rules!$D$2:$D$60,$C183)))</f>
        <v>2</v>
      </c>
      <c r="I183" s="0" t="n">
        <f aca="false">SUMPRODUCT((Rules!$A$2:$A$60=I$1)*Rules!$C$2:$C$60*ISNUMBER(SEARCH(Rules!$D$2:$D$60,$C183)))</f>
        <v>0</v>
      </c>
      <c r="J183" s="0" t="str">
        <f aca="false">IF(OR(MAX(D183:I183)&lt;Rules!$H$1,MAX(D183:I183)-LARGE(D183:I183,2)&lt;Rules!$H$2),"No label",INDEX($D$1:$I$1,MATCH(MAX(D183:I183),D183:I183,0)))</f>
        <v>No label</v>
      </c>
      <c r="K183" s="0" t="n">
        <f aca="false">SUMPRODUCT(ISNUMBER(SEARCH(" "&amp;Terms!$A$3:$A$821&amp;" ",$C183))*Terms!B$3:B$821)+Terms!B$2</f>
        <v>-1.02616638445538</v>
      </c>
      <c r="L183" s="0" t="n">
        <f aca="false">SUMPRODUCT(ISNUMBER(SEARCH(" "&amp;Terms!$A$3:$A$821&amp;" ",$C183))*Terms!C$3:C$821)+Terms!C$2</f>
        <v>-3.10084775850793</v>
      </c>
      <c r="M183" s="0" t="n">
        <f aca="false">SUMPRODUCT(ISNUMBER(SEARCH(" "&amp;Terms!$A$3:$A$821&amp;" ",$C183))*Terms!D$3:D$821)+Terms!D$2</f>
        <v>7.30022370530231</v>
      </c>
      <c r="N183" s="0" t="n">
        <f aca="false">SUMPRODUCT(ISNUMBER(SEARCH(" "&amp;Terms!$A$3:$A$821&amp;" ",$C183))*Terms!E$3:E$821)+Terms!E$2</f>
        <v>0.802907745046558</v>
      </c>
      <c r="O183" s="0" t="n">
        <f aca="false">SUMPRODUCT(ISNUMBER(SEARCH(" "&amp;Terms!$A$3:$A$821&amp;" ",$C183))*Terms!F$3:F$821)+Terms!F$2</f>
        <v>-2.36210835228906</v>
      </c>
      <c r="P183" s="0" t="n">
        <f aca="false">SUMPRODUCT(ISNUMBER(SEARCH(" "&amp;Terms!$A$3:$A$821&amp;" ",$C183))*Terms!G$3:G$821)+Terms!G$2</f>
        <v>-1.61400895509642</v>
      </c>
      <c r="Q183" s="0" t="str">
        <f aca="false">INDEX($K$1:$P$1,MATCH(MAX(K183:P183),K183:P183,0))</f>
        <v>Delays &amp; Processing</v>
      </c>
      <c r="R183" s="0" t="str">
        <f aca="false">IF(J183&lt;&gt;"No label",J183,Q183)</f>
        <v>Delays &amp; Processing</v>
      </c>
      <c r="S183" s="0" t="str">
        <f aca="false">INDEX(Answers!$B$2:$B$201,MATCH(A183,Answers!$A$2:$A$201,0))</f>
        <v>Delays &amp; Processing</v>
      </c>
      <c r="T183" s="4" t="b">
        <f aca="false">R183=S183</f>
        <v>1</v>
      </c>
    </row>
    <row r="184" customFormat="false" ht="15" hidden="false" customHeight="false" outlineLevel="0" collapsed="false">
      <c r="A184" s="0" t="str">
        <f aca="false">NewComplaints!A184</f>
        <v>N0183</v>
      </c>
      <c r="B184" s="0" t="str">
        <f aca="false">NewComplaints!B184</f>
        <v>This is the second time I have raised this. Nobody explained the foreign transaction charges before my holiday. Also, the staff member was rude and dismissive when I called. Please sort this out.</v>
      </c>
      <c r="C184" s="0" t="str">
        <f aca="false">" "&amp;TRIM(SUBSTITUTE(SUBSTITUTE(SUBSTITUTE(SUBSTITUTE(SUBSTITUTE(SUBSTITUTE(SUBSTITUTE(SUBSTITUTE(SUBSTITUTE(SUBSTITUTE(SUBSTITUTE(SUBSTITUTE(SUBSTITUTE(SUBSTITUTE(SUBSTITUTE(SUBSTITUTE(LOWER(B184),"."," "),","," "),"'"," "),"’"," "),"!"," "),"?"," "),";"," "),":"," "),"-"," "),"("," "),")"," "),"""", " "),"£"," "),"&amp;"," "),"/"," "),"%"," "))&amp;" "</f>
        <v> this is the second time i have raised this nobody explained the foreign transaction charges before my holiday also the staff member was rude and dismissive when i called please sort this out </v>
      </c>
      <c r="D184" s="0" t="n">
        <f aca="false">SUMPRODUCT((Rules!$A$2:$A$60=D$1)*Rules!$C$2:$C$60*ISNUMBER(SEARCH(Rules!$D$2:$D$60,$C184)))</f>
        <v>0</v>
      </c>
      <c r="E184" s="0" t="n">
        <f aca="false">SUMPRODUCT((Rules!$A$2:$A$60=E$1)*Rules!$C$2:$C$60*ISNUMBER(SEARCH(Rules!$D$2:$D$60,$C184)))</f>
        <v>0</v>
      </c>
      <c r="F184" s="0" t="n">
        <f aca="false">SUMPRODUCT((Rules!$A$2:$A$60=F$1)*Rules!$C$2:$C$60*ISNUMBER(SEARCH(Rules!$D$2:$D$60,$C184)))</f>
        <v>0</v>
      </c>
      <c r="G184" s="0" t="n">
        <f aca="false">SUMPRODUCT((Rules!$A$2:$A$60=G$1)*Rules!$C$2:$C$60*ISNUMBER(SEARCH(Rules!$D$2:$D$60,$C184)))</f>
        <v>0</v>
      </c>
      <c r="H184" s="0" t="n">
        <f aca="false">SUMPRODUCT((Rules!$A$2:$A$60=H$1)*Rules!$C$2:$C$60*ISNUMBER(SEARCH(Rules!$D$2:$D$60,$C184)))</f>
        <v>0</v>
      </c>
      <c r="I184" s="0" t="n">
        <f aca="false">SUMPRODUCT((Rules!$A$2:$A$60=I$1)*Rules!$C$2:$C$60*ISNUMBER(SEARCH(Rules!$D$2:$D$60,$C184)))</f>
        <v>4</v>
      </c>
      <c r="J184" s="0" t="str">
        <f aca="false">IF(OR(MAX(D184:I184)&lt;Rules!$H$1,MAX(D184:I184)-LARGE(D184:I184,2)&lt;Rules!$H$2),"No label",INDEX($D$1:$I$1,MATCH(MAX(D184:I184),D184:I184,0)))</f>
        <v>Customer Service</v>
      </c>
      <c r="K184" s="0" t="n">
        <f aca="false">SUMPRODUCT(ISNUMBER(SEARCH(" "&amp;Terms!$A$3:$A$821&amp;" ",$C184))*Terms!B$3:B$821)+Terms!B$2</f>
        <v>-8.90347303079702</v>
      </c>
      <c r="L184" s="0" t="n">
        <f aca="false">SUMPRODUCT(ISNUMBER(SEARCH(" "&amp;Terms!$A$3:$A$821&amp;" ",$C184))*Terms!C$3:C$821)+Terms!C$2</f>
        <v>10.7689350325478</v>
      </c>
      <c r="M184" s="0" t="n">
        <f aca="false">SUMPRODUCT(ISNUMBER(SEARCH(" "&amp;Terms!$A$3:$A$821&amp;" ",$C184))*Terms!D$3:D$821)+Terms!D$2</f>
        <v>-3.81049752256004</v>
      </c>
      <c r="N184" s="0" t="n">
        <f aca="false">SUMPRODUCT(ISNUMBER(SEARCH(" "&amp;Terms!$A$3:$A$821&amp;" ",$C184))*Terms!E$3:E$821)+Terms!E$2</f>
        <v>13.846709097506</v>
      </c>
      <c r="O184" s="0" t="n">
        <f aca="false">SUMPRODUCT(ISNUMBER(SEARCH(" "&amp;Terms!$A$3:$A$821&amp;" ",$C184))*Terms!F$3:F$821)+Terms!F$2</f>
        <v>-4.43438401205506</v>
      </c>
      <c r="P184" s="0" t="n">
        <f aca="false">SUMPRODUCT(ISNUMBER(SEARCH(" "&amp;Terms!$A$3:$A$821&amp;" ",$C184))*Terms!G$3:G$821)+Terms!G$2</f>
        <v>-7.46728956464164</v>
      </c>
      <c r="Q184" s="0" t="str">
        <f aca="false">INDEX($K$1:$P$1,MATCH(MAX(K184:P184),K184:P184,0))</f>
        <v>Fees &amp; Charges</v>
      </c>
      <c r="R184" s="0" t="str">
        <f aca="false">IF(J184&lt;&gt;"No label",J184,Q184)</f>
        <v>Customer Service</v>
      </c>
      <c r="S184" s="0" t="str">
        <f aca="false">INDEX(Answers!$B$2:$B$201,MATCH(A184,Answers!$A$2:$A$201,0))</f>
        <v>Fees &amp; Charges</v>
      </c>
      <c r="T184" s="4" t="b">
        <f aca="false">R184=S184</f>
        <v>0</v>
      </c>
    </row>
    <row r="185" customFormat="false" ht="15" hidden="false" customHeight="false" outlineLevel="0" collapsed="false">
      <c r="A185" s="0" t="str">
        <f aca="false">NewComplaints!A185</f>
        <v>N0184</v>
      </c>
      <c r="B185" s="0" t="str">
        <f aca="false">NewComplaints!B185</f>
        <v>To whom it may concern, The direct debit setup was delayed and I missed a bill because of it.</v>
      </c>
      <c r="C185" s="0" t="str">
        <f aca="false">" "&amp;TRIM(SUBSTITUTE(SUBSTITUTE(SUBSTITUTE(SUBSTITUTE(SUBSTITUTE(SUBSTITUTE(SUBSTITUTE(SUBSTITUTE(SUBSTITUTE(SUBSTITUTE(SUBSTITUTE(SUBSTITUTE(SUBSTITUTE(SUBSTITUTE(SUBSTITUTE(SUBSTITUTE(LOWER(B185),"."," "),","," "),"'"," "),"’"," "),"!"," "),"?"," "),";"," "),":"," "),"-"," "),"("," "),")"," "),"""", " "),"£"," "),"&amp;"," "),"/"," "),"%"," "))&amp;" "</f>
        <v> to whom it may concern the direct debit setup was delayed and i missed a bill because of it </v>
      </c>
      <c r="D185" s="0" t="n">
        <f aca="false">SUMPRODUCT((Rules!$A$2:$A$60=D$1)*Rules!$C$2:$C$60*ISNUMBER(SEARCH(Rules!$D$2:$D$60,$C185)))</f>
        <v>0</v>
      </c>
      <c r="E185" s="0" t="n">
        <f aca="false">SUMPRODUCT((Rules!$A$2:$A$60=E$1)*Rules!$C$2:$C$60*ISNUMBER(SEARCH(Rules!$D$2:$D$60,$C185)))</f>
        <v>0</v>
      </c>
      <c r="F185" s="0" t="n">
        <f aca="false">SUMPRODUCT((Rules!$A$2:$A$60=F$1)*Rules!$C$2:$C$60*ISNUMBER(SEARCH(Rules!$D$2:$D$60,$C185)))</f>
        <v>0</v>
      </c>
      <c r="G185" s="0" t="n">
        <f aca="false">SUMPRODUCT((Rules!$A$2:$A$60=G$1)*Rules!$C$2:$C$60*ISNUMBER(SEARCH(Rules!$D$2:$D$60,$C185)))</f>
        <v>0</v>
      </c>
      <c r="H185" s="0" t="n">
        <f aca="false">SUMPRODUCT((Rules!$A$2:$A$60=H$1)*Rules!$C$2:$C$60*ISNUMBER(SEARCH(Rules!$D$2:$D$60,$C185)))</f>
        <v>2</v>
      </c>
      <c r="I185" s="0" t="n">
        <f aca="false">SUMPRODUCT((Rules!$A$2:$A$60=I$1)*Rules!$C$2:$C$60*ISNUMBER(SEARCH(Rules!$D$2:$D$60,$C185)))</f>
        <v>0</v>
      </c>
      <c r="J185" s="0" t="str">
        <f aca="false">IF(OR(MAX(D185:I185)&lt;Rules!$H$1,MAX(D185:I185)-LARGE(D185:I185,2)&lt;Rules!$H$2),"No label",INDEX($D$1:$I$1,MATCH(MAX(D185:I185),D185:I185,0)))</f>
        <v>No label</v>
      </c>
      <c r="K185" s="0" t="n">
        <f aca="false">SUMPRODUCT(ISNUMBER(SEARCH(" "&amp;Terms!$A$3:$A$821&amp;" ",$C185))*Terms!B$3:B$821)+Terms!B$2</f>
        <v>-3.33924080225765</v>
      </c>
      <c r="L185" s="0" t="n">
        <f aca="false">SUMPRODUCT(ISNUMBER(SEARCH(" "&amp;Terms!$A$3:$A$821&amp;" ",$C185))*Terms!C$3:C$821)+Terms!C$2</f>
        <v>-2.21288458215085</v>
      </c>
      <c r="M185" s="0" t="n">
        <f aca="false">SUMPRODUCT(ISNUMBER(SEARCH(" "&amp;Terms!$A$3:$A$821&amp;" ",$C185))*Terms!D$3:D$821)+Terms!D$2</f>
        <v>10.9028750788041</v>
      </c>
      <c r="N185" s="0" t="n">
        <f aca="false">SUMPRODUCT(ISNUMBER(SEARCH(" "&amp;Terms!$A$3:$A$821&amp;" ",$C185))*Terms!E$3:E$821)+Terms!E$2</f>
        <v>-2.10879988103825</v>
      </c>
      <c r="O185" s="0" t="n">
        <f aca="false">SUMPRODUCT(ISNUMBER(SEARCH(" "&amp;Terms!$A$3:$A$821&amp;" ",$C185))*Terms!F$3:F$821)+Terms!F$2</f>
        <v>-0.5908060016927</v>
      </c>
      <c r="P185" s="0" t="n">
        <f aca="false">SUMPRODUCT(ISNUMBER(SEARCH(" "&amp;Terms!$A$3:$A$821&amp;" ",$C185))*Terms!G$3:G$821)+Terms!G$2</f>
        <v>-2.65114381166461</v>
      </c>
      <c r="Q185" s="0" t="str">
        <f aca="false">INDEX($K$1:$P$1,MATCH(MAX(K185:P185),K185:P185,0))</f>
        <v>Delays &amp; Processing</v>
      </c>
      <c r="R185" s="0" t="str">
        <f aca="false">IF(J185&lt;&gt;"No label",J185,Q185)</f>
        <v>Delays &amp; Processing</v>
      </c>
      <c r="S185" s="0" t="str">
        <f aca="false">INDEX(Answers!$B$2:$B$201,MATCH(A185,Answers!$A$2:$A$201,0))</f>
        <v>Delays &amp; Processing</v>
      </c>
      <c r="T185" s="4" t="b">
        <f aca="false">R185=S185</f>
        <v>1</v>
      </c>
    </row>
    <row r="186" customFormat="false" ht="15" hidden="false" customHeight="false" outlineLevel="0" collapsed="false">
      <c r="A186" s="0" t="str">
        <f aca="false">NewComplaints!A186</f>
        <v>N0185</v>
      </c>
      <c r="B186" s="0" t="str">
        <f aca="false">NewComplaints!B186</f>
        <v>I am writing to complain. A fake text message led me to a website and my money disappeared. Also, i was advised to take out cover that duplicates what I already had. Please sort this out.</v>
      </c>
      <c r="C186" s="0" t="str">
        <f aca="false">" "&amp;TRIM(SUBSTITUTE(SUBSTITUTE(SUBSTITUTE(SUBSTITUTE(SUBSTITUTE(SUBSTITUTE(SUBSTITUTE(SUBSTITUTE(SUBSTITUTE(SUBSTITUTE(SUBSTITUTE(SUBSTITUTE(SUBSTITUTE(SUBSTITUTE(SUBSTITUTE(SUBSTITUTE(LOWER(B186),"."," "),","," "),"'"," "),"’"," "),"!"," "),"?"," "),";"," "),":"," "),"-"," "),"("," "),")"," "),"""", " "),"£"," "),"&amp;"," "),"/"," "),"%"," "))&amp;" "</f>
        <v> i am writing to complain a fake text message led me to a website and my money disappeared also i was advised to take out cover that duplicates what i already had please sort this out </v>
      </c>
      <c r="D186" s="0" t="n">
        <f aca="false">SUMPRODUCT((Rules!$A$2:$A$60=D$1)*Rules!$C$2:$C$60*ISNUMBER(SEARCH(Rules!$D$2:$D$60,$C186)))</f>
        <v>2</v>
      </c>
      <c r="E186" s="0" t="n">
        <f aca="false">SUMPRODUCT((Rules!$A$2:$A$60=E$1)*Rules!$C$2:$C$60*ISNUMBER(SEARCH(Rules!$D$2:$D$60,$C186)))</f>
        <v>0</v>
      </c>
      <c r="F186" s="0" t="n">
        <f aca="false">SUMPRODUCT((Rules!$A$2:$A$60=F$1)*Rules!$C$2:$C$60*ISNUMBER(SEARCH(Rules!$D$2:$D$60,$C186)))</f>
        <v>0</v>
      </c>
      <c r="G186" s="0" t="n">
        <f aca="false">SUMPRODUCT((Rules!$A$2:$A$60=G$1)*Rules!$C$2:$C$60*ISNUMBER(SEARCH(Rules!$D$2:$D$60,$C186)))</f>
        <v>0</v>
      </c>
      <c r="H186" s="0" t="n">
        <f aca="false">SUMPRODUCT((Rules!$A$2:$A$60=H$1)*Rules!$C$2:$C$60*ISNUMBER(SEARCH(Rules!$D$2:$D$60,$C186)))</f>
        <v>0</v>
      </c>
      <c r="I186" s="0" t="n">
        <f aca="false">SUMPRODUCT((Rules!$A$2:$A$60=I$1)*Rules!$C$2:$C$60*ISNUMBER(SEARCH(Rules!$D$2:$D$60,$C186)))</f>
        <v>0</v>
      </c>
      <c r="J186" s="0" t="str">
        <f aca="false">IF(OR(MAX(D186:I186)&lt;Rules!$H$1,MAX(D186:I186)-LARGE(D186:I186,2)&lt;Rules!$H$2),"No label",INDEX($D$1:$I$1,MATCH(MAX(D186:I186),D186:I186,0)))</f>
        <v>No label</v>
      </c>
      <c r="K186" s="0" t="n">
        <f aca="false">SUMPRODUCT(ISNUMBER(SEARCH(" "&amp;Terms!$A$3:$A$821&amp;" ",$C186))*Terms!B$3:B$821)+Terms!B$2</f>
        <v>-2.86289716669703</v>
      </c>
      <c r="L186" s="0" t="n">
        <f aca="false">SUMPRODUCT(ISNUMBER(SEARCH(" "&amp;Terms!$A$3:$A$821&amp;" ",$C186))*Terms!C$3:C$821)+Terms!C$2</f>
        <v>-2.16647055314464</v>
      </c>
      <c r="M186" s="0" t="n">
        <f aca="false">SUMPRODUCT(ISNUMBER(SEARCH(" "&amp;Terms!$A$3:$A$821&amp;" ",$C186))*Terms!D$3:D$821)+Terms!D$2</f>
        <v>-1.40929248378537</v>
      </c>
      <c r="N186" s="0" t="n">
        <f aca="false">SUMPRODUCT(ISNUMBER(SEARCH(" "&amp;Terms!$A$3:$A$821&amp;" ",$C186))*Terms!E$3:E$821)+Terms!E$2</f>
        <v>-7.42768556529184</v>
      </c>
      <c r="O186" s="0" t="n">
        <f aca="false">SUMPRODUCT(ISNUMBER(SEARCH(" "&amp;Terms!$A$3:$A$821&amp;" ",$C186))*Terms!F$3:F$821)+Terms!F$2</f>
        <v>9.04471658372939</v>
      </c>
      <c r="P186" s="0" t="n">
        <f aca="false">SUMPRODUCT(ISNUMBER(SEARCH(" "&amp;Terms!$A$3:$A$821&amp;" ",$C186))*Terms!G$3:G$821)+Terms!G$2</f>
        <v>4.82162918518954</v>
      </c>
      <c r="Q186" s="0" t="str">
        <f aca="false">INDEX($K$1:$P$1,MATCH(MAX(K186:P186),K186:P186,0))</f>
        <v>Fraud &amp; Scams</v>
      </c>
      <c r="R186" s="0" t="str">
        <f aca="false">IF(J186&lt;&gt;"No label",J186,Q186)</f>
        <v>Fraud &amp; Scams</v>
      </c>
      <c r="S186" s="0" t="str">
        <f aca="false">INDEX(Answers!$B$2:$B$201,MATCH(A186,Answers!$A$2:$A$201,0))</f>
        <v>Fraud &amp; Scams</v>
      </c>
      <c r="T186" s="4" t="b">
        <f aca="false">R186=S186</f>
        <v>1</v>
      </c>
    </row>
    <row r="187" customFormat="false" ht="15" hidden="false" customHeight="false" outlineLevel="0" collapsed="false">
      <c r="A187" s="0" t="str">
        <f aca="false">NewComplaints!A187</f>
        <v>N0186</v>
      </c>
      <c r="B187" s="0" t="str">
        <f aca="false">NewComplaints!B187</f>
        <v>My online banking is locked and the reset link never arrives. Also, someone has made payments from my account that I did not authorise. This is not acceptable.</v>
      </c>
      <c r="C187" s="0" t="str">
        <f aca="false">" "&amp;TRIM(SUBSTITUTE(SUBSTITUTE(SUBSTITUTE(SUBSTITUTE(SUBSTITUTE(SUBSTITUTE(SUBSTITUTE(SUBSTITUTE(SUBSTITUTE(SUBSTITUTE(SUBSTITUTE(SUBSTITUTE(SUBSTITUTE(SUBSTITUTE(SUBSTITUTE(SUBSTITUTE(LOWER(B187),"."," "),","," "),"'"," "),"’"," "),"!"," "),"?"," "),";"," "),":"," "),"-"," "),"("," "),")"," "),"""", " "),"£"," "),"&amp;"," "),"/"," "),"%"," "))&amp;" "</f>
        <v> my online banking is locked and the reset link never arrives also someone has made payments from my account that i did not authorise this is not acceptable </v>
      </c>
      <c r="D187" s="0" t="n">
        <f aca="false">SUMPRODUCT((Rules!$A$2:$A$60=D$1)*Rules!$C$2:$C$60*ISNUMBER(SEARCH(Rules!$D$2:$D$60,$C187)))</f>
        <v>3</v>
      </c>
      <c r="E187" s="0" t="n">
        <f aca="false">SUMPRODUCT((Rules!$A$2:$A$60=E$1)*Rules!$C$2:$C$60*ISNUMBER(SEARCH(Rules!$D$2:$D$60,$C187)))</f>
        <v>0</v>
      </c>
      <c r="F187" s="0" t="n">
        <f aca="false">SUMPRODUCT((Rules!$A$2:$A$60=F$1)*Rules!$C$2:$C$60*ISNUMBER(SEARCH(Rules!$D$2:$D$60,$C187)))</f>
        <v>5</v>
      </c>
      <c r="G187" s="0" t="n">
        <f aca="false">SUMPRODUCT((Rules!$A$2:$A$60=G$1)*Rules!$C$2:$C$60*ISNUMBER(SEARCH(Rules!$D$2:$D$60,$C187)))</f>
        <v>0</v>
      </c>
      <c r="H187" s="0" t="n">
        <f aca="false">SUMPRODUCT((Rules!$A$2:$A$60=H$1)*Rules!$C$2:$C$60*ISNUMBER(SEARCH(Rules!$D$2:$D$60,$C187)))</f>
        <v>0</v>
      </c>
      <c r="I187" s="0" t="n">
        <f aca="false">SUMPRODUCT((Rules!$A$2:$A$60=I$1)*Rules!$C$2:$C$60*ISNUMBER(SEARCH(Rules!$D$2:$D$60,$C187)))</f>
        <v>0</v>
      </c>
      <c r="J187" s="0" t="str">
        <f aca="false">IF(OR(MAX(D187:I187)&lt;Rules!$H$1,MAX(D187:I187)-LARGE(D187:I187,2)&lt;Rules!$H$2),"No label",INDEX($D$1:$I$1,MATCH(MAX(D187:I187),D187:I187,0)))</f>
        <v>Account Access</v>
      </c>
      <c r="K187" s="0" t="n">
        <f aca="false">SUMPRODUCT(ISNUMBER(SEARCH(" "&amp;Terms!$A$3:$A$821&amp;" ",$C187))*Terms!B$3:B$821)+Terms!B$2</f>
        <v>12.1822309191829</v>
      </c>
      <c r="L187" s="0" t="n">
        <f aca="false">SUMPRODUCT(ISNUMBER(SEARCH(" "&amp;Terms!$A$3:$A$821&amp;" ",$C187))*Terms!C$3:C$821)+Terms!C$2</f>
        <v>-8.39723525550415</v>
      </c>
      <c r="M187" s="0" t="n">
        <f aca="false">SUMPRODUCT(ISNUMBER(SEARCH(" "&amp;Terms!$A$3:$A$821&amp;" ",$C187))*Terms!D$3:D$821)+Terms!D$2</f>
        <v>-2.07953916945901</v>
      </c>
      <c r="N187" s="0" t="n">
        <f aca="false">SUMPRODUCT(ISNUMBER(SEARCH(" "&amp;Terms!$A$3:$A$821&amp;" ",$C187))*Terms!E$3:E$821)+Terms!E$2</f>
        <v>-2.85023661714829</v>
      </c>
      <c r="O187" s="0" t="n">
        <f aca="false">SUMPRODUCT(ISNUMBER(SEARCH(" "&amp;Terms!$A$3:$A$821&amp;" ",$C187))*Terms!F$3:F$821)+Terms!F$2</f>
        <v>2.4602643971059</v>
      </c>
      <c r="P187" s="0" t="n">
        <f aca="false">SUMPRODUCT(ISNUMBER(SEARCH(" "&amp;Terms!$A$3:$A$821&amp;" ",$C187))*Terms!G$3:G$821)+Terms!G$2</f>
        <v>-1.31548427417722</v>
      </c>
      <c r="Q187" s="0" t="str">
        <f aca="false">INDEX($K$1:$P$1,MATCH(MAX(K187:P187),K187:P187,0))</f>
        <v>Account Access</v>
      </c>
      <c r="R187" s="0" t="str">
        <f aca="false">IF(J187&lt;&gt;"No label",J187,Q187)</f>
        <v>Account Access</v>
      </c>
      <c r="S187" s="0" t="str">
        <f aca="false">INDEX(Answers!$B$2:$B$201,MATCH(A187,Answers!$A$2:$A$201,0))</f>
        <v>Account Access</v>
      </c>
      <c r="T187" s="4" t="b">
        <f aca="false">R187=S187</f>
        <v>1</v>
      </c>
    </row>
    <row r="188" customFormat="false" ht="15" hidden="false" customHeight="false" outlineLevel="0" collapsed="false">
      <c r="A188" s="0" t="str">
        <f aca="false">NewComplaints!A188</f>
        <v>N0187</v>
      </c>
      <c r="B188" s="0" t="str">
        <f aca="false">NewComplaints!B188</f>
        <v>I sent the form twice and it seems to have been lost in the system. I do not think it was explained propely when I bought it. I want this put right.</v>
      </c>
      <c r="C188" s="0" t="str">
        <f aca="false">" "&amp;TRIM(SUBSTITUTE(SUBSTITUTE(SUBSTITUTE(SUBSTITUTE(SUBSTITUTE(SUBSTITUTE(SUBSTITUTE(SUBSTITUTE(SUBSTITUTE(SUBSTITUTE(SUBSTITUTE(SUBSTITUTE(SUBSTITUTE(SUBSTITUTE(SUBSTITUTE(SUBSTITUTE(LOWER(B188),"."," "),","," "),"'"," "),"’"," "),"!"," "),"?"," "),";"," "),":"," "),"-"," "),"("," "),")"," "),"""", " "),"£"," "),"&amp;"," "),"/"," "),"%"," "))&amp;" "</f>
        <v> i sent the form twice and it seems to have been lost in the system i do not think it was explained propely when i bought it i want this put right </v>
      </c>
      <c r="D188" s="0" t="n">
        <f aca="false">SUMPRODUCT((Rules!$A$2:$A$60=D$1)*Rules!$C$2:$C$60*ISNUMBER(SEARCH(Rules!$D$2:$D$60,$C188)))</f>
        <v>0</v>
      </c>
      <c r="E188" s="0" t="n">
        <f aca="false">SUMPRODUCT((Rules!$A$2:$A$60=E$1)*Rules!$C$2:$C$60*ISNUMBER(SEARCH(Rules!$D$2:$D$60,$C188)))</f>
        <v>0</v>
      </c>
      <c r="F188" s="0" t="n">
        <f aca="false">SUMPRODUCT((Rules!$A$2:$A$60=F$1)*Rules!$C$2:$C$60*ISNUMBER(SEARCH(Rules!$D$2:$D$60,$C188)))</f>
        <v>0</v>
      </c>
      <c r="G188" s="0" t="n">
        <f aca="false">SUMPRODUCT((Rules!$A$2:$A$60=G$1)*Rules!$C$2:$C$60*ISNUMBER(SEARCH(Rules!$D$2:$D$60,$C188)))</f>
        <v>0</v>
      </c>
      <c r="H188" s="0" t="n">
        <f aca="false">SUMPRODUCT((Rules!$A$2:$A$60=H$1)*Rules!$C$2:$C$60*ISNUMBER(SEARCH(Rules!$D$2:$D$60,$C188)))</f>
        <v>0</v>
      </c>
      <c r="I188" s="0" t="n">
        <f aca="false">SUMPRODUCT((Rules!$A$2:$A$60=I$1)*Rules!$C$2:$C$60*ISNUMBER(SEARCH(Rules!$D$2:$D$60,$C188)))</f>
        <v>0</v>
      </c>
      <c r="J188" s="0" t="str">
        <f aca="false">IF(OR(MAX(D188:I188)&lt;Rules!$H$1,MAX(D188:I188)-LARGE(D188:I188,2)&lt;Rules!$H$2),"No label",INDEX($D$1:$I$1,MATCH(MAX(D188:I188),D188:I188,0)))</f>
        <v>No label</v>
      </c>
      <c r="K188" s="0" t="n">
        <f aca="false">SUMPRODUCT(ISNUMBER(SEARCH(" "&amp;Terms!$A$3:$A$821&amp;" ",$C188))*Terms!B$3:B$821)+Terms!B$2</f>
        <v>-4.31650169606051</v>
      </c>
      <c r="L188" s="0" t="n">
        <f aca="false">SUMPRODUCT(ISNUMBER(SEARCH(" "&amp;Terms!$A$3:$A$821&amp;" ",$C188))*Terms!C$3:C$821)+Terms!C$2</f>
        <v>-3.0135696204902</v>
      </c>
      <c r="M188" s="0" t="n">
        <f aca="false">SUMPRODUCT(ISNUMBER(SEARCH(" "&amp;Terms!$A$3:$A$821&amp;" ",$C188))*Terms!D$3:D$821)+Terms!D$2</f>
        <v>7.60305163103289</v>
      </c>
      <c r="N188" s="0" t="n">
        <f aca="false">SUMPRODUCT(ISNUMBER(SEARCH(" "&amp;Terms!$A$3:$A$821&amp;" ",$C188))*Terms!E$3:E$821)+Terms!E$2</f>
        <v>3.44500724673027</v>
      </c>
      <c r="O188" s="0" t="n">
        <f aca="false">SUMPRODUCT(ISNUMBER(SEARCH(" "&amp;Terms!$A$3:$A$821&amp;" ",$C188))*Terms!F$3:F$821)+Terms!F$2</f>
        <v>-0.248505352902961</v>
      </c>
      <c r="P188" s="0" t="n">
        <f aca="false">SUMPRODUCT(ISNUMBER(SEARCH(" "&amp;Terms!$A$3:$A$821&amp;" ",$C188))*Terms!G$3:G$821)+Terms!G$2</f>
        <v>-3.4694822083094</v>
      </c>
      <c r="Q188" s="0" t="str">
        <f aca="false">INDEX($K$1:$P$1,MATCH(MAX(K188:P188),K188:P188,0))</f>
        <v>Delays &amp; Processing</v>
      </c>
      <c r="R188" s="0" t="str">
        <f aca="false">IF(J188&lt;&gt;"No label",J188,Q188)</f>
        <v>Delays &amp; Processing</v>
      </c>
      <c r="S188" s="0" t="str">
        <f aca="false">INDEX(Answers!$B$2:$B$201,MATCH(A188,Answers!$A$2:$A$201,0))</f>
        <v>Delays &amp; Processing</v>
      </c>
      <c r="T188" s="4" t="b">
        <f aca="false">R188=S188</f>
        <v>1</v>
      </c>
    </row>
    <row r="189" customFormat="false" ht="15" hidden="false" customHeight="false" outlineLevel="0" collapsed="false">
      <c r="A189" s="0" t="str">
        <f aca="false">NewComplaints!A189</f>
        <v>N0188</v>
      </c>
      <c r="B189" s="0" t="str">
        <f aca="false">NewComplaints!B189</f>
        <v>This is the second time I have raised this. Nobody explained the foreign transaction charges before my holiday. Also, i was passed between four departments and no one took ownership. I expect compensation.</v>
      </c>
      <c r="C189" s="0" t="str">
        <f aca="false">" "&amp;TRIM(SUBSTITUTE(SUBSTITUTE(SUBSTITUTE(SUBSTITUTE(SUBSTITUTE(SUBSTITUTE(SUBSTITUTE(SUBSTITUTE(SUBSTITUTE(SUBSTITUTE(SUBSTITUTE(SUBSTITUTE(SUBSTITUTE(SUBSTITUTE(SUBSTITUTE(SUBSTITUTE(LOWER(B189),"."," "),","," "),"'"," "),"’"," "),"!"," "),"?"," "),";"," "),":"," "),"-"," "),"("," "),")"," "),"""", " "),"£"," "),"&amp;"," "),"/"," "),"%"," "))&amp;" "</f>
        <v> this is the second time i have raised this nobody explained the foreign transaction charges before my holiday also i was passed between four departments and no one took ownership i expect compensation </v>
      </c>
      <c r="D189" s="0" t="n">
        <f aca="false">SUMPRODUCT((Rules!$A$2:$A$60=D$1)*Rules!$C$2:$C$60*ISNUMBER(SEARCH(Rules!$D$2:$D$60,$C189)))</f>
        <v>0</v>
      </c>
      <c r="E189" s="0" t="n">
        <f aca="false">SUMPRODUCT((Rules!$A$2:$A$60=E$1)*Rules!$C$2:$C$60*ISNUMBER(SEARCH(Rules!$D$2:$D$60,$C189)))</f>
        <v>0</v>
      </c>
      <c r="F189" s="0" t="n">
        <f aca="false">SUMPRODUCT((Rules!$A$2:$A$60=F$1)*Rules!$C$2:$C$60*ISNUMBER(SEARCH(Rules!$D$2:$D$60,$C189)))</f>
        <v>0</v>
      </c>
      <c r="G189" s="0" t="n">
        <f aca="false">SUMPRODUCT((Rules!$A$2:$A$60=G$1)*Rules!$C$2:$C$60*ISNUMBER(SEARCH(Rules!$D$2:$D$60,$C189)))</f>
        <v>0</v>
      </c>
      <c r="H189" s="0" t="n">
        <f aca="false">SUMPRODUCT((Rules!$A$2:$A$60=H$1)*Rules!$C$2:$C$60*ISNUMBER(SEARCH(Rules!$D$2:$D$60,$C189)))</f>
        <v>0</v>
      </c>
      <c r="I189" s="0" t="n">
        <f aca="false">SUMPRODUCT((Rules!$A$2:$A$60=I$1)*Rules!$C$2:$C$60*ISNUMBER(SEARCH(Rules!$D$2:$D$60,$C189)))</f>
        <v>2</v>
      </c>
      <c r="J189" s="0" t="str">
        <f aca="false">IF(OR(MAX(D189:I189)&lt;Rules!$H$1,MAX(D189:I189)-LARGE(D189:I189,2)&lt;Rules!$H$2),"No label",INDEX($D$1:$I$1,MATCH(MAX(D189:I189),D189:I189,0)))</f>
        <v>No label</v>
      </c>
      <c r="K189" s="0" t="n">
        <f aca="false">SUMPRODUCT(ISNUMBER(SEARCH(" "&amp;Terms!$A$3:$A$821&amp;" ",$C189))*Terms!B$3:B$821)+Terms!B$2</f>
        <v>-2.28546882025276</v>
      </c>
      <c r="L189" s="0" t="n">
        <f aca="false">SUMPRODUCT(ISNUMBER(SEARCH(" "&amp;Terms!$A$3:$A$821&amp;" ",$C189))*Terms!C$3:C$821)+Terms!C$2</f>
        <v>8.20904224629882</v>
      </c>
      <c r="M189" s="0" t="n">
        <f aca="false">SUMPRODUCT(ISNUMBER(SEARCH(" "&amp;Terms!$A$3:$A$821&amp;" ",$C189))*Terms!D$3:D$821)+Terms!D$2</f>
        <v>-6.04191328876398</v>
      </c>
      <c r="N189" s="0" t="n">
        <f aca="false">SUMPRODUCT(ISNUMBER(SEARCH(" "&amp;Terms!$A$3:$A$821&amp;" ",$C189))*Terms!E$3:E$821)+Terms!E$2</f>
        <v>11.0836451973516</v>
      </c>
      <c r="O189" s="0" t="n">
        <f aca="false">SUMPRODUCT(ISNUMBER(SEARCH(" "&amp;Terms!$A$3:$A$821&amp;" ",$C189))*Terms!F$3:F$821)+Terms!F$2</f>
        <v>-3.29576968862079</v>
      </c>
      <c r="P189" s="0" t="n">
        <f aca="false">SUMPRODUCT(ISNUMBER(SEARCH(" "&amp;Terms!$A$3:$A$821&amp;" ",$C189))*Terms!G$3:G$821)+Terms!G$2</f>
        <v>-7.66953564601281</v>
      </c>
      <c r="Q189" s="0" t="str">
        <f aca="false">INDEX($K$1:$P$1,MATCH(MAX(K189:P189),K189:P189,0))</f>
        <v>Fees &amp; Charges</v>
      </c>
      <c r="R189" s="0" t="str">
        <f aca="false">IF(J189&lt;&gt;"No label",J189,Q189)</f>
        <v>Fees &amp; Charges</v>
      </c>
      <c r="S189" s="0" t="str">
        <f aca="false">INDEX(Answers!$B$2:$B$201,MATCH(A189,Answers!$A$2:$A$201,0))</f>
        <v>Fees &amp; Charges</v>
      </c>
      <c r="T189" s="4" t="b">
        <f aca="false">R189=S189</f>
        <v>1</v>
      </c>
    </row>
    <row r="190" customFormat="false" ht="15" hidden="false" customHeight="false" outlineLevel="0" collapsed="false">
      <c r="A190" s="0" t="str">
        <f aca="false">NewComplaints!A190</f>
        <v>N0189</v>
      </c>
      <c r="B190" s="0" t="str">
        <f aca="false">NewComplaints!B190</f>
        <v>I have been a customer for years. I spent an hour on hold and then the call was cut off. I would like a response in writing.</v>
      </c>
      <c r="C190" s="0" t="str">
        <f aca="false">" "&amp;TRIM(SUBSTITUTE(SUBSTITUTE(SUBSTITUTE(SUBSTITUTE(SUBSTITUTE(SUBSTITUTE(SUBSTITUTE(SUBSTITUTE(SUBSTITUTE(SUBSTITUTE(SUBSTITUTE(SUBSTITUTE(SUBSTITUTE(SUBSTITUTE(SUBSTITUTE(SUBSTITUTE(LOWER(B190),"."," "),","," "),"'"," "),"’"," "),"!"," "),"?"," "),";"," "),":"," "),"-"," "),"("," "),")"," "),"""", " "),"£"," "),"&amp;"," "),"/"," "),"%"," "))&amp;" "</f>
        <v> i have been a customer for years i spent an hour on hold and then the call was cut off i would like a response in writing </v>
      </c>
      <c r="D190" s="0" t="n">
        <f aca="false">SUMPRODUCT((Rules!$A$2:$A$60=D$1)*Rules!$C$2:$C$60*ISNUMBER(SEARCH(Rules!$D$2:$D$60,$C190)))</f>
        <v>0</v>
      </c>
      <c r="E190" s="0" t="n">
        <f aca="false">SUMPRODUCT((Rules!$A$2:$A$60=E$1)*Rules!$C$2:$C$60*ISNUMBER(SEARCH(Rules!$D$2:$D$60,$C190)))</f>
        <v>0</v>
      </c>
      <c r="F190" s="0" t="n">
        <f aca="false">SUMPRODUCT((Rules!$A$2:$A$60=F$1)*Rules!$C$2:$C$60*ISNUMBER(SEARCH(Rules!$D$2:$D$60,$C190)))</f>
        <v>0</v>
      </c>
      <c r="G190" s="0" t="n">
        <f aca="false">SUMPRODUCT((Rules!$A$2:$A$60=G$1)*Rules!$C$2:$C$60*ISNUMBER(SEARCH(Rules!$D$2:$D$60,$C190)))</f>
        <v>0</v>
      </c>
      <c r="H190" s="0" t="n">
        <f aca="false">SUMPRODUCT((Rules!$A$2:$A$60=H$1)*Rules!$C$2:$C$60*ISNUMBER(SEARCH(Rules!$D$2:$D$60,$C190)))</f>
        <v>0</v>
      </c>
      <c r="I190" s="0" t="n">
        <f aca="false">SUMPRODUCT((Rules!$A$2:$A$60=I$1)*Rules!$C$2:$C$60*ISNUMBER(SEARCH(Rules!$D$2:$D$60,$C190)))</f>
        <v>3</v>
      </c>
      <c r="J190" s="0" t="str">
        <f aca="false">IF(OR(MAX(D190:I190)&lt;Rules!$H$1,MAX(D190:I190)-LARGE(D190:I190,2)&lt;Rules!$H$2),"No label",INDEX($D$1:$I$1,MATCH(MAX(D190:I190),D190:I190,0)))</f>
        <v>Customer Service</v>
      </c>
      <c r="K190" s="0" t="n">
        <f aca="false">SUMPRODUCT(ISNUMBER(SEARCH(" "&amp;Terms!$A$3:$A$821&amp;" ",$C190))*Terms!B$3:B$821)+Terms!B$2</f>
        <v>-0.0884200672829903</v>
      </c>
      <c r="L190" s="0" t="n">
        <f aca="false">SUMPRODUCT(ISNUMBER(SEARCH(" "&amp;Terms!$A$3:$A$821&amp;" ",$C190))*Terms!C$3:C$821)+Terms!C$2</f>
        <v>7.30632144412511</v>
      </c>
      <c r="M190" s="0" t="n">
        <f aca="false">SUMPRODUCT(ISNUMBER(SEARCH(" "&amp;Terms!$A$3:$A$821&amp;" ",$C190))*Terms!D$3:D$821)+Terms!D$2</f>
        <v>-0.825058679976459</v>
      </c>
      <c r="N190" s="0" t="n">
        <f aca="false">SUMPRODUCT(ISNUMBER(SEARCH(" "&amp;Terms!$A$3:$A$821&amp;" ",$C190))*Terms!E$3:E$821)+Terms!E$2</f>
        <v>-4.81631559747629</v>
      </c>
      <c r="O190" s="0" t="n">
        <f aca="false">SUMPRODUCT(ISNUMBER(SEARCH(" "&amp;Terms!$A$3:$A$821&amp;" ",$C190))*Terms!F$3:F$821)+Terms!F$2</f>
        <v>-2.73051562885206</v>
      </c>
      <c r="P190" s="0" t="n">
        <f aca="false">SUMPRODUCT(ISNUMBER(SEARCH(" "&amp;Terms!$A$3:$A$821&amp;" ",$C190))*Terms!G$3:G$821)+Terms!G$2</f>
        <v>1.1539885294628</v>
      </c>
      <c r="Q190" s="0" t="str">
        <f aca="false">INDEX($K$1:$P$1,MATCH(MAX(K190:P190),K190:P190,0))</f>
        <v>Customer Service</v>
      </c>
      <c r="R190" s="0" t="str">
        <f aca="false">IF(J190&lt;&gt;"No label",J190,Q190)</f>
        <v>Customer Service</v>
      </c>
      <c r="S190" s="0" t="str">
        <f aca="false">INDEX(Answers!$B$2:$B$201,MATCH(A190,Answers!$A$2:$A$201,0))</f>
        <v>Customer Service</v>
      </c>
      <c r="T190" s="4" t="b">
        <f aca="false">R190=S190</f>
        <v>1</v>
      </c>
    </row>
    <row r="191" customFormat="false" ht="15" hidden="false" customHeight="false" outlineLevel="0" collapsed="false">
      <c r="A191" s="0" t="str">
        <f aca="false">NewComplaints!A191</f>
        <v>N0190</v>
      </c>
      <c r="B191" s="0" t="str">
        <f aca="false">NewComplaints!B191</f>
        <v>Frankly, I feel I was treated badly because of my age. This is not acceptable.</v>
      </c>
      <c r="C191" s="0" t="str">
        <f aca="false">" "&amp;TRIM(SUBSTITUTE(SUBSTITUTE(SUBSTITUTE(SUBSTITUTE(SUBSTITUTE(SUBSTITUTE(SUBSTITUTE(SUBSTITUTE(SUBSTITUTE(SUBSTITUTE(SUBSTITUTE(SUBSTITUTE(SUBSTITUTE(SUBSTITUTE(SUBSTITUTE(SUBSTITUTE(LOWER(B191),"."," "),","," "),"'"," "),"’"," "),"!"," "),"?"," "),";"," "),":"," "),"-"," "),"("," "),")"," "),"""", " "),"£"," "),"&amp;"," "),"/"," "),"%"," "))&amp;" "</f>
        <v> frankly i feel i was treated badly because of my age this is not acceptable </v>
      </c>
      <c r="D191" s="0" t="n">
        <f aca="false">SUMPRODUCT((Rules!$A$2:$A$60=D$1)*Rules!$C$2:$C$60*ISNUMBER(SEARCH(Rules!$D$2:$D$60,$C191)))</f>
        <v>0</v>
      </c>
      <c r="E191" s="0" t="n">
        <f aca="false">SUMPRODUCT((Rules!$A$2:$A$60=E$1)*Rules!$C$2:$C$60*ISNUMBER(SEARCH(Rules!$D$2:$D$60,$C191)))</f>
        <v>0</v>
      </c>
      <c r="F191" s="0" t="n">
        <f aca="false">SUMPRODUCT((Rules!$A$2:$A$60=F$1)*Rules!$C$2:$C$60*ISNUMBER(SEARCH(Rules!$D$2:$D$60,$C191)))</f>
        <v>0</v>
      </c>
      <c r="G191" s="0" t="n">
        <f aca="false">SUMPRODUCT((Rules!$A$2:$A$60=G$1)*Rules!$C$2:$C$60*ISNUMBER(SEARCH(Rules!$D$2:$D$60,$C191)))</f>
        <v>0</v>
      </c>
      <c r="H191" s="0" t="n">
        <f aca="false">SUMPRODUCT((Rules!$A$2:$A$60=H$1)*Rules!$C$2:$C$60*ISNUMBER(SEARCH(Rules!$D$2:$D$60,$C191)))</f>
        <v>0</v>
      </c>
      <c r="I191" s="0" t="n">
        <f aca="false">SUMPRODUCT((Rules!$A$2:$A$60=I$1)*Rules!$C$2:$C$60*ISNUMBER(SEARCH(Rules!$D$2:$D$60,$C191)))</f>
        <v>3</v>
      </c>
      <c r="J191" s="0" t="str">
        <f aca="false">IF(OR(MAX(D191:I191)&lt;Rules!$H$1,MAX(D191:I191)-LARGE(D191:I191,2)&lt;Rules!$H$2),"No label",INDEX($D$1:$I$1,MATCH(MAX(D191:I191),D191:I191,0)))</f>
        <v>Customer Service</v>
      </c>
      <c r="K191" s="0" t="n">
        <f aca="false">SUMPRODUCT(ISNUMBER(SEARCH(" "&amp;Terms!$A$3:$A$821&amp;" ",$C191))*Terms!B$3:B$821)+Terms!B$2</f>
        <v>0.43779576258901</v>
      </c>
      <c r="L191" s="0" t="n">
        <f aca="false">SUMPRODUCT(ISNUMBER(SEARCH(" "&amp;Terms!$A$3:$A$821&amp;" ",$C191))*Terms!C$3:C$821)+Terms!C$2</f>
        <v>7.6744649753652</v>
      </c>
      <c r="M191" s="0" t="n">
        <f aca="false">SUMPRODUCT(ISNUMBER(SEARCH(" "&amp;Terms!$A$3:$A$821&amp;" ",$C191))*Terms!D$3:D$821)+Terms!D$2</f>
        <v>-3.09358694002403</v>
      </c>
      <c r="N191" s="0" t="n">
        <f aca="false">SUMPRODUCT(ISNUMBER(SEARCH(" "&amp;Terms!$A$3:$A$821&amp;" ",$C191))*Terms!E$3:E$821)+Terms!E$2</f>
        <v>-3.40609052082211</v>
      </c>
      <c r="O191" s="0" t="n">
        <f aca="false">SUMPRODUCT(ISNUMBER(SEARCH(" "&amp;Terms!$A$3:$A$821&amp;" ",$C191))*Terms!F$3:F$821)+Terms!F$2</f>
        <v>-1.47642086252745</v>
      </c>
      <c r="P191" s="0" t="n">
        <f aca="false">SUMPRODUCT(ISNUMBER(SEARCH(" "&amp;Terms!$A$3:$A$821&amp;" ",$C191))*Terms!G$3:G$821)+Terms!G$2</f>
        <v>-0.1361624145805</v>
      </c>
      <c r="Q191" s="0" t="str">
        <f aca="false">INDEX($K$1:$P$1,MATCH(MAX(K191:P191),K191:P191,0))</f>
        <v>Customer Service</v>
      </c>
      <c r="R191" s="0" t="str">
        <f aca="false">IF(J191&lt;&gt;"No label",J191,Q191)</f>
        <v>Customer Service</v>
      </c>
      <c r="S191" s="0" t="str">
        <f aca="false">INDEX(Answers!$B$2:$B$201,MATCH(A191,Answers!$A$2:$A$201,0))</f>
        <v>Customer Service</v>
      </c>
      <c r="T191" s="4" t="b">
        <f aca="false">R191=S191</f>
        <v>1</v>
      </c>
    </row>
    <row r="192" customFormat="false" ht="15" hidden="false" customHeight="false" outlineLevel="0" collapsed="false">
      <c r="A192" s="0" t="str">
        <f aca="false">NewComplaints!A192</f>
        <v>N0191</v>
      </c>
      <c r="B192" s="0" t="str">
        <f aca="false">NewComplaints!B192</f>
        <v>The staff member was rude and dismissive when I called. Also, my card was cloned and used abroad. I would like a response in writing.</v>
      </c>
      <c r="C192" s="0" t="str">
        <f aca="false">" "&amp;TRIM(SUBSTITUTE(SUBSTITUTE(SUBSTITUTE(SUBSTITUTE(SUBSTITUTE(SUBSTITUTE(SUBSTITUTE(SUBSTITUTE(SUBSTITUTE(SUBSTITUTE(SUBSTITUTE(SUBSTITUTE(SUBSTITUTE(SUBSTITUTE(SUBSTITUTE(SUBSTITUTE(LOWER(B192),"."," "),","," "),"'"," "),"’"," "),"!"," "),"?"," "),";"," "),":"," "),"-"," "),"("," "),")"," "),"""", " "),"£"," "),"&amp;"," "),"/"," "),"%"," "))&amp;" "</f>
        <v> the staff member was rude and dismissive when i called also my card was cloned and used abroad i would like a response in writing </v>
      </c>
      <c r="D192" s="0" t="n">
        <f aca="false">SUMPRODUCT((Rules!$A$2:$A$60=D$1)*Rules!$C$2:$C$60*ISNUMBER(SEARCH(Rules!$D$2:$D$60,$C192)))</f>
        <v>3</v>
      </c>
      <c r="E192" s="0" t="n">
        <f aca="false">SUMPRODUCT((Rules!$A$2:$A$60=E$1)*Rules!$C$2:$C$60*ISNUMBER(SEARCH(Rules!$D$2:$D$60,$C192)))</f>
        <v>0</v>
      </c>
      <c r="F192" s="0" t="n">
        <f aca="false">SUMPRODUCT((Rules!$A$2:$A$60=F$1)*Rules!$C$2:$C$60*ISNUMBER(SEARCH(Rules!$D$2:$D$60,$C192)))</f>
        <v>0</v>
      </c>
      <c r="G192" s="0" t="n">
        <f aca="false">SUMPRODUCT((Rules!$A$2:$A$60=G$1)*Rules!$C$2:$C$60*ISNUMBER(SEARCH(Rules!$D$2:$D$60,$C192)))</f>
        <v>0</v>
      </c>
      <c r="H192" s="0" t="n">
        <f aca="false">SUMPRODUCT((Rules!$A$2:$A$60=H$1)*Rules!$C$2:$C$60*ISNUMBER(SEARCH(Rules!$D$2:$D$60,$C192)))</f>
        <v>0</v>
      </c>
      <c r="I192" s="0" t="n">
        <f aca="false">SUMPRODUCT((Rules!$A$2:$A$60=I$1)*Rules!$C$2:$C$60*ISNUMBER(SEARCH(Rules!$D$2:$D$60,$C192)))</f>
        <v>4</v>
      </c>
      <c r="J192" s="0" t="str">
        <f aca="false">IF(OR(MAX(D192:I192)&lt;Rules!$H$1,MAX(D192:I192)-LARGE(D192:I192,2)&lt;Rules!$H$2),"No label",INDEX($D$1:$I$1,MATCH(MAX(D192:I192),D192:I192,0)))</f>
        <v>No label</v>
      </c>
      <c r="K192" s="0" t="n">
        <f aca="false">SUMPRODUCT(ISNUMBER(SEARCH(" "&amp;Terms!$A$3:$A$821&amp;" ",$C192))*Terms!B$3:B$821)+Terms!B$2</f>
        <v>-3.99944635193838</v>
      </c>
      <c r="L192" s="0" t="n">
        <f aca="false">SUMPRODUCT(ISNUMBER(SEARCH(" "&amp;Terms!$A$3:$A$821&amp;" ",$C192))*Terms!C$3:C$821)+Terms!C$2</f>
        <v>7.63679236671828</v>
      </c>
      <c r="M192" s="0" t="n">
        <f aca="false">SUMPRODUCT(ISNUMBER(SEARCH(" "&amp;Terms!$A$3:$A$821&amp;" ",$C192))*Terms!D$3:D$821)+Terms!D$2</f>
        <v>-4.69643088413607</v>
      </c>
      <c r="N192" s="0" t="n">
        <f aca="false">SUMPRODUCT(ISNUMBER(SEARCH(" "&amp;Terms!$A$3:$A$821&amp;" ",$C192))*Terms!E$3:E$821)+Terms!E$2</f>
        <v>-2.11947024841192</v>
      </c>
      <c r="O192" s="0" t="n">
        <f aca="false">SUMPRODUCT(ISNUMBER(SEARCH(" "&amp;Terms!$A$3:$A$821&amp;" ",$C192))*Terms!F$3:F$821)+Terms!F$2</f>
        <v>6.3752277391484</v>
      </c>
      <c r="P192" s="0" t="n">
        <f aca="false">SUMPRODUCT(ISNUMBER(SEARCH(" "&amp;Terms!$A$3:$A$821&amp;" ",$C192))*Terms!G$3:G$821)+Terms!G$2</f>
        <v>-3.19667262138022</v>
      </c>
      <c r="Q192" s="0" t="str">
        <f aca="false">INDEX($K$1:$P$1,MATCH(MAX(K192:P192),K192:P192,0))</f>
        <v>Customer Service</v>
      </c>
      <c r="R192" s="0" t="str">
        <f aca="false">IF(J192&lt;&gt;"No label",J192,Q192)</f>
        <v>Customer Service</v>
      </c>
      <c r="S192" s="0" t="str">
        <f aca="false">INDEX(Answers!$B$2:$B$201,MATCH(A192,Answers!$A$2:$A$201,0))</f>
        <v>Customer Service</v>
      </c>
      <c r="T192" s="4" t="b">
        <f aca="false">R192=S192</f>
        <v>1</v>
      </c>
    </row>
    <row r="193" customFormat="false" ht="15" hidden="false" customHeight="false" outlineLevel="0" collapsed="false">
      <c r="A193" s="0" t="str">
        <f aca="false">NewComplaints!A193</f>
        <v>N0192</v>
      </c>
      <c r="B193" s="0" t="str">
        <f aca="false">NewComplaints!B193</f>
        <v>Frankly, I was passed between four departments and no one took ownership.</v>
      </c>
      <c r="C193" s="0" t="str">
        <f aca="false">" "&amp;TRIM(SUBSTITUTE(SUBSTITUTE(SUBSTITUTE(SUBSTITUTE(SUBSTITUTE(SUBSTITUTE(SUBSTITUTE(SUBSTITUTE(SUBSTITUTE(SUBSTITUTE(SUBSTITUTE(SUBSTITUTE(SUBSTITUTE(SUBSTITUTE(SUBSTITUTE(SUBSTITUTE(LOWER(B193),"."," "),","," "),"'"," "),"’"," "),"!"," "),"?"," "),";"," "),":"," "),"-"," "),"("," "),")"," "),"""", " "),"£"," "),"&amp;"," "),"/"," "),"%"," "))&amp;" "</f>
        <v> frankly i was passed between four departments and no one took ownership </v>
      </c>
      <c r="D193" s="0" t="n">
        <f aca="false">SUMPRODUCT((Rules!$A$2:$A$60=D$1)*Rules!$C$2:$C$60*ISNUMBER(SEARCH(Rules!$D$2:$D$60,$C193)))</f>
        <v>0</v>
      </c>
      <c r="E193" s="0" t="n">
        <f aca="false">SUMPRODUCT((Rules!$A$2:$A$60=E$1)*Rules!$C$2:$C$60*ISNUMBER(SEARCH(Rules!$D$2:$D$60,$C193)))</f>
        <v>0</v>
      </c>
      <c r="F193" s="0" t="n">
        <f aca="false">SUMPRODUCT((Rules!$A$2:$A$60=F$1)*Rules!$C$2:$C$60*ISNUMBER(SEARCH(Rules!$D$2:$D$60,$C193)))</f>
        <v>0</v>
      </c>
      <c r="G193" s="0" t="n">
        <f aca="false">SUMPRODUCT((Rules!$A$2:$A$60=G$1)*Rules!$C$2:$C$60*ISNUMBER(SEARCH(Rules!$D$2:$D$60,$C193)))</f>
        <v>0</v>
      </c>
      <c r="H193" s="0" t="n">
        <f aca="false">SUMPRODUCT((Rules!$A$2:$A$60=H$1)*Rules!$C$2:$C$60*ISNUMBER(SEARCH(Rules!$D$2:$D$60,$C193)))</f>
        <v>0</v>
      </c>
      <c r="I193" s="0" t="n">
        <f aca="false">SUMPRODUCT((Rules!$A$2:$A$60=I$1)*Rules!$C$2:$C$60*ISNUMBER(SEARCH(Rules!$D$2:$D$60,$C193)))</f>
        <v>2</v>
      </c>
      <c r="J193" s="0" t="str">
        <f aca="false">IF(OR(MAX(D193:I193)&lt;Rules!$H$1,MAX(D193:I193)-LARGE(D193:I193,2)&lt;Rules!$H$2),"No label",INDEX($D$1:$I$1,MATCH(MAX(D193:I193),D193:I193,0)))</f>
        <v>No label</v>
      </c>
      <c r="K193" s="0" t="n">
        <f aca="false">SUMPRODUCT(ISNUMBER(SEARCH(" "&amp;Terms!$A$3:$A$821&amp;" ",$C193))*Terms!B$3:B$821)+Terms!B$2</f>
        <v>-1.98907569688981</v>
      </c>
      <c r="L193" s="0" t="n">
        <f aca="false">SUMPRODUCT(ISNUMBER(SEARCH(" "&amp;Terms!$A$3:$A$821&amp;" ",$C193))*Terms!C$3:C$821)+Terms!C$2</f>
        <v>8.36009881646704</v>
      </c>
      <c r="M193" s="0" t="n">
        <f aca="false">SUMPRODUCT(ISNUMBER(SEARCH(" "&amp;Terms!$A$3:$A$821&amp;" ",$C193))*Terms!D$3:D$821)+Terms!D$2</f>
        <v>-2.08526544690424</v>
      </c>
      <c r="N193" s="0" t="n">
        <f aca="false">SUMPRODUCT(ISNUMBER(SEARCH(" "&amp;Terms!$A$3:$A$821&amp;" ",$C193))*Terms!E$3:E$821)+Terms!E$2</f>
        <v>0.276524919982819</v>
      </c>
      <c r="O193" s="0" t="n">
        <f aca="false">SUMPRODUCT(ISNUMBER(SEARCH(" "&amp;Terms!$A$3:$A$821&amp;" ",$C193))*Terms!F$3:F$821)+Terms!F$2</f>
        <v>-2.19658540035355</v>
      </c>
      <c r="P193" s="0" t="n">
        <f aca="false">SUMPRODUCT(ISNUMBER(SEARCH(" "&amp;Terms!$A$3:$A$821&amp;" ",$C193))*Terms!G$3:G$821)+Terms!G$2</f>
        <v>-2.36569719230216</v>
      </c>
      <c r="Q193" s="0" t="str">
        <f aca="false">INDEX($K$1:$P$1,MATCH(MAX(K193:P193),K193:P193,0))</f>
        <v>Customer Service</v>
      </c>
      <c r="R193" s="0" t="str">
        <f aca="false">IF(J193&lt;&gt;"No label",J193,Q193)</f>
        <v>Customer Service</v>
      </c>
      <c r="S193" s="0" t="str">
        <f aca="false">INDEX(Answers!$B$2:$B$201,MATCH(A193,Answers!$A$2:$A$201,0))</f>
        <v>Customer Service</v>
      </c>
      <c r="T193" s="4" t="b">
        <f aca="false">R193=S193</f>
        <v>1</v>
      </c>
    </row>
    <row r="194" customFormat="false" ht="15" hidden="false" customHeight="false" outlineLevel="0" collapsed="false">
      <c r="A194" s="0" t="str">
        <f aca="false">NewComplaints!A194</f>
        <v>N0193</v>
      </c>
      <c r="B194" s="0" t="str">
        <f aca="false">NewComplaints!B194</f>
        <v>To whom it may concern, My online banking is loced and the reset link never arrives. This is not acceptable.</v>
      </c>
      <c r="C194" s="0" t="str">
        <f aca="false">" "&amp;TRIM(SUBSTITUTE(SUBSTITUTE(SUBSTITUTE(SUBSTITUTE(SUBSTITUTE(SUBSTITUTE(SUBSTITUTE(SUBSTITUTE(SUBSTITUTE(SUBSTITUTE(SUBSTITUTE(SUBSTITUTE(SUBSTITUTE(SUBSTITUTE(SUBSTITUTE(SUBSTITUTE(LOWER(B194),"."," "),","," "),"'"," "),"’"," "),"!"," "),"?"," "),";"," "),":"," "),"-"," "),"("," "),")"," "),"""", " "),"£"," "),"&amp;"," "),"/"," "),"%"," "))&amp;" "</f>
        <v> to whom it may concern my online banking is loced and the reset link never arrives this is not acceptable </v>
      </c>
      <c r="D194" s="0" t="n">
        <f aca="false">SUMPRODUCT((Rules!$A$2:$A$60=D$1)*Rules!$C$2:$C$60*ISNUMBER(SEARCH(Rules!$D$2:$D$60,$C194)))</f>
        <v>0</v>
      </c>
      <c r="E194" s="0" t="n">
        <f aca="false">SUMPRODUCT((Rules!$A$2:$A$60=E$1)*Rules!$C$2:$C$60*ISNUMBER(SEARCH(Rules!$D$2:$D$60,$C194)))</f>
        <v>0</v>
      </c>
      <c r="F194" s="0" t="n">
        <f aca="false">SUMPRODUCT((Rules!$A$2:$A$60=F$1)*Rules!$C$2:$C$60*ISNUMBER(SEARCH(Rules!$D$2:$D$60,$C194)))</f>
        <v>2</v>
      </c>
      <c r="G194" s="0" t="n">
        <f aca="false">SUMPRODUCT((Rules!$A$2:$A$60=G$1)*Rules!$C$2:$C$60*ISNUMBER(SEARCH(Rules!$D$2:$D$60,$C194)))</f>
        <v>0</v>
      </c>
      <c r="H194" s="0" t="n">
        <f aca="false">SUMPRODUCT((Rules!$A$2:$A$60=H$1)*Rules!$C$2:$C$60*ISNUMBER(SEARCH(Rules!$D$2:$D$60,$C194)))</f>
        <v>0</v>
      </c>
      <c r="I194" s="0" t="n">
        <f aca="false">SUMPRODUCT((Rules!$A$2:$A$60=I$1)*Rules!$C$2:$C$60*ISNUMBER(SEARCH(Rules!$D$2:$D$60,$C194)))</f>
        <v>0</v>
      </c>
      <c r="J194" s="0" t="str">
        <f aca="false">IF(OR(MAX(D194:I194)&lt;Rules!$H$1,MAX(D194:I194)-LARGE(D194:I194,2)&lt;Rules!$H$2),"No label",INDEX($D$1:$I$1,MATCH(MAX(D194:I194),D194:I194,0)))</f>
        <v>No label</v>
      </c>
      <c r="K194" s="0" t="n">
        <f aca="false">SUMPRODUCT(ISNUMBER(SEARCH(" "&amp;Terms!$A$3:$A$821&amp;" ",$C194))*Terms!B$3:B$821)+Terms!B$2</f>
        <v>9.0501422179439</v>
      </c>
      <c r="L194" s="0" t="n">
        <f aca="false">SUMPRODUCT(ISNUMBER(SEARCH(" "&amp;Terms!$A$3:$A$821&amp;" ",$C194))*Terms!C$3:C$821)+Terms!C$2</f>
        <v>-5.21866254564536</v>
      </c>
      <c r="M194" s="0" t="n">
        <f aca="false">SUMPRODUCT(ISNUMBER(SEARCH(" "&amp;Terms!$A$3:$A$821&amp;" ",$C194))*Terms!D$3:D$821)+Terms!D$2</f>
        <v>-1.93049804791703</v>
      </c>
      <c r="N194" s="0" t="n">
        <f aca="false">SUMPRODUCT(ISNUMBER(SEARCH(" "&amp;Terms!$A$3:$A$821&amp;" ",$C194))*Terms!E$3:E$821)+Terms!E$2</f>
        <v>0.512306755376664</v>
      </c>
      <c r="O194" s="0" t="n">
        <f aca="false">SUMPRODUCT(ISNUMBER(SEARCH(" "&amp;Terms!$A$3:$A$821&amp;" ",$C194))*Terms!F$3:F$821)+Terms!F$2</f>
        <v>-2.52237174755643</v>
      </c>
      <c r="P194" s="0" t="n">
        <f aca="false">SUMPRODUCT(ISNUMBER(SEARCH(" "&amp;Terms!$A$3:$A$821&amp;" ",$C194))*Terms!G$3:G$821)+Terms!G$2</f>
        <v>0.10908336779835</v>
      </c>
      <c r="Q194" s="0" t="str">
        <f aca="false">INDEX($K$1:$P$1,MATCH(MAX(K194:P194),K194:P194,0))</f>
        <v>Account Access</v>
      </c>
      <c r="R194" s="0" t="str">
        <f aca="false">IF(J194&lt;&gt;"No label",J194,Q194)</f>
        <v>Account Access</v>
      </c>
      <c r="S194" s="0" t="str">
        <f aca="false">INDEX(Answers!$B$2:$B$201,MATCH(A194,Answers!$A$2:$A$201,0))</f>
        <v>Account Access</v>
      </c>
      <c r="T194" s="4" t="b">
        <f aca="false">R194=S194</f>
        <v>1</v>
      </c>
    </row>
    <row r="195" customFormat="false" ht="15" hidden="false" customHeight="false" outlineLevel="0" collapsed="false">
      <c r="A195" s="0" t="str">
        <f aca="false">NewComplaints!A195</f>
        <v>N0194</v>
      </c>
      <c r="B195" s="0" t="str">
        <f aca="false">NewComplaints!B195</f>
        <v>Nobody has responded to my emails despite three reminders. Also, the paperwork was submitted a month ago and I am still waiting.</v>
      </c>
      <c r="C195" s="0" t="str">
        <f aca="false">" "&amp;TRIM(SUBSTITUTE(SUBSTITUTE(SUBSTITUTE(SUBSTITUTE(SUBSTITUTE(SUBSTITUTE(SUBSTITUTE(SUBSTITUTE(SUBSTITUTE(SUBSTITUTE(SUBSTITUTE(SUBSTITUTE(SUBSTITUTE(SUBSTITUTE(SUBSTITUTE(SUBSTITUTE(LOWER(B195),"."," "),","," "),"'"," "),"’"," "),"!"," "),"?"," "),";"," "),":"," "),"-"," "),"("," "),")"," "),"""", " "),"£"," "),"&amp;"," "),"/"," "),"%"," "))&amp;" "</f>
        <v> nobody has responded to my emails despite three reminders also the paperwork was submitted a month ago and i am still waiting </v>
      </c>
      <c r="D195" s="0" t="n">
        <f aca="false">SUMPRODUCT((Rules!$A$2:$A$60=D$1)*Rules!$C$2:$C$60*ISNUMBER(SEARCH(Rules!$D$2:$D$60,$C195)))</f>
        <v>0</v>
      </c>
      <c r="E195" s="0" t="n">
        <f aca="false">SUMPRODUCT((Rules!$A$2:$A$60=E$1)*Rules!$C$2:$C$60*ISNUMBER(SEARCH(Rules!$D$2:$D$60,$C195)))</f>
        <v>0</v>
      </c>
      <c r="F195" s="0" t="n">
        <f aca="false">SUMPRODUCT((Rules!$A$2:$A$60=F$1)*Rules!$C$2:$C$60*ISNUMBER(SEARCH(Rules!$D$2:$D$60,$C195)))</f>
        <v>0</v>
      </c>
      <c r="G195" s="0" t="n">
        <f aca="false">SUMPRODUCT((Rules!$A$2:$A$60=G$1)*Rules!$C$2:$C$60*ISNUMBER(SEARCH(Rules!$D$2:$D$60,$C195)))</f>
        <v>0</v>
      </c>
      <c r="H195" s="0" t="n">
        <f aca="false">SUMPRODUCT((Rules!$A$2:$A$60=H$1)*Rules!$C$2:$C$60*ISNUMBER(SEARCH(Rules!$D$2:$D$60,$C195)))</f>
        <v>2</v>
      </c>
      <c r="I195" s="0" t="n">
        <f aca="false">SUMPRODUCT((Rules!$A$2:$A$60=I$1)*Rules!$C$2:$C$60*ISNUMBER(SEARCH(Rules!$D$2:$D$60,$C195)))</f>
        <v>2</v>
      </c>
      <c r="J195" s="0" t="str">
        <f aca="false">IF(OR(MAX(D195:I195)&lt;Rules!$H$1,MAX(D195:I195)-LARGE(D195:I195,2)&lt;Rules!$H$2),"No label",INDEX($D$1:$I$1,MATCH(MAX(D195:I195),D195:I195,0)))</f>
        <v>No label</v>
      </c>
      <c r="K195" s="0" t="n">
        <f aca="false">SUMPRODUCT(ISNUMBER(SEARCH(" "&amp;Terms!$A$3:$A$821&amp;" ",$C195))*Terms!B$3:B$821)+Terms!B$2</f>
        <v>-3.78631094655615</v>
      </c>
      <c r="L195" s="0" t="n">
        <f aca="false">SUMPRODUCT(ISNUMBER(SEARCH(" "&amp;Terms!$A$3:$A$821&amp;" ",$C195))*Terms!C$3:C$821)+Terms!C$2</f>
        <v>8.29073757496085</v>
      </c>
      <c r="M195" s="0" t="n">
        <f aca="false">SUMPRODUCT(ISNUMBER(SEARCH(" "&amp;Terms!$A$3:$A$821&amp;" ",$C195))*Terms!D$3:D$821)+Terms!D$2</f>
        <v>4.93840032781411</v>
      </c>
      <c r="N195" s="0" t="n">
        <f aca="false">SUMPRODUCT(ISNUMBER(SEARCH(" "&amp;Terms!$A$3:$A$821&amp;" ",$C195))*Terms!E$3:E$821)+Terms!E$2</f>
        <v>-1.79888849918779</v>
      </c>
      <c r="O195" s="0" t="n">
        <f aca="false">SUMPRODUCT(ISNUMBER(SEARCH(" "&amp;Terms!$A$3:$A$821&amp;" ",$C195))*Terms!F$3:F$821)+Terms!F$2</f>
        <v>-4.8973443195259</v>
      </c>
      <c r="P195" s="0" t="n">
        <f aca="false">SUMPRODUCT(ISNUMBER(SEARCH(" "&amp;Terms!$A$3:$A$821&amp;" ",$C195))*Terms!G$3:G$821)+Terms!G$2</f>
        <v>-2.74659413750502</v>
      </c>
      <c r="Q195" s="0" t="str">
        <f aca="false">INDEX($K$1:$P$1,MATCH(MAX(K195:P195),K195:P195,0))</f>
        <v>Customer Service</v>
      </c>
      <c r="R195" s="0" t="str">
        <f aca="false">IF(J195&lt;&gt;"No label",J195,Q195)</f>
        <v>Customer Service</v>
      </c>
      <c r="S195" s="0" t="str">
        <f aca="false">INDEX(Answers!$B$2:$B$201,MATCH(A195,Answers!$A$2:$A$201,0))</f>
        <v>Customer Service</v>
      </c>
      <c r="T195" s="4" t="b">
        <f aca="false">R195=S195</f>
        <v>1</v>
      </c>
    </row>
    <row r="196" customFormat="false" ht="15" hidden="false" customHeight="false" outlineLevel="0" collapsed="false">
      <c r="A196" s="0" t="str">
        <f aca="false">NewComplaints!A196</f>
        <v>N0195</v>
      </c>
      <c r="B196" s="0" t="str">
        <f aca="false">NewComplaints!B196</f>
        <v>I am writing to complain. The website will not let me register for online access. I am worried it might be fraud.</v>
      </c>
      <c r="C196" s="0" t="str">
        <f aca="false">" "&amp;TRIM(SUBSTITUTE(SUBSTITUTE(SUBSTITUTE(SUBSTITUTE(SUBSTITUTE(SUBSTITUTE(SUBSTITUTE(SUBSTITUTE(SUBSTITUTE(SUBSTITUTE(SUBSTITUTE(SUBSTITUTE(SUBSTITUTE(SUBSTITUTE(SUBSTITUTE(SUBSTITUTE(LOWER(B196),"."," "),","," "),"'"," "),"’"," "),"!"," "),"?"," "),";"," "),":"," "),"-"," "),"("," "),")"," "),"""", " "),"£"," "),"&amp;"," "),"/"," "),"%"," "))&amp;" "</f>
        <v> i am writing to complain the website will not let me register for online access i am worried it might be fraud </v>
      </c>
      <c r="D196" s="0" t="n">
        <f aca="false">SUMPRODUCT((Rules!$A$2:$A$60=D$1)*Rules!$C$2:$C$60*ISNUMBER(SEARCH(Rules!$D$2:$D$60,$C196)))</f>
        <v>3</v>
      </c>
      <c r="E196" s="0" t="n">
        <f aca="false">SUMPRODUCT((Rules!$A$2:$A$60=E$1)*Rules!$C$2:$C$60*ISNUMBER(SEARCH(Rules!$D$2:$D$60,$C196)))</f>
        <v>0</v>
      </c>
      <c r="F196" s="0" t="n">
        <f aca="false">SUMPRODUCT((Rules!$A$2:$A$60=F$1)*Rules!$C$2:$C$60*ISNUMBER(SEARCH(Rules!$D$2:$D$60,$C196)))</f>
        <v>1</v>
      </c>
      <c r="G196" s="0" t="n">
        <f aca="false">SUMPRODUCT((Rules!$A$2:$A$60=G$1)*Rules!$C$2:$C$60*ISNUMBER(SEARCH(Rules!$D$2:$D$60,$C196)))</f>
        <v>0</v>
      </c>
      <c r="H196" s="0" t="n">
        <f aca="false">SUMPRODUCT((Rules!$A$2:$A$60=H$1)*Rules!$C$2:$C$60*ISNUMBER(SEARCH(Rules!$D$2:$D$60,$C196)))</f>
        <v>0</v>
      </c>
      <c r="I196" s="0" t="n">
        <f aca="false">SUMPRODUCT((Rules!$A$2:$A$60=I$1)*Rules!$C$2:$C$60*ISNUMBER(SEARCH(Rules!$D$2:$D$60,$C196)))</f>
        <v>0</v>
      </c>
      <c r="J196" s="0" t="str">
        <f aca="false">IF(OR(MAX(D196:I196)&lt;Rules!$H$1,MAX(D196:I196)-LARGE(D196:I196,2)&lt;Rules!$H$2),"No label",INDEX($D$1:$I$1,MATCH(MAX(D196:I196),D196:I196,0)))</f>
        <v>Fraud &amp; Scams</v>
      </c>
      <c r="K196" s="0" t="n">
        <f aca="false">SUMPRODUCT(ISNUMBER(SEARCH(" "&amp;Terms!$A$3:$A$821&amp;" ",$C196))*Terms!B$3:B$821)+Terms!B$2</f>
        <v>9.87755760038844</v>
      </c>
      <c r="L196" s="0" t="n">
        <f aca="false">SUMPRODUCT(ISNUMBER(SEARCH(" "&amp;Terms!$A$3:$A$821&amp;" ",$C196))*Terms!C$3:C$821)+Terms!C$2</f>
        <v>-3.62230186689217</v>
      </c>
      <c r="M196" s="0" t="n">
        <f aca="false">SUMPRODUCT(ISNUMBER(SEARCH(" "&amp;Terms!$A$3:$A$821&amp;" ",$C196))*Terms!D$3:D$821)+Terms!D$2</f>
        <v>0.000939161494177138</v>
      </c>
      <c r="N196" s="0" t="n">
        <f aca="false">SUMPRODUCT(ISNUMBER(SEARCH(" "&amp;Terms!$A$3:$A$821&amp;" ",$C196))*Terms!E$3:E$821)+Terms!E$2</f>
        <v>-3.75419562577417</v>
      </c>
      <c r="O196" s="0" t="n">
        <f aca="false">SUMPRODUCT(ISNUMBER(SEARCH(" "&amp;Terms!$A$3:$A$821&amp;" ",$C196))*Terms!F$3:F$821)+Terms!F$2</f>
        <v>-2.13582912040136</v>
      </c>
      <c r="P196" s="0" t="n">
        <f aca="false">SUMPRODUCT(ISNUMBER(SEARCH(" "&amp;Terms!$A$3:$A$821&amp;" ",$C196))*Terms!G$3:G$821)+Terms!G$2</f>
        <v>-0.366170148814834</v>
      </c>
      <c r="Q196" s="0" t="str">
        <f aca="false">INDEX($K$1:$P$1,MATCH(MAX(K196:P196),K196:P196,0))</f>
        <v>Account Access</v>
      </c>
      <c r="R196" s="0" t="str">
        <f aca="false">IF(J196&lt;&gt;"No label",J196,Q196)</f>
        <v>Fraud &amp; Scams</v>
      </c>
      <c r="S196" s="0" t="str">
        <f aca="false">INDEX(Answers!$B$2:$B$201,MATCH(A196,Answers!$A$2:$A$201,0))</f>
        <v>Account Access</v>
      </c>
      <c r="T196" s="4" t="b">
        <f aca="false">R196=S196</f>
        <v>0</v>
      </c>
    </row>
    <row r="197" customFormat="false" ht="15" hidden="false" customHeight="false" outlineLevel="0" collapsed="false">
      <c r="A197" s="0" t="str">
        <f aca="false">NewComplaints!A197</f>
        <v>N0196</v>
      </c>
      <c r="B197" s="0" t="str">
        <f aca="false">NewComplaints!B197</f>
        <v>This is the second time I have raised this. Two factor codes are not being sent to my phone. Also, i was misled about what the insurance actually ncluded. I expect compensation.</v>
      </c>
      <c r="C197" s="0" t="str">
        <f aca="false">" "&amp;TRIM(SUBSTITUTE(SUBSTITUTE(SUBSTITUTE(SUBSTITUTE(SUBSTITUTE(SUBSTITUTE(SUBSTITUTE(SUBSTITUTE(SUBSTITUTE(SUBSTITUTE(SUBSTITUTE(SUBSTITUTE(SUBSTITUTE(SUBSTITUTE(SUBSTITUTE(SUBSTITUTE(LOWER(B197),"."," "),","," "),"'"," "),"’"," "),"!"," "),"?"," "),";"," "),":"," "),"-"," "),"("," "),")"," "),"""", " "),"£"," "),"&amp;"," "),"/"," "),"%"," "))&amp;" "</f>
        <v> this is the second time i have raised this two factor codes are not being sent to my phone also i was misled about what the insurance actually ncluded i expect compensation </v>
      </c>
      <c r="D197" s="0" t="n">
        <f aca="false">SUMPRODUCT((Rules!$A$2:$A$60=D$1)*Rules!$C$2:$C$60*ISNUMBER(SEARCH(Rules!$D$2:$D$60,$C197)))</f>
        <v>0</v>
      </c>
      <c r="E197" s="0" t="n">
        <f aca="false">SUMPRODUCT((Rules!$A$2:$A$60=E$1)*Rules!$C$2:$C$60*ISNUMBER(SEARCH(Rules!$D$2:$D$60,$C197)))</f>
        <v>4</v>
      </c>
      <c r="F197" s="0" t="n">
        <f aca="false">SUMPRODUCT((Rules!$A$2:$A$60=F$1)*Rules!$C$2:$C$60*ISNUMBER(SEARCH(Rules!$D$2:$D$60,$C197)))</f>
        <v>3</v>
      </c>
      <c r="G197" s="0" t="n">
        <f aca="false">SUMPRODUCT((Rules!$A$2:$A$60=G$1)*Rules!$C$2:$C$60*ISNUMBER(SEARCH(Rules!$D$2:$D$60,$C197)))</f>
        <v>0</v>
      </c>
      <c r="H197" s="0" t="n">
        <f aca="false">SUMPRODUCT((Rules!$A$2:$A$60=H$1)*Rules!$C$2:$C$60*ISNUMBER(SEARCH(Rules!$D$2:$D$60,$C197)))</f>
        <v>0</v>
      </c>
      <c r="I197" s="0" t="n">
        <f aca="false">SUMPRODUCT((Rules!$A$2:$A$60=I$1)*Rules!$C$2:$C$60*ISNUMBER(SEARCH(Rules!$D$2:$D$60,$C197)))</f>
        <v>0</v>
      </c>
      <c r="J197" s="0" t="str">
        <f aca="false">IF(OR(MAX(D197:I197)&lt;Rules!$H$1,MAX(D197:I197)-LARGE(D197:I197,2)&lt;Rules!$H$2),"No label",INDEX($D$1:$I$1,MATCH(MAX(D197:I197),D197:I197,0)))</f>
        <v>No label</v>
      </c>
      <c r="K197" s="0" t="n">
        <f aca="false">SUMPRODUCT(ISNUMBER(SEARCH(" "&amp;Terms!$A$3:$A$821&amp;" ",$C197))*Terms!B$3:B$821)+Terms!B$2</f>
        <v>8.09488282299737</v>
      </c>
      <c r="L197" s="0" t="n">
        <f aca="false">SUMPRODUCT(ISNUMBER(SEARCH(" "&amp;Terms!$A$3:$A$821&amp;" ",$C197))*Terms!C$3:C$821)+Terms!C$2</f>
        <v>-4.7255898552442</v>
      </c>
      <c r="M197" s="0" t="n">
        <f aca="false">SUMPRODUCT(ISNUMBER(SEARCH(" "&amp;Terms!$A$3:$A$821&amp;" ",$C197))*Terms!D$3:D$821)+Terms!D$2</f>
        <v>0.354696863801717</v>
      </c>
      <c r="N197" s="0" t="n">
        <f aca="false">SUMPRODUCT(ISNUMBER(SEARCH(" "&amp;Terms!$A$3:$A$821&amp;" ",$C197))*Terms!E$3:E$821)+Terms!E$2</f>
        <v>-2.2308684199345</v>
      </c>
      <c r="O197" s="0" t="n">
        <f aca="false">SUMPRODUCT(ISNUMBER(SEARCH(" "&amp;Terms!$A$3:$A$821&amp;" ",$C197))*Terms!F$3:F$821)+Terms!F$2</f>
        <v>-4.99681509538918</v>
      </c>
      <c r="P197" s="0" t="n">
        <f aca="false">SUMPRODUCT(ISNUMBER(SEARCH(" "&amp;Terms!$A$3:$A$821&amp;" ",$C197))*Terms!G$3:G$821)+Terms!G$2</f>
        <v>3.50369368376888</v>
      </c>
      <c r="Q197" s="0" t="str">
        <f aca="false">INDEX($K$1:$P$1,MATCH(MAX(K197:P197),K197:P197,0))</f>
        <v>Account Access</v>
      </c>
      <c r="R197" s="0" t="str">
        <f aca="false">IF(J197&lt;&gt;"No label",J197,Q197)</f>
        <v>Account Access</v>
      </c>
      <c r="S197" s="0" t="str">
        <f aca="false">INDEX(Answers!$B$2:$B$201,MATCH(A197,Answers!$A$2:$A$201,0))</f>
        <v>Account Access</v>
      </c>
      <c r="T197" s="4" t="b">
        <f aca="false">R197=S197</f>
        <v>1</v>
      </c>
    </row>
    <row r="198" customFormat="false" ht="15" hidden="false" customHeight="false" outlineLevel="0" collapsed="false">
      <c r="A198" s="0" t="str">
        <f aca="false">NewComplaints!A198</f>
        <v>N0197</v>
      </c>
      <c r="B198" s="0" t="str">
        <f aca="false">NewComplaints!B198</f>
        <v>The payment still has not arrived in my account. I am worried it might be fraud. Please escalate this.</v>
      </c>
      <c r="C198" s="0" t="str">
        <f aca="false">" "&amp;TRIM(SUBSTITUTE(SUBSTITUTE(SUBSTITUTE(SUBSTITUTE(SUBSTITUTE(SUBSTITUTE(SUBSTITUTE(SUBSTITUTE(SUBSTITUTE(SUBSTITUTE(SUBSTITUTE(SUBSTITUTE(SUBSTITUTE(SUBSTITUTE(SUBSTITUTE(SUBSTITUTE(LOWER(B198),"."," "),","," "),"'"," "),"’"," "),"!"," "),"?"," "),";"," "),":"," "),"-"," "),"("," "),")"," "),"""", " "),"£"," "),"&amp;"," "),"/"," "),"%"," "))&amp;" "</f>
        <v> the payment still has not arrived in my account i am worried it might be fraud please escalate this </v>
      </c>
      <c r="D198" s="0" t="n">
        <f aca="false">SUMPRODUCT((Rules!$A$2:$A$60=D$1)*Rules!$C$2:$C$60*ISNUMBER(SEARCH(Rules!$D$2:$D$60,$C198)))</f>
        <v>3</v>
      </c>
      <c r="E198" s="0" t="n">
        <f aca="false">SUMPRODUCT((Rules!$A$2:$A$60=E$1)*Rules!$C$2:$C$60*ISNUMBER(SEARCH(Rules!$D$2:$D$60,$C198)))</f>
        <v>0</v>
      </c>
      <c r="F198" s="0" t="n">
        <f aca="false">SUMPRODUCT((Rules!$A$2:$A$60=F$1)*Rules!$C$2:$C$60*ISNUMBER(SEARCH(Rules!$D$2:$D$60,$C198)))</f>
        <v>0</v>
      </c>
      <c r="G198" s="0" t="n">
        <f aca="false">SUMPRODUCT((Rules!$A$2:$A$60=G$1)*Rules!$C$2:$C$60*ISNUMBER(SEARCH(Rules!$D$2:$D$60,$C198)))</f>
        <v>0</v>
      </c>
      <c r="H198" s="0" t="n">
        <f aca="false">SUMPRODUCT((Rules!$A$2:$A$60=H$1)*Rules!$C$2:$C$60*ISNUMBER(SEARCH(Rules!$D$2:$D$60,$C198)))</f>
        <v>2</v>
      </c>
      <c r="I198" s="0" t="n">
        <f aca="false">SUMPRODUCT((Rules!$A$2:$A$60=I$1)*Rules!$C$2:$C$60*ISNUMBER(SEARCH(Rules!$D$2:$D$60,$C198)))</f>
        <v>0</v>
      </c>
      <c r="J198" s="0" t="str">
        <f aca="false">IF(OR(MAX(D198:I198)&lt;Rules!$H$1,MAX(D198:I198)-LARGE(D198:I198,2)&lt;Rules!$H$2),"No label",INDEX($D$1:$I$1,MATCH(MAX(D198:I198),D198:I198,0)))</f>
        <v>No label</v>
      </c>
      <c r="K198" s="0" t="n">
        <f aca="false">SUMPRODUCT(ISNUMBER(SEARCH(" "&amp;Terms!$A$3:$A$821&amp;" ",$C198))*Terms!B$3:B$821)+Terms!B$2</f>
        <v>1.15311453678698</v>
      </c>
      <c r="L198" s="0" t="n">
        <f aca="false">SUMPRODUCT(ISNUMBER(SEARCH(" "&amp;Terms!$A$3:$A$821&amp;" ",$C198))*Terms!C$3:C$821)+Terms!C$2</f>
        <v>-3.1846636351468</v>
      </c>
      <c r="M198" s="0" t="n">
        <f aca="false">SUMPRODUCT(ISNUMBER(SEARCH(" "&amp;Terms!$A$3:$A$821&amp;" ",$C198))*Terms!D$3:D$821)+Terms!D$2</f>
        <v>6.2692771742358</v>
      </c>
      <c r="N198" s="0" t="n">
        <f aca="false">SUMPRODUCT(ISNUMBER(SEARCH(" "&amp;Terms!$A$3:$A$821&amp;" ",$C198))*Terms!E$3:E$821)+Terms!E$2</f>
        <v>-0.205250558760259</v>
      </c>
      <c r="O198" s="0" t="n">
        <f aca="false">SUMPRODUCT(ISNUMBER(SEARCH(" "&amp;Terms!$A$3:$A$821&amp;" ",$C198))*Terms!F$3:F$821)+Terms!F$2</f>
        <v>-0.39110738996154</v>
      </c>
      <c r="P198" s="0" t="n">
        <f aca="false">SUMPRODUCT(ISNUMBER(SEARCH(" "&amp;Terms!$A$3:$A$821&amp;" ",$C198))*Terms!G$3:G$821)+Terms!G$2</f>
        <v>-3.64137012715409</v>
      </c>
      <c r="Q198" s="0" t="str">
        <f aca="false">INDEX($K$1:$P$1,MATCH(MAX(K198:P198),K198:P198,0))</f>
        <v>Delays &amp; Processing</v>
      </c>
      <c r="R198" s="0" t="str">
        <f aca="false">IF(J198&lt;&gt;"No label",J198,Q198)</f>
        <v>Delays &amp; Processing</v>
      </c>
      <c r="S198" s="0" t="str">
        <f aca="false">INDEX(Answers!$B$2:$B$201,MATCH(A198,Answers!$A$2:$A$201,0))</f>
        <v>Delays &amp; Processing</v>
      </c>
      <c r="T198" s="4" t="b">
        <f aca="false">R198=S198</f>
        <v>1</v>
      </c>
    </row>
    <row r="199" customFormat="false" ht="15" hidden="false" customHeight="false" outlineLevel="0" collapsed="false">
      <c r="A199" s="0" t="str">
        <f aca="false">NewComplaints!A199</f>
        <v>N0198</v>
      </c>
      <c r="B199" s="0" t="str">
        <f aca="false">NewComplaints!B199</f>
        <v>This is the second time I have raised this. The complaints handler was unhelpful and talked over me. Please sort this out.</v>
      </c>
      <c r="C199" s="0" t="str">
        <f aca="false">" "&amp;TRIM(SUBSTITUTE(SUBSTITUTE(SUBSTITUTE(SUBSTITUTE(SUBSTITUTE(SUBSTITUTE(SUBSTITUTE(SUBSTITUTE(SUBSTITUTE(SUBSTITUTE(SUBSTITUTE(SUBSTITUTE(SUBSTITUTE(SUBSTITUTE(SUBSTITUTE(SUBSTITUTE(LOWER(B199),"."," "),","," "),"'"," "),"’"," "),"!"," "),"?"," "),";"," "),":"," "),"-"," "),"("," "),")"," "),"""", " "),"£"," "),"&amp;"," "),"/"," "),"%"," "))&amp;" "</f>
        <v> this is the second time i have raised this the complaints handler was unhelpful and talked over me please sort this out </v>
      </c>
      <c r="D199" s="0" t="n">
        <f aca="false">SUMPRODUCT((Rules!$A$2:$A$60=D$1)*Rules!$C$2:$C$60*ISNUMBER(SEARCH(Rules!$D$2:$D$60,$C199)))</f>
        <v>0</v>
      </c>
      <c r="E199" s="0" t="n">
        <f aca="false">SUMPRODUCT((Rules!$A$2:$A$60=E$1)*Rules!$C$2:$C$60*ISNUMBER(SEARCH(Rules!$D$2:$D$60,$C199)))</f>
        <v>0</v>
      </c>
      <c r="F199" s="0" t="n">
        <f aca="false">SUMPRODUCT((Rules!$A$2:$A$60=F$1)*Rules!$C$2:$C$60*ISNUMBER(SEARCH(Rules!$D$2:$D$60,$C199)))</f>
        <v>0</v>
      </c>
      <c r="G199" s="0" t="n">
        <f aca="false">SUMPRODUCT((Rules!$A$2:$A$60=G$1)*Rules!$C$2:$C$60*ISNUMBER(SEARCH(Rules!$D$2:$D$60,$C199)))</f>
        <v>0</v>
      </c>
      <c r="H199" s="0" t="n">
        <f aca="false">SUMPRODUCT((Rules!$A$2:$A$60=H$1)*Rules!$C$2:$C$60*ISNUMBER(SEARCH(Rules!$D$2:$D$60,$C199)))</f>
        <v>0</v>
      </c>
      <c r="I199" s="0" t="n">
        <f aca="false">SUMPRODUCT((Rules!$A$2:$A$60=I$1)*Rules!$C$2:$C$60*ISNUMBER(SEARCH(Rules!$D$2:$D$60,$C199)))</f>
        <v>2</v>
      </c>
      <c r="J199" s="0" t="str">
        <f aca="false">IF(OR(MAX(D199:I199)&lt;Rules!$H$1,MAX(D199:I199)-LARGE(D199:I199,2)&lt;Rules!$H$2),"No label",INDEX($D$1:$I$1,MATCH(MAX(D199:I199),D199:I199,0)))</f>
        <v>No label</v>
      </c>
      <c r="K199" s="0" t="n">
        <f aca="false">SUMPRODUCT(ISNUMBER(SEARCH(" "&amp;Terms!$A$3:$A$821&amp;" ",$C199))*Terms!B$3:B$821)+Terms!B$2</f>
        <v>-4.88369813736625</v>
      </c>
      <c r="L199" s="0" t="n">
        <f aca="false">SUMPRODUCT(ISNUMBER(SEARCH(" "&amp;Terms!$A$3:$A$821&amp;" ",$C199))*Terms!C$3:C$821)+Terms!C$2</f>
        <v>10.8286315593718</v>
      </c>
      <c r="M199" s="0" t="n">
        <f aca="false">SUMPRODUCT(ISNUMBER(SEARCH(" "&amp;Terms!$A$3:$A$821&amp;" ",$C199))*Terms!D$3:D$821)+Terms!D$2</f>
        <v>-3.80049426522202</v>
      </c>
      <c r="N199" s="0" t="n">
        <f aca="false">SUMPRODUCT(ISNUMBER(SEARCH(" "&amp;Terms!$A$3:$A$821&amp;" ",$C199))*Terms!E$3:E$821)+Terms!E$2</f>
        <v>0.938007291629667</v>
      </c>
      <c r="O199" s="0" t="n">
        <f aca="false">SUMPRODUCT(ISNUMBER(SEARCH(" "&amp;Terms!$A$3:$A$821&amp;" ",$C199))*Terms!F$3:F$821)+Terms!F$2</f>
        <v>-1.47291422118125</v>
      </c>
      <c r="P199" s="0" t="n">
        <f aca="false">SUMPRODUCT(ISNUMBER(SEARCH(" "&amp;Terms!$A$3:$A$821&amp;" ",$C199))*Terms!G$3:G$821)+Terms!G$2</f>
        <v>-1.60953222723189</v>
      </c>
      <c r="Q199" s="0" t="str">
        <f aca="false">INDEX($K$1:$P$1,MATCH(MAX(K199:P199),K199:P199,0))</f>
        <v>Customer Service</v>
      </c>
      <c r="R199" s="0" t="str">
        <f aca="false">IF(J199&lt;&gt;"No label",J199,Q199)</f>
        <v>Customer Service</v>
      </c>
      <c r="S199" s="0" t="str">
        <f aca="false">INDEX(Answers!$B$2:$B$201,MATCH(A199,Answers!$A$2:$A$201,0))</f>
        <v>Customer Service</v>
      </c>
      <c r="T199" s="4" t="b">
        <f aca="false">R199=S199</f>
        <v>1</v>
      </c>
    </row>
    <row r="200" customFormat="false" ht="15" hidden="false" customHeight="false" outlineLevel="0" collapsed="false">
      <c r="A200" s="0" t="str">
        <f aca="false">NewComplaints!A200</f>
        <v>N0199</v>
      </c>
      <c r="B200" s="0" t="str">
        <f aca="false">NewComplaints!B200</f>
        <v>Frankly, I have been billed an annual fee I never agreed to. Also, you promsed the money within three working days and it is still outstanding. Please sort this out.</v>
      </c>
      <c r="C200" s="0" t="str">
        <f aca="false">" "&amp;TRIM(SUBSTITUTE(SUBSTITUTE(SUBSTITUTE(SUBSTITUTE(SUBSTITUTE(SUBSTITUTE(SUBSTITUTE(SUBSTITUTE(SUBSTITUTE(SUBSTITUTE(SUBSTITUTE(SUBSTITUTE(SUBSTITUTE(SUBSTITUTE(SUBSTITUTE(SUBSTITUTE(LOWER(B200),"."," "),","," "),"'"," "),"’"," "),"!"," "),"?"," "),";"," "),":"," "),"-"," "),"("," "),")"," "),"""", " "),"£"," "),"&amp;"," "),"/"," "),"%"," "))&amp;" "</f>
        <v> frankly i have been billed an annual fee i never agreed to also you promsed the money within three working days and it is still outstanding please sort this out </v>
      </c>
      <c r="D200" s="0" t="n">
        <f aca="false">SUMPRODUCT((Rules!$A$2:$A$60=D$1)*Rules!$C$2:$C$60*ISNUMBER(SEARCH(Rules!$D$2:$D$60,$C200)))</f>
        <v>0</v>
      </c>
      <c r="E200" s="0" t="n">
        <f aca="false">SUMPRODUCT((Rules!$A$2:$A$60=E$1)*Rules!$C$2:$C$60*ISNUMBER(SEARCH(Rules!$D$2:$D$60,$C200)))</f>
        <v>0</v>
      </c>
      <c r="F200" s="0" t="n">
        <f aca="false">SUMPRODUCT((Rules!$A$2:$A$60=F$1)*Rules!$C$2:$C$60*ISNUMBER(SEARCH(Rules!$D$2:$D$60,$C200)))</f>
        <v>0</v>
      </c>
      <c r="G200" s="0" t="n">
        <f aca="false">SUMPRODUCT((Rules!$A$2:$A$60=G$1)*Rules!$C$2:$C$60*ISNUMBER(SEARCH(Rules!$D$2:$D$60,$C200)))</f>
        <v>4</v>
      </c>
      <c r="H200" s="0" t="n">
        <f aca="false">SUMPRODUCT((Rules!$A$2:$A$60=H$1)*Rules!$C$2:$C$60*ISNUMBER(SEARCH(Rules!$D$2:$D$60,$C200)))</f>
        <v>2</v>
      </c>
      <c r="I200" s="0" t="n">
        <f aca="false">SUMPRODUCT((Rules!$A$2:$A$60=I$1)*Rules!$C$2:$C$60*ISNUMBER(SEARCH(Rules!$D$2:$D$60,$C200)))</f>
        <v>0</v>
      </c>
      <c r="J200" s="0" t="str">
        <f aca="false">IF(OR(MAX(D200:I200)&lt;Rules!$H$1,MAX(D200:I200)-LARGE(D200:I200,2)&lt;Rules!$H$2),"No label",INDEX($D$1:$I$1,MATCH(MAX(D200:I200),D200:I200,0)))</f>
        <v>Fees &amp; Charges</v>
      </c>
      <c r="K200" s="0" t="n">
        <f aca="false">SUMPRODUCT(ISNUMBER(SEARCH(" "&amp;Terms!$A$3:$A$821&amp;" ",$C200))*Terms!B$3:B$821)+Terms!B$2</f>
        <v>-1.26760699438416</v>
      </c>
      <c r="L200" s="0" t="n">
        <f aca="false">SUMPRODUCT(ISNUMBER(SEARCH(" "&amp;Terms!$A$3:$A$821&amp;" ",$C200))*Terms!C$3:C$821)+Terms!C$2</f>
        <v>-3.7240099554195</v>
      </c>
      <c r="M200" s="0" t="n">
        <f aca="false">SUMPRODUCT(ISNUMBER(SEARCH(" "&amp;Terms!$A$3:$A$821&amp;" ",$C200))*Terms!D$3:D$821)+Terms!D$2</f>
        <v>2.86376300165033</v>
      </c>
      <c r="N200" s="0" t="n">
        <f aca="false">SUMPRODUCT(ISNUMBER(SEARCH(" "&amp;Terms!$A$3:$A$821&amp;" ",$C200))*Terms!E$3:E$821)+Terms!E$2</f>
        <v>11.8073810504995</v>
      </c>
      <c r="O200" s="0" t="n">
        <f aca="false">SUMPRODUCT(ISNUMBER(SEARCH(" "&amp;Terms!$A$3:$A$821&amp;" ",$C200))*Terms!F$3:F$821)+Terms!F$2</f>
        <v>-5.268854620514</v>
      </c>
      <c r="P200" s="0" t="n">
        <f aca="false">SUMPRODUCT(ISNUMBER(SEARCH(" "&amp;Terms!$A$3:$A$821&amp;" ",$C200))*Terms!G$3:G$821)+Terms!G$2</f>
        <v>-4.41067248183207</v>
      </c>
      <c r="Q200" s="0" t="str">
        <f aca="false">INDEX($K$1:$P$1,MATCH(MAX(K200:P200),K200:P200,0))</f>
        <v>Fees &amp; Charges</v>
      </c>
      <c r="R200" s="0" t="str">
        <f aca="false">IF(J200&lt;&gt;"No label",J200,Q200)</f>
        <v>Fees &amp; Charges</v>
      </c>
      <c r="S200" s="0" t="str">
        <f aca="false">INDEX(Answers!$B$2:$B$201,MATCH(A200,Answers!$A$2:$A$201,0))</f>
        <v>Fees &amp; Charges</v>
      </c>
      <c r="T200" s="4" t="b">
        <f aca="false">R200=S200</f>
        <v>1</v>
      </c>
    </row>
    <row r="201" customFormat="false" ht="15" hidden="false" customHeight="false" outlineLevel="0" collapsed="false">
      <c r="A201" s="0" t="str">
        <f aca="false">NewComplaints!A201</f>
        <v>N0200</v>
      </c>
      <c r="B201" s="0" t="str">
        <f aca="false">NewComplaints!B201</f>
        <v>This is the second time I have raised this. The app crashes every time I try to open my statements. I am worried it might be fraud.</v>
      </c>
      <c r="C201" s="0" t="str">
        <f aca="false">" "&amp;TRIM(SUBSTITUTE(SUBSTITUTE(SUBSTITUTE(SUBSTITUTE(SUBSTITUTE(SUBSTITUTE(SUBSTITUTE(SUBSTITUTE(SUBSTITUTE(SUBSTITUTE(SUBSTITUTE(SUBSTITUTE(SUBSTITUTE(SUBSTITUTE(SUBSTITUTE(SUBSTITUTE(LOWER(B201),"."," "),","," "),"'"," "),"’"," "),"!"," "),"?"," "),";"," "),":"," "),"-"," "),"("," "),")"," "),"""", " "),"£"," "),"&amp;"," "),"/"," "),"%"," "))&amp;" "</f>
        <v> this is the second time i have raised this the app crashes every time i try to open my statements i am worried it might be fraud </v>
      </c>
      <c r="D201" s="0" t="n">
        <f aca="false">SUMPRODUCT((Rules!$A$2:$A$60=D$1)*Rules!$C$2:$C$60*ISNUMBER(SEARCH(Rules!$D$2:$D$60,$C201)))</f>
        <v>3</v>
      </c>
      <c r="E201" s="0" t="n">
        <f aca="false">SUMPRODUCT((Rules!$A$2:$A$60=E$1)*Rules!$C$2:$C$60*ISNUMBER(SEARCH(Rules!$D$2:$D$60,$C201)))</f>
        <v>0</v>
      </c>
      <c r="F201" s="0" t="n">
        <f aca="false">SUMPRODUCT((Rules!$A$2:$A$60=F$1)*Rules!$C$2:$C$60*ISNUMBER(SEARCH(Rules!$D$2:$D$60,$C201)))</f>
        <v>3</v>
      </c>
      <c r="G201" s="0" t="n">
        <f aca="false">SUMPRODUCT((Rules!$A$2:$A$60=G$1)*Rules!$C$2:$C$60*ISNUMBER(SEARCH(Rules!$D$2:$D$60,$C201)))</f>
        <v>0</v>
      </c>
      <c r="H201" s="0" t="n">
        <f aca="false">SUMPRODUCT((Rules!$A$2:$A$60=H$1)*Rules!$C$2:$C$60*ISNUMBER(SEARCH(Rules!$D$2:$D$60,$C201)))</f>
        <v>0</v>
      </c>
      <c r="I201" s="0" t="n">
        <f aca="false">SUMPRODUCT((Rules!$A$2:$A$60=I$1)*Rules!$C$2:$C$60*ISNUMBER(SEARCH(Rules!$D$2:$D$60,$C201)))</f>
        <v>0</v>
      </c>
      <c r="J201" s="0" t="str">
        <f aca="false">IF(OR(MAX(D201:I201)&lt;Rules!$H$1,MAX(D201:I201)-LARGE(D201:I201,2)&lt;Rules!$H$2),"No label",INDEX($D$1:$I$1,MATCH(MAX(D201:I201),D201:I201,0)))</f>
        <v>No label</v>
      </c>
      <c r="K201" s="0" t="n">
        <f aca="false">SUMPRODUCT(ISNUMBER(SEARCH(" "&amp;Terms!$A$3:$A$821&amp;" ",$C201))*Terms!B$3:B$821)+Terms!B$2</f>
        <v>7.84819530020786</v>
      </c>
      <c r="L201" s="0" t="n">
        <f aca="false">SUMPRODUCT(ISNUMBER(SEARCH(" "&amp;Terms!$A$3:$A$821&amp;" ",$C201))*Terms!C$3:C$821)+Terms!C$2</f>
        <v>1.16646414541495</v>
      </c>
      <c r="M201" s="0" t="n">
        <f aca="false">SUMPRODUCT(ISNUMBER(SEARCH(" "&amp;Terms!$A$3:$A$821&amp;" ",$C201))*Terms!D$3:D$821)+Terms!D$2</f>
        <v>-2.59051940714422</v>
      </c>
      <c r="N201" s="0" t="n">
        <f aca="false">SUMPRODUCT(ISNUMBER(SEARCH(" "&amp;Terms!$A$3:$A$821&amp;" ",$C201))*Terms!E$3:E$821)+Terms!E$2</f>
        <v>-0.688969307454327</v>
      </c>
      <c r="O201" s="0" t="n">
        <f aca="false">SUMPRODUCT(ISNUMBER(SEARCH(" "&amp;Terms!$A$3:$A$821&amp;" ",$C201))*Terms!F$3:F$821)+Terms!F$2</f>
        <v>-1.73188299047567</v>
      </c>
      <c r="P201" s="0" t="n">
        <f aca="false">SUMPRODUCT(ISNUMBER(SEARCH(" "&amp;Terms!$A$3:$A$821&amp;" ",$C201))*Terms!G$3:G$821)+Terms!G$2</f>
        <v>-4.00328774054848</v>
      </c>
      <c r="Q201" s="0" t="str">
        <f aca="false">INDEX($K$1:$P$1,MATCH(MAX(K201:P201),K201:P201,0))</f>
        <v>Account Access</v>
      </c>
      <c r="R201" s="0" t="str">
        <f aca="false">IF(J201&lt;&gt;"No label",J201,Q201)</f>
        <v>Account Access</v>
      </c>
      <c r="S201" s="0" t="str">
        <f aca="false">INDEX(Answers!$B$2:$B$201,MATCH(A201,Answers!$A$2:$A$201,0))</f>
        <v>Account Access</v>
      </c>
      <c r="T201" s="4" t="b">
        <f aca="false">R201=S201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2026-10-12T19:44:36Z</dcterms:created>
  <dc:creator>openpyxl</dc:creator>
  <dc:description/>
  <dc:language>en-US</dc:language>
  <cp:lastModifiedBy/>
  <dcterms:modified xsi:type="dcterms:W3CDTF">2026-10-12T19:44:36Z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